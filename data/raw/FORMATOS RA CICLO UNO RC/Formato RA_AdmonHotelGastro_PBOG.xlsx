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2394" documentId="13_ncr:1_{22BA8ED0-1E41-4BD6-8060-7101AA11B8A3}" xr6:coauthVersionLast="47" xr6:coauthVersionMax="47" xr10:uidLastSave="{1AF80861-3958-4003-90C4-78723DAB2D43}"/>
  <bookViews>
    <workbookView xWindow="-110" yWindow="-110" windowWidth="19420" windowHeight="10300" firstSheet="2" activeTab="4" xr2:uid="{00000000-000D-0000-FFFF-FFFF00000000}"/>
  </bookViews>
  <sheets>
    <sheet name="Paso1 Analisis perfil egreso" sheetId="1" r:id="rId1"/>
    <sheet name="Paso 2 Redacción competen" sheetId="6" r:id="rId2"/>
    <sheet name="Paso 3 Redacción RA " sheetId="5" r:id="rId3"/>
    <sheet name="Paso 4 Estrategias mesocurricu" sheetId="8" r:id="rId4"/>
    <sheet name="Paso 5 Estrategias micro" sheetId="11" r:id="rId5"/>
    <sheet name="Taxonomía para competencias" sheetId="10" r:id="rId6"/>
    <sheet name="Taxonomias para RA" sheetId="9" r:id="rId7"/>
  </sheets>
  <externalReferences>
    <externalReference r:id="rId8"/>
  </externalReferences>
  <definedNames>
    <definedName name="_xlnm._FilterDatabase" localSheetId="2" hidden="1">'Paso 3 Redacción RA '!$A$2:$I$2</definedName>
    <definedName name="actitudinalB">'Taxonomias para RA'!$L$3:$Q$3</definedName>
    <definedName name="ActitudinalBAK">'Taxonomias para RA'!$AC$3:$AG$3</definedName>
    <definedName name="AK">Tabla6088[AK]</definedName>
    <definedName name="AnálisisAK">Tabla99[AnálisisAK]</definedName>
    <definedName name="AnálisisB">Tabla385280[AnálisisB]</definedName>
    <definedName name="AnálisisBAK">Tabla3865[AnálisisBAK]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'Paso1 Analisis perfil egreso'!$H$3:$H$18</definedName>
    <definedName name="BAK">Tabla5886[BAK]</definedName>
    <definedName name="Bloom">'Taxonomias para RA'!$G$3:$I$3</definedName>
    <definedName name="CaracterizarBAK">Tabla4776[CaracterizarBAK]</definedName>
    <definedName name="Cognitivo">Saber[Saber]</definedName>
    <definedName name="cognitivoB">Tabla5583[CognitivoB]</definedName>
    <definedName name="CognitivoBAK">'Taxonomias para RA'!$S$3:$X$3</definedName>
    <definedName name="competencias">'Paso 2 Redacción competen'!$F$4:$F$6</definedName>
    <definedName name="ComprenderLK">'Taxonomias para RA'!$AM$5:$AM$27</definedName>
    <definedName name="ComprensiónAK">Tabla98[ComprensiónAK]</definedName>
    <definedName name="ComprensiónB">Tabla365078[ComprensiónB]</definedName>
    <definedName name="ComprensiónBAK">Tabla3663[ComprensiónBAK]</definedName>
    <definedName name="ConceptosLK">Tabla91[ConceptosLK]</definedName>
    <definedName name="ConocimientoB">Tabla354977[ConocimientoB]</definedName>
    <definedName name="ConocimientoBAK">Tabla3555[ConocimientoBAK]</definedName>
    <definedName name="Conocimientos">Saber[Saber]</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Tabla90[HechosLK]</definedName>
    <definedName name="ImitaciónBAK">Tabla1168[ImitaciónBAK]</definedName>
    <definedName name="InformaciónAK">Tabla94[InformaciónAK]</definedName>
    <definedName name="LK">Tabla5987[LK]</definedName>
    <definedName name="ManipulaciónBAK">Tabla3069[ManipulaciónBAK]</definedName>
    <definedName name="MetacogniciónAK">Tabla101[MetacogniciónAK]</definedName>
    <definedName name="MetacogniciónLK">Tabla93[MetacogniciónLK]</definedName>
    <definedName name="MetocogniciónAK">Tabla101[MetacogniciónAK]</definedName>
    <definedName name="ocupacional">'Paso1 Analisis perfil egreso'!$H$2:$J$2</definedName>
    <definedName name="OrganizarBAK">Tabla4675[OrganizarBAK]</definedName>
    <definedName name="PercepciónBAK">'Taxonomias para RA'!$AC$4:$AC$40</definedName>
    <definedName name="poblacionactuacion">'Paso1 Analisis perfil egreso'!$J$3:$J$17</definedName>
    <definedName name="poblaciones">'Paso1 Analisis perfil egreso'!$J$3:$J$17</definedName>
    <definedName name="poblacionesactuación">'Paso1 Analisis perfil egreso'!$J$3:$J$17</definedName>
    <definedName name="PrecisiónBAK">Tabla4170[PrecisiónBAK]</definedName>
    <definedName name="procedimentalB">Tabla5684[ProcedimentalB]</definedName>
    <definedName name="ProcedimentalBAK">'Taxonomias para RA'!$Y$3:$AB$3</definedName>
    <definedName name="ProcedimientosLK">Tabla92[ProcedimientosLK]</definedName>
    <definedName name="ProcesosAK">Tabla95[ProcesosAK]</definedName>
    <definedName name="PsicomotorAK">Tabla96[PsicomotorAK]</definedName>
    <definedName name="RecordarLK">'Taxonomias para RA'!$AL$5:$AL$27</definedName>
    <definedName name="RecuperaciónAK">'Taxonomias para RA'!$AT$4:$AT$27</definedName>
    <definedName name="ResponderBAK">Tabla4473[ResponderBAK]</definedName>
    <definedName name="resultadoaprendizaje">'Paso 3 Redacción RA '!$I$3:$I$12</definedName>
    <definedName name="Saberhacer">'Paso1 Analisis perfil egreso'!$F$3:$F$15</definedName>
    <definedName name="saberser">'Paso1 Analisis perfil egreso'!$G$3:$G$16</definedName>
    <definedName name="SíntesisB">Tabla395381[SíntesisB]</definedName>
    <definedName name="SíntesisBAK">Tabla3966[SíntesisBAK]</definedName>
    <definedName name="tareas">'Paso1 Analisis perfil egreso'!$I$3:$I$14</definedName>
    <definedName name="tareasprofesionales">'Paso1 Analisis perfil egreso'!$I$3:$I$14</definedName>
    <definedName name="taxonomiasra">Tabla1715[Taxonomías]</definedName>
    <definedName name="UsoConocimientoAK">'Taxonomias para RA'!$AW$4:$AW$70</definedName>
    <definedName name="Valoragregado">'Paso1 Analisis perfil egreso'!$K$3:$K$13</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7" i="11" l="1"/>
  <c r="K137" i="11" l="1"/>
  <c r="K136" i="11"/>
  <c r="K135" i="11"/>
  <c r="K134" i="11"/>
  <c r="D134" i="11"/>
  <c r="J136" i="11"/>
  <c r="J134" i="11"/>
  <c r="J135" i="11"/>
  <c r="A117" i="11" l="1"/>
  <c r="A116" i="11"/>
  <c r="A115" i="11"/>
  <c r="L114" i="11"/>
  <c r="K114" i="11"/>
  <c r="M114" i="11" s="1"/>
  <c r="A114" i="11"/>
  <c r="A75" i="11"/>
  <c r="A74" i="11"/>
  <c r="L74" i="11"/>
  <c r="K74" i="11"/>
  <c r="A52" i="11"/>
  <c r="A51" i="11"/>
  <c r="L50" i="11"/>
  <c r="K50" i="11"/>
  <c r="A50" i="11"/>
  <c r="L9" i="11"/>
  <c r="K9" i="11"/>
  <c r="A30" i="11"/>
  <c r="R133" i="11"/>
  <c r="R125" i="11"/>
  <c r="R101" i="11"/>
  <c r="R78" i="11"/>
  <c r="R40" i="11"/>
  <c r="R27" i="11"/>
  <c r="M50" i="11" l="1"/>
  <c r="M74" i="11"/>
  <c r="R81" i="11"/>
  <c r="M9" i="11"/>
  <c r="L133" i="11" l="1"/>
  <c r="K133" i="11"/>
  <c r="M133" i="11" l="1"/>
  <c r="A80" i="11"/>
  <c r="A81" i="11"/>
  <c r="A56" i="11"/>
  <c r="A57" i="11"/>
  <c r="A58" i="11"/>
  <c r="A59" i="11"/>
  <c r="A60" i="11"/>
  <c r="A61" i="11"/>
  <c r="A62" i="11"/>
  <c r="A63" i="11"/>
  <c r="A64" i="11"/>
  <c r="A65" i="11"/>
  <c r="A66" i="11"/>
  <c r="A67" i="11"/>
  <c r="A68" i="11"/>
  <c r="A69" i="11"/>
  <c r="A70" i="11"/>
  <c r="A71" i="11"/>
  <c r="A72" i="11"/>
  <c r="A73" i="11"/>
  <c r="A76" i="11"/>
  <c r="A77" i="11"/>
  <c r="A78" i="11"/>
  <c r="A82" i="11"/>
  <c r="A83" i="11"/>
  <c r="A84" i="11"/>
  <c r="A85" i="11"/>
  <c r="A86" i="11"/>
  <c r="A87" i="11"/>
  <c r="A88" i="11"/>
  <c r="A89" i="11"/>
  <c r="A90" i="11"/>
  <c r="A91" i="11"/>
  <c r="A92" i="11"/>
  <c r="A93" i="11"/>
  <c r="A6" i="11"/>
  <c r="A7" i="11"/>
  <c r="A8" i="11"/>
  <c r="A98" i="11"/>
  <c r="A99" i="11"/>
  <c r="A100" i="11"/>
  <c r="A101" i="11"/>
  <c r="A102" i="11"/>
  <c r="A103" i="11"/>
  <c r="A104" i="11"/>
  <c r="A105" i="11"/>
  <c r="A94" i="11"/>
  <c r="A95" i="11"/>
  <c r="A96" i="11"/>
  <c r="A97" i="11"/>
  <c r="A106" i="11"/>
  <c r="A107" i="11"/>
  <c r="A108" i="11"/>
  <c r="A109" i="11"/>
  <c r="A110" i="11"/>
  <c r="A111" i="11"/>
  <c r="A112" i="11"/>
  <c r="A113" i="11"/>
  <c r="A118" i="11"/>
  <c r="A119" i="11"/>
  <c r="A120" i="11"/>
  <c r="A121" i="11"/>
  <c r="A122" i="11"/>
  <c r="A123" i="11"/>
  <c r="A124" i="11"/>
  <c r="A125" i="11"/>
  <c r="A126" i="11"/>
  <c r="A127" i="11"/>
  <c r="A128" i="11"/>
  <c r="A129" i="11"/>
  <c r="A79" i="11"/>
  <c r="A45" i="11"/>
  <c r="A46" i="11"/>
  <c r="A47" i="11"/>
  <c r="A48" i="11"/>
  <c r="A49" i="11"/>
  <c r="A31" i="11"/>
  <c r="A32" i="11"/>
  <c r="A33" i="11"/>
  <c r="A53" i="11"/>
  <c r="A54" i="11"/>
  <c r="A44" i="11"/>
  <c r="A42" i="11"/>
  <c r="A43" i="11"/>
  <c r="A28" i="11"/>
  <c r="A29" i="11"/>
  <c r="A34" i="11"/>
  <c r="A35" i="11"/>
  <c r="A36" i="11"/>
  <c r="A37" i="11"/>
  <c r="A38" i="11"/>
  <c r="A41" i="11"/>
  <c r="A13" i="11"/>
  <c r="A15" i="11"/>
  <c r="A16" i="11"/>
  <c r="A17" i="11"/>
  <c r="A18" i="11"/>
  <c r="A19" i="11"/>
  <c r="A20" i="11"/>
  <c r="A21" i="11"/>
  <c r="A22" i="11"/>
  <c r="A23" i="11"/>
  <c r="A24" i="11"/>
  <c r="A25" i="11"/>
  <c r="A26" i="11"/>
  <c r="A3" i="11"/>
  <c r="A4" i="11"/>
  <c r="A5" i="11"/>
  <c r="A9" i="11"/>
  <c r="A10" i="11"/>
  <c r="L132" i="11"/>
  <c r="K132" i="11"/>
  <c r="L131" i="11"/>
  <c r="K131" i="11"/>
  <c r="L130" i="11"/>
  <c r="K130" i="11"/>
  <c r="L126" i="11"/>
  <c r="K126" i="11"/>
  <c r="L122" i="11"/>
  <c r="K122" i="11"/>
  <c r="L118" i="11"/>
  <c r="K118" i="11"/>
  <c r="L110" i="11"/>
  <c r="K110" i="11"/>
  <c r="L106" i="11"/>
  <c r="K106" i="11"/>
  <c r="L94" i="11"/>
  <c r="K94" i="11"/>
  <c r="L102" i="11"/>
  <c r="K102" i="11"/>
  <c r="L98" i="11"/>
  <c r="K98" i="11"/>
  <c r="L6" i="11"/>
  <c r="K6" i="11"/>
  <c r="L90" i="11"/>
  <c r="K90" i="11"/>
  <c r="L86" i="11"/>
  <c r="K86" i="11"/>
  <c r="L82" i="11"/>
  <c r="K82" i="11"/>
  <c r="L76" i="11"/>
  <c r="K76" i="11"/>
  <c r="L71" i="11"/>
  <c r="K71" i="11"/>
  <c r="L68" i="11"/>
  <c r="K68" i="11"/>
  <c r="L64" i="11"/>
  <c r="K64" i="11"/>
  <c r="L60" i="11"/>
  <c r="K60" i="11"/>
  <c r="L56" i="11"/>
  <c r="K56" i="11"/>
  <c r="L79" i="11"/>
  <c r="K79" i="11"/>
  <c r="L53" i="11"/>
  <c r="K53" i="11"/>
  <c r="L31" i="11"/>
  <c r="K31" i="11"/>
  <c r="L47" i="11"/>
  <c r="K47" i="11"/>
  <c r="L44" i="11"/>
  <c r="K44" i="11"/>
  <c r="L37" i="11"/>
  <c r="K37" i="11"/>
  <c r="L34" i="11"/>
  <c r="K34" i="11"/>
  <c r="L28" i="11"/>
  <c r="K28" i="11"/>
  <c r="L41" i="11"/>
  <c r="K41" i="11"/>
  <c r="L25" i="11"/>
  <c r="K25" i="11"/>
  <c r="L22" i="11"/>
  <c r="K22" i="11"/>
  <c r="L19" i="11"/>
  <c r="K19" i="11"/>
  <c r="L16" i="11"/>
  <c r="K16" i="11"/>
  <c r="L13" i="11"/>
  <c r="K13" i="11"/>
  <c r="L3" i="11"/>
  <c r="K3" i="11"/>
  <c r="M19" i="11" l="1"/>
  <c r="M28" i="11"/>
  <c r="M47" i="11"/>
  <c r="M56" i="11"/>
  <c r="M71" i="11"/>
  <c r="M90" i="11"/>
  <c r="M102" i="11"/>
  <c r="M118" i="11"/>
  <c r="M131" i="11"/>
  <c r="M22" i="11"/>
  <c r="M34" i="11"/>
  <c r="M31" i="11"/>
  <c r="M60" i="11"/>
  <c r="M76" i="11"/>
  <c r="M6" i="11"/>
  <c r="M94" i="11"/>
  <c r="M122" i="11"/>
  <c r="M132" i="11"/>
  <c r="M13" i="11"/>
  <c r="M25" i="11"/>
  <c r="M37" i="11"/>
  <c r="M53" i="11"/>
  <c r="M64" i="11"/>
  <c r="M82" i="11"/>
  <c r="M106" i="11"/>
  <c r="M126" i="11"/>
  <c r="M3" i="11"/>
  <c r="M16" i="11"/>
  <c r="M41" i="11"/>
  <c r="M44" i="11"/>
  <c r="M79" i="11"/>
  <c r="M68" i="11"/>
  <c r="M86" i="11"/>
  <c r="M98" i="11"/>
  <c r="M110" i="11"/>
  <c r="M13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1" authorId="0" shapeId="0" xr:uid="{60E8A3B4-13FE-4182-A9EA-9080A11FD493}">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B1" authorId="0" shapeId="0" xr:uid="{9A625813-89E1-4B08-BF54-A78614ABD2E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1" authorId="0" shapeId="0" xr:uid="{00000000-0006-0000-0000-00000100000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00000000-0006-0000-0000-000002000000}">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0000000-0006-0000-0000-000003000000}">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00000000-0006-0000-0000-000004000000}">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00000000-0006-0000-0000-000005000000}">
      <text>
        <r>
          <rPr>
            <b/>
            <sz val="9"/>
            <color indexed="81"/>
            <rFont val="Tahoma"/>
            <family val="2"/>
          </rPr>
          <t>Dir. Currículo:</t>
        </r>
        <r>
          <rPr>
            <sz val="9"/>
            <color indexed="81"/>
            <rFont val="Tahoma"/>
            <family val="2"/>
          </rPr>
          <t xml:space="preserve">
Áreas en las que podrá laborar el profesional.</t>
        </r>
      </text>
    </comment>
    <comment ref="I2" authorId="0" shapeId="0" xr:uid="{00000000-0006-0000-0000-000006000000}">
      <text>
        <r>
          <rPr>
            <b/>
            <sz val="9"/>
            <color indexed="81"/>
            <rFont val="Tahoma"/>
            <family val="2"/>
          </rPr>
          <t>Dir. Currículo:</t>
        </r>
        <r>
          <rPr>
            <sz val="9"/>
            <color indexed="81"/>
            <rFont val="Tahoma"/>
            <family val="2"/>
          </rPr>
          <t xml:space="preserve">
Tareas potenciales que hará el profesional.</t>
        </r>
      </text>
    </comment>
    <comment ref="J2" authorId="0" shapeId="0" xr:uid="{00000000-0006-0000-0000-000007000000}">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00000000-0006-0000-0000-00000800000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00000000-0006-0000-0100-000001000000}">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00000000-0006-0000-0100-000002000000}">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00000000-0006-0000-0100-000003000000}">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00000000-0006-0000-0100-000004000000}">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00000000-0006-0000-0100-000005000000}">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00000000-0006-0000-0100-000006000000}">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00000000-0006-0000-0200-000001000000}">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00000000-0006-0000-0200-000002000000}">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00000000-0006-0000-0200-000003000000}">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0000000-0006-0000-0200-00000400000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00000000-0006-0000-0200-000005000000}">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00000000-0006-0000-0200-000006000000}">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00000000-0006-0000-0200-000007000000}">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00000000-0006-0000-0200-000008000000}">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00000000-0006-0000-0200-000009000000}">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Ximena</author>
  </authors>
  <commentList>
    <comment ref="D2" authorId="0" shapeId="0" xr:uid="{00000000-0006-0000-0400-000001000000}">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 ref="M147" authorId="1" shapeId="0" xr:uid="{00000000-0006-0000-0400-000002000000}">
      <text>
        <r>
          <rPr>
            <b/>
            <sz val="9"/>
            <color indexed="81"/>
            <rFont val="Tahoma"/>
            <family val="2"/>
          </rPr>
          <t>Ximena:</t>
        </r>
        <r>
          <rPr>
            <sz val="9"/>
            <color indexed="81"/>
            <rFont val="Tahoma"/>
            <family val="2"/>
          </rPr>
          <t xml:space="preserve">
Composición de menús ? Revisar algunos temas de los que se hablo en reunión con Adriana.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00000000-0006-0000-0600-000001000000}">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<sst xmlns="http://schemas.openxmlformats.org/spreadsheetml/2006/main" count="2385" uniqueCount="804">
  <si>
    <t>[Escribir el nombre del programa]</t>
  </si>
  <si>
    <t>[Escribir la modalidad: presencial o virtual]</t>
  </si>
  <si>
    <t>[Escribir el perfil profesional del egresado.]</t>
  </si>
  <si>
    <t>[Escribir el perfil ocupacional del egresado.]</t>
  </si>
  <si>
    <r>
      <rPr>
        <b/>
        <sz val="8"/>
        <color rgb="FFFFFFFF"/>
        <rFont val="Gill Sans MT"/>
      </rPr>
      <t xml:space="preserve">Componentes fundamentales aplicables a la solución de problemas en la vida profesional
</t>
    </r>
    <r>
      <rPr>
        <sz val="8"/>
        <color rgb="FFFFFFFF"/>
        <rFont val="Gill Sans MT"/>
      </rPr>
      <t>[Listar, según lo escrito en el perfil profesional, qué debe saber el egresado en las categorías de Saber -conocimientos, hechos, teorías-, Saber hacer -técnicas, procedimientos, metodologías-, y Saber ser -valores, condiciones, etc.]</t>
    </r>
  </si>
  <si>
    <r>
      <rPr>
        <b/>
        <sz val="8"/>
        <color rgb="FFFFFFFF"/>
        <rFont val="Gill Sans MT"/>
      </rPr>
      <t xml:space="preserve">Componentes fundamentales de la ocupación laboral del profesional
</t>
    </r>
    <r>
      <rPr>
        <sz val="8"/>
        <color rgb="FFFFFFFF"/>
        <rFont val="Gill Sans MT"/>
      </rPr>
      <t>[Listar, según lo escrito en el perfil ocupacional, en qué áreas, qué tareas potenciales y en qué poblaciones o contextos podrá laborar el profesional.]</t>
    </r>
  </si>
  <si>
    <r>
      <rPr>
        <b/>
        <sz val="8"/>
        <color rgb="FFFFFFFF"/>
        <rFont val="Gill Sans MT"/>
      </rPr>
      <t xml:space="preserve">Diferencial (valor agregado) del profesional
</t>
    </r>
    <r>
      <rPr>
        <sz val="8"/>
        <color rgb="FFFFFFFF"/>
        <rFont val="Gill Sans MT"/>
      </rPr>
      <t>[Listar,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</si>
  <si>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</si>
  <si>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</si>
  <si>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</si>
  <si>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</si>
  <si>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</si>
  <si>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</si>
  <si>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</si>
  <si>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</si>
  <si>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</si>
  <si>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</si>
  <si>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</si>
  <si>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Hotelera y Gastronómica</t>
  </si>
  <si>
    <t>Presencial</t>
  </si>
  <si>
    <t>El Profesional en Administración Hotelera y Gastronómica de la IUPG posee conocimientos en las áreas de administración, servicio, tecnología, normatividad, investigación, marketing y proyectos, aplicados al sector turístico en la industria de servicios hoteleros y gastronómicos. Tiene la capacidad de gestionar y asesorar estratégicamente a empresas, instituciones y organizaciones, tanto pública como privadas, aportando al crecimiento y desarrollo del país, bajo criterios de calidad y sostenibilidad.</t>
  </si>
  <si>
    <t>El Administrador Hotelero y Gastronómico de la IUPG está en capacidad de ejercer cargos de gestión en áreas administrativas, talento humano, finanzas, producción y mercadeo en empresas, instituciones y organizaciones nacionales e internacionales de la industria hotelera y gastronómica. Esto incluye establecimientos de turismo, alojamiento, cadenas hoteleras, resorts, casas fiscales, fincas de agroturismo, bares, restaurantes, clubes sociales y deportivos, campamentos, casinos, cadenas de comidas rápidas, industrias de alimentos, casas de banquetes, servicios de catering, cruceros, circuitos, y la organización y desarrollo de congresos, eventos, convenciones y ferias, entre otros. Asimismo, tiene la capacidad de crear y gestionar su propia empresa y participar en la interpretación y aplicación de políticas y leyes del sector turístico.</t>
  </si>
  <si>
    <t xml:space="preserve">Sector turístico, servicios hoteleros y gastronómicos </t>
  </si>
  <si>
    <t>gestionar y generar productos y servicios</t>
  </si>
  <si>
    <t>apalancados desde la política pública, con responsabilidad social y contribuyendo al fortalecimiento y posicionamiento del sector.</t>
  </si>
  <si>
    <t>Administración, Gerencia, Coordinación, Gestión y Organización hotelera y gastronómica</t>
  </si>
  <si>
    <t>Planificación y gestión
Administración y supervisión
Diseño e implementación de estrategias y proyectos
Sostenibilidad y valoración de la experiencia cliente
Formulación e implementación de procesos y metodologías</t>
  </si>
  <si>
    <t>Establecimientos de turismo/ Establecimientos de Alojamiento/Cadenas Hoteleras/Resorts/Casas Fiscales/Fincas de Agroturismo/Bares y Restaurantes/Clubes Sociales y Deportivos/Campamentos/Casinos/Cadenas de Comidas Rápidas/Industrias de alimentos/Casas de Banquetes/Servicios de Catering/Cruceros y Circuitos/Congresos, eventos, ferias y convenciones, entre otros relacionados con la industria de la hospitalidad y turismo.</t>
  </si>
  <si>
    <t>Enfoque en servicios emergentes y digitales, así como de estrategias de internacionalización para el sector hotelero y gastronómico.</t>
  </si>
  <si>
    <t>Acciones y modelos administrativos</t>
  </si>
  <si>
    <t>gestionar estratégicamente empresas, instituciones, organizaciones y proyectos del sector turístico en la industria de servicios hoteleros y gastronómicos</t>
  </si>
  <si>
    <t xml:space="preserve">con procesos de calidad y sostenibilidad, que respeten los marcos legales a nivel nacional o internacional e incorporen las tecnologías de la información, según corresponda.  </t>
  </si>
  <si>
    <t xml:space="preserve">Investigación y marketing </t>
  </si>
  <si>
    <t>desarrollar proyectos o propuestas, así como implementar planes, programas y procedimientos</t>
  </si>
  <si>
    <t xml:space="preserve">que contribuyan a la solución de problemas o a la toma de decisiones según las necesidades y condiciones del mercado hotelero y gastronómico en el sector turístico. </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</si>
  <si>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</si>
  <si>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</si>
  <si>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</si>
  <si>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</si>
  <si>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</si>
  <si>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</si>
  <si>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</si>
  <si>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</si>
  <si>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</si>
  <si>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</si>
  <si>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</si>
  <si>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</si>
  <si>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</si>
  <si>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</si>
  <si>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</si>
  <si>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</si>
  <si>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</si>
  <si>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</si>
  <si>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</si>
  <si>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Administrar</t>
  </si>
  <si>
    <t>para gestionar y generar productos y servicios</t>
  </si>
  <si>
    <t>Administrar las áreas, los departamentos y las empresas asociadas al sector turístico desde los servicios hoteleros y gastronómicos, para gestionar y generar productos y servicios apalancados desde la política pública, con responsabilidad social y contribuyendo al fortalecimiento y posicionamiento del sector.</t>
  </si>
  <si>
    <t>Específica</t>
  </si>
  <si>
    <t>Implementar</t>
  </si>
  <si>
    <t>para gestionar estratégicamente empresas, instituciones, organizaciones y proyectos del sector turístico en la industria de servicios hoteleros y gastronómicos</t>
  </si>
  <si>
    <t>Implementar acciones y modelos administrativos para gestionar estratégicamente empresas, instituciones, organizaciones y proyectos del sector turístico en la industria de servicios hoteleros y gastronómicos; con procesos de calidad y sostenibilidad, que respeten los marcos legales a nivel nacional o internacional e incorporen las tecnologías de la información, según corresponda.</t>
  </si>
  <si>
    <t>Crear</t>
  </si>
  <si>
    <t>para desarrollar proyectos o propuestas, así como implementar planes, programas y procedimientos</t>
  </si>
  <si>
    <t xml:space="preserve">Crear procesos de investigación y marketing, para desarrollar proyectos o propuesta así como implementar planes, programas y procedimientos que contribuyan a la solución de problemas o a la toma de decisiones según las necesidades y condiciones del mercado hotelero y gastronómico, en el sector turístico.  </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</si>
  <si>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</si>
  <si>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</si>
  <si>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</si>
  <si>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</si>
  <si>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</si>
  <si>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</si>
  <si>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</si>
  <si>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</si>
  <si>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</si>
  <si>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</si>
  <si>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</si>
  <si>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</si>
  <si>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</si>
  <si>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</si>
  <si>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</si>
  <si>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</si>
  <si>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</si>
  <si>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</si>
  <si>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</si>
  <si>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</si>
  <si>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</si>
  <si>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</si>
  <si>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</si>
  <si>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Conocimientos</t>
  </si>
  <si>
    <t>Reconocer</t>
  </si>
  <si>
    <t>Reconoce las acciones y los modelos administrativos y de gestión asociados al sector turístico desde los servicios hoteleros y gastronómicos, para analizar su aplicabilidad en los procesos de planeación, posicionamiento y competitividad de las organizaciones, en correspondencia con los objetivos estratégicos y el contexto de desarrollo.</t>
  </si>
  <si>
    <t>ProcedimentalB</t>
  </si>
  <si>
    <t>AplicaciónB</t>
  </si>
  <si>
    <t>Aplicar</t>
  </si>
  <si>
    <t>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t>
  </si>
  <si>
    <t>ActitudinalB</t>
  </si>
  <si>
    <t>ComprensiónB</t>
  </si>
  <si>
    <t>Identificar</t>
  </si>
  <si>
    <t>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t>
  </si>
  <si>
    <t>AnálisisB</t>
  </si>
  <si>
    <t>Reconoce las etapas y acciones que se deben desarrollar en los procesos de investigación y marketing para estructurar propuestas de productos o estrategias que contribuyan a la solución de problemas o a la toma de decisiones en el mercado hotelero y gastronómico, según las necesidades y condiciones del contexto.</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</si>
  <si>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</si>
  <si>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</si>
  <si>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</si>
  <si>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</si>
  <si>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</si>
  <si>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</si>
  <si>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</si>
  <si>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</si>
  <si>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</si>
  <si>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</si>
  <si>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</si>
  <si>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</si>
  <si>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</si>
  <si>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Participación en eventos académicos (Congresos y Seminarios nacionales e internacionales en hotelería, gastronomía y turismo; Festivales y Ferias, entre otros).</t>
  </si>
  <si>
    <t xml:space="preserve">Desarrollo y participación de estudiantes y docentes en eventos académicos asociados a la administración de empresas hoteleras y gastronómicas. </t>
  </si>
  <si>
    <t>Valoración por parte de los estudiantes del nivel de aporte de la estrategia a los resultados de aprendizaje del programa, en una escala de 1 a 5.</t>
  </si>
  <si>
    <t>Informar y formar a los estudiantes respecto a las tendencias, las actualizaciones, al comportamiento del mercado hotelero y gastronómico a nivel nacional o internacional.
(Grabaciones de los eventos, boletines informativos, memorias, publicaciones de artículos, espacios web del programa.)</t>
  </si>
  <si>
    <t>Encuesta</t>
  </si>
  <si>
    <t>Número de eventos desarrollados por el programa en un periodo de tiempo determinado.</t>
  </si>
  <si>
    <t>Reporte o Informe</t>
  </si>
  <si>
    <t>Número de profesores que participan en eventos académicos asociados a la administración de empresas hoteleras y gastronómicas.</t>
  </si>
  <si>
    <t>Número de estudiantes que participan en eventos académicos asociados a la administración de empresas hoteleras y gastronómicas.</t>
  </si>
  <si>
    <t>Listados de participación</t>
  </si>
  <si>
    <t xml:space="preserve"> Experiencias de Internacionalización (Movilidad, Bilingüismo, Participación en redes, entre otros)</t>
  </si>
  <si>
    <t xml:space="preserve">Participación de estudiantes y docentes en actividades académicas asociadas a la administración de empresas hoteleras y gastronómicas. </t>
  </si>
  <si>
    <t>Informar y formar a los estudiantes respecto a las tendencias, las actualizaciones, al comportamiento del mercado hotelero y gastronómico a nivel nacional o internacional.
(Boletines informativos, memorias, publicaciones de artículos, espacios web del programa.)</t>
  </si>
  <si>
    <t>Número de participaciones generadas desde el programa en un periodo de tiempo determinado.</t>
  </si>
  <si>
    <t>Número de profesores que participan en experiencias de internacionalización asociadas a la administración de empresas hoteleras y gastronómicas.</t>
  </si>
  <si>
    <t>Número de estudiantes que participan en experiencias de internacionalización asociadas a la administración de empresas hoteleras y gastronómicas.</t>
  </si>
  <si>
    <t>Actividades de Proyección Social</t>
  </si>
  <si>
    <t>Participación de estudiantes y docentes en actividades académicas asociadas a la administración de empresas hoteleras y gastronómicas.
(Grabaciones de las actividades, Boletines informativos, memorias, publicaciones de artículos, espacios web del programa.)</t>
  </si>
  <si>
    <t>Informar y formar a los estudiantes respecto a las necesidades actuales y futuras tendientes a contribuir con el sector hotelero y gastronómico a nivel nacional o internacional.
(Grabaciones de las actividades, Boletines informativos, memorias, publicaciones de artículos, espacios web del programa.)</t>
  </si>
  <si>
    <t>Número de actividades desarrolladas por el programa en un periodo de tiempo determinado.</t>
  </si>
  <si>
    <t>Número de profesores que participan en actividades académicas asociadas a la administración de empresas hoteleras y gastronómicas.</t>
  </si>
  <si>
    <t>Número de estudiantes que participan en actividades académicas asociados a la administración de empresas hoteleras y gastronómicas.</t>
  </si>
  <si>
    <t>Semilleros</t>
  </si>
  <si>
    <t>Desarrollar en los estudiantes la capacidad de observación, interpretación, análisis y síntesis de la información que les permita recolectar, organizar, relacionar y aplicar los conocimientos adquiridos en las diferentes asignaturas o durante su proceso formativo.</t>
  </si>
  <si>
    <t>Formar y ayudar a tomar decisiones por parte de los estudiantes del programa ante problemas del sector.
(Publicaciones de investigación, ponencias, propuestas de capacitación.)</t>
  </si>
  <si>
    <t>Número de proyectos en los que participan los estudiantes del programa.</t>
  </si>
  <si>
    <t xml:space="preserve"> Relación con el Sector Externo (Ministerio de Comercio, Industria y Turismo (Mincomercio), Instituto Distrital de Turismo (IDT), Alcaldía de Medellín, Secretaría de Turismo de Medellín, CONPETH, COTELCO, FEGAT, SENA, Federación Internacional de Gastronomía, Arte y Turismo, Gato Dumas, Clúster de Turismo de la Candelaria, entre otros)</t>
  </si>
  <si>
    <t>Generar en lo estudiantes espacios que contribuyan la capacidad de observación, interpretación, análisis y síntesis de la información que les permita recolectar, organizar, relacionar y aplicar los conocimientos adquiridos en las diferentes asignaturas o durante su proceso formativo.</t>
  </si>
  <si>
    <t>Formar y ayudar a tomar decisiones por parte de los estudiantes del programa ante problemas del sector.
(Normas y guías publicadas, videos y documentos de relacionamiento.)</t>
  </si>
  <si>
    <t>Número de relacionamientos en los que participan los estudiantes del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</si>
  <si>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</si>
  <si>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</si>
  <si>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</si>
  <si>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</si>
  <si>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</si>
  <si>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</si>
  <si>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</si>
  <si>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</si>
  <si>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</si>
  <si>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</si>
  <si>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</si>
  <si>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</si>
  <si>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</si>
  <si>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</si>
  <si>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</si>
  <si>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</si>
  <si>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</si>
  <si>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</si>
  <si>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</si>
  <si>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</si>
  <si>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</si>
  <si>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</si>
  <si>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</si>
  <si>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</si>
  <si>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</si>
  <si>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</si>
  <si>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</si>
  <si>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</si>
  <si>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</si>
  <si>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</si>
  <si>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</si>
  <si>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Introducción al Turismo y la Hospitalidad</t>
  </si>
  <si>
    <t>Analiza contextos, lugares o regiones turísticas para caracterizar el tipo de turismo que se puede desarrollar, los factores de hospitalidad que allí se evidencian, las asociaciones, instituciones o agremiaciones que podrían apoyan al sector en dicho contexto, lugar o región y los factores que benefician o no son favorables para los residentes o turistas.</t>
  </si>
  <si>
    <t>T</t>
  </si>
  <si>
    <t>X</t>
  </si>
  <si>
    <t>1.	La industria turística y su cadena de valor 
2.	Reseña histórica de la hospitalidad y la gastronomía en la actividad turística
3.	Categorías y tipos de establecimientos de alojamiento - hospedaje y gastronómicos
4.	Gastronomía, bases culinarias</t>
  </si>
  <si>
    <t xml:space="preserve">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PIF
Elaboración de materiales como resúmenes, organizadores previos, gráficos y textuales, figuras, ilustraciones, tablas, y mapas y redes conceptuales u otras representaciones </t>
  </si>
  <si>
    <t>Las evaluaciones pueden variar entre las siguientes u otras.
Evaluación formativa:
Talleres, estudios de casos, exposiciones, presentaciones, otras.
Evaluación sumativa:
Entregables, Exámenes, Quiz, Talleres, PIF, Presentaciones orales, Trabajos, Informes, otros.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</si>
  <si>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</si>
  <si>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Geografía Nacional e Internacional</t>
  </si>
  <si>
    <t xml:space="preserve">Reconoce los componentes de la geografía, las delimitaciones y características de los territorios, así como las sociedades que las componen para identificar el potencial que puede ser aprovechado en contextos de desarrollo turístico.
</t>
  </si>
  <si>
    <t xml:space="preserve">1. Aspectos Geográficos Generales 
2. Colombia: Regiones Naturales 
3. Continentes del Mundo (descripción del relieve y otros aspectos continentales)   
4. Características del continente americano, europeo, asiático, africano y oceánico </t>
  </si>
  <si>
    <t>Inglés General 1</t>
  </si>
  <si>
    <t>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t>
  </si>
  <si>
    <t>TP</t>
  </si>
  <si>
    <t>1. Quién soy y quién eres
2. Gente importante en mi vida
3. Mi empresa
4. Mi ciudad
5. Mis habilidades y talentos
6. Nuestras rutinas diarias
7. ¿Qué está pasando?
8. Eventos importantes en la vida</t>
  </si>
  <si>
    <t>Trabajo directo: 
Videos
Lecturas
Trabajo cooperativo, mini proyectos, discusiones en clase.
Trabajo independiente: Mini proyectos, portafolio</t>
  </si>
  <si>
    <t>Las evaluaciones pueden variar entre las siguientes u otras.
Evaluación formativa:
Socialización de actividades evaluativas
Autoevaluación
Coevaluación
Espacios de reflexión
Evaluación sumativa: 
Quices
Presentaciones
Exámenes
Tareas</t>
  </si>
  <si>
    <t>I</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</si>
  <si>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</si>
  <si>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</si>
  <si>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 </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</si>
  <si>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</si>
  <si>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</si>
  <si>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Seguimiento, Entre Proyecto: Parte 1, Quiz, Seguimiento, Entre Proyecto: Parte 1I, Entrevista a expertos, Feria de proyectos, Seguimiento </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</si>
  <si>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</si>
  <si>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</si>
  <si>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</si>
  <si>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</si>
  <si>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</si>
  <si>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Fundamentos de Economía</t>
  </si>
  <si>
    <t>Identifica los conceptos básicos de economía, la dinámica del mercado, las teorías del consumidor y productor, y los fundamentos de la macroeconomía, para evaluar la interacción de los agentes económicos y el impacto de políticas económicas en el entorno.</t>
  </si>
  <si>
    <t xml:space="preserve">1. Conceptos básicos de la economía como ciencia social 
2. Dinámica del mercado
3. Teoría del consumidor y el productor
4. Conceptos básicos de macroeconomía	</t>
  </si>
  <si>
    <t>Las actividades pueden varían entre las siguientes u otras.
Trabajo directo: 
Presentación magistral activa 
Talleres y ejercicios
Trabajo independiente: 
Lecturas previas de la bibliografía sugerida
Desarrollo de talleres
Proyecto de investigación formativa</t>
  </si>
  <si>
    <t>Evaluación formativa
Talleres, controles de lectura, estudio de caso, exposiciones y proyecto de investigación formativa.
Evaluación sumativa
Talleres, quiz, controles de lectura, estudio de caso, exposiciones, parciales, proyecto de investigación formativa.</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</si>
  <si>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</si>
  <si>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</si>
  <si>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</si>
  <si>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Trabajo directo: Presentación magistral de los ejes temáticos, con participación activa de los estudiantes a través de talleres y ejercicios.
Trabajo independiente: Lecturas previas de la bibliografía sugerida. Complementar con otro material bibliográfico, los temas de la semana. Desarrollar talleres y empezar a desarrollar el Proyecto de investigación formativa</t>
  </si>
  <si>
    <t>Fundamentos de Hotelería y Gastronomía</t>
  </si>
  <si>
    <t>Reconoce los tipos de establecimientos de alojamiento y gastronómicos para determinar su categorización, los elementos que los constituyen y las buenas prácticas de manipulación de alimentos, así como las preparaciones básicas de la cocina mediante talleres prácticos.</t>
  </si>
  <si>
    <t xml:space="preserve">1. La industria turística y su cadena de valor 
2. Reseña histórica de la hospitalidad y la gastronomía en la actividad turística
3. Categorías y tipos de establecimientos de alojamiento - hospedaje y gastronómicos
4. Gastronomía, bases culinarias </t>
  </si>
  <si>
    <t>Legislación Hotelera y Gastronómica</t>
  </si>
  <si>
    <t>Identifica la legislación asociada a la industria hotelera y gastronómica, para crear propuestas de mejora o fortalecimiento en casos de establecimientos del sector, en los que se valide la aplicabilidad del marco normativo vigente.</t>
  </si>
  <si>
    <t>1. Legislación y su aplicación a la industria del Turismo
2. Legislación Turística Internacional y su aplicación a la Industria Hotelera
3. Instituciones Nacionales e Internacionales Relacionadas con la Higiene y Seguridad Alimentaria Ley 2068
4. Legislación Nacional e Internacional que Regula la Protección de Alimentos</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</si>
  <si>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</si>
  <si>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</si>
  <si>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 xml:space="preserve">1. ¿Cómo está cambiando el mundo?   
2. ¿Mejor o peor? 
3. Vidas 
4. Mi mejor aventura 
5. Un día terrible en mi vida 
6. ¡Lo siento! 
7. ¿Qué pasará probablemente en el 2035? 
8. Mis planes e intenciones </t>
  </si>
  <si>
    <t>Evaluación formativa:
Socialización de actividades evaluativas
Autoevaluación
Coevaluación
Espacios de reflexión
Evaluación sumativa: 
Quices
Presentaciones
Exámenes
Tareas</t>
  </si>
  <si>
    <t>me</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</si>
  <si>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</si>
  <si>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</si>
  <si>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</si>
  <si>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</si>
  <si>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</si>
  <si>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</si>
  <si>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</si>
  <si>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</si>
  <si>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Trabajo Directo: 
Encuentros sincrónicos, con el fin de profundizar en las temáticas y analizar estudios de casos para promover la discusión colectiva, la construcción social de conocimiento y la formalización de los saberes abordados a lo largo de las sesiones Adicional a esto, también se emplea para realizar procesos de retroalimentación sobre las actividades evaluativas 
Revisión de literatura
Ampliación y resolución de inquietudes conceptuales
Trabajo Independiente: 
Realización de lecturas para promover el aprendizaje y motivar la indagación para ampliar el conocimiento respecto a los temas por tratar
Revisión del material complementario para ahondar en los temas centrales discutidos en los encuentros sincrónicos o en los foros de discusión
Participación en discusiones de aula que permitan el análisis de teorías o el estudio de casos, según corresponda</t>
  </si>
  <si>
    <t>Conservación e Industrialización de Alimentos</t>
  </si>
  <si>
    <t>Reconoce los procesos de conservación e industrialización de alimentos para aplicar métodos tendientes a evitar alteraciones físicas o químicas en su naturaleza, en virtud de fomentar practicas sanitarias inocuas en el sector gastronómico.</t>
  </si>
  <si>
    <t>1. La Industria de los Alimentos y su importancia 
2. Métodos de Conservación de Alimentos
3. Industrialización de frutas, verduras y hortalizas
4. Industrialización de derivados cárnicos y lácteos</t>
  </si>
  <si>
    <t>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PIF
Elaboración de materiales como resúmenes, organizadores previos, gráficos y textuales, figuras, ilustraciones, tablas, y mapas y redes conceptuales u otras representaciones</t>
  </si>
  <si>
    <t>Diseño y Gestión de Experiencia para el Cliente</t>
  </si>
  <si>
    <t>Analiza situaciones de servicio al cliente para diseñar estrategias que mejoren la experiencia del cliente en el sector turístico.</t>
  </si>
  <si>
    <t>1. Conceptos de los modelos organizacionales
2. Conceptos del servicio y la atención al cliente
3. Desarrollo de habilidades blandas (Inteligencia Emocional, Resolución de Conflictos y Comunicación)
4. Liderazgo Personal</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</si>
  <si>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</si>
  <si>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</si>
  <si>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1. Antes y ahora
2. ¡Nunca he hecho eso!
3. ¿Hace cuánto trabajas acá?
4. Un mundo mejor
5. ¿Y si funciona?
6. Queremos un cambio
7. ¿Alguien puede hacerlo?
8. ¡Intenta no hacerlo, por favor!</t>
  </si>
  <si>
    <t>Trabajo directo: 
Videos
Lecturas
Trabajo cooperativo, mini proyectos, discusiones en clase
Trabajo independiente: mini proyectos, portafolio</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</si>
  <si>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</si>
  <si>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</si>
  <si>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</si>
  <si>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</si>
  <si>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</si>
  <si>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</si>
  <si>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</si>
  <si>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</si>
  <si>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</si>
  <si>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Análisis Descriptivo de Datos</t>
  </si>
  <si>
    <t>Resume información cualitativa o cuantitativa para encontrar estadísticas descriptivas en diferentes contextos. 
Calcula los resultados de la teoría de la probabilidad elemental para modelar procesos aleatorios con uso de herramientas tecnológicas. 
Utiliza la distribución normal y binomial para obtener valores de probabilidad de forma que pueda calcularlos en diferentes escenarios.</t>
  </si>
  <si>
    <t xml:space="preserve">1. Estadística Descriptiva 
2. Teoría de la Probabilidad y Variables Aleatorias 
3. Distribuciones de Probabilidad de Variable Discreta 
4. Distribuciones de Probabilidad de Variable continua </t>
  </si>
  <si>
    <t>Trabajo Directo:
Situación introductoria a cada temática. Se desarrolla de tal forma que permite abordar varias temáticas y al final se generan conclusiones
Talleres de inmersión en temáticas de estudio
Sesiones expositivas del docente.
Exposiciones de conclusiones y resultados obtenidos en talleres de inmersión
Trabajo Independiente:
Talleres extra clase de aplicación
PIF de la asignatura
Lecturas texto guía</t>
  </si>
  <si>
    <t>Formativa
Exposiciones de conclusiones y resultados obtenidos en talleres de inmersión. 
Entrega de avances  PIF (cuando aplique). 
Pruebas orales o escritas sobre contenidos desarrollados en talleres de inmersión. 
Sumativa
Quizzes sobre contenidos de sesiones expositivas o talleres de aplicación. 
Evaluación parcial de período o examen final.</t>
  </si>
  <si>
    <t>Costos Hoteleros y Gastronómicos</t>
  </si>
  <si>
    <t>Calcula costos hoteleros y gastronómicos para formular estrategias de fijación de precios orientados a la optimización de la rentabilidad.</t>
  </si>
  <si>
    <t>1. Conceptos generales de los costos y fijación de precios de ventas
2. Costos Hoteleros: Costeo por absorción 
3. Costos Gastronómicos: Costeo por orden de producción y costeo estándar 
4. Manejo del punto de equilibrio para la toma de decisiones de racionalización de costos y gastos en las empresas hoteleras y gastronómicas</t>
  </si>
  <si>
    <t>Servicio de Alimentos y Bebidas</t>
  </si>
  <si>
    <t>Reconoce las particularidades en la tipología de servicio de alimentos y bebidas para aplicar los criterios, normas y protocolos concernientes al ámbito hotelero y gastronómico.</t>
  </si>
  <si>
    <t>1. Historia, tipología y normatividad de los establecimientos Gastronómicos
2. Estructura organizacional en el área de Ay B
3. Etiqueta y protocolo en la mesa
4. Orden gastronómico y composición de menús</t>
  </si>
  <si>
    <t>Sistemas Hoteleros y Gastronómicos</t>
  </si>
  <si>
    <t>Aplica los componentes de los módulos de recepción, reservas, mantenimiento, ama de llaves y restaurante de un software especializado para registrar la información y analizarla como insumo para la toma de decisiones en el sector hotelero y gastronómico</t>
  </si>
  <si>
    <t>1. Parámetros, mantenimiento y ama de llaves
2. Reservas
3. Recepción 
4. Restaurante</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</si>
  <si>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</si>
  <si>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</si>
  <si>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¿Qué ha estado pasando?
2. Historias significativas
3. Cifras y estadísticas
4. ¿Qué pasaría si…?
5. Errores famosos en la historia
6. Resolución de casos
7. Últimas noticias
8. Temas controversiales en la historia
9. Ideas que podrían generar impacto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</si>
  <si>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</si>
  <si>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</si>
  <si>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</si>
  <si>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Clase magistral activa combinada con estrategias de metodologías activas
Trabajo independiente:
Lecturas. Laboratorios, talleres, estudios de caso.</t>
  </si>
  <si>
    <t>Presupuestos Hoteleros y Gastronómicos</t>
  </si>
  <si>
    <t>Reconoce los elementos que constituyen los presupuestos como herramientas de planificación estratégica para estimar los ingresos, gastos y costos que puedan orientar la toma de decisiones en los establecimientos hoteleros y gastronómicos.</t>
  </si>
  <si>
    <t>1. Presupuesto en empresas Hoteleras y Gastronómicas
2. Presupuestos de Ventas y Presupuesto de Producción 
3. Presupuesto de Gastos 
4. Proyección de los Estados Financieros</t>
  </si>
  <si>
    <t>Nutrición y Diseño de Menús</t>
  </si>
  <si>
    <t>Reconoce los conceptos y componentes de la nutrición para diseñar menús, considerando las necesidades nutricionales de los diferentes grupos poblacionales, adaptándolos a distintos contextos culinarios, preferencias y presupuestos en los establecimientos gastronómicos.</t>
  </si>
  <si>
    <t xml:space="preserve">1. Nutrición y fisiología humana
2. Gastronomía nutricional
3. Ingeniería del menú
4. Elaboración de una carta e indicadores de gestión </t>
  </si>
  <si>
    <t>Gastronomía Colombiana</t>
  </si>
  <si>
    <t>Identifica las características y contextos de la gastronomía colombiana para elaborar platos y bebidas que reconozcan los sabores regionales a través de ingredientes, técnicas culinarias y elementos típicos empleados en la cocina colombiana.</t>
  </si>
  <si>
    <t>1. Historia, conceptos de la cocina colombiana
2. Sistema Culinario 
3. Cocinas del Caribe, Santanderes, Tolima Grande y Gran Caldas
4.  Cocinas del Pacífico, Cundiboyacense y Gran Cauca</t>
  </si>
  <si>
    <t>Cata, Cultura Vinícola y Barismo</t>
  </si>
  <si>
    <t>Reconoce los elementos de la cata, la cultura vitivinícola y el café para determinar la clasificación, el maridaje de los vinos y el café como elementos asociados al servicio y al protocolo en el sector hotelero y gastronómico.</t>
  </si>
  <si>
    <t xml:space="preserve">1. Origen e historia del vino – viticultura, producción y patrimonio  
2. Clasificación, maridaje y promoción de los vinos
3. Cata y degustación de vinos del nuevo y viejo mundo.
4. Origen, selección, preparación y cata de café </t>
  </si>
  <si>
    <t xml:space="preserve">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PIF
Elaboración de materiales como resúmenes, organizadores previos, gráficos y textuales, figuras, ilustraciones, tablas, y mapas y redes conceptuales u otras representaciones </t>
  </si>
  <si>
    <t>Patrimonio Cultural y Turismo Regenerativo</t>
  </si>
  <si>
    <t>Identifica las particularidades del patrimonio cultural y los principios del turismo regenerativo para diseñar experiencias turísticas que propendan por el respeto al patrimonio cultural y puedan contribuir a impulsar la adopción de prácticas sostenibles en el medio ambiente e incluyan a la comunidad local.</t>
  </si>
  <si>
    <t>1. Clasificación y componentes del Patrimonio, la cultura y la gastronomía 
2. Instituciones nacionales e internacionales que administran y conservan el patrimonio en Colombia y el mundo 
3. Leyes nacionales e internacionales que regulan las actividades del patrimonio cultural con especial énfasis en lo gastronómico  
4. Herramientas y estrategias para implementación del patrimonio gastronómico (desarrollo rural, recetas, rutas, circuitos, entre otros)</t>
  </si>
  <si>
    <t>Big Data para la Analítica de Negocios</t>
  </si>
  <si>
    <t>Aplica conceptos de análisis de escenarios, arquitectura de sistemas, bases de datos y sistemas dinámicos para diseñar soluciones basadas en Big Data que soporten la toma de decisiones en contextos empresariales.</t>
  </si>
  <si>
    <t>1. Análisis de escenarios
2. Arquitectura de sistemas
3. Bases de datos NoQLS
4. Sistemas dinámicos</t>
  </si>
  <si>
    <t xml:space="preserve">Las actividades pueden varían entre las siguientes u otras.
Trabajo directo:
Presentación magistral activa
Estudios de Caso
Desarrollo de talleres y ejercicios
Ampliación y resolución de inquietudes conceptuales
Trabajo independiente:
Realización de lecturas  
Revisión del material complementario
Desarrollo de talleres o actividades de aprendizaje individuales o grupales
Elaboración de materiales como resúmenes, organizadores previos, gráficos y textuales, figuras, ilustraciones, tablas, y mapas y redes conceptuales u otras representaciones </t>
  </si>
  <si>
    <t>Las evaluaciones pueden variar entre las siguientes u otras.
Evaluación formativa:
Talleres, estudios de casos, exposiciones, presentaciones, otras.
Evaluación sumativa:
Entregables, Exámenes, Quiz, Talleres, Presentaciones orales, Trabajos, Informes, otros.</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</si>
  <si>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</si>
  <si>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</si>
  <si>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</si>
  <si>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Las actividades pueden varían entre las siguientes u otras.
Trabajo directo:
Presentación magistral activa
Estudios de Caso
Desarrollo de talleres y ejercicios
Ampliación y resolución de inquietudes conceptuales
Actividades introductorias focales
Organizadores previos
Preguntas intercaladas
Trabajo independiente:
Elaboración de materiales como ilustraciones, analogías, mapas y redes conceptuales, organizadores textuales, entre otros</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</si>
  <si>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</si>
  <si>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internacionales.</t>
  </si>
  <si>
    <t>1. Conceptualización general del comercio internacional
2. El comercio internacional y la política macroeconómica
3. Facilitación del comercio y aseguramiento de la cadena logística
4. Operaciones comerciales importación y exportación</t>
  </si>
  <si>
    <t>Catering, Banquetes y Bufets</t>
  </si>
  <si>
    <t>Reconoce las características de la tipología de servicios de catering, banquetes y bufets para planificar menús, técnicas de preparación de alimentos, costeo, presentación de platos y técnicas de comercialización, de acuerdo con el tipo del evento y la logística provista para él, procurando por apropiar técnicas de higiene y seguridad alimentaria.</t>
  </si>
  <si>
    <t>1. Historia y tipología del servicio de catering
2. Turismo de Convenciones y Congresos
3. Protocolos de procedimiento de acuerdo al tipo de reunión
4. Dirección y control de servicios de Catering - Marketing de eventos</t>
  </si>
  <si>
    <t>Gastronomía Internacional</t>
  </si>
  <si>
    <t>Reconoce los conceptos, el contexto histórico-cultural y la evolución de la gastronomía internacional para aplicar técnicas de cocina, ingredientes y tradiciones gastronómicas de diferentes territorios a nivel internacional.</t>
  </si>
  <si>
    <t>1. Historia y conceptos de la cocina Internacional.
2. Cocina Francesa, Italiana y Española
3. Cocina Mediterránea, Mexicana y Argentina
4. Cocina Oriental, Europa Oriental, Peruana y Norteamericana</t>
  </si>
  <si>
    <t>Auditoría Hotelera e Ingresos Hoteleros</t>
  </si>
  <si>
    <t>Reconoce los elementos y procesos que componen la auditoria hotelera para evaluar la gestión financiera y operativa de los establecimientos de alojamiento.</t>
  </si>
  <si>
    <t>1.	Auditoria – conceptos y tipos
2.	Evaluación Financiera
3.	Auditoría Nocturna y Procesos 
4.	Calidad y Sostenibilidad en la auditoría</t>
  </si>
  <si>
    <t>Marketing Hotelero y Gastronómico</t>
  </si>
  <si>
    <t>Identifica los conceptos del marketing, aspectos de su evolución histórica y la apropiación de tendencias y modelos de consumo, para generar estrategias y actividades de promoción aplicables a las empresas hoteleras y gastronómicas.</t>
  </si>
  <si>
    <t>1.	Marketing: Conceptos, y evolución en empresas del sector 
2.	Sistemas de información de marketing. 
3.	El consumidor y el posicionamiento empresarial. 
4.	Marketing globalizado</t>
  </si>
  <si>
    <t>Administración de Establecimientos Gastronómicos</t>
  </si>
  <si>
    <t>Reconoce los elementos de la gestión empresarial para estructurar procesos administrativos relacionados con el manejo del capital económico, el recurso humano y las estrategias de planificación aplicados a los establecimientos gastronómicos.</t>
  </si>
  <si>
    <t xml:space="preserve">1.	Teorías Administrativas y su aplicación en la Gestión Empresarial 
2.	Habilidades Gerenciales
3.	Operaciones Gastronómicas y de Bebidas
4.	Implementación tecnológica en establecimientos del sector. Zeus </t>
  </si>
  <si>
    <t>Administración Estratégica en Alojamiento</t>
  </si>
  <si>
    <t>Reconoce los elementos que integran el departamento de alojamiento para determinar su estructura organizacional, los procesos de planeación, organización y control de las actividades, así como la gestión de recursos humanos y materiales que pueden ser adoptados en los establecimientos de hospedaje.</t>
  </si>
  <si>
    <t>1. Fundamentos de la gerencia estratégica de alojamiento
2. Estrategias de venta y prestación de servicios de calidad
3. Gestión del recurso humano
4. Operaciones y gestión del departamento de alojamiento</t>
  </si>
  <si>
    <t>Organización de Eventos, Congresos y Convenciones</t>
  </si>
  <si>
    <t>Aplica los elementos clave de organización y planificación de eventos, congresos y convenciones para diseñar propuestas de ejecución.</t>
  </si>
  <si>
    <t>1. Importancia de los eventos a través de la historia y en el turismo 
2. Tipología de los eventos
3. Etapas para la programación, planificación y ejecución de eventos
4. Eventos, congresos y convenciones en hoteles.</t>
  </si>
  <si>
    <t>Calidad y Certificación en Hoteles y Restaurantes</t>
  </si>
  <si>
    <t>Identifica la selección de criterios de calidad y certificación para aplicar sistemas de gestión que abarquen desde la planificación estratégica hasta las operaciones diarias en hoteles y restaurantes en articulación con lo estipulado en el marco legal vigente nacional e internacional.</t>
  </si>
  <si>
    <t xml:space="preserve">1. Fundamentos de los sistemas de gestión de calidad. 
2. Calidad total
3. Sistemas de calidad organizacional  
4. Sistemas de calidad para la industria gastronómica </t>
  </si>
  <si>
    <t>Gobernanza y Políticas Públicas</t>
  </si>
  <si>
    <t>Reconoce los elementos que componen la gobernanza y las políticas públicas en el marco institucional colombiano para estimar propuestas que aborden problemáticas del sector turístico, identificando los aspectos inherentes a la formulación, implementación, evaluación y retroalimentación de los mecanismos de gestión administrativa.</t>
  </si>
  <si>
    <t xml:space="preserve">1.Generalidades del Concepto de Gobernanza
2.Clasificación de la Gobernanza
3.Marco Institucional Colombiano del Turismo
4.Formulación y Evaluación de Políticas Públicas </t>
  </si>
  <si>
    <t xml:space="preserve">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Elaboración de materiales como resúmenes, organizadores previos, gráficos y textuales, figuras, ilustraciones, tablas, y mapas y redes conceptuales u otras representaciones </t>
  </si>
  <si>
    <t>Innovación y Desarrollo de Productos Hoteleros y Gastronómicos</t>
  </si>
  <si>
    <t>Analiza los conceptos de innovación, desarrollo de productos y tendencias del mercado para generar propuestas de creación o de mejoras en productos o servicios en el sector hotelero y gastronómico.</t>
  </si>
  <si>
    <t>1.	Producto hoteleros y gastronómicos, conceptos 
2.	Producto hotelero
3.	Producto gastronómico
4.	Desarrollo de un nuevo producto hotelero y/o gastronómico</t>
  </si>
  <si>
    <t>Evaluación de Proyectos</t>
  </si>
  <si>
    <t>Establece los supuestos de proyección inicial en un proyecto de inversión, para prospectar los estados financieros. 
Elabora el estado de resultados y el flujo de caja proyectado como insumo para establecer la factibilidad del proyecto.
Aplica los métodos de decisión financiera para determinar la viabilidad del proyecto y los riesgos asociados a este.</t>
  </si>
  <si>
    <t>1. Conceptos básicos contables y financieros para la evaluación de proyectos
2. Flujos de caja en proyectos de inversión
3. Métodos de decisión financiera
4. Análisis de sensibilidad en los proyectos</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</si>
  <si>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</si>
  <si>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</si>
  <si>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</si>
  <si>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</si>
  <si>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Trabajo directo:
Encuentros sincrónicos presenciales o en línea
Trabajo independiente:
Lecturas fundamentales y complementarias
Recursos de apoyo
Participación en foros</t>
  </si>
  <si>
    <t>Evaluación formativa:
Encuentros sincrónicos foros
Evaluación sumativa: 
Entrega de diagnostico
Entrega de plan de mejora
Entrega de resultados finales 
Sustentación final ante empresario y pares académicos.</t>
  </si>
  <si>
    <t>Electiva I</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</si>
  <si>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</si>
  <si>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</si>
  <si>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</si>
  <si>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</si>
  <si>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</si>
  <si>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</si>
  <si>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</si>
  <si>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</si>
  <si>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</si>
  <si>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</si>
  <si>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</si>
  <si>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</si>
  <si>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</si>
  <si>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</si>
  <si>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</si>
  <si>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</si>
  <si>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</si>
  <si>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</si>
  <si>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</si>
  <si>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</si>
  <si>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</si>
  <si>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</si>
  <si>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</si>
  <si>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</si>
  <si>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</si>
  <si>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</si>
  <si>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</si>
  <si>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</si>
  <si>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</si>
  <si>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</si>
  <si>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</si>
  <si>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</si>
  <si>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</si>
  <si>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</si>
  <si>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</si>
  <si>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</si>
  <si>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</si>
  <si>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</si>
  <si>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</si>
  <si>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</si>
  <si>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</si>
  <si>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</si>
  <si>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</si>
  <si>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</si>
  <si>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</si>
  <si>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</si>
  <si>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</si>
  <si>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</si>
  <si>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</si>
  <si>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</si>
  <si>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</si>
  <si>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</si>
  <si>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ConocimientoB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</si>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</sst>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sz val="11"/>
      <name val="Gill Sans MT"/>
      <family val="2"/>
    </font>
    <font>
      <sz val="11"/>
      <color theme="1"/>
      <name val="Gill Sans MT"/>
    </font>
    <font>
      <sz val="8"/>
      <color rgb="FFFFFFFF"/>
      <name val="Gill Sans MT"/>
      <family val="2"/>
    </font>
    <font>
      <b/>
      <sz val="8"/>
      <color rgb="FFFFFFFF"/>
      <name val="Gill Sans MT"/>
      <family val="2"/>
    </font>
    <font>
      <b/>
      <sz val="11"/>
      <color rgb="FFFFFFFF"/>
      <name val="Gill Sans MT"/>
      <family val="2"/>
    </font>
    <font>
      <b/>
      <sz val="11"/>
      <color rgb="FF000000"/>
      <name val="Gill Sans MT"/>
      <family val="2"/>
    </font>
    <font>
      <b/>
      <sz val="8"/>
      <color rgb="FFFFFFFF"/>
      <name val="Gill Sans MT"/>
    </font>
    <font>
      <sz val="8"/>
      <color rgb="FFFFFFFF"/>
      <name val="Gill Sans MT"/>
    </font>
    <font>
      <sz val="8"/>
      <color rgb="FF000000"/>
      <name val="Gill Sans MT"/>
      <family val="2"/>
    </font>
    <font>
      <sz val="8"/>
      <name val="Gill Sans MT"/>
      <family val="2"/>
    </font>
    <font>
      <b/>
      <sz val="10"/>
      <color rgb="FFFFFFFF"/>
      <name val="Gill Sans MT"/>
      <family val="2"/>
    </font>
    <font>
      <sz val="10"/>
      <color theme="1"/>
      <name val="Gill Sans MT"/>
      <family val="2"/>
    </font>
    <font>
      <sz val="10"/>
      <color rgb="FF000000"/>
      <name val="Gill Sans MT"/>
      <family val="2"/>
    </font>
    <font>
      <sz val="8"/>
      <color theme="1"/>
      <name val="Gill Sans MT"/>
      <family val="2"/>
    </font>
  </fonts>
  <fills count="9">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rgb="FFFFF2CC"/>
        <bgColor rgb="FF000000"/>
      </patternFill>
    </fill>
    <fill>
      <patternFill patternType="solid">
        <fgColor theme="4" tint="0.79998168889431442"/>
        <bgColor indexed="64"/>
      </patternFill>
    </fill>
  </fills>
  <borders count="22">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auto="1"/>
      </right>
      <top/>
      <bottom/>
      <diagonal/>
    </border>
    <border>
      <left/>
      <right style="thin">
        <color indexed="64"/>
      </right>
      <top/>
      <bottom style="thin">
        <color auto="1"/>
      </bottom>
      <diagonal/>
    </border>
    <border>
      <left/>
      <right/>
      <top style="thin">
        <color indexed="64"/>
      </top>
      <bottom style="thin">
        <color indexed="64"/>
      </bottom>
      <diagonal/>
    </border>
    <border>
      <left/>
      <right/>
      <top/>
      <bottom style="medium">
        <color rgb="FF000000"/>
      </bottom>
      <diagonal/>
    </border>
    <border>
      <left/>
      <right/>
      <top style="thin">
        <color rgb="FF0F385A"/>
      </top>
      <bottom/>
      <diagonal/>
    </border>
    <border>
      <left style="thin">
        <color auto="1"/>
      </left>
      <right style="thin">
        <color auto="1"/>
      </right>
      <top/>
      <bottom style="thin">
        <color rgb="FF000000"/>
      </bottom>
      <diagonal/>
    </border>
    <border>
      <left/>
      <right/>
      <top style="medium">
        <color indexed="64"/>
      </top>
      <bottom style="medium">
        <color indexed="64"/>
      </bottom>
      <diagonal/>
    </border>
    <border>
      <left/>
      <right/>
      <top style="thin">
        <color auto="1"/>
      </top>
      <bottom/>
      <diagonal/>
    </border>
    <border>
      <left style="thin">
        <color rgb="FF1FB2DE"/>
      </left>
      <right style="thin">
        <color rgb="FF1FB2DE"/>
      </right>
      <top/>
      <bottom style="thin">
        <color rgb="FF1FB2DE"/>
      </bottom>
      <diagonal/>
    </border>
    <border>
      <left/>
      <right/>
      <top style="medium">
        <color indexed="64"/>
      </top>
      <bottom/>
      <diagonal/>
    </border>
    <border>
      <left/>
      <right/>
      <top/>
      <bottom style="medium">
        <color indexed="64"/>
      </bottom>
      <diagonal/>
    </border>
    <border>
      <left/>
      <right/>
      <top style="medium">
        <color rgb="FF000000"/>
      </top>
      <bottom/>
      <diagonal/>
    </border>
  </borders>
  <cellStyleXfs count="1">
    <xf numFmtId="0" fontId="0" fillId="0" borderId="0"/>
  </cellStyleXfs>
  <cellXfs count="10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3" borderId="3" xfId="0" applyFont="1" applyFill="1" applyBorder="1" applyAlignment="1">
      <alignment vertical="center"/>
    </xf>
    <xf numFmtId="0" fontId="4" fillId="0" borderId="3" xfId="0" applyFont="1" applyBorder="1" applyAlignment="1">
      <alignment vertical="center"/>
    </xf>
    <xf numFmtId="0" fontId="3" fillId="3" borderId="3" xfId="0" applyFont="1" applyFill="1" applyBorder="1"/>
    <xf numFmtId="0" fontId="3" fillId="0" borderId="3" xfId="0" applyFont="1" applyBorder="1"/>
    <xf numFmtId="0" fontId="3" fillId="3" borderId="4" xfId="0" applyFont="1" applyFill="1" applyBorder="1"/>
    <xf numFmtId="0" fontId="4" fillId="3" borderId="4" xfId="0" applyFont="1" applyFill="1" applyBorder="1" applyAlignment="1">
      <alignment vertical="center"/>
    </xf>
    <xf numFmtId="0" fontId="3" fillId="0" borderId="4" xfId="0" applyFont="1" applyBorder="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wrapText="1"/>
    </xf>
    <xf numFmtId="0" fontId="0" fillId="0" borderId="0" xfId="0" applyAlignment="1">
      <alignment wrapText="1"/>
    </xf>
    <xf numFmtId="0" fontId="10" fillId="4" borderId="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3" fillId="0" borderId="13" xfId="0" applyFont="1" applyBorder="1" applyAlignment="1">
      <alignment horizontal="left" vertical="center" wrapText="1"/>
    </xf>
    <xf numFmtId="0" fontId="3" fillId="0" borderId="14" xfId="0" applyFont="1" applyBorder="1" applyAlignment="1">
      <alignment vertical="center" wrapText="1"/>
    </xf>
    <xf numFmtId="0" fontId="8" fillId="0" borderId="13" xfId="0" applyFont="1" applyBorder="1" applyAlignment="1">
      <alignment vertical="center" wrapText="1"/>
    </xf>
    <xf numFmtId="0" fontId="3" fillId="0" borderId="13" xfId="0" applyFont="1" applyBorder="1" applyAlignment="1">
      <alignment vertical="center" wrapText="1"/>
    </xf>
    <xf numFmtId="0" fontId="16" fillId="6" borderId="2" xfId="0" applyFont="1" applyFill="1" applyBorder="1" applyAlignment="1">
      <alignment horizontal="center" vertical="center" wrapText="1"/>
    </xf>
    <xf numFmtId="0" fontId="16" fillId="5" borderId="9"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4" fillId="0" borderId="0" xfId="0" applyFont="1" applyAlignment="1">
      <alignment vertical="center" wrapText="1"/>
    </xf>
    <xf numFmtId="0" fontId="9" fillId="0" borderId="0" xfId="0" applyFont="1"/>
    <xf numFmtId="0" fontId="3" fillId="0" borderId="0" xfId="0" applyFont="1" applyAlignment="1">
      <alignment horizontal="center" vertical="center"/>
    </xf>
    <xf numFmtId="0" fontId="10" fillId="4"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3" fillId="0" borderId="13" xfId="0" applyFont="1" applyBorder="1" applyAlignment="1">
      <alignment horizontal="center" vertical="center" wrapText="1"/>
    </xf>
    <xf numFmtId="0" fontId="4" fillId="0" borderId="13" xfId="0" applyFont="1" applyBorder="1" applyAlignment="1">
      <alignment vertical="center" wrapText="1"/>
    </xf>
    <xf numFmtId="0" fontId="3" fillId="0" borderId="0" xfId="0" applyFont="1" applyAlignment="1">
      <alignment vertical="center"/>
    </xf>
    <xf numFmtId="0" fontId="8" fillId="0" borderId="0" xfId="0" applyFont="1" applyAlignment="1">
      <alignment vertical="center" wrapText="1"/>
    </xf>
    <xf numFmtId="0" fontId="12" fillId="4" borderId="7"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4" fillId="0" borderId="13" xfId="0" applyFont="1" applyBorder="1" applyAlignment="1">
      <alignment vertical="center"/>
    </xf>
    <xf numFmtId="0" fontId="3" fillId="0" borderId="13" xfId="0" applyFont="1" applyBorder="1" applyAlignment="1">
      <alignment vertical="center"/>
    </xf>
    <xf numFmtId="0" fontId="4" fillId="0" borderId="0" xfId="0" applyFont="1" applyAlignment="1">
      <alignment horizontal="center" vertical="center" wrapText="1"/>
    </xf>
    <xf numFmtId="0" fontId="10" fillId="0" borderId="0" xfId="0" applyFont="1" applyAlignment="1">
      <alignment horizontal="center" vertical="center" wrapText="1"/>
    </xf>
    <xf numFmtId="0" fontId="12" fillId="0" borderId="0" xfId="0" applyFont="1" applyAlignment="1">
      <alignment horizontal="center" vertical="center" wrapText="1"/>
    </xf>
    <xf numFmtId="0" fontId="12" fillId="4" borderId="10" xfId="0" applyFont="1" applyFill="1" applyBorder="1" applyAlignment="1">
      <alignment horizontal="center" vertical="center" wrapText="1"/>
    </xf>
    <xf numFmtId="0" fontId="8" fillId="0" borderId="0" xfId="0" applyFont="1" applyAlignment="1">
      <alignment horizontal="center" vertical="center" wrapText="1"/>
    </xf>
    <xf numFmtId="0" fontId="4" fillId="7" borderId="16" xfId="0" applyFont="1" applyFill="1" applyBorder="1" applyAlignment="1">
      <alignment vertical="center" wrapText="1"/>
    </xf>
    <xf numFmtId="0" fontId="4" fillId="7" borderId="16" xfId="0" applyFont="1" applyFill="1" applyBorder="1" applyAlignment="1">
      <alignment horizontal="center" vertical="center" wrapText="1"/>
    </xf>
    <xf numFmtId="0" fontId="4" fillId="7" borderId="16" xfId="0" applyFont="1" applyFill="1" applyBorder="1" applyAlignment="1">
      <alignment horizontal="left" vertical="center" wrapText="1"/>
    </xf>
    <xf numFmtId="0" fontId="16" fillId="0" borderId="0" xfId="0" applyFont="1" applyAlignment="1">
      <alignment vertical="center" wrapText="1"/>
    </xf>
    <xf numFmtId="0" fontId="13" fillId="0" borderId="0" xfId="0" applyFont="1" applyAlignment="1">
      <alignment vertical="center" wrapText="1"/>
    </xf>
    <xf numFmtId="0" fontId="18" fillId="4" borderId="18" xfId="0" applyFont="1" applyFill="1" applyBorder="1" applyAlignment="1">
      <alignment horizontal="center" vertical="center" wrapText="1"/>
    </xf>
    <xf numFmtId="0" fontId="19" fillId="0" borderId="0" xfId="0" applyFont="1" applyAlignment="1">
      <alignment horizontal="center" vertical="center"/>
    </xf>
    <xf numFmtId="0" fontId="18" fillId="4" borderId="5" xfId="0" applyFont="1" applyFill="1" applyBorder="1" applyAlignment="1">
      <alignment horizontal="center"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21" fillId="0" borderId="0" xfId="0" applyFont="1" applyAlignment="1">
      <alignment horizontal="center" vertical="center" wrapText="1"/>
    </xf>
    <xf numFmtId="0" fontId="18" fillId="4" borderId="2" xfId="0" applyFont="1" applyFill="1" applyBorder="1" applyAlignment="1">
      <alignment horizontal="center" vertical="center" wrapText="1"/>
    </xf>
    <xf numFmtId="0" fontId="19" fillId="0" borderId="0" xfId="0" applyFont="1" applyAlignment="1">
      <alignment horizontal="center" vertical="center" wrapText="1"/>
    </xf>
    <xf numFmtId="0" fontId="3" fillId="0" borderId="14" xfId="0" applyFont="1" applyBorder="1" applyAlignment="1">
      <alignment vertical="center"/>
    </xf>
    <xf numFmtId="0" fontId="4" fillId="7" borderId="20" xfId="0" applyFont="1" applyFill="1" applyBorder="1" applyAlignment="1">
      <alignment horizontal="center" vertical="center" wrapText="1"/>
    </xf>
    <xf numFmtId="0" fontId="4" fillId="7" borderId="20" xfId="0" applyFont="1" applyFill="1" applyBorder="1" applyAlignment="1">
      <alignment horizontal="left" vertical="center" wrapText="1"/>
    </xf>
    <xf numFmtId="0" fontId="4" fillId="7" borderId="20" xfId="0" applyFont="1" applyFill="1" applyBorder="1" applyAlignment="1">
      <alignment vertical="center" wrapText="1"/>
    </xf>
    <xf numFmtId="0" fontId="4" fillId="8" borderId="13" xfId="0" applyFont="1" applyFill="1" applyBorder="1" applyAlignment="1">
      <alignment vertical="center" wrapText="1"/>
    </xf>
    <xf numFmtId="0" fontId="4" fillId="8" borderId="13" xfId="0" applyFont="1" applyFill="1" applyBorder="1" applyAlignment="1">
      <alignment horizontal="center" vertical="center" wrapText="1"/>
    </xf>
    <xf numFmtId="0" fontId="4" fillId="8" borderId="13" xfId="0" applyFont="1" applyFill="1" applyBorder="1" applyAlignment="1">
      <alignment horizontal="left" vertical="center" wrapText="1"/>
    </xf>
    <xf numFmtId="0" fontId="10" fillId="4" borderId="1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4" fillId="0" borderId="0" xfId="0" applyFont="1" applyAlignment="1">
      <alignment horizontal="left" vertical="center" wrapText="1"/>
    </xf>
    <xf numFmtId="0" fontId="4" fillId="0" borderId="13" xfId="0" applyFont="1" applyBorder="1" applyAlignment="1">
      <alignment horizontal="left" vertical="center" wrapText="1"/>
    </xf>
    <xf numFmtId="0" fontId="4" fillId="0" borderId="21" xfId="0" applyFont="1" applyBorder="1" applyAlignment="1">
      <alignment horizontal="left" vertical="center" wrapText="1"/>
    </xf>
    <xf numFmtId="0" fontId="4" fillId="0" borderId="19" xfId="0" applyFont="1" applyBorder="1" applyAlignment="1">
      <alignment horizontal="left" vertical="center" wrapText="1"/>
    </xf>
    <xf numFmtId="0" fontId="4" fillId="0" borderId="21" xfId="0" applyFont="1" applyBorder="1" applyAlignment="1">
      <alignment horizontal="center" vertical="center" wrapText="1"/>
    </xf>
    <xf numFmtId="0" fontId="4" fillId="0" borderId="0" xfId="0" applyFont="1" applyAlignment="1">
      <alignment vertical="center" wrapText="1"/>
    </xf>
    <xf numFmtId="0" fontId="4" fillId="0" borderId="13" xfId="0" applyFont="1" applyBorder="1" applyAlignment="1">
      <alignment vertical="center" wrapText="1"/>
    </xf>
    <xf numFmtId="0" fontId="3" fillId="0" borderId="0" xfId="0" applyFont="1" applyAlignment="1">
      <alignment horizontal="center" vertical="center" wrapText="1"/>
    </xf>
    <xf numFmtId="0" fontId="14" fillId="4" borderId="12"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3" fillId="0" borderId="0" xfId="0" applyFont="1" applyAlignment="1">
      <alignment horizontal="left" vertical="center" wrapText="1"/>
    </xf>
    <xf numFmtId="0" fontId="3"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0" xfId="0" applyFont="1" applyAlignment="1">
      <alignment horizontal="center" vertical="center" wrapText="1"/>
    </xf>
    <xf numFmtId="0" fontId="12" fillId="4" borderId="1" xfId="0" applyFont="1" applyFill="1" applyBorder="1" applyAlignment="1">
      <alignment horizontal="center" vertical="center" wrapText="1"/>
    </xf>
    <xf numFmtId="0" fontId="12" fillId="4" borderId="0" xfId="0" applyFont="1" applyFill="1" applyAlignment="1">
      <alignment horizontal="center" vertical="center" wrapText="1"/>
    </xf>
    <xf numFmtId="0" fontId="8" fillId="0" borderId="0" xfId="0" applyFont="1" applyAlignment="1">
      <alignment vertical="center" wrapText="1"/>
    </xf>
    <xf numFmtId="0" fontId="8" fillId="0" borderId="13" xfId="0" applyFont="1" applyBorder="1" applyAlignment="1">
      <alignment vertical="center" wrapText="1"/>
    </xf>
    <xf numFmtId="0" fontId="3" fillId="0" borderId="0" xfId="0" applyFont="1" applyAlignment="1">
      <alignment horizontal="center"/>
    </xf>
    <xf numFmtId="0" fontId="5" fillId="2" borderId="2" xfId="0" applyFont="1" applyFill="1" applyBorder="1" applyAlignment="1">
      <alignment horizontal="center"/>
    </xf>
    <xf numFmtId="0" fontId="4" fillId="0" borderId="0" xfId="0" applyFont="1" applyAlignment="1">
      <alignment horizontal="center" vertical="center"/>
    </xf>
  </cellXfs>
  <cellStyles count="1">
    <cellStyle name="Normal" xfId="0" builtinId="0"/>
  </cellStyles>
  <dxfs count="156">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strike val="0"/>
        <outline val="0"/>
        <shadow val="0"/>
        <u val="none"/>
        <vertAlign val="baseline"/>
        <sz val="11"/>
        <name val="Gill Sans MT"/>
        <scheme val="none"/>
      </font>
    </dxf>
    <dxf>
      <font>
        <strike val="0"/>
        <outline val="0"/>
        <shadow val="0"/>
        <u val="none"/>
        <vertAlign val="baseline"/>
        <sz val="11"/>
        <name val="Gill Sans MT"/>
        <scheme val="none"/>
      </font>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strike val="0"/>
        <outline val="0"/>
        <shadow val="0"/>
        <u val="none"/>
        <vertAlign val="baseline"/>
        <sz val="11"/>
        <color theme="1"/>
        <name val="Gill Sans MT"/>
        <scheme val="none"/>
      </font>
    </dxf>
    <dxf>
      <font>
        <strike val="0"/>
        <outline val="0"/>
        <shadow val="0"/>
        <u val="none"/>
        <vertAlign val="baseline"/>
        <sz val="11"/>
        <color theme="1"/>
        <name val="Gill Sans MT"/>
        <scheme val="none"/>
      </font>
    </dxf>
    <dxf>
      <font>
        <strike val="0"/>
        <outline val="0"/>
        <shadow val="0"/>
        <u val="none"/>
        <vertAlign val="baseline"/>
        <sz val="11"/>
        <color theme="1"/>
        <name val="Gill Sans MT"/>
        <scheme val="none"/>
      </font>
    </dxf>
    <dxf>
      <font>
        <strike val="0"/>
        <outline val="0"/>
        <shadow val="0"/>
        <u val="none"/>
        <vertAlign val="baseline"/>
        <name val="Gill Sans MT"/>
        <scheme val="none"/>
      </font>
      <alignment horizontal="left" vertical="bottom" textRotation="0" wrapText="1" indent="0" justifyLastLine="0" shrinkToFit="0" readingOrder="0"/>
    </dxf>
    <dxf>
      <font>
        <strike val="0"/>
        <outline val="0"/>
        <shadow val="0"/>
        <u val="none"/>
        <vertAlign val="baseline"/>
        <name val="Gill Sans MT"/>
        <scheme val="none"/>
      </font>
      <alignment horizontal="left" vertical="bottom" textRotation="0" wrapText="1" indent="0" justifyLastLine="0" shrinkToFit="0" readingOrder="0"/>
    </dxf>
    <dxf>
      <border>
        <bottom style="thin">
          <color theme="0"/>
        </bottom>
      </border>
    </dxf>
    <dxf>
      <alignment horizontal="center" vertical="center"/>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00000000-0011-0000-FFFF-FFFF00000000}">
      <tableStyleElement type="headerRow" dxfId="155"/>
    </tableStyle>
    <tableStyle name="Estilo de tabla 2" pivot="0" count="1" xr9:uid="{00000000-0011-0000-FFFF-FFFF01000000}">
      <tableStyleElement type="wholeTable" dxfId="154"/>
    </tableStyle>
    <tableStyle name="Estilo de tabla 3" pivot="0" count="1" xr9:uid="{00000000-0011-0000-FFFF-FFFF02000000}">
      <tableStyleElement type="headerRow" dxfId="153"/>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sharepoint.com/sites/AdministracinHotelerayGastronmica/Documentos%20compartidos/General/12%2011Formato%20RA_AdmonHotelGastro_PBOG%20(4)%201.xlsx" TargetMode="External"/><Relationship Id="rId1" Type="http://schemas.openxmlformats.org/officeDocument/2006/relationships/externalLinkPath" Target="https://poligran.sharepoint.com/sites/AdministracinHotelerayGastronmica/Documentos%20compartidos/General/12%2011Formato%20RA_AdmonHotelGastro_PBOG%20(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
      <sheetName val="Paso 4 Estrategias mesocurricu"/>
      <sheetName val="Paso 5 Estrategais microcurricu"/>
      <sheetName val="Taxonomía para competencias"/>
      <sheetName val="Taxonomias para RA"/>
    </sheetNames>
    <sheetDataSet>
      <sheetData sheetId="0"/>
      <sheetData sheetId="1"/>
      <sheetData sheetId="2">
        <row r="3">
          <cell r="C3" t="str">
            <v>Saber</v>
          </cell>
          <cell r="I3" t="str">
            <v>Reconoce las acciones y los modelos administrativos y de gestión asociados al sector turístico desde los servicios hoteleros y gastronómicos, para analizar su aplicabilidad en los procesos de planeación, posicionamiento y competitividad de las organizaciones, en correspondencia con los objetivos estratégicos y el contexto de desarrollo.</v>
          </cell>
        </row>
        <row r="4">
          <cell r="C4" t="str">
            <v>SaberHacer</v>
          </cell>
          <cell r="I4" t="str">
            <v>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v>
          </cell>
        </row>
        <row r="5">
          <cell r="C5" t="str">
            <v>SaberSer</v>
          </cell>
          <cell r="I5" t="str">
            <v>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v>
          </cell>
        </row>
        <row r="6">
          <cell r="C6" t="str">
            <v>Saber</v>
          </cell>
          <cell r="I6" t="str">
            <v>Reconoce las acciones y los modelos administrativos y de gestión asociados al sector turístico desde los servicios hoteleros y gastronómicos, para analizar su aplicabilidad en los procesos de planeación, posicionamiento y competitividad de las organizaciones, en correspondencia con los objetivos estratégicos y el contexto de desarrollo.</v>
          </cell>
        </row>
        <row r="7">
          <cell r="C7" t="str">
            <v>SaberHacer</v>
          </cell>
          <cell r="I7" t="str">
            <v>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v>
          </cell>
        </row>
        <row r="8">
          <cell r="C8" t="str">
            <v>SaberSer</v>
          </cell>
          <cell r="I8" t="str">
            <v>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v>
          </cell>
        </row>
        <row r="9">
          <cell r="C9" t="str">
            <v>Saber</v>
          </cell>
          <cell r="I9" t="str">
            <v>Reconoce las etapas y acciones que se deben desarrollar en los procesos de investigación y marketing para estructurar propuestas de productos o estrategias que contribuyan a la solución de problemas o a la toma de decisiones en el mercado hotelero y gastronómico, según las necesidades y condiciones del contexto.</v>
          </cell>
        </row>
        <row r="10">
          <cell r="C10" t="str">
            <v>SaberHacer</v>
          </cell>
          <cell r="I10" t="str">
            <v>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v>
          </cell>
        </row>
        <row r="11">
          <cell r="C11" t="str">
            <v>SaberSer</v>
          </cell>
          <cell r="I11" t="str">
            <v>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v>
          </cell>
        </row>
        <row r="12">
          <cell r="C12" t="str">
            <v>Saber</v>
          </cell>
          <cell r="I12" t="str">
            <v>Identifica fenómenos contemporáneos y su relación con la profesión, para determinar sus impactos e influencia en la sociedad, de forma responsable y crítica.</v>
          </cell>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Saber" displayName="Saber" ref="E2:E18" totalsRowShown="0" headerRowDxfId="152" dataDxfId="150" headerRowBorderDxfId="151">
  <autoFilter ref="E2:E18" xr:uid="{00000000-0009-0000-0100-000007000000}"/>
  <tableColumns count="1">
    <tableColumn id="1" xr3:uid="{00000000-0010-0000-0400-000001000000}" name="Saber" dataDxfId="149"/>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12000000}" name="Tabla33103" displayName="Tabla33103" ref="B1:B36" totalsRowShown="0" headerRowDxfId="148" dataDxfId="147">
  <autoFilter ref="B1:B36" xr:uid="{00000000-0009-0000-0100-000066000000}"/>
  <sortState xmlns:xlrd2="http://schemas.microsoft.com/office/spreadsheetml/2017/richdata2" ref="B2:B35">
    <sortCondition ref="B2:B36"/>
  </sortState>
  <tableColumns count="1">
    <tableColumn id="1" xr3:uid="{00000000-0010-0000-1200-000001000000}" name="Verbos Competencias" dataDxfId="1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3000000}" name="Tabla1715" displayName="Tabla1715" ref="A3:A7" totalsRowShown="0" headerRowDxfId="145" dataDxfId="144">
  <autoFilter ref="A3:A7" xr:uid="{00000000-0009-0000-0100-00000E000000}"/>
  <tableColumns count="1">
    <tableColumn id="1" xr3:uid="{00000000-0010-0000-1300-000001000000}" name="Taxonomías" dataDxfId="143"/>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4000000}" name="Tabla1816" displayName="Tabla1816" ref="AL4:AL32" totalsRowShown="0" headerRowDxfId="142" dataDxfId="141">
  <autoFilter ref="AL4:AL32" xr:uid="{00000000-0009-0000-0100-00000F000000}"/>
  <sortState xmlns:xlrd2="http://schemas.microsoft.com/office/spreadsheetml/2017/richdata2" ref="AL5:AL32">
    <sortCondition ref="AL5:AL32"/>
  </sortState>
  <tableColumns count="1">
    <tableColumn id="1" xr3:uid="{00000000-0010-0000-1400-000001000000}" name="RecordarLK" dataDxfId="14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5000000}" name="Tabla1926" displayName="Tabla1926" ref="AM4:AM28" totalsRowShown="0" headerRowDxfId="139" dataDxfId="138">
  <autoFilter ref="AM4:AM28" xr:uid="{00000000-0009-0000-0100-000019000000}"/>
  <sortState xmlns:xlrd2="http://schemas.microsoft.com/office/spreadsheetml/2017/richdata2" ref="AM5:AM28">
    <sortCondition ref="AM5:AM28"/>
  </sortState>
  <tableColumns count="1">
    <tableColumn id="1" xr3:uid="{00000000-0010-0000-1500-000001000000}" name="ComprenderLK" dataDxfId="1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a2028" displayName="Tabla2028" ref="AN4:AN31" totalsRowShown="0" headerRowDxfId="136" dataDxfId="135">
  <autoFilter ref="AN4:AN31" xr:uid="{00000000-0009-0000-0100-00001B000000}"/>
  <sortState xmlns:xlrd2="http://schemas.microsoft.com/office/spreadsheetml/2017/richdata2" ref="AN5:AN31">
    <sortCondition ref="AN5:AN31"/>
  </sortState>
  <tableColumns count="1">
    <tableColumn id="1" xr3:uid="{00000000-0010-0000-1600-000001000000}" name="AplicarLK" dataDxfId="1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Tabla2129" displayName="Tabla2129" ref="AO4:AO35" totalsRowShown="0" headerRowDxfId="133" dataDxfId="132">
  <autoFilter ref="AO4:AO35" xr:uid="{00000000-0009-0000-0100-00001C000000}"/>
  <sortState xmlns:xlrd2="http://schemas.microsoft.com/office/spreadsheetml/2017/richdata2" ref="AO5:AO35">
    <sortCondition ref="AO5:AO35"/>
  </sortState>
  <tableColumns count="1">
    <tableColumn id="1" xr3:uid="{00000000-0010-0000-1700-000001000000}" name="AnalizarLK" dataDxfId="13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8000000}" name="Tabla2230" displayName="Tabla2230" ref="AP4:AP47" totalsRowShown="0" headerRowDxfId="130" dataDxfId="129">
  <autoFilter ref="AP4:AP47" xr:uid="{00000000-0009-0000-0100-00001D000000}"/>
  <sortState xmlns:xlrd2="http://schemas.microsoft.com/office/spreadsheetml/2017/richdata2" ref="AP5:AP47">
    <sortCondition ref="AP5:AP47"/>
  </sortState>
  <tableColumns count="1">
    <tableColumn id="1" xr3:uid="{00000000-0010-0000-1800-000001000000}" name="EvaluarLK" dataDxfId="12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9000000}" name="Tabla2333" displayName="Tabla2333" ref="AQ4:AQ21" totalsRowShown="0" headerRowDxfId="127" dataDxfId="126">
  <autoFilter ref="AQ4:AQ21" xr:uid="{00000000-0009-0000-0100-000020000000}"/>
  <sortState xmlns:xlrd2="http://schemas.microsoft.com/office/spreadsheetml/2017/richdata2" ref="AQ5:AQ21">
    <sortCondition ref="AQ5:AQ21"/>
  </sortState>
  <tableColumns count="1">
    <tableColumn id="1" xr3:uid="{00000000-0010-0000-1900-000001000000}" name="CrearLK" dataDxfId="12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1A000000}" name="Tabla3555" displayName="Tabla3555" ref="S3:S45" totalsRowShown="0" headerRowDxfId="124" dataDxfId="123">
  <autoFilter ref="S3:S45" xr:uid="{00000000-0009-0000-0100-000036000000}"/>
  <sortState xmlns:xlrd2="http://schemas.microsoft.com/office/spreadsheetml/2017/richdata2" ref="S4:S45">
    <sortCondition ref="S4:S45"/>
  </sortState>
  <tableColumns count="1">
    <tableColumn id="1" xr3:uid="{00000000-0010-0000-1A00-000001000000}" name="ConocimientoBAK" dataDxfId="1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1B000000}" name="Tabla3663" displayName="Tabla3663" ref="T3:T42" totalsRowShown="0" headerRowDxfId="121" dataDxfId="120">
  <autoFilter ref="T3:T42" xr:uid="{00000000-0009-0000-0100-00003E000000}"/>
  <sortState xmlns:xlrd2="http://schemas.microsoft.com/office/spreadsheetml/2017/richdata2" ref="T4:T42">
    <sortCondition ref="T4:T42"/>
  </sortState>
  <tableColumns count="1">
    <tableColumn id="1" xr3:uid="{00000000-0010-0000-1B00-000001000000}" name="ComprensiónBAK" dataDxfId="1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1C000000}" name="Tabla3764" displayName="Tabla3764" ref="U3:U43" totalsRowShown="0" headerRowDxfId="118" dataDxfId="117">
  <autoFilter ref="U3:U43" xr:uid="{00000000-0009-0000-0100-00003F000000}"/>
  <sortState xmlns:xlrd2="http://schemas.microsoft.com/office/spreadsheetml/2017/richdata2" ref="U4:U43">
    <sortCondition ref="U4:U43"/>
  </sortState>
  <tableColumns count="1">
    <tableColumn id="1" xr3:uid="{00000000-0010-0000-1C00-000001000000}" name="AplicaciónBAK" dataDxfId="11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1D000000}" name="Tabla3865" displayName="Tabla3865" ref="V3:V36" totalsRowShown="0" headerRowDxfId="115" dataDxfId="114">
  <autoFilter ref="V3:V36" xr:uid="{00000000-0009-0000-0100-000040000000}"/>
  <sortState xmlns:xlrd2="http://schemas.microsoft.com/office/spreadsheetml/2017/richdata2" ref="V4:V36">
    <sortCondition ref="V4:V36"/>
  </sortState>
  <tableColumns count="1">
    <tableColumn id="1" xr3:uid="{00000000-0010-0000-1D00-000001000000}" name="AnálisisBAK" dataDxfId="11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1E000000}" name="Tabla3966" displayName="Tabla3966" ref="W3:W63" totalsRowShown="0" headerRowDxfId="112" dataDxfId="111">
  <autoFilter ref="W3:W63" xr:uid="{00000000-0009-0000-0100-000041000000}"/>
  <sortState xmlns:xlrd2="http://schemas.microsoft.com/office/spreadsheetml/2017/richdata2" ref="W4:W63">
    <sortCondition ref="W4:W63"/>
  </sortState>
  <tableColumns count="1">
    <tableColumn id="1" xr3:uid="{00000000-0010-0000-1E00-000001000000}" name="SíntesisBAK" dataDxfId="11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1F000000}" name="Tabla4067" displayName="Tabla4067" ref="X3:X66" totalsRowShown="0" headerRowDxfId="109" dataDxfId="108">
  <autoFilter ref="X3:X66" xr:uid="{00000000-0009-0000-0100-000042000000}"/>
  <sortState xmlns:xlrd2="http://schemas.microsoft.com/office/spreadsheetml/2017/richdata2" ref="X4:X66">
    <sortCondition ref="X4:X66"/>
  </sortState>
  <tableColumns count="1">
    <tableColumn id="1" xr3:uid="{00000000-0010-0000-1F00-000001000000}" name="EvaluaciónBAK" dataDxfId="10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20000000}" name="Tabla1168" displayName="Tabla1168" ref="Y3:Y52" totalsRowShown="0" headerRowDxfId="106" dataDxfId="105">
  <autoFilter ref="Y3:Y52" xr:uid="{00000000-0009-0000-0100-000043000000}"/>
  <tableColumns count="1">
    <tableColumn id="1" xr3:uid="{00000000-0010-0000-2000-000001000000}" name="ImitaciónBAK" dataDxfId="10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21000000}" name="Tabla3069" displayName="Tabla3069" ref="Z3:Z40" totalsRowShown="0" headerRowDxfId="103" dataDxfId="102">
  <autoFilter ref="Z3:Z40" xr:uid="{00000000-0009-0000-0100-000044000000}"/>
  <tableColumns count="1">
    <tableColumn id="1" xr3:uid="{00000000-0010-0000-2100-000001000000}" name="ManipulaciónBAK" dataDxfId="10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22000000}" name="Tabla4170" displayName="Tabla4170" ref="AA3:AA68" totalsRowShown="0" headerRowDxfId="100" dataDxfId="99">
  <autoFilter ref="AA3:AA68" xr:uid="{00000000-0009-0000-0100-000045000000}"/>
  <tableColumns count="1">
    <tableColumn id="1" xr3:uid="{00000000-0010-0000-2200-000001000000}" name="PrecisiónBAK" dataDxfId="9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23000000}" name="Tabla4271" displayName="Tabla4271" ref="AB3:AB62" totalsRowShown="0" headerRowDxfId="97" dataDxfId="96">
  <autoFilter ref="AB3:AB62" xr:uid="{00000000-0009-0000-0100-000046000000}"/>
  <tableColumns count="1">
    <tableColumn id="1" xr3:uid="{00000000-0010-0000-2300-000001000000}" name="ControlBAK" dataDxfId="9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24000000}" name="Tabla4372" displayName="Tabla4372" ref="AC3:AC43" totalsRowShown="0" headerRowDxfId="94" dataDxfId="93">
  <autoFilter ref="AC3:AC43" xr:uid="{00000000-0009-0000-0100-000047000000}"/>
  <tableColumns count="1">
    <tableColumn id="1" xr3:uid="{00000000-0010-0000-2400-000001000000}" name="PercepciónBAK" dataDxfId="9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25000000}" name="Tabla4473" displayName="Tabla4473" ref="AD3:AD33" totalsRowShown="0" headerRowDxfId="91" dataDxfId="90">
  <autoFilter ref="AD3:AD33" xr:uid="{00000000-0009-0000-0100-000048000000}"/>
  <tableColumns count="1">
    <tableColumn id="1" xr3:uid="{00000000-0010-0000-2500-000001000000}" name="ResponderBAK" dataDxfId="8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26000000}" name="Tabla4574" displayName="Tabla4574" ref="AE3:AE38" totalsRowShown="0" headerRowDxfId="88" dataDxfId="87">
  <autoFilter ref="AE3:AE38" xr:uid="{00000000-0009-0000-0100-000049000000}"/>
  <tableColumns count="1">
    <tableColumn id="1" xr3:uid="{00000000-0010-0000-2600-000001000000}" name="ValorarBAK" dataDxfId="8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27000000}" name="Tabla4675" displayName="Tabla4675" ref="AF3:AF29" totalsRowShown="0" headerRowDxfId="85" dataDxfId="84">
  <autoFilter ref="AF3:AF29" xr:uid="{00000000-0009-0000-0100-00004A000000}"/>
  <tableColumns count="1">
    <tableColumn id="1" xr3:uid="{00000000-0010-0000-2700-000001000000}" name="OrganizarBAK" dataDxfId="83"/>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28000000}" name="Tabla4776" displayName="Tabla4776" ref="AG3:AG29" totalsRowShown="0" headerRowDxfId="82" dataDxfId="81">
  <autoFilter ref="AG3:AG29" xr:uid="{00000000-0009-0000-0100-00004B000000}"/>
  <tableColumns count="1">
    <tableColumn id="1" xr3:uid="{00000000-0010-0000-2800-000001000000}" name="CaracterizarBAK" dataDxfId="8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29000000}" name="Tabla354977" displayName="Tabla354977" ref="L3:L45" totalsRowShown="0" headerRowDxfId="79" dataDxfId="78">
  <autoFilter ref="L3:L45" xr:uid="{00000000-0009-0000-0100-00004C000000}"/>
  <sortState xmlns:xlrd2="http://schemas.microsoft.com/office/spreadsheetml/2017/richdata2" ref="L4:L45">
    <sortCondition ref="L4:L45"/>
  </sortState>
  <tableColumns count="1">
    <tableColumn id="1" xr3:uid="{00000000-0010-0000-2900-000001000000}" name="ConocimientoB" dataDxfId="7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2A000000}" name="Tabla365078" displayName="Tabla365078" ref="M3:M42" totalsRowShown="0" headerRowDxfId="76" dataDxfId="75">
  <autoFilter ref="M3:M42" xr:uid="{00000000-0009-0000-0100-00004D000000}"/>
  <sortState xmlns:xlrd2="http://schemas.microsoft.com/office/spreadsheetml/2017/richdata2" ref="M4:M42">
    <sortCondition ref="M4:M42"/>
  </sortState>
  <tableColumns count="1">
    <tableColumn id="1" xr3:uid="{00000000-0010-0000-2A00-000001000000}" name="ComprensiónB" dataDxfId="7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2B000000}" name="Tabla375179" displayName="Tabla375179" ref="N3:N43" totalsRowShown="0" headerRowDxfId="73" dataDxfId="72">
  <autoFilter ref="N3:N43" xr:uid="{00000000-0009-0000-0100-00004E000000}"/>
  <sortState xmlns:xlrd2="http://schemas.microsoft.com/office/spreadsheetml/2017/richdata2" ref="N4:N43">
    <sortCondition ref="N4:N43"/>
  </sortState>
  <tableColumns count="1">
    <tableColumn id="1" xr3:uid="{00000000-0010-0000-2B00-000001000000}" name="AplicaciónB" dataDxfId="7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2C000000}" name="Tabla385280" displayName="Tabla385280" ref="O3:O36" totalsRowShown="0" headerRowDxfId="70" dataDxfId="69">
  <autoFilter ref="O3:O36" xr:uid="{00000000-0009-0000-0100-00004F000000}"/>
  <sortState xmlns:xlrd2="http://schemas.microsoft.com/office/spreadsheetml/2017/richdata2" ref="O4:O36">
    <sortCondition ref="O4:O36"/>
  </sortState>
  <tableColumns count="1">
    <tableColumn id="1" xr3:uid="{00000000-0010-0000-2C00-000001000000}" name="AnálisisB" dataDxfId="6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2D000000}" name="Tabla395381" displayName="Tabla395381" ref="P3:P63" totalsRowShown="0" headerRowDxfId="67" dataDxfId="66">
  <autoFilter ref="P3:P63" xr:uid="{00000000-0009-0000-0100-000050000000}"/>
  <sortState xmlns:xlrd2="http://schemas.microsoft.com/office/spreadsheetml/2017/richdata2" ref="P4:P63">
    <sortCondition ref="P4:P63"/>
  </sortState>
  <tableColumns count="1">
    <tableColumn id="1" xr3:uid="{00000000-0010-0000-2D00-000001000000}" name="SíntesisB" dataDxfId="65"/>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2E000000}" name="Tabla405482" displayName="Tabla405482" ref="Q3:Q66" totalsRowShown="0" headerRowDxfId="64" dataDxfId="63">
  <autoFilter ref="Q3:Q66" xr:uid="{00000000-0009-0000-0100-000051000000}"/>
  <sortState xmlns:xlrd2="http://schemas.microsoft.com/office/spreadsheetml/2017/richdata2" ref="Q4:Q66">
    <sortCondition ref="Q4:Q66"/>
  </sortState>
  <tableColumns count="1">
    <tableColumn id="1" xr3:uid="{00000000-0010-0000-2E00-000001000000}" name="EvaluaciónB" dataDxfId="6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2F000000}" name="Tabla6088" displayName="Tabla6088" ref="E3:E6" totalsRowShown="0" headerRowDxfId="61" dataDxfId="60">
  <autoFilter ref="E3:E6" xr:uid="{00000000-0009-0000-0100-000057000000}"/>
  <tableColumns count="1">
    <tableColumn id="1" xr3:uid="{00000000-0010-0000-2F00-000001000000}" name="AK" dataDxfId="59"/>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30000000}" name="Tabla5987" displayName="Tabla5987" ref="D3:D7" totalsRowShown="0" headerRowDxfId="58" dataDxfId="57">
  <autoFilter ref="D3:D7" xr:uid="{00000000-0009-0000-0100-000056000000}"/>
  <tableColumns count="1">
    <tableColumn id="1" xr3:uid="{00000000-0010-0000-3000-000001000000}" name="LK" dataDxfId="56"/>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31000000}" name="Tabla5886" displayName="Tabla5886" ref="C3:C6" totalsRowShown="0" headerRowDxfId="55" dataDxfId="54">
  <autoFilter ref="C3:C6" xr:uid="{00000000-0009-0000-0100-000055000000}"/>
  <tableColumns count="1">
    <tableColumn id="1" xr3:uid="{00000000-0010-0000-3100-000001000000}" name="BAK" dataDxfId="53"/>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32000000}" name="Tabla5785" displayName="Tabla5785" ref="I3:I9" totalsRowShown="0" headerRowDxfId="52" dataDxfId="51">
  <autoFilter ref="I3:I9" xr:uid="{00000000-0009-0000-0100-000054000000}"/>
  <tableColumns count="1">
    <tableColumn id="1" xr3:uid="{00000000-0010-0000-3200-000001000000}" name="ActitudinalB" dataDxfId="50"/>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33000000}" name="Tabla5684" displayName="Tabla5684" ref="H3:H9" totalsRowShown="0" headerRowDxfId="49" dataDxfId="48">
  <autoFilter ref="H3:H9" xr:uid="{00000000-0009-0000-0100-000053000000}"/>
  <tableColumns count="1">
    <tableColumn id="1" xr3:uid="{00000000-0010-0000-3300-000001000000}" name="ProcedimentalB" dataDxfId="47"/>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34000000}" name="Tabla5583" displayName="Tabla5583" ref="G3:G9" totalsRowShown="0" headerRowDxfId="46" dataDxfId="45">
  <autoFilter ref="G3:G9" xr:uid="{00000000-0009-0000-0100-000052000000}"/>
  <tableColumns count="1">
    <tableColumn id="1" xr3:uid="{00000000-0010-0000-3400-000001000000}" name="CognitivoB" dataDxfId="44"/>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35000000}" name="Tabla90" displayName="Tabla90" ref="G11:G17" totalsRowShown="0" headerRowDxfId="43" dataDxfId="42">
  <autoFilter ref="G11:G17" xr:uid="{00000000-0009-0000-0100-00005A000000}"/>
  <tableColumns count="1">
    <tableColumn id="1" xr3:uid="{00000000-0010-0000-3500-000001000000}" name="HechosLK" dataDxfId="41"/>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36000000}" name="Tabla91" displayName="Tabla91" ref="H11:H17" totalsRowShown="0" headerRowDxfId="40" dataDxfId="39">
  <autoFilter ref="H11:H17" xr:uid="{00000000-0009-0000-0100-00005B000000}"/>
  <tableColumns count="1">
    <tableColumn id="1" xr3:uid="{00000000-0010-0000-3600-000001000000}" name="ConceptosLK" dataDxfId="38"/>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37000000}" name="Tabla92" displayName="Tabla92" ref="I11:I17" totalsRowShown="0" headerRowDxfId="37" dataDxfId="36">
  <autoFilter ref="I11:I17" xr:uid="{00000000-0009-0000-0100-00005C000000}"/>
  <tableColumns count="1">
    <tableColumn id="1" xr3:uid="{00000000-0010-0000-3700-000001000000}" name="ProcedimientosLK" dataDxfId="35"/>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38000000}" name="Tabla93" displayName="Tabla93" ref="J11:J17" totalsRowShown="0" headerRowDxfId="34" dataDxfId="33">
  <autoFilter ref="J11:J17" xr:uid="{00000000-0009-0000-0100-00005D000000}"/>
  <tableColumns count="1">
    <tableColumn id="1" xr3:uid="{00000000-0010-0000-3800-000001000000}" name="MetacogniciónLK" dataDxfId="32"/>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39000000}" name="Tabla94" displayName="Tabla94" ref="G19:G25" totalsRowShown="0" headerRowDxfId="31" dataDxfId="30">
  <autoFilter ref="G19:G25" xr:uid="{00000000-0009-0000-0100-00005E000000}"/>
  <tableColumns count="1">
    <tableColumn id="1" xr3:uid="{00000000-0010-0000-3900-000001000000}" name="InformaciónAK" dataDxfId="29"/>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3A000000}" name="Tabla95" displayName="Tabla95" ref="H19:H25" totalsRowShown="0" headerRowDxfId="28" dataDxfId="27">
  <autoFilter ref="H19:H25" xr:uid="{00000000-0009-0000-0100-00005F000000}"/>
  <tableColumns count="1">
    <tableColumn id="1" xr3:uid="{00000000-0010-0000-3A00-000001000000}" name="ProcesosAK" dataDxfId="26"/>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3B000000}" name="Tabla96" displayName="Tabla96" ref="I19:I25" totalsRowShown="0" headerRowDxfId="25" dataDxfId="24">
  <autoFilter ref="I19:I25" xr:uid="{00000000-0009-0000-0100-000060000000}"/>
  <tableColumns count="1">
    <tableColumn id="1" xr3:uid="{00000000-0010-0000-3B00-000001000000}" name="PsicomotorAK" dataDxfId="23"/>
  </tableColumns>
  <tableStyleInfo name="Estilo de tabla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3C000000}" name="Tabla97" displayName="Tabla97" ref="AT4:AT28" totalsRowShown="0" headerRowDxfId="22" dataDxfId="21" tableBorderDxfId="20">
  <autoFilter ref="AT4:AT28" xr:uid="{00000000-0009-0000-0100-000061000000}"/>
  <sortState xmlns:xlrd2="http://schemas.microsoft.com/office/spreadsheetml/2017/richdata2" ref="AT5:AT28">
    <sortCondition ref="AT5:AT28"/>
  </sortState>
  <tableColumns count="1">
    <tableColumn id="1" xr3:uid="{00000000-0010-0000-3C00-000001000000}" name="RecuperaciónAK" dataDxfId="1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3D000000}" name="Tabla98" displayName="Tabla98" ref="AU4:AU56" totalsRowShown="0" headerRowDxfId="18" dataDxfId="17">
  <autoFilter ref="AU4:AU56" xr:uid="{00000000-0009-0000-0100-000062000000}"/>
  <sortState xmlns:xlrd2="http://schemas.microsoft.com/office/spreadsheetml/2017/richdata2" ref="AU5:AU56">
    <sortCondition ref="AU5:AU56"/>
  </sortState>
  <tableColumns count="1">
    <tableColumn id="1" xr3:uid="{00000000-0010-0000-3D00-000001000000}" name="ComprensiónAK" dataDxfId="1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3E000000}" name="Tabla99" displayName="Tabla99" ref="AV4:AV108" totalsRowShown="0" headerRowDxfId="15" dataDxfId="14" tableBorderDxfId="13">
  <autoFilter ref="AV4:AV108" xr:uid="{00000000-0009-0000-0100-000063000000}"/>
  <sortState xmlns:xlrd2="http://schemas.microsoft.com/office/spreadsheetml/2017/richdata2" ref="AV5:AV108">
    <sortCondition ref="AV5:AV108"/>
  </sortState>
  <tableColumns count="1">
    <tableColumn id="1" xr3:uid="{00000000-0010-0000-3E00-000001000000}" name="AnálisisAK" dataDxfId="1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3F000000}" name="Tabla100" displayName="Tabla100" ref="AW4:AW70" totalsRowShown="0" headerRowDxfId="11" dataDxfId="10" tableBorderDxfId="9">
  <autoFilter ref="AW4:AW70" xr:uid="{00000000-0009-0000-0100-000064000000}"/>
  <sortState xmlns:xlrd2="http://schemas.microsoft.com/office/spreadsheetml/2017/richdata2" ref="AW5:AW70">
    <sortCondition ref="AW5:AW70"/>
  </sortState>
  <tableColumns count="1">
    <tableColumn id="1" xr3:uid="{00000000-0010-0000-3F00-000001000000}" name="UsoConocimientoAK" dataDxfId="8"/>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40000000}" name="Tabla101" displayName="Tabla101" ref="AX4:AX92" totalsRowShown="0" headerRowDxfId="7" dataDxfId="6" tableBorderDxfId="5">
  <autoFilter ref="AX4:AX92" xr:uid="{00000000-0009-0000-0100-000065000000}"/>
  <sortState xmlns:xlrd2="http://schemas.microsoft.com/office/spreadsheetml/2017/richdata2" ref="AX5:AX92">
    <sortCondition ref="AX5:AX92"/>
  </sortState>
  <tableColumns count="1">
    <tableColumn id="1" xr3:uid="{00000000-0010-0000-4000-000001000000}" name="MetacogniciónAK" dataDxfId="4"/>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41000000}" name="Tabla11" displayName="Tabla11" ref="AY4:AY87" totalsRowShown="0" headerRowDxfId="3" dataDxfId="2" tableBorderDxfId="1">
  <autoFilter ref="AY4:AY87" xr:uid="{00000000-0009-0000-0100-00000B000000}"/>
  <tableColumns count="1">
    <tableColumn id="1" xr3:uid="{00000000-0010-0000-4100-000001000000}"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9" Type="http://schemas.openxmlformats.org/officeDocument/2006/relationships/table" Target="../tables/table40.xml"/><Relationship Id="rId21" Type="http://schemas.openxmlformats.org/officeDocument/2006/relationships/table" Target="../tables/table22.xml"/><Relationship Id="rId34" Type="http://schemas.openxmlformats.org/officeDocument/2006/relationships/table" Target="../tables/table35.xml"/><Relationship Id="rId42" Type="http://schemas.openxmlformats.org/officeDocument/2006/relationships/table" Target="../tables/table43.xml"/><Relationship Id="rId47" Type="http://schemas.openxmlformats.org/officeDocument/2006/relationships/table" Target="../tables/table48.xml"/><Relationship Id="rId7" Type="http://schemas.openxmlformats.org/officeDocument/2006/relationships/table" Target="../tables/table8.xml"/><Relationship Id="rId2" Type="http://schemas.openxmlformats.org/officeDocument/2006/relationships/table" Target="../tables/table3.xml"/><Relationship Id="rId16" Type="http://schemas.openxmlformats.org/officeDocument/2006/relationships/table" Target="../tables/table17.xml"/><Relationship Id="rId29" Type="http://schemas.openxmlformats.org/officeDocument/2006/relationships/table" Target="../tables/table30.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comments" Target="../comments5.xml"/><Relationship Id="rId10" Type="http://schemas.openxmlformats.org/officeDocument/2006/relationships/table" Target="../tables/table11.xml"/><Relationship Id="rId19" Type="http://schemas.openxmlformats.org/officeDocument/2006/relationships/table" Target="../tables/table20.xml"/><Relationship Id="rId31" Type="http://schemas.openxmlformats.org/officeDocument/2006/relationships/table" Target="../tables/table32.xml"/><Relationship Id="rId44" Type="http://schemas.openxmlformats.org/officeDocument/2006/relationships/table" Target="../tables/table45.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8" Type="http://schemas.openxmlformats.org/officeDocument/2006/relationships/table" Target="../tables/table9.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20" Type="http://schemas.openxmlformats.org/officeDocument/2006/relationships/table" Target="../tables/table21.xml"/><Relationship Id="rId41" Type="http://schemas.openxmlformats.org/officeDocument/2006/relationships/table" Target="../tables/table42.xml"/><Relationship Id="rId1" Type="http://schemas.openxmlformats.org/officeDocument/2006/relationships/vmlDrawing" Target="../drawings/vmlDrawing5.vml"/><Relationship Id="rId6"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opLeftCell="J1" zoomScaleNormal="100" workbookViewId="0">
      <selection activeCell="L2" sqref="L2"/>
    </sheetView>
  </sheetViews>
  <sheetFormatPr baseColWidth="10" defaultColWidth="76.26953125" defaultRowHeight="17.25" customHeight="1" x14ac:dyDescent="0.5"/>
  <cols>
    <col min="1" max="1" width="19.1796875" style="16" customWidth="1"/>
    <col min="2" max="2" width="12.7265625" style="16" customWidth="1"/>
    <col min="3" max="3" width="38" style="16" customWidth="1"/>
    <col min="4" max="4" width="48.26953125" style="16" customWidth="1"/>
    <col min="5" max="5" width="24.453125" style="16" customWidth="1"/>
    <col min="6" max="6" width="32.26953125" style="21" customWidth="1"/>
    <col min="7" max="7" width="40.26953125" style="21" customWidth="1"/>
    <col min="8" max="8" width="22.7265625" style="16" customWidth="1"/>
    <col min="9" max="9" width="25.453125" style="16" customWidth="1"/>
    <col min="10" max="10" width="39" style="16" customWidth="1"/>
    <col min="11" max="11" width="40.54296875" style="16" customWidth="1"/>
    <col min="12" max="16384" width="76.26953125" style="16"/>
  </cols>
  <sheetData>
    <row r="1" spans="1:11" ht="39.75" customHeight="1" x14ac:dyDescent="0.5">
      <c r="A1" s="22" t="s">
        <v>0</v>
      </c>
      <c r="B1" s="23" t="s">
        <v>1</v>
      </c>
      <c r="C1" s="23" t="s">
        <v>2</v>
      </c>
      <c r="D1" s="23" t="s">
        <v>3</v>
      </c>
      <c r="E1" s="92" t="s">
        <v>4</v>
      </c>
      <c r="F1" s="93"/>
      <c r="G1" s="94"/>
      <c r="H1" s="92" t="s">
        <v>5</v>
      </c>
      <c r="I1" s="93"/>
      <c r="J1" s="94"/>
      <c r="K1" s="29" t="s">
        <v>6</v>
      </c>
    </row>
    <row r="2" spans="1:11" s="17" customFormat="1" ht="23.25" customHeight="1" x14ac:dyDescent="0.5">
      <c r="A2" s="24" t="s">
        <v>7</v>
      </c>
      <c r="B2" s="25" t="s">
        <v>8</v>
      </c>
      <c r="C2" s="25" t="s">
        <v>9</v>
      </c>
      <c r="D2" s="25" t="s">
        <v>10</v>
      </c>
      <c r="E2" s="26" t="s">
        <v>11</v>
      </c>
      <c r="F2" s="26" t="s">
        <v>12</v>
      </c>
      <c r="G2" s="26" t="s">
        <v>13</v>
      </c>
      <c r="H2" s="27" t="s">
        <v>14</v>
      </c>
      <c r="I2" s="27" t="s">
        <v>15</v>
      </c>
      <c r="J2" s="27" t="s">
        <v>16</v>
      </c>
      <c r="K2" s="28" t="s">
        <v>17</v>
      </c>
    </row>
    <row r="3" spans="1:11" ht="49.5" x14ac:dyDescent="0.5">
      <c r="A3" s="96" t="s">
        <v>18</v>
      </c>
      <c r="B3" s="96" t="s">
        <v>19</v>
      </c>
      <c r="C3" s="97" t="s">
        <v>20</v>
      </c>
      <c r="D3" s="97" t="s">
        <v>21</v>
      </c>
      <c r="E3" s="4" t="s">
        <v>22</v>
      </c>
      <c r="F3" s="3" t="s">
        <v>23</v>
      </c>
      <c r="G3" s="3" t="s">
        <v>24</v>
      </c>
      <c r="H3" s="95" t="s">
        <v>25</v>
      </c>
      <c r="I3" s="95" t="s">
        <v>26</v>
      </c>
      <c r="J3" s="95" t="s">
        <v>27</v>
      </c>
      <c r="K3" s="91" t="s">
        <v>28</v>
      </c>
    </row>
    <row r="4" spans="1:11" s="3" customFormat="1" ht="82.5" x14ac:dyDescent="0.35">
      <c r="A4" s="91"/>
      <c r="B4" s="91"/>
      <c r="C4" s="98"/>
      <c r="D4" s="98"/>
      <c r="E4" s="4" t="s">
        <v>29</v>
      </c>
      <c r="F4" s="3" t="s">
        <v>30</v>
      </c>
      <c r="G4" s="3" t="s">
        <v>31</v>
      </c>
      <c r="H4" s="95"/>
      <c r="I4" s="95"/>
      <c r="J4" s="95"/>
      <c r="K4" s="91"/>
    </row>
    <row r="5" spans="1:11" ht="66.5" thickBot="1" x14ac:dyDescent="0.55000000000000004">
      <c r="A5" s="91"/>
      <c r="B5" s="91"/>
      <c r="C5" s="98"/>
      <c r="D5" s="98"/>
      <c r="E5" s="30" t="s">
        <v>32</v>
      </c>
      <c r="F5" s="32" t="s">
        <v>33</v>
      </c>
      <c r="G5" s="33" t="s">
        <v>34</v>
      </c>
      <c r="H5" s="95"/>
      <c r="I5" s="95"/>
      <c r="J5" s="95"/>
      <c r="K5" s="91"/>
    </row>
    <row r="6" spans="1:11" s="3" customFormat="1" ht="66" x14ac:dyDescent="0.35">
      <c r="A6" s="91"/>
      <c r="B6" s="91"/>
      <c r="C6" s="98"/>
      <c r="D6" s="98"/>
      <c r="E6" s="38" t="s">
        <v>35</v>
      </c>
      <c r="F6" s="38" t="s">
        <v>36</v>
      </c>
      <c r="G6" s="38" t="s">
        <v>37</v>
      </c>
    </row>
    <row r="7" spans="1:11" s="3" customFormat="1" ht="16.5" x14ac:dyDescent="0.5">
      <c r="E7" s="19"/>
      <c r="F7" s="19"/>
      <c r="G7" s="19"/>
      <c r="J7" s="16"/>
    </row>
    <row r="8" spans="1:11" ht="16.5" x14ac:dyDescent="0.5">
      <c r="A8" s="3"/>
      <c r="B8" s="3"/>
      <c r="C8" s="3"/>
      <c r="D8" s="3"/>
      <c r="E8" s="19"/>
      <c r="F8" s="19"/>
      <c r="G8" s="19"/>
    </row>
    <row r="9" spans="1:11" s="3" customFormat="1" ht="16.5" x14ac:dyDescent="0.5">
      <c r="E9" s="19"/>
      <c r="F9" s="19"/>
      <c r="G9" s="19"/>
      <c r="J9" s="16"/>
    </row>
    <row r="10" spans="1:11" s="3" customFormat="1" ht="16.5" x14ac:dyDescent="0.5">
      <c r="E10" s="19"/>
      <c r="F10" s="19"/>
      <c r="G10" s="19"/>
      <c r="J10" s="16"/>
    </row>
    <row r="11" spans="1:11" s="3" customFormat="1" ht="16.5" x14ac:dyDescent="0.35">
      <c r="E11" s="19"/>
      <c r="F11" s="19"/>
      <c r="G11" s="19"/>
    </row>
    <row r="12" spans="1:11" s="3" customFormat="1" ht="16.5" x14ac:dyDescent="0.35">
      <c r="E12" s="19"/>
      <c r="F12" s="19"/>
      <c r="G12" s="19"/>
    </row>
    <row r="13" spans="1:11" ht="16.5" x14ac:dyDescent="0.5">
      <c r="A13" s="3"/>
      <c r="B13" s="3"/>
      <c r="C13" s="3"/>
      <c r="D13" s="3"/>
      <c r="E13" s="19"/>
      <c r="F13" s="19"/>
      <c r="G13" s="19"/>
    </row>
    <row r="14" spans="1:11" ht="16.5" x14ac:dyDescent="0.5">
      <c r="A14" s="3"/>
      <c r="B14" s="3"/>
      <c r="C14" s="3"/>
      <c r="E14" s="19"/>
      <c r="F14" s="19"/>
      <c r="G14" s="19"/>
    </row>
    <row r="15" spans="1:11" ht="16.5" x14ac:dyDescent="0.5">
      <c r="A15" s="3"/>
      <c r="B15" s="3"/>
      <c r="E15" s="19"/>
      <c r="F15" s="19"/>
      <c r="G15" s="19"/>
    </row>
    <row r="16" spans="1:11" ht="16.5" x14ac:dyDescent="0.5">
      <c r="A16" s="3"/>
      <c r="B16" s="3"/>
      <c r="E16" s="20"/>
      <c r="F16" s="19"/>
      <c r="G16" s="19"/>
    </row>
    <row r="17" spans="1:8" ht="17.25" customHeight="1" x14ac:dyDescent="0.5">
      <c r="A17" s="3"/>
      <c r="B17" s="3"/>
      <c r="E17" s="17"/>
      <c r="F17" s="4"/>
      <c r="G17" s="3"/>
    </row>
    <row r="18" spans="1:8" ht="16.5" x14ac:dyDescent="0.5">
      <c r="A18" s="3"/>
      <c r="B18" s="3"/>
      <c r="E18" s="17"/>
      <c r="F18" s="17"/>
      <c r="G18" s="16"/>
      <c r="H18" s="16" t="s">
        <v>38</v>
      </c>
    </row>
  </sheetData>
  <mergeCells count="10">
    <mergeCell ref="E1:G1"/>
    <mergeCell ref="A3:A6"/>
    <mergeCell ref="B3:B6"/>
    <mergeCell ref="C3:C6"/>
    <mergeCell ref="D3:D6"/>
    <mergeCell ref="K3:K5"/>
    <mergeCell ref="H1:J1"/>
    <mergeCell ref="J3:J5"/>
    <mergeCell ref="I3:I5"/>
    <mergeCell ref="H3:H5"/>
  </mergeCells>
  <dataValidations count="1">
    <dataValidation type="list" allowBlank="1" showInputMessage="1" showErrorMessage="1" sqref="E11 E3:E5 E7:E9" xr:uid="{A2477E48-5835-4B16-9FBF-C78279A05481}">
      <formula1>Conocimientos</formula1>
    </dataValidation>
  </dataValidations>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opLeftCell="E1" zoomScaleNormal="100" workbookViewId="0">
      <selection activeCell="H3" sqref="H3"/>
    </sheetView>
  </sheetViews>
  <sheetFormatPr baseColWidth="10" defaultColWidth="11.453125" defaultRowHeight="16.5" x14ac:dyDescent="0.35"/>
  <cols>
    <col min="1" max="1" width="19" style="3" customWidth="1"/>
    <col min="2" max="2" width="20.26953125" style="3" customWidth="1"/>
    <col min="3" max="3" width="30.1796875" style="3" customWidth="1"/>
    <col min="4" max="4" width="30.7265625" style="3" customWidth="1"/>
    <col min="5" max="5" width="37.453125" style="3" customWidth="1"/>
    <col min="6" max="6" width="84" style="3" customWidth="1"/>
    <col min="7" max="7" width="34" style="3" customWidth="1"/>
    <col min="8" max="16384" width="11.453125" style="3"/>
  </cols>
  <sheetData>
    <row r="1" spans="1:7" x14ac:dyDescent="0.35">
      <c r="A1" s="99" t="s">
        <v>39</v>
      </c>
      <c r="B1" s="100"/>
      <c r="C1" s="100"/>
      <c r="D1" s="100"/>
      <c r="E1" s="100"/>
      <c r="F1" s="100"/>
      <c r="G1" s="100"/>
    </row>
    <row r="2" spans="1:7" ht="52" x14ac:dyDescent="0.35">
      <c r="A2" s="34" t="s">
        <v>40</v>
      </c>
      <c r="B2" s="35" t="s">
        <v>41</v>
      </c>
      <c r="C2" s="35" t="s">
        <v>42</v>
      </c>
      <c r="D2" s="35" t="s">
        <v>43</v>
      </c>
      <c r="E2" s="35" t="s">
        <v>44</v>
      </c>
      <c r="F2" s="23" t="s">
        <v>45</v>
      </c>
      <c r="G2" s="23" t="s">
        <v>46</v>
      </c>
    </row>
    <row r="3" spans="1:7" x14ac:dyDescent="0.35">
      <c r="A3" s="36" t="s">
        <v>47</v>
      </c>
      <c r="B3" s="27" t="s">
        <v>48</v>
      </c>
      <c r="C3" s="27" t="s">
        <v>49</v>
      </c>
      <c r="D3" s="27" t="s">
        <v>50</v>
      </c>
      <c r="E3" s="27" t="s">
        <v>51</v>
      </c>
      <c r="F3" s="37" t="s">
        <v>52</v>
      </c>
      <c r="G3" s="24" t="s">
        <v>53</v>
      </c>
    </row>
    <row r="4" spans="1:7" ht="66" x14ac:dyDescent="0.35">
      <c r="A4" s="18">
        <v>1</v>
      </c>
      <c r="B4" s="73" t="s">
        <v>54</v>
      </c>
      <c r="C4" s="3" t="s">
        <v>22</v>
      </c>
      <c r="D4" s="3" t="s">
        <v>55</v>
      </c>
      <c r="E4" s="3" t="s">
        <v>24</v>
      </c>
      <c r="F4" s="31" t="s">
        <v>56</v>
      </c>
      <c r="G4" s="3" t="s">
        <v>57</v>
      </c>
    </row>
    <row r="5" spans="1:7" ht="82.5" x14ac:dyDescent="0.35">
      <c r="A5" s="18">
        <v>2</v>
      </c>
      <c r="B5" s="49" t="s">
        <v>58</v>
      </c>
      <c r="C5" s="3" t="s">
        <v>29</v>
      </c>
      <c r="D5" s="3" t="s">
        <v>59</v>
      </c>
      <c r="E5" s="3" t="s">
        <v>31</v>
      </c>
      <c r="F5" s="3" t="s">
        <v>60</v>
      </c>
      <c r="G5" s="3" t="s">
        <v>57</v>
      </c>
    </row>
    <row r="6" spans="1:7" ht="83" thickBot="1" x14ac:dyDescent="0.4">
      <c r="A6" s="47">
        <v>3</v>
      </c>
      <c r="B6" s="54" t="s">
        <v>61</v>
      </c>
      <c r="C6" s="33" t="s">
        <v>32</v>
      </c>
      <c r="D6" s="32" t="s">
        <v>62</v>
      </c>
      <c r="E6" s="33" t="s">
        <v>34</v>
      </c>
      <c r="F6" s="33" t="s">
        <v>63</v>
      </c>
      <c r="G6" s="33" t="s">
        <v>57</v>
      </c>
    </row>
    <row r="7" spans="1:7" ht="66" x14ac:dyDescent="0.35">
      <c r="A7" s="55">
        <v>4</v>
      </c>
      <c r="B7" s="38" t="s">
        <v>64</v>
      </c>
      <c r="C7" s="38" t="s">
        <v>35</v>
      </c>
      <c r="D7" s="38" t="s">
        <v>36</v>
      </c>
      <c r="E7" s="38" t="s">
        <v>37</v>
      </c>
      <c r="F7" s="38" t="s">
        <v>65</v>
      </c>
      <c r="G7" s="38" t="s">
        <v>66</v>
      </c>
    </row>
  </sheetData>
  <mergeCells count="1">
    <mergeCell ref="A1:G1"/>
  </mergeCells>
  <dataValidations count="1">
    <dataValidation type="list" allowBlank="1" showInputMessage="1" showErrorMessage="1" sqref="B4:B6" xr:uid="{00000000-0002-0000-0100-000000000000}">
      <formula1>Verboscompetencias</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419E045-6F1B-4007-8898-A227B41EAC27}">
          <x14:formula1>
            <xm:f>'Paso1 Analisis perfil egreso'!$E$3:$E$6</xm:f>
          </x14:formula1>
          <xm:sqref>C4:C6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topLeftCell="F1" zoomScaleNormal="100" workbookViewId="0">
      <selection activeCell="I2" sqref="I2"/>
    </sheetView>
  </sheetViews>
  <sheetFormatPr baseColWidth="10" defaultColWidth="11.453125" defaultRowHeight="16.5" x14ac:dyDescent="0.35"/>
  <cols>
    <col min="1" max="1" width="82.54296875" style="4" customWidth="1"/>
    <col min="2" max="2" width="15.1796875" style="18" customWidth="1"/>
    <col min="3" max="3" width="15.26953125" style="4" customWidth="1"/>
    <col min="4" max="4" width="30.1796875" style="4" customWidth="1"/>
    <col min="5" max="5" width="20" style="4" customWidth="1"/>
    <col min="6" max="6" width="14.7265625" style="4" customWidth="1"/>
    <col min="7" max="7" width="15.81640625" style="40" customWidth="1"/>
    <col min="8" max="8" width="14.1796875" style="49" customWidth="1"/>
    <col min="9" max="9" width="108.453125" style="49" customWidth="1"/>
    <col min="10" max="16384" width="11.453125" style="4"/>
  </cols>
  <sheetData>
    <row r="1" spans="1:10" ht="78" x14ac:dyDescent="0.35">
      <c r="A1" s="41" t="s">
        <v>67</v>
      </c>
      <c r="B1" s="41" t="s">
        <v>68</v>
      </c>
      <c r="C1" s="42" t="s">
        <v>69</v>
      </c>
      <c r="D1" s="43" t="s">
        <v>70</v>
      </c>
      <c r="E1" s="43" t="s">
        <v>71</v>
      </c>
      <c r="F1" s="42" t="s">
        <v>72</v>
      </c>
      <c r="G1" s="42" t="s">
        <v>73</v>
      </c>
      <c r="H1" s="42" t="s">
        <v>74</v>
      </c>
      <c r="I1" s="41" t="s">
        <v>75</v>
      </c>
      <c r="J1" s="63"/>
    </row>
    <row r="2" spans="1:10" ht="33" x14ac:dyDescent="0.35">
      <c r="A2" s="44" t="s">
        <v>76</v>
      </c>
      <c r="B2" s="44" t="s">
        <v>77</v>
      </c>
      <c r="C2" s="45" t="s">
        <v>78</v>
      </c>
      <c r="D2" s="46" t="s">
        <v>79</v>
      </c>
      <c r="E2" s="46" t="s">
        <v>80</v>
      </c>
      <c r="F2" s="45" t="s">
        <v>81</v>
      </c>
      <c r="G2" s="45" t="s">
        <v>82</v>
      </c>
      <c r="H2" s="45" t="s">
        <v>83</v>
      </c>
      <c r="I2" s="44" t="s">
        <v>84</v>
      </c>
      <c r="J2" s="64"/>
    </row>
    <row r="3" spans="1:10" ht="66" x14ac:dyDescent="0.35">
      <c r="A3" s="3" t="s">
        <v>56</v>
      </c>
      <c r="B3" s="18">
        <v>1</v>
      </c>
      <c r="C3" s="4" t="s">
        <v>11</v>
      </c>
      <c r="D3" s="3" t="s">
        <v>22</v>
      </c>
      <c r="E3" s="4" t="s">
        <v>85</v>
      </c>
      <c r="F3" s="49" t="s">
        <v>86</v>
      </c>
      <c r="G3" s="49" t="s">
        <v>87</v>
      </c>
      <c r="H3" s="49" t="s">
        <v>88</v>
      </c>
      <c r="I3" s="38" t="s">
        <v>89</v>
      </c>
    </row>
    <row r="4" spans="1:10" ht="66" x14ac:dyDescent="0.35">
      <c r="A4" s="3" t="s">
        <v>56</v>
      </c>
      <c r="B4" s="18">
        <v>4</v>
      </c>
      <c r="C4" s="4" t="s">
        <v>12</v>
      </c>
      <c r="D4" s="3" t="s">
        <v>23</v>
      </c>
      <c r="E4" s="4" t="s">
        <v>85</v>
      </c>
      <c r="F4" s="49" t="s">
        <v>90</v>
      </c>
      <c r="G4" s="49" t="s">
        <v>91</v>
      </c>
      <c r="H4" s="49" t="s">
        <v>92</v>
      </c>
      <c r="I4" s="38" t="s">
        <v>93</v>
      </c>
    </row>
    <row r="5" spans="1:10" ht="66" x14ac:dyDescent="0.35">
      <c r="A5" s="33" t="s">
        <v>56</v>
      </c>
      <c r="B5" s="47">
        <v>5</v>
      </c>
      <c r="C5" s="30" t="s">
        <v>13</v>
      </c>
      <c r="D5" s="33" t="s">
        <v>24</v>
      </c>
      <c r="E5" s="30" t="s">
        <v>85</v>
      </c>
      <c r="F5" s="54" t="s">
        <v>94</v>
      </c>
      <c r="G5" s="54" t="s">
        <v>95</v>
      </c>
      <c r="H5" s="54" t="s">
        <v>96</v>
      </c>
      <c r="I5" s="48" t="s">
        <v>97</v>
      </c>
    </row>
    <row r="6" spans="1:10" ht="66" x14ac:dyDescent="0.35">
      <c r="A6" s="3" t="s">
        <v>60</v>
      </c>
      <c r="B6" s="18">
        <v>1</v>
      </c>
      <c r="C6" s="4" t="s">
        <v>11</v>
      </c>
      <c r="D6" s="3" t="s">
        <v>29</v>
      </c>
      <c r="E6" s="4" t="s">
        <v>85</v>
      </c>
      <c r="F6" s="49" t="s">
        <v>86</v>
      </c>
      <c r="G6" s="49" t="s">
        <v>87</v>
      </c>
      <c r="H6" s="49" t="s">
        <v>88</v>
      </c>
      <c r="I6" s="38" t="s">
        <v>89</v>
      </c>
    </row>
    <row r="7" spans="1:10" ht="101.25" customHeight="1" x14ac:dyDescent="0.35">
      <c r="A7" s="3" t="s">
        <v>60</v>
      </c>
      <c r="B7" s="18">
        <v>4</v>
      </c>
      <c r="C7" s="4" t="s">
        <v>12</v>
      </c>
      <c r="D7" s="3" t="s">
        <v>30</v>
      </c>
      <c r="E7" s="4" t="s">
        <v>85</v>
      </c>
      <c r="F7" s="49" t="s">
        <v>90</v>
      </c>
      <c r="G7" s="49" t="s">
        <v>91</v>
      </c>
      <c r="H7" s="49" t="s">
        <v>92</v>
      </c>
      <c r="I7" s="38" t="s">
        <v>93</v>
      </c>
    </row>
    <row r="8" spans="1:10" ht="99" x14ac:dyDescent="0.35">
      <c r="A8" s="33" t="s">
        <v>60</v>
      </c>
      <c r="B8" s="47">
        <v>5</v>
      </c>
      <c r="C8" s="30" t="s">
        <v>13</v>
      </c>
      <c r="D8" s="33" t="s">
        <v>31</v>
      </c>
      <c r="E8" s="30" t="s">
        <v>85</v>
      </c>
      <c r="F8" s="54" t="s">
        <v>94</v>
      </c>
      <c r="G8" s="54" t="s">
        <v>95</v>
      </c>
      <c r="H8" s="54" t="s">
        <v>96</v>
      </c>
      <c r="I8" s="48" t="s">
        <v>97</v>
      </c>
    </row>
    <row r="9" spans="1:10" ht="66" x14ac:dyDescent="0.35">
      <c r="A9" s="3" t="s">
        <v>63</v>
      </c>
      <c r="B9" s="18">
        <v>2</v>
      </c>
      <c r="C9" s="4" t="s">
        <v>11</v>
      </c>
      <c r="D9" s="3" t="s">
        <v>32</v>
      </c>
      <c r="E9" s="4" t="s">
        <v>85</v>
      </c>
      <c r="F9" s="49" t="s">
        <v>86</v>
      </c>
      <c r="G9" s="49" t="s">
        <v>98</v>
      </c>
      <c r="H9" s="49" t="s">
        <v>88</v>
      </c>
      <c r="I9" s="38" t="s">
        <v>99</v>
      </c>
    </row>
    <row r="10" spans="1:10" ht="66" x14ac:dyDescent="0.35">
      <c r="A10" s="3" t="s">
        <v>63</v>
      </c>
      <c r="B10" s="18">
        <v>4</v>
      </c>
      <c r="C10" s="4" t="s">
        <v>12</v>
      </c>
      <c r="D10" s="3" t="s">
        <v>33</v>
      </c>
      <c r="E10" s="4" t="s">
        <v>85</v>
      </c>
      <c r="F10" s="49" t="s">
        <v>90</v>
      </c>
      <c r="G10" s="49" t="s">
        <v>91</v>
      </c>
      <c r="H10" s="49" t="s">
        <v>92</v>
      </c>
      <c r="I10" s="38" t="s">
        <v>93</v>
      </c>
    </row>
    <row r="11" spans="1:10" ht="99" x14ac:dyDescent="0.35">
      <c r="A11" s="33" t="s">
        <v>63</v>
      </c>
      <c r="B11" s="47">
        <v>5</v>
      </c>
      <c r="C11" s="30" t="s">
        <v>13</v>
      </c>
      <c r="D11" s="33" t="s">
        <v>34</v>
      </c>
      <c r="E11" s="30" t="s">
        <v>85</v>
      </c>
      <c r="F11" s="54" t="s">
        <v>94</v>
      </c>
      <c r="G11" s="54" t="s">
        <v>95</v>
      </c>
      <c r="H11" s="54" t="s">
        <v>96</v>
      </c>
      <c r="I11" s="48" t="s">
        <v>97</v>
      </c>
    </row>
    <row r="12" spans="1:10" ht="49.5" x14ac:dyDescent="0.35">
      <c r="A12" s="3" t="s">
        <v>65</v>
      </c>
      <c r="B12" s="18">
        <v>3</v>
      </c>
      <c r="C12" s="38" t="s">
        <v>11</v>
      </c>
      <c r="D12" s="38" t="s">
        <v>35</v>
      </c>
      <c r="E12" s="38" t="s">
        <v>85</v>
      </c>
      <c r="F12" s="2" t="s">
        <v>86</v>
      </c>
      <c r="G12" s="2" t="s">
        <v>95</v>
      </c>
      <c r="H12" s="38" t="s">
        <v>96</v>
      </c>
      <c r="I12" s="38" t="s">
        <v>100</v>
      </c>
    </row>
  </sheetData>
  <autoFilter ref="A2:I12" xr:uid="{00000000-0001-0000-0200-000000000000}"/>
  <dataValidations count="6">
    <dataValidation type="list" allowBlank="1" showInputMessage="1" showErrorMessage="1" sqref="C3:C11" xr:uid="{F77AFA70-E612-486F-8B4E-4EFDFD35A00C}">
      <formula1>dominios</formula1>
    </dataValidation>
    <dataValidation type="list" allowBlank="1" showInputMessage="1" showErrorMessage="1" sqref="F3:F11" xr:uid="{A9BEDA2D-85DA-4222-B9E7-76D0AEF849B7}">
      <formula1>INDIRECT($E3)</formula1>
    </dataValidation>
    <dataValidation type="list" allowBlank="1" showInputMessage="1" showErrorMessage="1" sqref="G3:G11" xr:uid="{D69AC2A7-FF51-4BFE-B27E-8848A1A673FE}">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1" xr:uid="{DA2725AE-6DAF-4C86-A871-6592A58E565F}">
      <formula1>taxonomiasra</formula1>
    </dataValidation>
    <dataValidation type="list" allowBlank="1" showInputMessage="1" showErrorMessage="1" sqref="D3:D12" xr:uid="{723BD163-7EBA-4467-BBDD-ED602865910F}">
      <formula1>INDIRECT($C3)</formula1>
    </dataValidation>
    <dataValidation type="list" allowBlank="1" showInputMessage="1" showErrorMessage="1" sqref="H3:H11" xr:uid="{18D13D6C-68AF-468C-BEE2-3545213E9997}">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78A8A85-68F9-4734-BA07-2B57B39369F8}">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topLeftCell="D1" zoomScaleNormal="100" workbookViewId="0">
      <selection activeCell="G2" sqref="G2"/>
    </sheetView>
  </sheetViews>
  <sheetFormatPr baseColWidth="10" defaultColWidth="11.453125" defaultRowHeight="16.5" x14ac:dyDescent="0.35"/>
  <cols>
    <col min="1" max="1" width="80" style="49" customWidth="1"/>
    <col min="2" max="2" width="47.7265625" style="40" customWidth="1"/>
    <col min="3" max="3" width="31.54296875" style="49" customWidth="1"/>
    <col min="4" max="4" width="43.1796875" style="49" customWidth="1"/>
    <col min="5" max="5" width="30.453125" style="49" customWidth="1"/>
    <col min="6" max="6" width="32.1796875" style="49" customWidth="1"/>
    <col min="7" max="7" width="45.453125" style="49" customWidth="1"/>
    <col min="8" max="16384" width="11.453125" style="49"/>
  </cols>
  <sheetData>
    <row r="1" spans="1:6" ht="65" x14ac:dyDescent="0.35">
      <c r="A1" s="22" t="s">
        <v>101</v>
      </c>
      <c r="B1" s="23" t="s">
        <v>102</v>
      </c>
      <c r="C1" s="23" t="s">
        <v>103</v>
      </c>
      <c r="D1" s="23" t="s">
        <v>104</v>
      </c>
      <c r="E1" s="23" t="s">
        <v>105</v>
      </c>
      <c r="F1" s="23" t="s">
        <v>106</v>
      </c>
    </row>
    <row r="2" spans="1:6" ht="33" x14ac:dyDescent="0.35">
      <c r="A2" s="52" t="s">
        <v>107</v>
      </c>
      <c r="B2" s="25" t="s">
        <v>108</v>
      </c>
      <c r="C2" s="25" t="s">
        <v>109</v>
      </c>
      <c r="D2" s="25" t="s">
        <v>110</v>
      </c>
      <c r="E2" s="25" t="s">
        <v>111</v>
      </c>
      <c r="F2" s="25" t="s">
        <v>112</v>
      </c>
    </row>
    <row r="3" spans="1:6" ht="66" x14ac:dyDescent="0.35">
      <c r="A3" s="50" t="s">
        <v>89</v>
      </c>
      <c r="B3" s="82" t="s">
        <v>113</v>
      </c>
      <c r="C3" s="101" t="s">
        <v>114</v>
      </c>
      <c r="D3" s="50" t="s">
        <v>115</v>
      </c>
      <c r="E3" s="89" t="s">
        <v>116</v>
      </c>
      <c r="F3" s="50" t="s">
        <v>117</v>
      </c>
    </row>
    <row r="4" spans="1:6" ht="66" x14ac:dyDescent="0.35">
      <c r="A4" s="50" t="s">
        <v>93</v>
      </c>
      <c r="B4" s="82"/>
      <c r="C4" s="101"/>
      <c r="D4" s="50" t="s">
        <v>118</v>
      </c>
      <c r="E4" s="89"/>
      <c r="F4" s="50" t="s">
        <v>119</v>
      </c>
    </row>
    <row r="5" spans="1:6" ht="66" x14ac:dyDescent="0.35">
      <c r="A5" s="50" t="s">
        <v>97</v>
      </c>
      <c r="B5" s="82"/>
      <c r="C5" s="101"/>
      <c r="D5" s="50" t="s">
        <v>120</v>
      </c>
      <c r="E5" s="89"/>
      <c r="F5" s="50" t="s">
        <v>119</v>
      </c>
    </row>
    <row r="6" spans="1:6" ht="66" x14ac:dyDescent="0.35">
      <c r="A6" s="32" t="s">
        <v>99</v>
      </c>
      <c r="B6" s="83"/>
      <c r="C6" s="102"/>
      <c r="D6" s="32" t="s">
        <v>121</v>
      </c>
      <c r="E6" s="90"/>
      <c r="F6" s="32" t="s">
        <v>122</v>
      </c>
    </row>
    <row r="7" spans="1:6" ht="66" x14ac:dyDescent="0.35">
      <c r="A7" s="50" t="s">
        <v>89</v>
      </c>
      <c r="B7" s="82" t="s">
        <v>123</v>
      </c>
      <c r="C7" s="101" t="s">
        <v>124</v>
      </c>
      <c r="D7" s="50" t="s">
        <v>115</v>
      </c>
      <c r="E7" s="89" t="s">
        <v>125</v>
      </c>
      <c r="F7" s="50" t="s">
        <v>117</v>
      </c>
    </row>
    <row r="8" spans="1:6" ht="66" x14ac:dyDescent="0.35">
      <c r="A8" s="50" t="s">
        <v>93</v>
      </c>
      <c r="B8" s="82"/>
      <c r="C8" s="101"/>
      <c r="D8" s="50" t="s">
        <v>126</v>
      </c>
      <c r="E8" s="89"/>
      <c r="F8" s="50" t="s">
        <v>119</v>
      </c>
    </row>
    <row r="9" spans="1:6" ht="66" x14ac:dyDescent="0.35">
      <c r="A9" s="50" t="s">
        <v>97</v>
      </c>
      <c r="B9" s="82"/>
      <c r="C9" s="101"/>
      <c r="D9" s="50" t="s">
        <v>127</v>
      </c>
      <c r="E9" s="89"/>
      <c r="F9" s="50" t="s">
        <v>119</v>
      </c>
    </row>
    <row r="10" spans="1:6" ht="66" x14ac:dyDescent="0.35">
      <c r="A10" s="32" t="s">
        <v>99</v>
      </c>
      <c r="B10" s="83"/>
      <c r="C10" s="102"/>
      <c r="D10" s="32" t="s">
        <v>128</v>
      </c>
      <c r="E10" s="90"/>
      <c r="F10" s="32" t="s">
        <v>122</v>
      </c>
    </row>
    <row r="11" spans="1:6" ht="66" x14ac:dyDescent="0.35">
      <c r="A11" s="50" t="s">
        <v>89</v>
      </c>
      <c r="B11" s="82" t="s">
        <v>129</v>
      </c>
      <c r="C11" s="101" t="s">
        <v>130</v>
      </c>
      <c r="D11" s="50" t="s">
        <v>115</v>
      </c>
      <c r="E11" s="89" t="s">
        <v>131</v>
      </c>
      <c r="F11" s="50" t="s">
        <v>117</v>
      </c>
    </row>
    <row r="12" spans="1:6" ht="66" x14ac:dyDescent="0.35">
      <c r="A12" s="50" t="s">
        <v>93</v>
      </c>
      <c r="B12" s="82"/>
      <c r="C12" s="101"/>
      <c r="D12" s="50" t="s">
        <v>132</v>
      </c>
      <c r="E12" s="89"/>
      <c r="F12" s="50" t="s">
        <v>119</v>
      </c>
    </row>
    <row r="13" spans="1:6" ht="66" x14ac:dyDescent="0.35">
      <c r="A13" s="50" t="s">
        <v>97</v>
      </c>
      <c r="B13" s="82"/>
      <c r="C13" s="101"/>
      <c r="D13" s="50" t="s">
        <v>133</v>
      </c>
      <c r="E13" s="89"/>
      <c r="F13" s="50" t="s">
        <v>119</v>
      </c>
    </row>
    <row r="14" spans="1:6" ht="66" x14ac:dyDescent="0.35">
      <c r="A14" s="32" t="s">
        <v>99</v>
      </c>
      <c r="B14" s="83"/>
      <c r="C14" s="102"/>
      <c r="D14" s="32" t="s">
        <v>134</v>
      </c>
      <c r="E14" s="90"/>
      <c r="F14" s="32" t="s">
        <v>122</v>
      </c>
    </row>
    <row r="15" spans="1:6" ht="66" x14ac:dyDescent="0.35">
      <c r="A15" s="50" t="s">
        <v>97</v>
      </c>
      <c r="B15" s="82" t="s">
        <v>135</v>
      </c>
      <c r="C15" s="89" t="s">
        <v>136</v>
      </c>
      <c r="D15" s="50" t="s">
        <v>115</v>
      </c>
      <c r="E15" s="89" t="s">
        <v>137</v>
      </c>
      <c r="F15" s="50" t="s">
        <v>117</v>
      </c>
    </row>
    <row r="16" spans="1:6" ht="66" x14ac:dyDescent="0.35">
      <c r="A16" s="32" t="s">
        <v>99</v>
      </c>
      <c r="B16" s="83"/>
      <c r="C16" s="90"/>
      <c r="D16" s="32" t="s">
        <v>138</v>
      </c>
      <c r="E16" s="90"/>
      <c r="F16" s="32" t="s">
        <v>119</v>
      </c>
    </row>
    <row r="17" spans="1:6" ht="66" x14ac:dyDescent="0.35">
      <c r="A17" s="50" t="s">
        <v>89</v>
      </c>
      <c r="B17" s="82" t="s">
        <v>139</v>
      </c>
      <c r="C17" s="89" t="s">
        <v>140</v>
      </c>
      <c r="D17" s="50" t="s">
        <v>115</v>
      </c>
      <c r="E17" s="89" t="s">
        <v>141</v>
      </c>
      <c r="F17" s="50" t="s">
        <v>117</v>
      </c>
    </row>
    <row r="18" spans="1:6" ht="66" x14ac:dyDescent="0.35">
      <c r="A18" s="50" t="s">
        <v>93</v>
      </c>
      <c r="B18" s="82"/>
      <c r="C18" s="89"/>
      <c r="D18" s="50" t="s">
        <v>142</v>
      </c>
      <c r="E18" s="89"/>
      <c r="F18" s="50" t="s">
        <v>119</v>
      </c>
    </row>
    <row r="19" spans="1:6" ht="66" x14ac:dyDescent="0.35">
      <c r="A19" s="50" t="s">
        <v>97</v>
      </c>
      <c r="B19" s="82"/>
      <c r="C19" s="89"/>
      <c r="D19" s="50"/>
      <c r="E19" s="89"/>
      <c r="F19" s="50"/>
    </row>
    <row r="20" spans="1:6" ht="66" x14ac:dyDescent="0.35">
      <c r="A20" s="32" t="s">
        <v>99</v>
      </c>
      <c r="B20" s="83"/>
      <c r="C20" s="90"/>
      <c r="D20" s="53"/>
      <c r="E20" s="90"/>
      <c r="F20" s="54"/>
    </row>
    <row r="21" spans="1:6" x14ac:dyDescent="0.35">
      <c r="A21" s="50"/>
    </row>
  </sheetData>
  <mergeCells count="15">
    <mergeCell ref="B15:B16"/>
    <mergeCell ref="C15:C16"/>
    <mergeCell ref="B17:B20"/>
    <mergeCell ref="C17:C20"/>
    <mergeCell ref="B3:B6"/>
    <mergeCell ref="C3:C6"/>
    <mergeCell ref="B7:B10"/>
    <mergeCell ref="C7:C10"/>
    <mergeCell ref="B11:B14"/>
    <mergeCell ref="C11:C14"/>
    <mergeCell ref="E3:E6"/>
    <mergeCell ref="E7:E10"/>
    <mergeCell ref="E11:E14"/>
    <mergeCell ref="E15:E16"/>
    <mergeCell ref="E17:E20"/>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7A78094-82B6-4699-AC9C-31CEF6CE144F}">
          <x14:formula1>
            <xm:f>'Paso 3 Redacción RA '!$I$3:$I$11</xm:f>
          </x14:formula1>
          <xm:sqref>A3:A20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15"/>
  <sheetViews>
    <sheetView tabSelected="1" topLeftCell="B128" zoomScale="45" zoomScaleNormal="100" workbookViewId="0">
      <selection activeCell="J137" sqref="J137"/>
    </sheetView>
  </sheetViews>
  <sheetFormatPr baseColWidth="10" defaultColWidth="11.453125" defaultRowHeight="16.5" x14ac:dyDescent="0.35"/>
  <cols>
    <col min="1" max="1" width="17.1796875" style="3" customWidth="1"/>
    <col min="2" max="2" width="46.26953125" style="3" customWidth="1"/>
    <col min="3" max="3" width="16.26953125" style="18" customWidth="1"/>
    <col min="4" max="4" width="23.81640625" style="18" customWidth="1"/>
    <col min="5" max="5" width="52.453125" style="4" customWidth="1"/>
    <col min="6" max="6" width="16.453125" style="18" customWidth="1"/>
    <col min="7" max="7" width="15.54296875" style="18" customWidth="1"/>
    <col min="8" max="8" width="15.1796875" style="18" customWidth="1"/>
    <col min="9" max="9" width="13.81640625" style="18" customWidth="1"/>
    <col min="10" max="10" width="21.26953125" style="18" customWidth="1"/>
    <col min="11" max="11" width="27" style="18" customWidth="1"/>
    <col min="12" max="12" width="21.26953125" style="18" customWidth="1"/>
    <col min="13" max="13" width="15.1796875" style="18" customWidth="1"/>
    <col min="14" max="14" width="32.1796875" style="3" customWidth="1"/>
    <col min="15" max="15" width="41.7265625" style="3" customWidth="1"/>
    <col min="16" max="16" width="41.54296875" style="3" customWidth="1"/>
    <col min="17" max="17" width="55.81640625" style="4" customWidth="1"/>
    <col min="18" max="16384" width="11.453125" style="3"/>
  </cols>
  <sheetData>
    <row r="1" spans="1:20" ht="65" x14ac:dyDescent="0.35">
      <c r="A1" s="22" t="s">
        <v>143</v>
      </c>
      <c r="B1" s="23" t="s">
        <v>144</v>
      </c>
      <c r="C1" s="23" t="s">
        <v>145</v>
      </c>
      <c r="D1" s="23" t="s">
        <v>146</v>
      </c>
      <c r="E1" s="23" t="s">
        <v>147</v>
      </c>
      <c r="F1" s="23" t="s">
        <v>148</v>
      </c>
      <c r="G1" s="80" t="s">
        <v>149</v>
      </c>
      <c r="H1" s="80"/>
      <c r="I1" s="81"/>
      <c r="J1" s="23" t="s">
        <v>150</v>
      </c>
      <c r="K1" s="23" t="s">
        <v>151</v>
      </c>
      <c r="L1" s="23" t="s">
        <v>152</v>
      </c>
      <c r="M1" s="23" t="s">
        <v>153</v>
      </c>
      <c r="N1" s="23" t="s">
        <v>154</v>
      </c>
      <c r="O1" s="23" t="s">
        <v>155</v>
      </c>
      <c r="P1" s="23" t="s">
        <v>156</v>
      </c>
      <c r="Q1" s="23" t="s">
        <v>157</v>
      </c>
      <c r="R1" s="56"/>
      <c r="S1" s="56"/>
      <c r="T1" s="55"/>
    </row>
    <row r="2" spans="1:20" ht="49.5" x14ac:dyDescent="0.35">
      <c r="A2" s="51" t="s">
        <v>158</v>
      </c>
      <c r="B2" s="58" t="s">
        <v>107</v>
      </c>
      <c r="C2" s="58" t="s">
        <v>159</v>
      </c>
      <c r="D2" s="58" t="s">
        <v>160</v>
      </c>
      <c r="E2" s="58" t="s">
        <v>161</v>
      </c>
      <c r="F2" s="58" t="s">
        <v>162</v>
      </c>
      <c r="G2" s="58" t="s">
        <v>163</v>
      </c>
      <c r="H2" s="58" t="s">
        <v>164</v>
      </c>
      <c r="I2" s="58" t="s">
        <v>165</v>
      </c>
      <c r="J2" s="58" t="s">
        <v>166</v>
      </c>
      <c r="K2" s="58" t="s">
        <v>167</v>
      </c>
      <c r="L2" s="58" t="s">
        <v>168</v>
      </c>
      <c r="M2" s="58" t="s">
        <v>169</v>
      </c>
      <c r="N2" s="58" t="s">
        <v>170</v>
      </c>
      <c r="O2" s="58" t="s">
        <v>171</v>
      </c>
      <c r="P2" s="58" t="s">
        <v>172</v>
      </c>
      <c r="Q2" s="58" t="s">
        <v>173</v>
      </c>
      <c r="R2" s="57"/>
      <c r="S2" s="57"/>
      <c r="T2" s="55"/>
    </row>
    <row r="3" spans="1:20" ht="115.5" x14ac:dyDescent="0.35">
      <c r="A3" s="38" t="str">
        <f>_xlfn.XLOOKUP(B3,'Paso 3 Redacción RA '!I$3:I$12,'Paso 3 Redacción RA '!C$3:C$12,,0,1)</f>
        <v>Saber</v>
      </c>
      <c r="B3" s="38" t="s">
        <v>89</v>
      </c>
      <c r="C3" s="82">
        <v>1</v>
      </c>
      <c r="D3" s="82" t="s">
        <v>174</v>
      </c>
      <c r="E3" s="84" t="s">
        <v>175</v>
      </c>
      <c r="F3" s="82" t="s">
        <v>176</v>
      </c>
      <c r="G3" s="82"/>
      <c r="H3" s="82" t="s">
        <v>177</v>
      </c>
      <c r="I3" s="82"/>
      <c r="J3" s="82">
        <v>3</v>
      </c>
      <c r="K3" s="82">
        <f>J3*16</f>
        <v>48</v>
      </c>
      <c r="L3" s="82">
        <f>J3*32</f>
        <v>96</v>
      </c>
      <c r="M3" s="82">
        <f>SUM(K3:L3)</f>
        <v>144</v>
      </c>
      <c r="N3" s="84" t="s">
        <v>178</v>
      </c>
      <c r="O3" s="84" t="s">
        <v>179</v>
      </c>
      <c r="P3" s="84" t="s">
        <v>180</v>
      </c>
      <c r="Q3" s="84" t="s">
        <v>181</v>
      </c>
    </row>
    <row r="4" spans="1:20" ht="115.5" x14ac:dyDescent="0.35">
      <c r="A4" s="38" t="str">
        <f>_xlfn.XLOOKUP(B4,'Paso 3 Redacción RA '!I$3:I$12,'Paso 3 Redacción RA '!C$3:C$12,,0,1)</f>
        <v>SaberHacer</v>
      </c>
      <c r="B4" s="38" t="s">
        <v>93</v>
      </c>
      <c r="C4" s="82"/>
      <c r="D4" s="82"/>
      <c r="E4" s="84"/>
      <c r="F4" s="82"/>
      <c r="G4" s="82"/>
      <c r="H4" s="82"/>
      <c r="I4" s="82"/>
      <c r="J4" s="82"/>
      <c r="K4" s="82"/>
      <c r="L4" s="82"/>
      <c r="M4" s="82"/>
      <c r="N4" s="84"/>
      <c r="O4" s="84"/>
      <c r="P4" s="84"/>
      <c r="Q4" s="84"/>
    </row>
    <row r="5" spans="1:20" ht="115.5" x14ac:dyDescent="0.35">
      <c r="A5" s="48" t="str">
        <f>_xlfn.XLOOKUP(B5,'Paso 3 Redacción RA '!I$3:I$12,'Paso 3 Redacción RA '!C$3:C$12,,0,1)</f>
        <v>SaberSer</v>
      </c>
      <c r="B5" s="48" t="s">
        <v>97</v>
      </c>
      <c r="C5" s="83"/>
      <c r="D5" s="83"/>
      <c r="E5" s="85"/>
      <c r="F5" s="83"/>
      <c r="G5" s="83"/>
      <c r="H5" s="83"/>
      <c r="I5" s="83"/>
      <c r="J5" s="83"/>
      <c r="K5" s="83"/>
      <c r="L5" s="83"/>
      <c r="M5" s="83"/>
      <c r="N5" s="85"/>
      <c r="O5" s="85"/>
      <c r="P5" s="85"/>
      <c r="Q5" s="85"/>
    </row>
    <row r="6" spans="1:20" ht="115.5" x14ac:dyDescent="0.35">
      <c r="A6" s="38" t="str">
        <f>_xlfn.XLOOKUP(B6,'Paso 3 Redacción RA '!I$3:I$12,'Paso 3 Redacción RA '!C$3:C$12,,0,1)</f>
        <v>SaberHacer</v>
      </c>
      <c r="B6" s="38" t="s">
        <v>93</v>
      </c>
      <c r="C6" s="82">
        <v>1</v>
      </c>
      <c r="D6" s="82" t="s">
        <v>182</v>
      </c>
      <c r="E6" s="84" t="s">
        <v>183</v>
      </c>
      <c r="F6" s="82" t="s">
        <v>176</v>
      </c>
      <c r="G6" s="82"/>
      <c r="H6" s="82" t="s">
        <v>177</v>
      </c>
      <c r="I6" s="82"/>
      <c r="J6" s="82">
        <v>3</v>
      </c>
      <c r="K6" s="82">
        <f>J6*16</f>
        <v>48</v>
      </c>
      <c r="L6" s="82">
        <f>J6*32</f>
        <v>96</v>
      </c>
      <c r="M6" s="82">
        <f>SUM(K6:L6)</f>
        <v>144</v>
      </c>
      <c r="N6" s="84" t="s">
        <v>184</v>
      </c>
      <c r="O6" s="84" t="s">
        <v>179</v>
      </c>
      <c r="P6" s="84" t="s">
        <v>180</v>
      </c>
      <c r="Q6" s="84" t="s">
        <v>181</v>
      </c>
    </row>
    <row r="7" spans="1:20" ht="115.5" x14ac:dyDescent="0.35">
      <c r="A7" s="38" t="str">
        <f>_xlfn.XLOOKUP(B7,'Paso 3 Redacción RA '!I$3:I$12,'Paso 3 Redacción RA '!C$3:C$12,,0,1)</f>
        <v>SaberSer</v>
      </c>
      <c r="B7" s="38" t="s">
        <v>97</v>
      </c>
      <c r="C7" s="82"/>
      <c r="D7" s="82"/>
      <c r="E7" s="84"/>
      <c r="F7" s="82"/>
      <c r="G7" s="82"/>
      <c r="H7" s="82"/>
      <c r="I7" s="82"/>
      <c r="J7" s="82"/>
      <c r="K7" s="82"/>
      <c r="L7" s="82"/>
      <c r="M7" s="82"/>
      <c r="N7" s="84"/>
      <c r="O7" s="84"/>
      <c r="P7" s="84"/>
      <c r="Q7" s="84"/>
    </row>
    <row r="8" spans="1:20" ht="115.5" x14ac:dyDescent="0.35">
      <c r="A8" s="48" t="str">
        <f>_xlfn.XLOOKUP(B8,'Paso 3 Redacción RA '!I$3:I$12,'Paso 3 Redacción RA '!C$3:C$12,,0,1)</f>
        <v>Saber</v>
      </c>
      <c r="B8" s="48" t="s">
        <v>99</v>
      </c>
      <c r="C8" s="83"/>
      <c r="D8" s="83"/>
      <c r="E8" s="85"/>
      <c r="F8" s="83"/>
      <c r="G8" s="83"/>
      <c r="H8" s="83"/>
      <c r="I8" s="83"/>
      <c r="J8" s="83"/>
      <c r="K8" s="83"/>
      <c r="L8" s="83"/>
      <c r="M8" s="83"/>
      <c r="N8" s="85"/>
      <c r="O8" s="85"/>
      <c r="P8" s="85"/>
      <c r="Q8" s="85"/>
    </row>
    <row r="9" spans="1:20" ht="115.5" x14ac:dyDescent="0.35">
      <c r="A9" s="38" t="str">
        <f>_xlfn.XLOOKUP(B9,'Paso 3 Redacción RA '!I$3:I$12,'Paso 3 Redacción RA '!C$3:C$12,,0,1)</f>
        <v>SaberHacer</v>
      </c>
      <c r="B9" s="38" t="s">
        <v>93</v>
      </c>
      <c r="C9" s="82">
        <v>1</v>
      </c>
      <c r="D9" s="82" t="s">
        <v>185</v>
      </c>
      <c r="E9" s="84" t="s">
        <v>186</v>
      </c>
      <c r="F9" s="82" t="s">
        <v>187</v>
      </c>
      <c r="G9" s="82"/>
      <c r="H9" s="82" t="s">
        <v>177</v>
      </c>
      <c r="I9" s="82"/>
      <c r="J9" s="82">
        <v>3</v>
      </c>
      <c r="K9" s="82">
        <f>16*J9</f>
        <v>48</v>
      </c>
      <c r="L9" s="82">
        <f>32*J9</f>
        <v>96</v>
      </c>
      <c r="M9" s="82">
        <f>SUM(K9:L10)</f>
        <v>144</v>
      </c>
      <c r="N9" s="84" t="s">
        <v>188</v>
      </c>
      <c r="O9" s="84" t="s">
        <v>189</v>
      </c>
      <c r="P9" s="84" t="s">
        <v>190</v>
      </c>
      <c r="Q9" s="84" t="s">
        <v>181</v>
      </c>
    </row>
    <row r="10" spans="1:20" ht="115.5" x14ac:dyDescent="0.35">
      <c r="A10" s="38" t="str">
        <f>_xlfn.XLOOKUP(B10,'Paso 3 Redacción RA '!I$3:I$12,'Paso 3 Redacción RA '!C$3:C$12,,0,1)</f>
        <v>Saber</v>
      </c>
      <c r="B10" s="38" t="s">
        <v>99</v>
      </c>
      <c r="C10" s="82"/>
      <c r="D10" s="82"/>
      <c r="E10" s="84"/>
      <c r="F10" s="82"/>
      <c r="G10" s="82"/>
      <c r="H10" s="82"/>
      <c r="I10" s="82"/>
      <c r="J10" s="82"/>
      <c r="K10" s="82"/>
      <c r="L10" s="82"/>
      <c r="M10" s="82"/>
      <c r="N10" s="84"/>
      <c r="O10" s="84"/>
      <c r="P10" s="84"/>
      <c r="Q10" s="84"/>
    </row>
    <row r="11" spans="1:20" ht="396" x14ac:dyDescent="0.35">
      <c r="A11" s="60" t="s">
        <v>11</v>
      </c>
      <c r="B11" s="60" t="s">
        <v>100</v>
      </c>
      <c r="C11" s="61" t="s">
        <v>191</v>
      </c>
      <c r="D11" s="61" t="s">
        <v>192</v>
      </c>
      <c r="E11" s="62" t="s">
        <v>193</v>
      </c>
      <c r="F11" s="61" t="s">
        <v>187</v>
      </c>
      <c r="G11" s="60" t="s">
        <v>177</v>
      </c>
      <c r="H11" s="60" t="s">
        <v>194</v>
      </c>
      <c r="I11" s="60" t="s">
        <v>194</v>
      </c>
      <c r="J11" s="61">
        <v>3</v>
      </c>
      <c r="K11" s="61">
        <v>48</v>
      </c>
      <c r="L11" s="61">
        <v>96</v>
      </c>
      <c r="M11" s="61">
        <v>144</v>
      </c>
      <c r="N11" s="60" t="s">
        <v>195</v>
      </c>
      <c r="O11" s="60" t="s">
        <v>196</v>
      </c>
      <c r="P11" s="60" t="s">
        <v>197</v>
      </c>
      <c r="Q11" s="62" t="s">
        <v>181</v>
      </c>
      <c r="R11" s="38"/>
      <c r="S11" s="38"/>
      <c r="T11" s="38"/>
    </row>
    <row r="12" spans="1:20" ht="313.5" x14ac:dyDescent="0.35">
      <c r="A12" s="60" t="s">
        <v>11</v>
      </c>
      <c r="B12" s="60" t="s">
        <v>100</v>
      </c>
      <c r="C12" s="61" t="s">
        <v>191</v>
      </c>
      <c r="D12" s="61" t="s">
        <v>198</v>
      </c>
      <c r="E12" s="62" t="s">
        <v>199</v>
      </c>
      <c r="F12" s="61" t="s">
        <v>176</v>
      </c>
      <c r="G12" s="60" t="s">
        <v>177</v>
      </c>
      <c r="H12" s="60" t="s">
        <v>194</v>
      </c>
      <c r="I12" s="60" t="s">
        <v>194</v>
      </c>
      <c r="J12" s="61">
        <v>3</v>
      </c>
      <c r="K12" s="61">
        <v>48</v>
      </c>
      <c r="L12" s="61">
        <v>96</v>
      </c>
      <c r="M12" s="61">
        <v>144</v>
      </c>
      <c r="N12" s="60" t="s">
        <v>200</v>
      </c>
      <c r="O12" s="60" t="s">
        <v>201</v>
      </c>
      <c r="P12" s="60" t="s">
        <v>202</v>
      </c>
      <c r="Q12" s="62" t="s">
        <v>181</v>
      </c>
      <c r="R12" s="38"/>
      <c r="S12" s="38"/>
      <c r="T12" s="38"/>
    </row>
    <row r="13" spans="1:20" ht="115.5" x14ac:dyDescent="0.35">
      <c r="A13" s="38" t="str">
        <f>_xlfn.XLOOKUP(B13,'Paso 3 Redacción RA '!I$3:I$12,'Paso 3 Redacción RA '!C$3:C$12,,0,1)</f>
        <v>Saber</v>
      </c>
      <c r="B13" s="38" t="s">
        <v>89</v>
      </c>
      <c r="C13" s="82">
        <v>2</v>
      </c>
      <c r="D13" s="82" t="s">
        <v>203</v>
      </c>
      <c r="E13" s="84" t="s">
        <v>204</v>
      </c>
      <c r="F13" s="82" t="s">
        <v>176</v>
      </c>
      <c r="G13" s="82"/>
      <c r="H13" s="82" t="s">
        <v>177</v>
      </c>
      <c r="I13" s="82"/>
      <c r="J13" s="82">
        <v>3</v>
      </c>
      <c r="K13" s="82">
        <f>J13*16</f>
        <v>48</v>
      </c>
      <c r="L13" s="82">
        <f>J13*32</f>
        <v>96</v>
      </c>
      <c r="M13" s="82">
        <f>SUM(K13:L13)</f>
        <v>144</v>
      </c>
      <c r="N13" s="84" t="s">
        <v>205</v>
      </c>
      <c r="O13" s="84" t="s">
        <v>206</v>
      </c>
      <c r="P13" s="84" t="s">
        <v>207</v>
      </c>
      <c r="Q13" s="84" t="s">
        <v>181</v>
      </c>
    </row>
    <row r="14" spans="1:20" ht="115.5" x14ac:dyDescent="0.35">
      <c r="A14" s="38"/>
      <c r="B14" s="38" t="s">
        <v>93</v>
      </c>
      <c r="C14" s="82"/>
      <c r="D14" s="82"/>
      <c r="E14" s="84"/>
      <c r="F14" s="82"/>
      <c r="G14" s="82"/>
      <c r="H14" s="82"/>
      <c r="I14" s="82"/>
      <c r="J14" s="82"/>
      <c r="K14" s="82"/>
      <c r="L14" s="82"/>
      <c r="M14" s="82"/>
      <c r="N14" s="84"/>
      <c r="O14" s="84"/>
      <c r="P14" s="84"/>
      <c r="Q14" s="84"/>
    </row>
    <row r="15" spans="1:20" ht="115.5" x14ac:dyDescent="0.35">
      <c r="A15" s="48" t="str">
        <f>_xlfn.XLOOKUP(B15,'Paso 3 Redacción RA '!I$3:I$12,'Paso 3 Redacción RA '!C$3:C$12,,0,1)</f>
        <v>SaberSer</v>
      </c>
      <c r="B15" s="48" t="s">
        <v>97</v>
      </c>
      <c r="C15" s="83"/>
      <c r="D15" s="83"/>
      <c r="E15" s="85"/>
      <c r="F15" s="83"/>
      <c r="G15" s="83"/>
      <c r="H15" s="83"/>
      <c r="I15" s="83"/>
      <c r="J15" s="83"/>
      <c r="K15" s="83"/>
      <c r="L15" s="83"/>
      <c r="M15" s="83"/>
      <c r="N15" s="85"/>
      <c r="O15" s="85"/>
      <c r="P15" s="85"/>
      <c r="Q15" s="85"/>
    </row>
    <row r="16" spans="1:20" ht="115.5" x14ac:dyDescent="0.35">
      <c r="A16" s="38" t="str">
        <f>_xlfn.XLOOKUP(B16,'Paso 3 Redacción RA '!I$3:I$12,'Paso 3 Redacción RA '!C$3:C$12,,0,1)</f>
        <v>SaberHacer</v>
      </c>
      <c r="B16" s="38" t="s">
        <v>93</v>
      </c>
      <c r="C16" s="82">
        <v>2</v>
      </c>
      <c r="D16" s="82" t="s">
        <v>208</v>
      </c>
      <c r="E16" s="84" t="s">
        <v>209</v>
      </c>
      <c r="F16" s="82" t="s">
        <v>187</v>
      </c>
      <c r="G16" s="82"/>
      <c r="H16" s="82" t="s">
        <v>177</v>
      </c>
      <c r="I16" s="82"/>
      <c r="J16" s="82">
        <v>3</v>
      </c>
      <c r="K16" s="82">
        <f>J16*16</f>
        <v>48</v>
      </c>
      <c r="L16" s="82">
        <f>J16*32</f>
        <v>96</v>
      </c>
      <c r="M16" s="82">
        <f>SUM(K16:L16)</f>
        <v>144</v>
      </c>
      <c r="N16" s="84" t="s">
        <v>210</v>
      </c>
      <c r="O16" s="86" t="s">
        <v>211</v>
      </c>
      <c r="P16" s="84" t="s">
        <v>207</v>
      </c>
      <c r="Q16" s="84" t="s">
        <v>181</v>
      </c>
    </row>
    <row r="17" spans="1:20" ht="115.5" x14ac:dyDescent="0.35">
      <c r="A17" s="38" t="str">
        <f>_xlfn.XLOOKUP(B17,'Paso 3 Redacción RA '!I$3:I$12,'Paso 3 Redacción RA '!C$3:C$12,,0,1)</f>
        <v>SaberSer</v>
      </c>
      <c r="B17" s="38" t="s">
        <v>97</v>
      </c>
      <c r="C17" s="82"/>
      <c r="D17" s="82"/>
      <c r="E17" s="84"/>
      <c r="F17" s="82"/>
      <c r="G17" s="82"/>
      <c r="H17" s="82"/>
      <c r="I17" s="82"/>
      <c r="J17" s="82"/>
      <c r="K17" s="82"/>
      <c r="L17" s="82"/>
      <c r="M17" s="82"/>
      <c r="N17" s="84"/>
      <c r="O17" s="84"/>
      <c r="P17" s="84"/>
      <c r="Q17" s="84"/>
    </row>
    <row r="18" spans="1:20" ht="115.5" x14ac:dyDescent="0.35">
      <c r="A18" s="48" t="str">
        <f>_xlfn.XLOOKUP(B18,'Paso 3 Redacción RA '!I$3:I$12,'Paso 3 Redacción RA '!C$3:C$12,,0,1)</f>
        <v>Saber</v>
      </c>
      <c r="B18" s="48" t="s">
        <v>99</v>
      </c>
      <c r="C18" s="83"/>
      <c r="D18" s="83"/>
      <c r="E18" s="85"/>
      <c r="F18" s="83"/>
      <c r="G18" s="83"/>
      <c r="H18" s="83"/>
      <c r="I18" s="83"/>
      <c r="J18" s="83"/>
      <c r="K18" s="83"/>
      <c r="L18" s="83"/>
      <c r="M18" s="83"/>
      <c r="N18" s="85"/>
      <c r="O18" s="85"/>
      <c r="P18" s="85"/>
      <c r="Q18" s="85"/>
    </row>
    <row r="19" spans="1:20" ht="115.5" x14ac:dyDescent="0.35">
      <c r="A19" s="38" t="str">
        <f>_xlfn.XLOOKUP(B19,'Paso 3 Redacción RA '!I$3:I$12,'Paso 3 Redacción RA '!C$3:C$12,,0,1)</f>
        <v>Saber</v>
      </c>
      <c r="B19" s="38" t="s">
        <v>89</v>
      </c>
      <c r="C19" s="82">
        <v>2</v>
      </c>
      <c r="D19" s="82" t="s">
        <v>212</v>
      </c>
      <c r="E19" s="84" t="s">
        <v>213</v>
      </c>
      <c r="F19" s="82" t="s">
        <v>176</v>
      </c>
      <c r="G19" s="82"/>
      <c r="H19" s="82" t="s">
        <v>177</v>
      </c>
      <c r="I19" s="82"/>
      <c r="J19" s="82">
        <v>3</v>
      </c>
      <c r="K19" s="82">
        <f>J19*16</f>
        <v>48</v>
      </c>
      <c r="L19" s="82">
        <f>J19*32</f>
        <v>96</v>
      </c>
      <c r="M19" s="82">
        <f>SUM(K19:L19)</f>
        <v>144</v>
      </c>
      <c r="N19" s="84" t="s">
        <v>214</v>
      </c>
      <c r="O19" s="86" t="s">
        <v>179</v>
      </c>
      <c r="P19" s="84" t="s">
        <v>180</v>
      </c>
      <c r="Q19" s="84" t="s">
        <v>181</v>
      </c>
    </row>
    <row r="20" spans="1:20" ht="115.5" x14ac:dyDescent="0.35">
      <c r="A20" s="38" t="str">
        <f>_xlfn.XLOOKUP(B20,'Paso 3 Redacción RA '!I$3:I$12,'Paso 3 Redacción RA '!C$3:C$12,,0,1)</f>
        <v>SaberHacer</v>
      </c>
      <c r="B20" s="38" t="s">
        <v>93</v>
      </c>
      <c r="C20" s="82"/>
      <c r="D20" s="82"/>
      <c r="E20" s="84"/>
      <c r="F20" s="82"/>
      <c r="G20" s="82"/>
      <c r="H20" s="82"/>
      <c r="I20" s="82"/>
      <c r="J20" s="82"/>
      <c r="K20" s="82"/>
      <c r="L20" s="82"/>
      <c r="M20" s="82"/>
      <c r="N20" s="84"/>
      <c r="O20" s="84"/>
      <c r="P20" s="84"/>
      <c r="Q20" s="84"/>
    </row>
    <row r="21" spans="1:20" ht="115.5" x14ac:dyDescent="0.35">
      <c r="A21" s="48" t="str">
        <f>_xlfn.XLOOKUP(B21,'Paso 3 Redacción RA '!I$3:I$12,'Paso 3 Redacción RA '!C$3:C$12,,0,1)</f>
        <v>SaberSer</v>
      </c>
      <c r="B21" s="48" t="s">
        <v>97</v>
      </c>
      <c r="C21" s="83"/>
      <c r="D21" s="83"/>
      <c r="E21" s="85"/>
      <c r="F21" s="83"/>
      <c r="G21" s="83"/>
      <c r="H21" s="83"/>
      <c r="I21" s="83"/>
      <c r="J21" s="83"/>
      <c r="K21" s="83"/>
      <c r="L21" s="83"/>
      <c r="M21" s="83"/>
      <c r="N21" s="85"/>
      <c r="O21" s="85"/>
      <c r="P21" s="85"/>
      <c r="Q21" s="85"/>
    </row>
    <row r="22" spans="1:20" ht="115.5" x14ac:dyDescent="0.35">
      <c r="A22" s="38" t="str">
        <f>_xlfn.XLOOKUP(B22,'Paso 3 Redacción RA '!I$3:I$12,'Paso 3 Redacción RA '!C$3:C$12,,0,1)</f>
        <v>SaberHacer</v>
      </c>
      <c r="B22" s="38" t="s">
        <v>93</v>
      </c>
      <c r="C22" s="82">
        <v>2</v>
      </c>
      <c r="D22" s="82" t="s">
        <v>215</v>
      </c>
      <c r="E22" s="84" t="s">
        <v>216</v>
      </c>
      <c r="F22" s="82" t="s">
        <v>187</v>
      </c>
      <c r="G22" s="82"/>
      <c r="H22" s="82" t="s">
        <v>177</v>
      </c>
      <c r="I22" s="82"/>
      <c r="J22" s="82">
        <v>3</v>
      </c>
      <c r="K22" s="82">
        <f>J22*16</f>
        <v>48</v>
      </c>
      <c r="L22" s="82">
        <f>J22*32</f>
        <v>96</v>
      </c>
      <c r="M22" s="82">
        <f>SUM(K22:L22)</f>
        <v>144</v>
      </c>
      <c r="N22" s="84" t="s">
        <v>217</v>
      </c>
      <c r="O22" s="86" t="s">
        <v>179</v>
      </c>
      <c r="P22" s="84" t="s">
        <v>180</v>
      </c>
      <c r="Q22" s="84" t="s">
        <v>181</v>
      </c>
    </row>
    <row r="23" spans="1:20" ht="115.5" x14ac:dyDescent="0.35">
      <c r="A23" s="38" t="str">
        <f>_xlfn.XLOOKUP(B23,'Paso 3 Redacción RA '!I$3:I$12,'Paso 3 Redacción RA '!C$3:C$12,,0,1)</f>
        <v>SaberSer</v>
      </c>
      <c r="B23" s="38" t="s">
        <v>97</v>
      </c>
      <c r="C23" s="82"/>
      <c r="D23" s="82"/>
      <c r="E23" s="84"/>
      <c r="F23" s="82"/>
      <c r="G23" s="82"/>
      <c r="H23" s="82"/>
      <c r="I23" s="82"/>
      <c r="J23" s="82"/>
      <c r="K23" s="82"/>
      <c r="L23" s="82"/>
      <c r="M23" s="82"/>
      <c r="N23" s="84"/>
      <c r="O23" s="84"/>
      <c r="P23" s="84"/>
      <c r="Q23" s="84"/>
    </row>
    <row r="24" spans="1:20" ht="115.5" x14ac:dyDescent="0.35">
      <c r="A24" s="48" t="str">
        <f>_xlfn.XLOOKUP(B24,'Paso 3 Redacción RA '!I$3:I$12,'Paso 3 Redacción RA '!C$3:C$12,,0,1)</f>
        <v>Saber</v>
      </c>
      <c r="B24" s="48" t="s">
        <v>99</v>
      </c>
      <c r="C24" s="83"/>
      <c r="D24" s="83"/>
      <c r="E24" s="85"/>
      <c r="F24" s="83"/>
      <c r="G24" s="83"/>
      <c r="H24" s="83"/>
      <c r="I24" s="83"/>
      <c r="J24" s="83"/>
      <c r="K24" s="83"/>
      <c r="L24" s="83"/>
      <c r="M24" s="83"/>
      <c r="N24" s="85"/>
      <c r="O24" s="85"/>
      <c r="P24" s="85"/>
      <c r="Q24" s="85"/>
    </row>
    <row r="25" spans="1:20" ht="115.5" x14ac:dyDescent="0.35">
      <c r="A25" s="38" t="str">
        <f>_xlfn.XLOOKUP(B25,'Paso 3 Redacción RA '!I$3:I$12,'Paso 3 Redacción RA '!C$3:C$12,,0,1)</f>
        <v>SaberHacer</v>
      </c>
      <c r="B25" s="38" t="s">
        <v>93</v>
      </c>
      <c r="C25" s="82">
        <v>2</v>
      </c>
      <c r="D25" s="82" t="s">
        <v>218</v>
      </c>
      <c r="E25" s="84" t="s">
        <v>219</v>
      </c>
      <c r="F25" s="82" t="s">
        <v>187</v>
      </c>
      <c r="G25" s="82"/>
      <c r="H25" s="82" t="s">
        <v>177</v>
      </c>
      <c r="I25" s="82"/>
      <c r="J25" s="82">
        <v>3</v>
      </c>
      <c r="K25" s="82">
        <f>J25*16</f>
        <v>48</v>
      </c>
      <c r="L25" s="82">
        <f>J25*32</f>
        <v>96</v>
      </c>
      <c r="M25" s="82">
        <f>SUM(K25:L25)</f>
        <v>144</v>
      </c>
      <c r="N25" s="84" t="s">
        <v>220</v>
      </c>
      <c r="O25" s="86" t="s">
        <v>189</v>
      </c>
      <c r="P25" s="84" t="s">
        <v>221</v>
      </c>
      <c r="Q25" s="84" t="s">
        <v>181</v>
      </c>
    </row>
    <row r="26" spans="1:20" ht="115.5" x14ac:dyDescent="0.35">
      <c r="A26" s="38" t="str">
        <f>_xlfn.XLOOKUP(B26,'Paso 3 Redacción RA '!I$3:I$12,'Paso 3 Redacción RA '!C$3:C$12,,0,1)</f>
        <v>Saber</v>
      </c>
      <c r="B26" s="38" t="s">
        <v>99</v>
      </c>
      <c r="C26" s="83"/>
      <c r="D26" s="83"/>
      <c r="E26" s="85"/>
      <c r="F26" s="83"/>
      <c r="G26" s="83"/>
      <c r="H26" s="83"/>
      <c r="I26" s="83"/>
      <c r="J26" s="83"/>
      <c r="K26" s="83"/>
      <c r="L26" s="83"/>
      <c r="M26" s="83"/>
      <c r="N26" s="85"/>
      <c r="O26" s="85"/>
      <c r="P26" s="85"/>
      <c r="Q26" s="85"/>
    </row>
    <row r="27" spans="1:20" ht="313.5" x14ac:dyDescent="0.35">
      <c r="A27" s="60" t="s">
        <v>222</v>
      </c>
      <c r="B27" s="60" t="s">
        <v>100</v>
      </c>
      <c r="C27" s="74">
        <v>2</v>
      </c>
      <c r="D27" s="74" t="s">
        <v>223</v>
      </c>
      <c r="E27" s="75" t="s">
        <v>224</v>
      </c>
      <c r="F27" s="74" t="s">
        <v>187</v>
      </c>
      <c r="G27" s="76" t="s">
        <v>177</v>
      </c>
      <c r="H27" s="76" t="s">
        <v>194</v>
      </c>
      <c r="I27" s="76" t="s">
        <v>194</v>
      </c>
      <c r="J27" s="74">
        <v>3</v>
      </c>
      <c r="K27" s="74">
        <v>48</v>
      </c>
      <c r="L27" s="74">
        <v>96</v>
      </c>
      <c r="M27" s="74">
        <v>144</v>
      </c>
      <c r="N27" s="76" t="s">
        <v>225</v>
      </c>
      <c r="O27" s="76" t="s">
        <v>226</v>
      </c>
      <c r="P27" s="76" t="s">
        <v>227</v>
      </c>
      <c r="Q27" s="75" t="s">
        <v>181</v>
      </c>
      <c r="R27" s="38">
        <f>SUM(J13:J27)</f>
        <v>18</v>
      </c>
      <c r="S27" s="38"/>
      <c r="T27" s="38"/>
    </row>
    <row r="28" spans="1:20" ht="114" customHeight="1" x14ac:dyDescent="0.35">
      <c r="A28" s="38" t="str">
        <f>_xlfn.XLOOKUP(B28,'Paso 3 Redacción RA '!I$3:I$12,'Paso 3 Redacción RA '!C$3:C$12,,0,1)</f>
        <v>Saber</v>
      </c>
      <c r="B28" s="38" t="s">
        <v>89</v>
      </c>
      <c r="C28" s="88">
        <v>3</v>
      </c>
      <c r="D28" s="88" t="s">
        <v>228</v>
      </c>
      <c r="E28" s="86" t="s">
        <v>229</v>
      </c>
      <c r="F28" s="88" t="s">
        <v>187</v>
      </c>
      <c r="G28" s="88"/>
      <c r="H28" s="88" t="s">
        <v>177</v>
      </c>
      <c r="I28" s="88"/>
      <c r="J28" s="88">
        <v>3</v>
      </c>
      <c r="K28" s="88">
        <f>J28*16</f>
        <v>48</v>
      </c>
      <c r="L28" s="88">
        <f>J28*32</f>
        <v>96</v>
      </c>
      <c r="M28" s="88">
        <f>SUM(K28:L28)</f>
        <v>144</v>
      </c>
      <c r="N28" s="86" t="s">
        <v>230</v>
      </c>
      <c r="O28" s="86" t="s">
        <v>231</v>
      </c>
      <c r="P28" s="86" t="s">
        <v>180</v>
      </c>
      <c r="Q28" s="86" t="s">
        <v>181</v>
      </c>
    </row>
    <row r="29" spans="1:20" ht="115.5" x14ac:dyDescent="0.35">
      <c r="A29" s="38" t="str">
        <f>_xlfn.XLOOKUP(B29,'Paso 3 Redacción RA '!I$3:I$12,'Paso 3 Redacción RA '!C$3:C$12,,0,1)</f>
        <v>SaberHacer</v>
      </c>
      <c r="B29" s="38" t="s">
        <v>93</v>
      </c>
      <c r="C29" s="82"/>
      <c r="D29" s="82"/>
      <c r="E29" s="84"/>
      <c r="F29" s="82"/>
      <c r="G29" s="82"/>
      <c r="H29" s="82"/>
      <c r="I29" s="82"/>
      <c r="J29" s="82"/>
      <c r="K29" s="82"/>
      <c r="L29" s="82"/>
      <c r="M29" s="82"/>
      <c r="N29" s="84"/>
      <c r="O29" s="84"/>
      <c r="P29" s="84"/>
      <c r="Q29" s="84"/>
    </row>
    <row r="30" spans="1:20" ht="116" thickBot="1" x14ac:dyDescent="0.4">
      <c r="A30" s="48" t="str">
        <f>_xlfn.XLOOKUP(B30,'Paso 3 Redacción RA '!I$3:I$12,'Paso 3 Redacción RA '!C$3:C$12,,0,1)</f>
        <v>SaberSer</v>
      </c>
      <c r="B30" s="48" t="s">
        <v>97</v>
      </c>
      <c r="C30" s="83"/>
      <c r="D30" s="83"/>
      <c r="E30" s="85"/>
      <c r="F30" s="83"/>
      <c r="G30" s="83"/>
      <c r="H30" s="83"/>
      <c r="I30" s="83"/>
      <c r="J30" s="83"/>
      <c r="K30" s="83"/>
      <c r="L30" s="83"/>
      <c r="M30" s="83"/>
      <c r="N30" s="85"/>
      <c r="O30" s="85"/>
      <c r="P30" s="85"/>
      <c r="Q30" s="85"/>
    </row>
    <row r="31" spans="1:20" ht="115.5" x14ac:dyDescent="0.35">
      <c r="A31" s="38" t="str">
        <f>_xlfn.XLOOKUP(B31,'Paso 3 Redacción RA '!I$3:I$12,'Paso 3 Redacción RA '!C$3:C$12,,0,1)</f>
        <v>Saber</v>
      </c>
      <c r="B31" s="38" t="s">
        <v>89</v>
      </c>
      <c r="C31" s="82">
        <v>3</v>
      </c>
      <c r="D31" s="82" t="s">
        <v>232</v>
      </c>
      <c r="E31" s="84" t="s">
        <v>233</v>
      </c>
      <c r="F31" s="82" t="s">
        <v>187</v>
      </c>
      <c r="G31" s="82"/>
      <c r="H31" s="82" t="s">
        <v>177</v>
      </c>
      <c r="I31" s="82"/>
      <c r="J31" s="82">
        <v>3</v>
      </c>
      <c r="K31" s="82">
        <f>J31*16</f>
        <v>48</v>
      </c>
      <c r="L31" s="82">
        <f>J31*32</f>
        <v>96</v>
      </c>
      <c r="M31" s="82">
        <f>SUM(K31:L31)</f>
        <v>144</v>
      </c>
      <c r="N31" s="84" t="s">
        <v>234</v>
      </c>
      <c r="O31" s="84" t="s">
        <v>235</v>
      </c>
      <c r="P31" s="84" t="s">
        <v>180</v>
      </c>
      <c r="Q31" s="84" t="s">
        <v>181</v>
      </c>
    </row>
    <row r="32" spans="1:20" ht="115.5" x14ac:dyDescent="0.35">
      <c r="A32" s="38" t="str">
        <f>_xlfn.XLOOKUP(B32,'Paso 3 Redacción RA '!I$3:I$12,'Paso 3 Redacción RA '!C$3:C$12,,0,1)</f>
        <v>SaberHacer</v>
      </c>
      <c r="B32" s="38" t="s">
        <v>93</v>
      </c>
      <c r="C32" s="82"/>
      <c r="D32" s="82"/>
      <c r="E32" s="84"/>
      <c r="F32" s="82"/>
      <c r="G32" s="82"/>
      <c r="H32" s="82"/>
      <c r="I32" s="82"/>
      <c r="J32" s="82"/>
      <c r="K32" s="82"/>
      <c r="L32" s="82"/>
      <c r="M32" s="82"/>
      <c r="N32" s="84"/>
      <c r="O32" s="84"/>
      <c r="P32" s="84"/>
      <c r="Q32" s="84"/>
    </row>
    <row r="33" spans="1:20" ht="116" thickBot="1" x14ac:dyDescent="0.4">
      <c r="A33" s="48" t="str">
        <f>_xlfn.XLOOKUP(B33,'Paso 3 Redacción RA '!I$3:I$12,'Paso 3 Redacción RA '!C$3:C$12,,0,1)</f>
        <v>SaberSer</v>
      </c>
      <c r="B33" s="48" t="s">
        <v>97</v>
      </c>
      <c r="C33" s="83"/>
      <c r="D33" s="83"/>
      <c r="E33" s="85"/>
      <c r="F33" s="83"/>
      <c r="G33" s="83"/>
      <c r="H33" s="83"/>
      <c r="I33" s="83"/>
      <c r="J33" s="83"/>
      <c r="K33" s="83"/>
      <c r="L33" s="83"/>
      <c r="M33" s="83"/>
      <c r="N33" s="85"/>
      <c r="O33" s="85"/>
      <c r="P33" s="85"/>
      <c r="Q33" s="85"/>
    </row>
    <row r="34" spans="1:20" ht="115.5" x14ac:dyDescent="0.35">
      <c r="A34" s="38" t="str">
        <f>_xlfn.XLOOKUP(B34,'Paso 3 Redacción RA '!I$3:I$12,'Paso 3 Redacción RA '!C$3:C$12,,0,1)</f>
        <v>SaberHacer</v>
      </c>
      <c r="B34" s="38" t="s">
        <v>93</v>
      </c>
      <c r="C34" s="82">
        <v>3</v>
      </c>
      <c r="D34" s="82" t="s">
        <v>236</v>
      </c>
      <c r="E34" s="84" t="s">
        <v>237</v>
      </c>
      <c r="F34" s="82" t="s">
        <v>187</v>
      </c>
      <c r="G34" s="82"/>
      <c r="H34" s="82" t="s">
        <v>177</v>
      </c>
      <c r="I34" s="82"/>
      <c r="J34" s="82">
        <v>3</v>
      </c>
      <c r="K34" s="82">
        <f>J34*16</f>
        <v>48</v>
      </c>
      <c r="L34" s="82">
        <f>J34*32</f>
        <v>96</v>
      </c>
      <c r="M34" s="82">
        <f>SUM(K34:L34)</f>
        <v>144</v>
      </c>
      <c r="N34" s="84" t="s">
        <v>238</v>
      </c>
      <c r="O34" s="84" t="s">
        <v>179</v>
      </c>
      <c r="P34" s="84" t="s">
        <v>180</v>
      </c>
      <c r="Q34" s="84" t="s">
        <v>181</v>
      </c>
    </row>
    <row r="35" spans="1:20" ht="115.5" x14ac:dyDescent="0.35">
      <c r="A35" s="38" t="str">
        <f>_xlfn.XLOOKUP(B35,'Paso 3 Redacción RA '!I$3:I$12,'Paso 3 Redacción RA '!C$3:C$12,,0,1)</f>
        <v>SaberSer</v>
      </c>
      <c r="B35" s="38" t="s">
        <v>97</v>
      </c>
      <c r="C35" s="82"/>
      <c r="D35" s="82"/>
      <c r="E35" s="84"/>
      <c r="F35" s="82"/>
      <c r="G35" s="82"/>
      <c r="H35" s="82"/>
      <c r="I35" s="82"/>
      <c r="J35" s="82"/>
      <c r="K35" s="82"/>
      <c r="L35" s="82"/>
      <c r="M35" s="82"/>
      <c r="N35" s="84"/>
      <c r="O35" s="84"/>
      <c r="P35" s="84"/>
      <c r="Q35" s="84"/>
    </row>
    <row r="36" spans="1:20" ht="115.5" x14ac:dyDescent="0.35">
      <c r="A36" s="48" t="str">
        <f>_xlfn.XLOOKUP(B36,'Paso 3 Redacción RA '!I$3:I$12,'Paso 3 Redacción RA '!C$3:C$12,,0,1)</f>
        <v>Saber</v>
      </c>
      <c r="B36" s="48" t="s">
        <v>99</v>
      </c>
      <c r="C36" s="83"/>
      <c r="D36" s="83"/>
      <c r="E36" s="85"/>
      <c r="F36" s="83"/>
      <c r="G36" s="83"/>
      <c r="H36" s="83"/>
      <c r="I36" s="83"/>
      <c r="J36" s="83"/>
      <c r="K36" s="83"/>
      <c r="L36" s="83"/>
      <c r="M36" s="83"/>
      <c r="N36" s="85"/>
      <c r="O36" s="85"/>
      <c r="P36" s="85"/>
      <c r="Q36" s="85"/>
    </row>
    <row r="37" spans="1:20" ht="115.5" x14ac:dyDescent="0.35">
      <c r="A37" s="38" t="str">
        <f>_xlfn.XLOOKUP(B37,'Paso 3 Redacción RA '!I$3:I$12,'Paso 3 Redacción RA '!C$3:C$12,,0,1)</f>
        <v>SaberHacer</v>
      </c>
      <c r="B37" s="38" t="s">
        <v>93</v>
      </c>
      <c r="C37" s="82">
        <v>3</v>
      </c>
      <c r="D37" s="82" t="s">
        <v>239</v>
      </c>
      <c r="E37" s="84" t="s">
        <v>240</v>
      </c>
      <c r="F37" s="82" t="s">
        <v>187</v>
      </c>
      <c r="G37" s="82"/>
      <c r="H37" s="82" t="s">
        <v>177</v>
      </c>
      <c r="I37" s="82"/>
      <c r="J37" s="82">
        <v>3</v>
      </c>
      <c r="K37" s="82">
        <f>J37*16</f>
        <v>48</v>
      </c>
      <c r="L37" s="82">
        <f>J37*32</f>
        <v>96</v>
      </c>
      <c r="M37" s="82">
        <f>SUM(K37:L37)</f>
        <v>144</v>
      </c>
      <c r="N37" s="84" t="s">
        <v>241</v>
      </c>
      <c r="O37" s="84" t="s">
        <v>242</v>
      </c>
      <c r="P37" s="84" t="s">
        <v>221</v>
      </c>
      <c r="Q37" s="84" t="s">
        <v>181</v>
      </c>
    </row>
    <row r="38" spans="1:20" ht="115.5" x14ac:dyDescent="0.35">
      <c r="A38" s="38" t="str">
        <f>_xlfn.XLOOKUP(B38,'Paso 3 Redacción RA '!I$3:I$12,'Paso 3 Redacción RA '!C$3:C$12,,0,1)</f>
        <v>Saber</v>
      </c>
      <c r="B38" s="38" t="s">
        <v>99</v>
      </c>
      <c r="C38" s="82"/>
      <c r="D38" s="82"/>
      <c r="E38" s="84"/>
      <c r="F38" s="82"/>
      <c r="G38" s="82"/>
      <c r="H38" s="82"/>
      <c r="I38" s="82"/>
      <c r="J38" s="82"/>
      <c r="K38" s="82"/>
      <c r="L38" s="82"/>
      <c r="M38" s="82"/>
      <c r="N38" s="84"/>
      <c r="O38" s="84"/>
      <c r="P38" s="84"/>
      <c r="Q38" s="84"/>
    </row>
    <row r="39" spans="1:20" ht="396" x14ac:dyDescent="0.35">
      <c r="A39" s="60" t="s">
        <v>11</v>
      </c>
      <c r="B39" s="60" t="s">
        <v>100</v>
      </c>
      <c r="C39" s="61">
        <v>3</v>
      </c>
      <c r="D39" s="61" t="s">
        <v>243</v>
      </c>
      <c r="E39" s="62" t="s">
        <v>244</v>
      </c>
      <c r="F39" s="61" t="s">
        <v>187</v>
      </c>
      <c r="G39" s="60" t="s">
        <v>177</v>
      </c>
      <c r="H39" s="60" t="s">
        <v>194</v>
      </c>
      <c r="I39" s="60" t="s">
        <v>194</v>
      </c>
      <c r="J39" s="61">
        <v>3</v>
      </c>
      <c r="K39" s="61">
        <v>48</v>
      </c>
      <c r="L39" s="61">
        <v>96</v>
      </c>
      <c r="M39" s="61">
        <v>144</v>
      </c>
      <c r="N39" s="60" t="s">
        <v>245</v>
      </c>
      <c r="O39" s="60" t="s">
        <v>246</v>
      </c>
      <c r="P39" s="60" t="s">
        <v>247</v>
      </c>
      <c r="Q39" s="62" t="s">
        <v>181</v>
      </c>
      <c r="R39" s="38">
        <v>18</v>
      </c>
      <c r="S39" s="38"/>
      <c r="T39" s="38"/>
    </row>
    <row r="40" spans="1:20" ht="314" thickBot="1" x14ac:dyDescent="0.4">
      <c r="A40" s="60" t="s">
        <v>11</v>
      </c>
      <c r="B40" s="60" t="s">
        <v>100</v>
      </c>
      <c r="C40" s="61">
        <v>3</v>
      </c>
      <c r="D40" s="61" t="s">
        <v>248</v>
      </c>
      <c r="E40" s="62" t="s">
        <v>249</v>
      </c>
      <c r="F40" s="61" t="s">
        <v>187</v>
      </c>
      <c r="G40" s="60" t="s">
        <v>177</v>
      </c>
      <c r="H40" s="60" t="s">
        <v>194</v>
      </c>
      <c r="I40" s="60" t="s">
        <v>194</v>
      </c>
      <c r="J40" s="61">
        <v>3</v>
      </c>
      <c r="K40" s="61">
        <v>48</v>
      </c>
      <c r="L40" s="61">
        <v>96</v>
      </c>
      <c r="M40" s="61">
        <v>144</v>
      </c>
      <c r="N40" s="60" t="s">
        <v>250</v>
      </c>
      <c r="O40" s="60" t="s">
        <v>251</v>
      </c>
      <c r="P40" s="60" t="s">
        <v>227</v>
      </c>
      <c r="Q40" s="62" t="s">
        <v>181</v>
      </c>
      <c r="R40" s="38">
        <f>SUM(J28:J40)</f>
        <v>18</v>
      </c>
      <c r="S40" s="38"/>
      <c r="T40" s="38"/>
    </row>
    <row r="41" spans="1:20" ht="115.5" x14ac:dyDescent="0.35">
      <c r="A41" s="38" t="str">
        <f>_xlfn.XLOOKUP(B41,'Paso 3 Redacción RA '!I$3:I$12,'Paso 3 Redacción RA '!C$3:C$12,,0,1)</f>
        <v>Saber</v>
      </c>
      <c r="B41" s="38" t="s">
        <v>89</v>
      </c>
      <c r="C41" s="82">
        <v>4</v>
      </c>
      <c r="D41" s="82" t="s">
        <v>252</v>
      </c>
      <c r="E41" s="84" t="s">
        <v>253</v>
      </c>
      <c r="F41" s="82" t="s">
        <v>187</v>
      </c>
      <c r="G41" s="82"/>
      <c r="H41" s="82" t="s">
        <v>177</v>
      </c>
      <c r="I41" s="82"/>
      <c r="J41" s="82">
        <v>3</v>
      </c>
      <c r="K41" s="82">
        <f>J41*16</f>
        <v>48</v>
      </c>
      <c r="L41" s="82">
        <f>J41*32</f>
        <v>96</v>
      </c>
      <c r="M41" s="82">
        <f>SUM(K41:L41)</f>
        <v>144</v>
      </c>
      <c r="N41" s="84" t="s">
        <v>254</v>
      </c>
      <c r="O41" s="87" t="s">
        <v>255</v>
      </c>
      <c r="P41" s="84" t="s">
        <v>256</v>
      </c>
      <c r="Q41" s="84" t="s">
        <v>181</v>
      </c>
    </row>
    <row r="42" spans="1:20" ht="115.5" x14ac:dyDescent="0.35">
      <c r="A42" s="38" t="str">
        <f>_xlfn.XLOOKUP(B42,'Paso 3 Redacción RA '!I$3:I$12,'Paso 3 Redacción RA '!C$3:C$12,,0,1)</f>
        <v>SaberHacer</v>
      </c>
      <c r="B42" s="38" t="s">
        <v>93</v>
      </c>
      <c r="C42" s="82"/>
      <c r="D42" s="82"/>
      <c r="E42" s="84"/>
      <c r="F42" s="82"/>
      <c r="G42" s="82"/>
      <c r="H42" s="82"/>
      <c r="I42" s="82"/>
      <c r="J42" s="82"/>
      <c r="K42" s="82"/>
      <c r="L42" s="82"/>
      <c r="M42" s="82"/>
      <c r="N42" s="84"/>
      <c r="O42" s="84"/>
      <c r="P42" s="84"/>
      <c r="Q42" s="84"/>
    </row>
    <row r="43" spans="1:20" ht="116" thickBot="1" x14ac:dyDescent="0.4">
      <c r="A43" s="48" t="str">
        <f>_xlfn.XLOOKUP(B43,'Paso 3 Redacción RA '!I$3:I$12,'Paso 3 Redacción RA '!C$3:C$12,,0,1)</f>
        <v>SaberSer</v>
      </c>
      <c r="B43" s="48" t="s">
        <v>97</v>
      </c>
      <c r="C43" s="83"/>
      <c r="D43" s="83"/>
      <c r="E43" s="85"/>
      <c r="F43" s="83"/>
      <c r="G43" s="83"/>
      <c r="H43" s="83"/>
      <c r="I43" s="83"/>
      <c r="J43" s="83"/>
      <c r="K43" s="83"/>
      <c r="L43" s="83"/>
      <c r="M43" s="83"/>
      <c r="N43" s="85"/>
      <c r="O43" s="85"/>
      <c r="P43" s="85"/>
      <c r="Q43" s="85"/>
    </row>
    <row r="44" spans="1:20" ht="115.5" x14ac:dyDescent="0.35">
      <c r="A44" s="38" t="str">
        <f>_xlfn.XLOOKUP(B44,'Paso 3 Redacción RA '!I$3:I$12,'Paso 3 Redacción RA '!C$3:C$12,,0,1)</f>
        <v>Saber</v>
      </c>
      <c r="B44" s="38" t="s">
        <v>89</v>
      </c>
      <c r="C44" s="82">
        <v>4</v>
      </c>
      <c r="D44" s="82" t="s">
        <v>257</v>
      </c>
      <c r="E44" s="84" t="s">
        <v>258</v>
      </c>
      <c r="F44" s="82" t="s">
        <v>187</v>
      </c>
      <c r="G44" s="82"/>
      <c r="H44" s="82" t="s">
        <v>177</v>
      </c>
      <c r="I44" s="82"/>
      <c r="J44" s="82">
        <v>3</v>
      </c>
      <c r="K44" s="82">
        <f>J44*16</f>
        <v>48</v>
      </c>
      <c r="L44" s="82">
        <f>J44*32</f>
        <v>96</v>
      </c>
      <c r="M44" s="82">
        <f>SUM(K44:L44)</f>
        <v>144</v>
      </c>
      <c r="N44" s="84" t="s">
        <v>259</v>
      </c>
      <c r="O44" s="84" t="s">
        <v>179</v>
      </c>
      <c r="P44" s="84" t="s">
        <v>180</v>
      </c>
      <c r="Q44" s="84" t="s">
        <v>181</v>
      </c>
    </row>
    <row r="45" spans="1:20" ht="115.5" x14ac:dyDescent="0.35">
      <c r="A45" s="38" t="str">
        <f>_xlfn.XLOOKUP(B45,'Paso 3 Redacción RA '!I$3:I$12,'Paso 3 Redacción RA '!C$3:C$12,,0,1)</f>
        <v>SaberHacer</v>
      </c>
      <c r="B45" s="38" t="s">
        <v>93</v>
      </c>
      <c r="C45" s="82"/>
      <c r="D45" s="82"/>
      <c r="E45" s="84"/>
      <c r="F45" s="82"/>
      <c r="G45" s="82"/>
      <c r="H45" s="82"/>
      <c r="I45" s="82"/>
      <c r="J45" s="82"/>
      <c r="K45" s="82"/>
      <c r="L45" s="82"/>
      <c r="M45" s="82"/>
      <c r="N45" s="84"/>
      <c r="O45" s="84"/>
      <c r="P45" s="84"/>
      <c r="Q45" s="84"/>
    </row>
    <row r="46" spans="1:20" ht="115.5" x14ac:dyDescent="0.35">
      <c r="A46" s="48" t="str">
        <f>_xlfn.XLOOKUP(B46,'Paso 3 Redacción RA '!I$3:I$12,'Paso 3 Redacción RA '!C$3:C$12,,0,1)</f>
        <v>SaberSer</v>
      </c>
      <c r="B46" s="48" t="s">
        <v>97</v>
      </c>
      <c r="C46" s="83"/>
      <c r="D46" s="83"/>
      <c r="E46" s="85"/>
      <c r="F46" s="83"/>
      <c r="G46" s="83"/>
      <c r="H46" s="83"/>
      <c r="I46" s="83"/>
      <c r="J46" s="83"/>
      <c r="K46" s="83"/>
      <c r="L46" s="83"/>
      <c r="M46" s="83"/>
      <c r="N46" s="85"/>
      <c r="O46" s="85"/>
      <c r="P46" s="85"/>
      <c r="Q46" s="85"/>
    </row>
    <row r="47" spans="1:20" ht="115.5" x14ac:dyDescent="0.35">
      <c r="A47" s="38" t="str">
        <f>_xlfn.XLOOKUP(B47,'Paso 3 Redacción RA '!I$3:I$12,'Paso 3 Redacción RA '!C$3:C$12,,0,1)</f>
        <v>Saber</v>
      </c>
      <c r="B47" s="38" t="s">
        <v>89</v>
      </c>
      <c r="C47" s="82">
        <v>4</v>
      </c>
      <c r="D47" s="82" t="s">
        <v>260</v>
      </c>
      <c r="E47" s="84" t="s">
        <v>261</v>
      </c>
      <c r="F47" s="82" t="s">
        <v>187</v>
      </c>
      <c r="G47" s="82"/>
      <c r="H47" s="82" t="s">
        <v>177</v>
      </c>
      <c r="I47" s="82"/>
      <c r="J47" s="82">
        <v>3</v>
      </c>
      <c r="K47" s="82">
        <f>J47*16</f>
        <v>48</v>
      </c>
      <c r="L47" s="82">
        <f>J47*32</f>
        <v>96</v>
      </c>
      <c r="M47" s="82">
        <f>SUM(K47:L47)</f>
        <v>144</v>
      </c>
      <c r="N47" s="84" t="s">
        <v>262</v>
      </c>
      <c r="O47" s="84" t="s">
        <v>179</v>
      </c>
      <c r="P47" s="84" t="s">
        <v>180</v>
      </c>
      <c r="Q47" s="84" t="s">
        <v>181</v>
      </c>
    </row>
    <row r="48" spans="1:20" ht="115.5" x14ac:dyDescent="0.35">
      <c r="A48" s="38" t="str">
        <f>_xlfn.XLOOKUP(B48,'Paso 3 Redacción RA '!I$3:I$12,'Paso 3 Redacción RA '!C$3:C$12,,0,1)</f>
        <v>SaberHacer</v>
      </c>
      <c r="B48" s="38" t="s">
        <v>93</v>
      </c>
      <c r="C48" s="82"/>
      <c r="D48" s="82"/>
      <c r="E48" s="84"/>
      <c r="F48" s="82"/>
      <c r="G48" s="82"/>
      <c r="H48" s="82"/>
      <c r="I48" s="82"/>
      <c r="J48" s="82"/>
      <c r="K48" s="82"/>
      <c r="L48" s="82"/>
      <c r="M48" s="82"/>
      <c r="N48" s="84"/>
      <c r="O48" s="84"/>
      <c r="P48" s="84"/>
      <c r="Q48" s="84"/>
    </row>
    <row r="49" spans="1:20" ht="116" thickBot="1" x14ac:dyDescent="0.4">
      <c r="A49" s="48" t="str">
        <f>_xlfn.XLOOKUP(B49,'Paso 3 Redacción RA '!I$3:I$12,'Paso 3 Redacción RA '!C$3:C$12,,0,1)</f>
        <v>SaberSer</v>
      </c>
      <c r="B49" s="48" t="s">
        <v>97</v>
      </c>
      <c r="C49" s="83"/>
      <c r="D49" s="83"/>
      <c r="E49" s="85"/>
      <c r="F49" s="83"/>
      <c r="G49" s="83"/>
      <c r="H49" s="83"/>
      <c r="I49" s="83"/>
      <c r="J49" s="83"/>
      <c r="K49" s="83"/>
      <c r="L49" s="83"/>
      <c r="M49" s="83"/>
      <c r="N49" s="85"/>
      <c r="O49" s="85"/>
      <c r="P49" s="85"/>
      <c r="Q49" s="85"/>
    </row>
    <row r="50" spans="1:20" ht="115.5" x14ac:dyDescent="0.35">
      <c r="A50" s="38" t="str">
        <f>_xlfn.XLOOKUP(B50,'[1]Paso 3 Redacción RA '!I$3:I$12,'[1]Paso 3 Redacción RA '!C$3:C$12,,0,1)</f>
        <v>Saber</v>
      </c>
      <c r="B50" s="38" t="s">
        <v>89</v>
      </c>
      <c r="C50" s="82">
        <v>4</v>
      </c>
      <c r="D50" s="82" t="s">
        <v>263</v>
      </c>
      <c r="E50" s="84" t="s">
        <v>264</v>
      </c>
      <c r="F50" s="82" t="s">
        <v>187</v>
      </c>
      <c r="G50" s="82"/>
      <c r="H50" s="82" t="s">
        <v>177</v>
      </c>
      <c r="I50" s="82"/>
      <c r="J50" s="82">
        <v>3</v>
      </c>
      <c r="K50" s="82">
        <f>J50*16</f>
        <v>48</v>
      </c>
      <c r="L50" s="82">
        <f>J50*32</f>
        <v>96</v>
      </c>
      <c r="M50" s="82">
        <f>SUM(K50:L50)</f>
        <v>144</v>
      </c>
      <c r="N50" s="84" t="s">
        <v>265</v>
      </c>
      <c r="O50" s="84" t="s">
        <v>179</v>
      </c>
      <c r="P50" s="84" t="s">
        <v>180</v>
      </c>
      <c r="Q50" s="84" t="s">
        <v>181</v>
      </c>
    </row>
    <row r="51" spans="1:20" ht="115.5" x14ac:dyDescent="0.35">
      <c r="A51" s="38" t="str">
        <f>_xlfn.XLOOKUP(B51,'[1]Paso 3 Redacción RA '!I$3:I$12,'[1]Paso 3 Redacción RA '!C$3:C$12,,0,1)</f>
        <v>SaberHacer</v>
      </c>
      <c r="B51" s="38" t="s">
        <v>93</v>
      </c>
      <c r="C51" s="82"/>
      <c r="D51" s="82"/>
      <c r="E51" s="84"/>
      <c r="F51" s="82"/>
      <c r="G51" s="82"/>
      <c r="H51" s="82"/>
      <c r="I51" s="82"/>
      <c r="J51" s="82"/>
      <c r="K51" s="82"/>
      <c r="L51" s="82"/>
      <c r="M51" s="82"/>
      <c r="N51" s="84"/>
      <c r="O51" s="84"/>
      <c r="P51" s="84"/>
      <c r="Q51" s="84"/>
    </row>
    <row r="52" spans="1:20" ht="116" thickBot="1" x14ac:dyDescent="0.4">
      <c r="A52" s="48" t="str">
        <f>_xlfn.XLOOKUP(B52,'[1]Paso 3 Redacción RA '!I$3:I$12,'[1]Paso 3 Redacción RA '!C$3:C$12,,0,1)</f>
        <v>SaberSer</v>
      </c>
      <c r="B52" s="48" t="s">
        <v>97</v>
      </c>
      <c r="C52" s="83"/>
      <c r="D52" s="83"/>
      <c r="E52" s="85"/>
      <c r="F52" s="83"/>
      <c r="G52" s="83"/>
      <c r="H52" s="83"/>
      <c r="I52" s="83"/>
      <c r="J52" s="83"/>
      <c r="K52" s="83"/>
      <c r="L52" s="83"/>
      <c r="M52" s="83"/>
      <c r="N52" s="85"/>
      <c r="O52" s="85"/>
      <c r="P52" s="85"/>
      <c r="Q52" s="85"/>
    </row>
    <row r="53" spans="1:20" ht="115.5" x14ac:dyDescent="0.35">
      <c r="A53" s="38" t="str">
        <f>_xlfn.XLOOKUP(B53,'Paso 3 Redacción RA '!I$3:I$12,'Paso 3 Redacción RA '!C$3:C$12,,0,1)</f>
        <v>SaberHacer</v>
      </c>
      <c r="B53" s="38" t="s">
        <v>93</v>
      </c>
      <c r="C53" s="82">
        <v>4</v>
      </c>
      <c r="D53" s="82" t="s">
        <v>266</v>
      </c>
      <c r="E53" s="84" t="s">
        <v>267</v>
      </c>
      <c r="F53" s="82" t="s">
        <v>187</v>
      </c>
      <c r="G53" s="82"/>
      <c r="H53" s="82" t="s">
        <v>177</v>
      </c>
      <c r="I53" s="82"/>
      <c r="J53" s="82">
        <v>3</v>
      </c>
      <c r="K53" s="82">
        <f>J53*16</f>
        <v>48</v>
      </c>
      <c r="L53" s="82">
        <f>J53*32</f>
        <v>96</v>
      </c>
      <c r="M53" s="82">
        <f>SUM(K53:L53)</f>
        <v>144</v>
      </c>
      <c r="N53" s="84" t="s">
        <v>268</v>
      </c>
      <c r="O53" s="84" t="s">
        <v>242</v>
      </c>
      <c r="P53" s="84" t="s">
        <v>221</v>
      </c>
      <c r="Q53" s="84" t="s">
        <v>181</v>
      </c>
    </row>
    <row r="54" spans="1:20" ht="115.5" x14ac:dyDescent="0.35">
      <c r="A54" s="38" t="str">
        <f>_xlfn.XLOOKUP(B54,'Paso 3 Redacción RA '!I$3:I$12,'Paso 3 Redacción RA '!C$3:C$12,,0,1)</f>
        <v>Saber</v>
      </c>
      <c r="B54" s="38" t="s">
        <v>99</v>
      </c>
      <c r="C54" s="82"/>
      <c r="D54" s="82"/>
      <c r="E54" s="84"/>
      <c r="F54" s="82"/>
      <c r="G54" s="82"/>
      <c r="H54" s="82"/>
      <c r="I54" s="82"/>
      <c r="J54" s="82"/>
      <c r="K54" s="82"/>
      <c r="L54" s="82"/>
      <c r="M54" s="82"/>
      <c r="N54" s="84"/>
      <c r="O54" s="84"/>
      <c r="P54" s="84"/>
      <c r="Q54" s="84"/>
    </row>
    <row r="55" spans="1:20" ht="313.5" x14ac:dyDescent="0.35">
      <c r="A55" s="60" t="s">
        <v>11</v>
      </c>
      <c r="B55" s="60" t="s">
        <v>100</v>
      </c>
      <c r="C55" s="61">
        <v>4</v>
      </c>
      <c r="D55" s="61" t="s">
        <v>269</v>
      </c>
      <c r="E55" s="62" t="s">
        <v>270</v>
      </c>
      <c r="F55" s="61" t="s">
        <v>187</v>
      </c>
      <c r="G55" s="60" t="s">
        <v>177</v>
      </c>
      <c r="H55" s="60" t="s">
        <v>194</v>
      </c>
      <c r="I55" s="60" t="s">
        <v>194</v>
      </c>
      <c r="J55" s="61">
        <v>3</v>
      </c>
      <c r="K55" s="61">
        <v>48</v>
      </c>
      <c r="L55" s="61">
        <v>96</v>
      </c>
      <c r="M55" s="61">
        <v>144</v>
      </c>
      <c r="N55" s="60" t="s">
        <v>271</v>
      </c>
      <c r="O55" s="60" t="s">
        <v>272</v>
      </c>
      <c r="P55" s="60" t="s">
        <v>227</v>
      </c>
      <c r="Q55" s="62" t="s">
        <v>181</v>
      </c>
      <c r="R55" s="38">
        <v>18</v>
      </c>
      <c r="S55" s="38"/>
      <c r="T55" s="38"/>
    </row>
    <row r="56" spans="1:20" ht="115.5" x14ac:dyDescent="0.35">
      <c r="A56" s="38" t="str">
        <f>_xlfn.XLOOKUP(B56,'Paso 3 Redacción RA '!I$3:I$12,'Paso 3 Redacción RA '!C$3:C$12,,0,1)</f>
        <v>Saber</v>
      </c>
      <c r="B56" s="38" t="s">
        <v>89</v>
      </c>
      <c r="C56" s="82">
        <v>5</v>
      </c>
      <c r="D56" s="82" t="s">
        <v>273</v>
      </c>
      <c r="E56" s="84" t="s">
        <v>274</v>
      </c>
      <c r="F56" s="82" t="s">
        <v>187</v>
      </c>
      <c r="G56" s="82"/>
      <c r="H56" s="82" t="s">
        <v>177</v>
      </c>
      <c r="I56" s="82"/>
      <c r="J56" s="82">
        <v>3</v>
      </c>
      <c r="K56" s="82">
        <f>J56*16</f>
        <v>48</v>
      </c>
      <c r="L56" s="82">
        <f>J56*32</f>
        <v>96</v>
      </c>
      <c r="M56" s="82">
        <f>SUM(K56:L56)</f>
        <v>144</v>
      </c>
      <c r="N56" s="84" t="s">
        <v>275</v>
      </c>
      <c r="O56" s="84" t="s">
        <v>179</v>
      </c>
      <c r="P56" s="84" t="s">
        <v>180</v>
      </c>
      <c r="Q56" s="84" t="s">
        <v>181</v>
      </c>
    </row>
    <row r="57" spans="1:20" ht="115.5" x14ac:dyDescent="0.35">
      <c r="A57" s="38" t="str">
        <f>_xlfn.XLOOKUP(B57,'Paso 3 Redacción RA '!I$3:I$12,'Paso 3 Redacción RA '!C$3:C$12,,0,1)</f>
        <v>SaberHacer</v>
      </c>
      <c r="B57" s="38" t="s">
        <v>93</v>
      </c>
      <c r="C57" s="82"/>
      <c r="D57" s="82"/>
      <c r="E57" s="84"/>
      <c r="F57" s="82"/>
      <c r="G57" s="82"/>
      <c r="H57" s="82"/>
      <c r="I57" s="82"/>
      <c r="J57" s="82"/>
      <c r="K57" s="82"/>
      <c r="L57" s="82"/>
      <c r="M57" s="82"/>
      <c r="N57" s="84"/>
      <c r="O57" s="84"/>
      <c r="P57" s="84"/>
      <c r="Q57" s="84"/>
    </row>
    <row r="58" spans="1:20" ht="115.5" x14ac:dyDescent="0.35">
      <c r="A58" s="38" t="str">
        <f>_xlfn.XLOOKUP(B58,'Paso 3 Redacción RA '!I$3:I$12,'Paso 3 Redacción RA '!C$3:C$12,,0,1)</f>
        <v>SaberSer</v>
      </c>
      <c r="B58" s="38" t="s">
        <v>97</v>
      </c>
      <c r="C58" s="82"/>
      <c r="D58" s="82"/>
      <c r="E58" s="84"/>
      <c r="F58" s="82"/>
      <c r="G58" s="82"/>
      <c r="H58" s="82"/>
      <c r="I58" s="82"/>
      <c r="J58" s="82"/>
      <c r="K58" s="82"/>
      <c r="L58" s="82"/>
      <c r="M58" s="82"/>
      <c r="N58" s="84"/>
      <c r="O58" s="84"/>
      <c r="P58" s="84"/>
      <c r="Q58" s="84"/>
    </row>
    <row r="59" spans="1:20" ht="115.5" x14ac:dyDescent="0.35">
      <c r="A59" s="48" t="str">
        <f>_xlfn.XLOOKUP(B59,'Paso 3 Redacción RA '!I$3:I$12,'Paso 3 Redacción RA '!C$3:C$12,,0,1)</f>
        <v>Saber</v>
      </c>
      <c r="B59" s="48" t="s">
        <v>99</v>
      </c>
      <c r="C59" s="83"/>
      <c r="D59" s="83"/>
      <c r="E59" s="85"/>
      <c r="F59" s="83"/>
      <c r="G59" s="83"/>
      <c r="H59" s="83"/>
      <c r="I59" s="83"/>
      <c r="J59" s="83"/>
      <c r="K59" s="83"/>
      <c r="L59" s="83"/>
      <c r="M59" s="83"/>
      <c r="N59" s="85"/>
      <c r="O59" s="85"/>
      <c r="P59" s="85"/>
      <c r="Q59" s="85"/>
    </row>
    <row r="60" spans="1:20" ht="115.5" x14ac:dyDescent="0.35">
      <c r="A60" s="38" t="str">
        <f>_xlfn.XLOOKUP(B60,'Paso 3 Redacción RA '!I$3:I$12,'Paso 3 Redacción RA '!C$3:C$12,,0,1)</f>
        <v>Saber</v>
      </c>
      <c r="B60" s="38" t="s">
        <v>89</v>
      </c>
      <c r="C60" s="82">
        <v>5</v>
      </c>
      <c r="D60" s="82" t="s">
        <v>276</v>
      </c>
      <c r="E60" s="84" t="s">
        <v>277</v>
      </c>
      <c r="F60" s="82" t="s">
        <v>187</v>
      </c>
      <c r="G60" s="82"/>
      <c r="H60" s="82" t="s">
        <v>177</v>
      </c>
      <c r="I60" s="82"/>
      <c r="J60" s="82">
        <v>3</v>
      </c>
      <c r="K60" s="82">
        <f>J60*16</f>
        <v>48</v>
      </c>
      <c r="L60" s="82">
        <f>J60*32</f>
        <v>96</v>
      </c>
      <c r="M60" s="82">
        <f>SUM(K60:L60)</f>
        <v>144</v>
      </c>
      <c r="N60" s="84" t="s">
        <v>278</v>
      </c>
      <c r="O60" s="84" t="s">
        <v>179</v>
      </c>
      <c r="P60" s="84" t="s">
        <v>180</v>
      </c>
      <c r="Q60" s="84" t="s">
        <v>181</v>
      </c>
    </row>
    <row r="61" spans="1:20" ht="115.5" x14ac:dyDescent="0.35">
      <c r="A61" s="38" t="str">
        <f>_xlfn.XLOOKUP(B61,'Paso 3 Redacción RA '!I$3:I$12,'Paso 3 Redacción RA '!C$3:C$12,,0,1)</f>
        <v>SaberHacer</v>
      </c>
      <c r="B61" s="38" t="s">
        <v>93</v>
      </c>
      <c r="C61" s="82"/>
      <c r="D61" s="82"/>
      <c r="E61" s="84"/>
      <c r="F61" s="82"/>
      <c r="G61" s="82"/>
      <c r="H61" s="82"/>
      <c r="I61" s="82"/>
      <c r="J61" s="82"/>
      <c r="K61" s="82"/>
      <c r="L61" s="82"/>
      <c r="M61" s="82"/>
      <c r="N61" s="84"/>
      <c r="O61" s="84"/>
      <c r="P61" s="84"/>
      <c r="Q61" s="84"/>
    </row>
    <row r="62" spans="1:20" ht="115.5" x14ac:dyDescent="0.35">
      <c r="A62" s="38" t="str">
        <f>_xlfn.XLOOKUP(B62,'Paso 3 Redacción RA '!I$3:I$12,'Paso 3 Redacción RA '!C$3:C$12,,0,1)</f>
        <v>SaberSer</v>
      </c>
      <c r="B62" s="38" t="s">
        <v>97</v>
      </c>
      <c r="C62" s="82"/>
      <c r="D62" s="82"/>
      <c r="E62" s="84"/>
      <c r="F62" s="82"/>
      <c r="G62" s="82"/>
      <c r="H62" s="82"/>
      <c r="I62" s="82"/>
      <c r="J62" s="82"/>
      <c r="K62" s="82"/>
      <c r="L62" s="82"/>
      <c r="M62" s="82"/>
      <c r="N62" s="84"/>
      <c r="O62" s="84"/>
      <c r="P62" s="84"/>
      <c r="Q62" s="84"/>
    </row>
    <row r="63" spans="1:20" ht="115.5" x14ac:dyDescent="0.35">
      <c r="A63" s="48" t="str">
        <f>_xlfn.XLOOKUP(B63,'Paso 3 Redacción RA '!I$3:I$12,'Paso 3 Redacción RA '!C$3:C$12,,0,1)</f>
        <v>Saber</v>
      </c>
      <c r="B63" s="48" t="s">
        <v>99</v>
      </c>
      <c r="C63" s="83"/>
      <c r="D63" s="83"/>
      <c r="E63" s="85"/>
      <c r="F63" s="83"/>
      <c r="G63" s="83"/>
      <c r="H63" s="83"/>
      <c r="I63" s="83"/>
      <c r="J63" s="83"/>
      <c r="K63" s="83"/>
      <c r="L63" s="83"/>
      <c r="M63" s="83"/>
      <c r="N63" s="85"/>
      <c r="O63" s="85"/>
      <c r="P63" s="85"/>
      <c r="Q63" s="85"/>
    </row>
    <row r="64" spans="1:20" ht="115.5" x14ac:dyDescent="0.35">
      <c r="A64" s="38" t="str">
        <f>_xlfn.XLOOKUP(B64,'Paso 3 Redacción RA '!I$3:I$12,'Paso 3 Redacción RA '!C$3:C$12,,0,1)</f>
        <v>Saber</v>
      </c>
      <c r="B64" s="38" t="s">
        <v>89</v>
      </c>
      <c r="C64" s="82">
        <v>5</v>
      </c>
      <c r="D64" s="82" t="s">
        <v>279</v>
      </c>
      <c r="E64" s="84" t="s">
        <v>280</v>
      </c>
      <c r="F64" s="82" t="s">
        <v>187</v>
      </c>
      <c r="G64" s="82"/>
      <c r="H64" s="82" t="s">
        <v>177</v>
      </c>
      <c r="I64" s="82"/>
      <c r="J64" s="82">
        <v>3</v>
      </c>
      <c r="K64" s="82">
        <f>J64*16</f>
        <v>48</v>
      </c>
      <c r="L64" s="82">
        <f>J64*32</f>
        <v>96</v>
      </c>
      <c r="M64" s="82">
        <f>SUM(K64:L64)</f>
        <v>144</v>
      </c>
      <c r="N64" s="84" t="s">
        <v>281</v>
      </c>
      <c r="O64" s="84" t="s">
        <v>179</v>
      </c>
      <c r="P64" s="84" t="s">
        <v>180</v>
      </c>
      <c r="Q64" s="84" t="s">
        <v>181</v>
      </c>
    </row>
    <row r="65" spans="1:18" ht="115.5" x14ac:dyDescent="0.35">
      <c r="A65" s="38" t="str">
        <f>_xlfn.XLOOKUP(B65,'Paso 3 Redacción RA '!I$3:I$12,'Paso 3 Redacción RA '!C$3:C$12,,0,1)</f>
        <v>SaberHacer</v>
      </c>
      <c r="B65" s="38" t="s">
        <v>93</v>
      </c>
      <c r="C65" s="82"/>
      <c r="D65" s="82"/>
      <c r="E65" s="84"/>
      <c r="F65" s="82"/>
      <c r="G65" s="82"/>
      <c r="H65" s="82"/>
      <c r="I65" s="82"/>
      <c r="J65" s="82"/>
      <c r="K65" s="82"/>
      <c r="L65" s="82"/>
      <c r="M65" s="82"/>
      <c r="N65" s="84"/>
      <c r="O65" s="84"/>
      <c r="P65" s="84"/>
      <c r="Q65" s="84"/>
    </row>
    <row r="66" spans="1:18" ht="115.5" x14ac:dyDescent="0.35">
      <c r="A66" s="38" t="str">
        <f>_xlfn.XLOOKUP(B66,'Paso 3 Redacción RA '!I$3:I$12,'Paso 3 Redacción RA '!C$3:C$12,,0,1)</f>
        <v>SaberSer</v>
      </c>
      <c r="B66" s="38" t="s">
        <v>97</v>
      </c>
      <c r="C66" s="82"/>
      <c r="D66" s="82"/>
      <c r="E66" s="84"/>
      <c r="F66" s="82"/>
      <c r="G66" s="82"/>
      <c r="H66" s="82"/>
      <c r="I66" s="82"/>
      <c r="J66" s="82"/>
      <c r="K66" s="82"/>
      <c r="L66" s="82"/>
      <c r="M66" s="82"/>
      <c r="N66" s="84"/>
      <c r="O66" s="84"/>
      <c r="P66" s="84"/>
      <c r="Q66" s="84"/>
    </row>
    <row r="67" spans="1:18" ht="115.5" x14ac:dyDescent="0.35">
      <c r="A67" s="48" t="str">
        <f>_xlfn.XLOOKUP(B67,'Paso 3 Redacción RA '!I$3:I$12,'Paso 3 Redacción RA '!C$3:C$12,,0,1)</f>
        <v>Saber</v>
      </c>
      <c r="B67" s="48" t="s">
        <v>99</v>
      </c>
      <c r="C67" s="83"/>
      <c r="D67" s="83"/>
      <c r="E67" s="85"/>
      <c r="F67" s="83"/>
      <c r="G67" s="83"/>
      <c r="H67" s="83"/>
      <c r="I67" s="83"/>
      <c r="J67" s="83"/>
      <c r="K67" s="83"/>
      <c r="L67" s="83"/>
      <c r="M67" s="83"/>
      <c r="N67" s="85"/>
      <c r="O67" s="85"/>
      <c r="P67" s="85"/>
      <c r="Q67" s="85"/>
    </row>
    <row r="68" spans="1:18" ht="115.5" x14ac:dyDescent="0.35">
      <c r="A68" s="38" t="str">
        <f>_xlfn.XLOOKUP(B68,'Paso 3 Redacción RA '!I$3:I$12,'Paso 3 Redacción RA '!C$3:C$12,,0,1)</f>
        <v>Saber</v>
      </c>
      <c r="B68" s="38" t="s">
        <v>89</v>
      </c>
      <c r="C68" s="82">
        <v>5</v>
      </c>
      <c r="D68" s="82" t="s">
        <v>282</v>
      </c>
      <c r="E68" s="84" t="s">
        <v>283</v>
      </c>
      <c r="F68" s="82" t="s">
        <v>176</v>
      </c>
      <c r="G68" s="82"/>
      <c r="H68" s="82" t="s">
        <v>177</v>
      </c>
      <c r="I68" s="82"/>
      <c r="J68" s="82">
        <v>3</v>
      </c>
      <c r="K68" s="82">
        <f>J68*16</f>
        <v>48</v>
      </c>
      <c r="L68" s="82">
        <f>J68*32</f>
        <v>96</v>
      </c>
      <c r="M68" s="82">
        <f>SUM(K68:L68)</f>
        <v>144</v>
      </c>
      <c r="N68" s="84" t="s">
        <v>284</v>
      </c>
      <c r="O68" s="84" t="s">
        <v>285</v>
      </c>
      <c r="P68" s="84" t="s">
        <v>180</v>
      </c>
      <c r="Q68" s="84" t="s">
        <v>181</v>
      </c>
    </row>
    <row r="69" spans="1:18" ht="115.5" x14ac:dyDescent="0.35">
      <c r="A69" s="38" t="str">
        <f>_xlfn.XLOOKUP(B69,'Paso 3 Redacción RA '!I$3:I$12,'Paso 3 Redacción RA '!C$3:C$12,,0,1)</f>
        <v>SaberHacer</v>
      </c>
      <c r="B69" s="38" t="s">
        <v>93</v>
      </c>
      <c r="C69" s="82"/>
      <c r="D69" s="82"/>
      <c r="E69" s="84"/>
      <c r="F69" s="82"/>
      <c r="G69" s="82"/>
      <c r="H69" s="82"/>
      <c r="I69" s="82"/>
      <c r="J69" s="82"/>
      <c r="K69" s="82"/>
      <c r="L69" s="82"/>
      <c r="M69" s="82"/>
      <c r="N69" s="84"/>
      <c r="O69" s="84"/>
      <c r="P69" s="84"/>
      <c r="Q69" s="84"/>
    </row>
    <row r="70" spans="1:18" ht="115.5" x14ac:dyDescent="0.35">
      <c r="A70" s="48" t="str">
        <f>_xlfn.XLOOKUP(B70,'Paso 3 Redacción RA '!I$3:I$12,'Paso 3 Redacción RA '!C$3:C$12,,0,1)</f>
        <v>SaberSer</v>
      </c>
      <c r="B70" s="48" t="s">
        <v>97</v>
      </c>
      <c r="C70" s="83"/>
      <c r="D70" s="83"/>
      <c r="E70" s="85"/>
      <c r="F70" s="83"/>
      <c r="G70" s="83"/>
      <c r="H70" s="83"/>
      <c r="I70" s="83"/>
      <c r="J70" s="83"/>
      <c r="K70" s="83"/>
      <c r="L70" s="83"/>
      <c r="M70" s="83"/>
      <c r="N70" s="85"/>
      <c r="O70" s="85"/>
      <c r="P70" s="85"/>
      <c r="Q70" s="85"/>
    </row>
    <row r="71" spans="1:18" ht="115.5" x14ac:dyDescent="0.35">
      <c r="A71" s="38" t="str">
        <f>_xlfn.XLOOKUP(B71,'Paso 3 Redacción RA '!I$3:I$12,'Paso 3 Redacción RA '!C$3:C$12,,0,1)</f>
        <v>Saber</v>
      </c>
      <c r="B71" s="38" t="s">
        <v>89</v>
      </c>
      <c r="C71" s="82">
        <v>5</v>
      </c>
      <c r="D71" s="82" t="s">
        <v>286</v>
      </c>
      <c r="E71" s="84" t="s">
        <v>287</v>
      </c>
      <c r="F71" s="82" t="s">
        <v>187</v>
      </c>
      <c r="G71" s="82"/>
      <c r="H71" s="82" t="s">
        <v>177</v>
      </c>
      <c r="I71" s="82"/>
      <c r="J71" s="82">
        <v>3</v>
      </c>
      <c r="K71" s="82">
        <f>J71*16</f>
        <v>48</v>
      </c>
      <c r="L71" s="82">
        <f>J71*32</f>
        <v>96</v>
      </c>
      <c r="M71" s="82">
        <f>SUM(K71:L71)</f>
        <v>144</v>
      </c>
      <c r="N71" s="84" t="s">
        <v>288</v>
      </c>
      <c r="O71" s="84" t="s">
        <v>179</v>
      </c>
      <c r="P71" s="84" t="s">
        <v>180</v>
      </c>
      <c r="Q71" s="84" t="s">
        <v>181</v>
      </c>
    </row>
    <row r="72" spans="1:18" ht="115.5" x14ac:dyDescent="0.35">
      <c r="A72" s="38" t="str">
        <f>_xlfn.XLOOKUP(B72,'Paso 3 Redacción RA '!I$3:I$12,'Paso 3 Redacción RA '!C$3:C$12,,0,1)</f>
        <v>SaberSer</v>
      </c>
      <c r="B72" s="38" t="s">
        <v>97</v>
      </c>
      <c r="C72" s="82"/>
      <c r="D72" s="82"/>
      <c r="E72" s="84"/>
      <c r="F72" s="82"/>
      <c r="G72" s="82"/>
      <c r="H72" s="82"/>
      <c r="I72" s="82"/>
      <c r="J72" s="82"/>
      <c r="K72" s="82"/>
      <c r="L72" s="82"/>
      <c r="M72" s="82"/>
      <c r="N72" s="84"/>
      <c r="O72" s="84"/>
      <c r="P72" s="84"/>
      <c r="Q72" s="84"/>
    </row>
    <row r="73" spans="1:18" ht="115.5" x14ac:dyDescent="0.35">
      <c r="A73" s="48" t="str">
        <f>_xlfn.XLOOKUP(B73,'Paso 3 Redacción RA '!I$3:I$12,'Paso 3 Redacción RA '!C$3:C$12,,0,1)</f>
        <v>Saber</v>
      </c>
      <c r="B73" s="48" t="s">
        <v>99</v>
      </c>
      <c r="C73" s="83"/>
      <c r="D73" s="83"/>
      <c r="E73" s="85"/>
      <c r="F73" s="83"/>
      <c r="G73" s="83"/>
      <c r="H73" s="83"/>
      <c r="I73" s="83"/>
      <c r="J73" s="83"/>
      <c r="K73" s="83"/>
      <c r="L73" s="83"/>
      <c r="M73" s="83"/>
      <c r="N73" s="85"/>
      <c r="O73" s="85"/>
      <c r="P73" s="85"/>
      <c r="Q73" s="85"/>
    </row>
    <row r="74" spans="1:18" ht="159" customHeight="1" x14ac:dyDescent="0.35">
      <c r="A74" s="38" t="str">
        <f>_xlfn.XLOOKUP(B74,'Paso 3 Redacción RA '!I$3:I$12,'Paso 3 Redacción RA '!C$3:C$12,,0,1)</f>
        <v>SaberHacer</v>
      </c>
      <c r="B74" s="38" t="s">
        <v>93</v>
      </c>
      <c r="C74" s="82">
        <v>5</v>
      </c>
      <c r="D74" s="82" t="s">
        <v>289</v>
      </c>
      <c r="E74" s="84" t="s">
        <v>290</v>
      </c>
      <c r="F74" s="82" t="s">
        <v>187</v>
      </c>
      <c r="G74" s="82"/>
      <c r="H74" s="82" t="s">
        <v>177</v>
      </c>
      <c r="I74" s="82"/>
      <c r="J74" s="82">
        <v>3</v>
      </c>
      <c r="K74" s="82">
        <f>J74*16</f>
        <v>48</v>
      </c>
      <c r="L74" s="82">
        <f>J74*32</f>
        <v>96</v>
      </c>
      <c r="M74" s="82">
        <f>SUM(K74:L74)</f>
        <v>144</v>
      </c>
      <c r="N74" s="84" t="s">
        <v>291</v>
      </c>
      <c r="O74" s="84" t="s">
        <v>292</v>
      </c>
      <c r="P74" s="84" t="s">
        <v>293</v>
      </c>
      <c r="Q74" s="84" t="s">
        <v>181</v>
      </c>
    </row>
    <row r="75" spans="1:18" ht="193" customHeight="1" x14ac:dyDescent="0.35">
      <c r="A75" s="48" t="str">
        <f>_xlfn.XLOOKUP(B75,'Paso 3 Redacción RA '!I$3:I$12,'Paso 3 Redacción RA '!C$3:C$12,,0,1)</f>
        <v>SaberSer</v>
      </c>
      <c r="B75" s="48" t="s">
        <v>97</v>
      </c>
      <c r="C75" s="83"/>
      <c r="D75" s="83"/>
      <c r="E75" s="85"/>
      <c r="F75" s="83"/>
      <c r="G75" s="83"/>
      <c r="H75" s="83"/>
      <c r="I75" s="83"/>
      <c r="J75" s="83"/>
      <c r="K75" s="83"/>
      <c r="L75" s="83"/>
      <c r="M75" s="83"/>
      <c r="N75" s="85"/>
      <c r="O75" s="85"/>
      <c r="P75" s="85"/>
      <c r="Q75" s="85"/>
    </row>
    <row r="76" spans="1:18" ht="115.5" x14ac:dyDescent="0.35">
      <c r="A76" s="38" t="str">
        <f>_xlfn.XLOOKUP(B76,'Paso 3 Redacción RA '!I$3:I$12,'Paso 3 Redacción RA '!C$3:C$12,,0,1)</f>
        <v>Saber</v>
      </c>
      <c r="B76" s="38" t="s">
        <v>89</v>
      </c>
      <c r="C76" s="82">
        <v>6</v>
      </c>
      <c r="D76" s="82" t="s">
        <v>294</v>
      </c>
      <c r="E76" s="84" t="s">
        <v>295</v>
      </c>
      <c r="F76" s="82" t="s">
        <v>187</v>
      </c>
      <c r="G76" s="82"/>
      <c r="H76" s="82" t="s">
        <v>177</v>
      </c>
      <c r="I76" s="82"/>
      <c r="J76" s="82">
        <v>3</v>
      </c>
      <c r="K76" s="82">
        <f>J76*16</f>
        <v>48</v>
      </c>
      <c r="L76" s="82">
        <f>J76*32</f>
        <v>96</v>
      </c>
      <c r="M76" s="82">
        <f>SUM(K76:L76)</f>
        <v>144</v>
      </c>
      <c r="N76" s="84" t="s">
        <v>296</v>
      </c>
      <c r="O76" s="84" t="s">
        <v>297</v>
      </c>
      <c r="P76" s="84" t="s">
        <v>293</v>
      </c>
      <c r="Q76" s="84" t="s">
        <v>181</v>
      </c>
    </row>
    <row r="77" spans="1:18" ht="115.5" x14ac:dyDescent="0.35">
      <c r="A77" s="38" t="str">
        <f>_xlfn.XLOOKUP(B77,'Paso 3 Redacción RA '!I$3:I$12,'Paso 3 Redacción RA '!C$3:C$12,,0,1)</f>
        <v>SaberHacer</v>
      </c>
      <c r="B77" s="38" t="s">
        <v>93</v>
      </c>
      <c r="C77" s="82"/>
      <c r="D77" s="82"/>
      <c r="E77" s="84"/>
      <c r="F77" s="82"/>
      <c r="G77" s="82"/>
      <c r="H77" s="82"/>
      <c r="I77" s="82"/>
      <c r="J77" s="82"/>
      <c r="K77" s="82"/>
      <c r="L77" s="82"/>
      <c r="M77" s="82"/>
      <c r="N77" s="84"/>
      <c r="O77" s="84"/>
      <c r="P77" s="84"/>
      <c r="Q77" s="84"/>
    </row>
    <row r="78" spans="1:18" ht="115.5" x14ac:dyDescent="0.35">
      <c r="A78" s="48" t="str">
        <f>_xlfn.XLOOKUP(B78,'Paso 3 Redacción RA '!I$3:I$12,'Paso 3 Redacción RA '!C$3:C$12,,0,1)</f>
        <v>SaberSer</v>
      </c>
      <c r="B78" s="48" t="s">
        <v>97</v>
      </c>
      <c r="C78" s="83"/>
      <c r="D78" s="83"/>
      <c r="E78" s="85"/>
      <c r="F78" s="83"/>
      <c r="G78" s="83"/>
      <c r="H78" s="83"/>
      <c r="I78" s="83"/>
      <c r="J78" s="83"/>
      <c r="K78" s="83"/>
      <c r="L78" s="83"/>
      <c r="M78" s="83"/>
      <c r="N78" s="85"/>
      <c r="O78" s="85"/>
      <c r="P78" s="85"/>
      <c r="Q78" s="85"/>
      <c r="R78" s="3">
        <f>SUM(J56:J78)</f>
        <v>21</v>
      </c>
    </row>
    <row r="79" spans="1:18" ht="115.5" x14ac:dyDescent="0.35">
      <c r="A79" s="38" t="str">
        <f>_xlfn.XLOOKUP(B79,'Paso 3 Redacción RA '!I$3:I$12,'Paso 3 Redacción RA '!C$3:C$12,,0,1)</f>
        <v>Saber</v>
      </c>
      <c r="B79" s="38" t="s">
        <v>89</v>
      </c>
      <c r="C79" s="82">
        <v>6</v>
      </c>
      <c r="D79" s="82" t="s">
        <v>298</v>
      </c>
      <c r="E79" s="84" t="s">
        <v>299</v>
      </c>
      <c r="F79" s="82" t="s">
        <v>176</v>
      </c>
      <c r="G79" s="82"/>
      <c r="H79" s="82" t="s">
        <v>177</v>
      </c>
      <c r="I79" s="82"/>
      <c r="J79" s="82">
        <v>3</v>
      </c>
      <c r="K79" s="82">
        <f>J79*16</f>
        <v>48</v>
      </c>
      <c r="L79" s="82">
        <f>J79*32</f>
        <v>96</v>
      </c>
      <c r="M79" s="82">
        <f>SUM(K79:L79)</f>
        <v>144</v>
      </c>
      <c r="N79" s="84" t="s">
        <v>300</v>
      </c>
      <c r="O79" s="84" t="s">
        <v>179</v>
      </c>
      <c r="P79" s="84" t="s">
        <v>180</v>
      </c>
      <c r="Q79" s="84" t="s">
        <v>181</v>
      </c>
    </row>
    <row r="80" spans="1:18" ht="115.5" x14ac:dyDescent="0.35">
      <c r="A80" s="38" t="str">
        <f>_xlfn.XLOOKUP(B80,'Paso 3 Redacción RA '!I$3:I$12,'Paso 3 Redacción RA '!C$3:C$12,,0,1)</f>
        <v>SaberHacer</v>
      </c>
      <c r="B80" s="38" t="s">
        <v>93</v>
      </c>
      <c r="C80" s="82"/>
      <c r="D80" s="82"/>
      <c r="E80" s="84"/>
      <c r="F80" s="82"/>
      <c r="G80" s="82"/>
      <c r="H80" s="82"/>
      <c r="I80" s="82"/>
      <c r="J80" s="82"/>
      <c r="K80" s="82"/>
      <c r="L80" s="82"/>
      <c r="M80" s="82"/>
      <c r="N80" s="84"/>
      <c r="O80" s="84"/>
      <c r="P80" s="84"/>
      <c r="Q80" s="84"/>
    </row>
    <row r="81" spans="1:18" ht="115.5" x14ac:dyDescent="0.35">
      <c r="A81" s="48" t="str">
        <f>_xlfn.XLOOKUP(B81,'Paso 3 Redacción RA '!I$3:I$12,'Paso 3 Redacción RA '!C$3:C$12,,0,1)</f>
        <v>SaberSer</v>
      </c>
      <c r="B81" s="48" t="s">
        <v>97</v>
      </c>
      <c r="C81" s="83"/>
      <c r="D81" s="83"/>
      <c r="E81" s="85"/>
      <c r="F81" s="83"/>
      <c r="G81" s="83"/>
      <c r="H81" s="83"/>
      <c r="I81" s="83"/>
      <c r="J81" s="83"/>
      <c r="K81" s="83"/>
      <c r="L81" s="83"/>
      <c r="M81" s="83"/>
      <c r="N81" s="85"/>
      <c r="O81" s="85"/>
      <c r="P81" s="85"/>
      <c r="Q81" s="85"/>
      <c r="R81" s="3">
        <f>SUM(J44:J141)</f>
        <v>369</v>
      </c>
    </row>
    <row r="82" spans="1:18" ht="115.5" x14ac:dyDescent="0.35">
      <c r="A82" s="38" t="str">
        <f>_xlfn.XLOOKUP(B82,'Paso 3 Redacción RA '!I$3:I$12,'Paso 3 Redacción RA '!C$3:C$12,,0,1)</f>
        <v>Saber</v>
      </c>
      <c r="B82" s="38" t="s">
        <v>89</v>
      </c>
      <c r="C82" s="82">
        <v>6</v>
      </c>
      <c r="D82" s="82" t="s">
        <v>301</v>
      </c>
      <c r="E82" s="84" t="s">
        <v>302</v>
      </c>
      <c r="F82" s="82" t="s">
        <v>187</v>
      </c>
      <c r="G82" s="82"/>
      <c r="H82" s="82" t="s">
        <v>177</v>
      </c>
      <c r="I82" s="82"/>
      <c r="J82" s="82">
        <v>3</v>
      </c>
      <c r="K82" s="82">
        <f>J82*16</f>
        <v>48</v>
      </c>
      <c r="L82" s="82">
        <f>J82*32</f>
        <v>96</v>
      </c>
      <c r="M82" s="82">
        <f>SUM(K82:L82)</f>
        <v>144</v>
      </c>
      <c r="N82" s="84" t="s">
        <v>303</v>
      </c>
      <c r="O82" s="84" t="s">
        <v>179</v>
      </c>
      <c r="P82" s="84" t="s">
        <v>180</v>
      </c>
      <c r="Q82" s="84" t="s">
        <v>181</v>
      </c>
    </row>
    <row r="83" spans="1:18" ht="115.5" x14ac:dyDescent="0.35">
      <c r="A83" s="38" t="str">
        <f>_xlfn.XLOOKUP(B83,'Paso 3 Redacción RA '!I$3:I$12,'Paso 3 Redacción RA '!C$3:C$12,,0,1)</f>
        <v>SaberHacer</v>
      </c>
      <c r="B83" s="38" t="s">
        <v>93</v>
      </c>
      <c r="C83" s="82"/>
      <c r="D83" s="82"/>
      <c r="E83" s="84"/>
      <c r="F83" s="82"/>
      <c r="G83" s="82"/>
      <c r="H83" s="82"/>
      <c r="I83" s="82"/>
      <c r="J83" s="82"/>
      <c r="K83" s="82"/>
      <c r="L83" s="82"/>
      <c r="M83" s="82"/>
      <c r="N83" s="84"/>
      <c r="O83" s="84"/>
      <c r="P83" s="84"/>
      <c r="Q83" s="84"/>
    </row>
    <row r="84" spans="1:18" ht="115.5" x14ac:dyDescent="0.35">
      <c r="A84" s="38" t="str">
        <f>_xlfn.XLOOKUP(B84,'Paso 3 Redacción RA '!I$3:I$12,'Paso 3 Redacción RA '!C$3:C$12,,0,1)</f>
        <v>SaberSer</v>
      </c>
      <c r="B84" s="38" t="s">
        <v>97</v>
      </c>
      <c r="C84" s="82"/>
      <c r="D84" s="82"/>
      <c r="E84" s="84"/>
      <c r="F84" s="82"/>
      <c r="G84" s="82"/>
      <c r="H84" s="82"/>
      <c r="I84" s="82"/>
      <c r="J84" s="82"/>
      <c r="K84" s="82"/>
      <c r="L84" s="82"/>
      <c r="M84" s="82"/>
      <c r="N84" s="84"/>
      <c r="O84" s="84"/>
      <c r="P84" s="84"/>
      <c r="Q84" s="84"/>
    </row>
    <row r="85" spans="1:18" ht="115.5" x14ac:dyDescent="0.35">
      <c r="A85" s="48" t="str">
        <f>_xlfn.XLOOKUP(B85,'Paso 3 Redacción RA '!I$3:I$12,'Paso 3 Redacción RA '!C$3:C$12,,0,1)</f>
        <v>Saber</v>
      </c>
      <c r="B85" s="48" t="s">
        <v>99</v>
      </c>
      <c r="C85" s="83"/>
      <c r="D85" s="83"/>
      <c r="E85" s="85"/>
      <c r="F85" s="83"/>
      <c r="G85" s="83"/>
      <c r="H85" s="83"/>
      <c r="I85" s="83"/>
      <c r="J85" s="83"/>
      <c r="K85" s="83"/>
      <c r="L85" s="83"/>
      <c r="M85" s="83"/>
      <c r="N85" s="85"/>
      <c r="O85" s="85"/>
      <c r="P85" s="85"/>
      <c r="Q85" s="85"/>
    </row>
    <row r="86" spans="1:18" ht="115.5" x14ac:dyDescent="0.35">
      <c r="A86" s="38" t="str">
        <f>_xlfn.XLOOKUP(B86,'Paso 3 Redacción RA '!I$3:I$12,'Paso 3 Redacción RA '!C$3:C$12,,0,1)</f>
        <v>Saber</v>
      </c>
      <c r="B86" s="38" t="s">
        <v>89</v>
      </c>
      <c r="C86" s="82">
        <v>6</v>
      </c>
      <c r="D86" s="82" t="s">
        <v>304</v>
      </c>
      <c r="E86" s="84" t="s">
        <v>305</v>
      </c>
      <c r="F86" s="82" t="s">
        <v>187</v>
      </c>
      <c r="G86" s="82"/>
      <c r="H86" s="82" t="s">
        <v>177</v>
      </c>
      <c r="I86" s="82"/>
      <c r="J86" s="82">
        <v>3</v>
      </c>
      <c r="K86" s="82">
        <f>J86*16</f>
        <v>48</v>
      </c>
      <c r="L86" s="82">
        <f>J86*32</f>
        <v>96</v>
      </c>
      <c r="M86" s="82">
        <f>SUM(K86:L86)</f>
        <v>144</v>
      </c>
      <c r="N86" s="84" t="s">
        <v>306</v>
      </c>
      <c r="O86" s="84" t="s">
        <v>179</v>
      </c>
      <c r="P86" s="84" t="s">
        <v>180</v>
      </c>
      <c r="Q86" s="84" t="s">
        <v>181</v>
      </c>
    </row>
    <row r="87" spans="1:18" ht="115.5" x14ac:dyDescent="0.35">
      <c r="A87" s="38" t="str">
        <f>_xlfn.XLOOKUP(B87,'Paso 3 Redacción RA '!I$3:I$12,'Paso 3 Redacción RA '!C$3:C$12,,0,1)</f>
        <v>SaberHacer</v>
      </c>
      <c r="B87" s="38" t="s">
        <v>93</v>
      </c>
      <c r="C87" s="82"/>
      <c r="D87" s="82"/>
      <c r="E87" s="84"/>
      <c r="F87" s="82"/>
      <c r="G87" s="82"/>
      <c r="H87" s="82"/>
      <c r="I87" s="82"/>
      <c r="J87" s="82"/>
      <c r="K87" s="82"/>
      <c r="L87" s="82"/>
      <c r="M87" s="82"/>
      <c r="N87" s="84"/>
      <c r="O87" s="84"/>
      <c r="P87" s="84"/>
      <c r="Q87" s="84"/>
    </row>
    <row r="88" spans="1:18" ht="115.5" x14ac:dyDescent="0.35">
      <c r="A88" s="38" t="str">
        <f>_xlfn.XLOOKUP(B88,'Paso 3 Redacción RA '!I$3:I$12,'Paso 3 Redacción RA '!C$3:C$12,,0,1)</f>
        <v>SaberSer</v>
      </c>
      <c r="B88" s="38" t="s">
        <v>97</v>
      </c>
      <c r="C88" s="82"/>
      <c r="D88" s="82"/>
      <c r="E88" s="84"/>
      <c r="F88" s="82"/>
      <c r="G88" s="82"/>
      <c r="H88" s="82"/>
      <c r="I88" s="82"/>
      <c r="J88" s="82"/>
      <c r="K88" s="82"/>
      <c r="L88" s="82"/>
      <c r="M88" s="82"/>
      <c r="N88" s="84"/>
      <c r="O88" s="84"/>
      <c r="P88" s="84"/>
      <c r="Q88" s="84"/>
    </row>
    <row r="89" spans="1:18" ht="115.5" x14ac:dyDescent="0.35">
      <c r="A89" s="48" t="str">
        <f>_xlfn.XLOOKUP(B89,'Paso 3 Redacción RA '!I$3:I$12,'Paso 3 Redacción RA '!C$3:C$12,,0,1)</f>
        <v>Saber</v>
      </c>
      <c r="B89" s="48" t="s">
        <v>99</v>
      </c>
      <c r="C89" s="83"/>
      <c r="D89" s="83"/>
      <c r="E89" s="85"/>
      <c r="F89" s="83"/>
      <c r="G89" s="83"/>
      <c r="H89" s="83"/>
      <c r="I89" s="83"/>
      <c r="J89" s="83"/>
      <c r="K89" s="83"/>
      <c r="L89" s="83"/>
      <c r="M89" s="83"/>
      <c r="N89" s="85"/>
      <c r="O89" s="85"/>
      <c r="P89" s="85"/>
      <c r="Q89" s="85"/>
    </row>
    <row r="90" spans="1:18" ht="115.5" x14ac:dyDescent="0.35">
      <c r="A90" s="38" t="str">
        <f>_xlfn.XLOOKUP(B90,'Paso 3 Redacción RA '!I$3:I$12,'Paso 3 Redacción RA '!C$3:C$12,,0,1)</f>
        <v>Saber</v>
      </c>
      <c r="B90" s="38" t="s">
        <v>89</v>
      </c>
      <c r="C90" s="82">
        <v>6</v>
      </c>
      <c r="D90" s="82" t="s">
        <v>307</v>
      </c>
      <c r="E90" s="84" t="s">
        <v>308</v>
      </c>
      <c r="F90" s="82" t="s">
        <v>187</v>
      </c>
      <c r="G90" s="82"/>
      <c r="H90" s="82" t="s">
        <v>177</v>
      </c>
      <c r="I90" s="82"/>
      <c r="J90" s="82">
        <v>3</v>
      </c>
      <c r="K90" s="82">
        <f>J90*16</f>
        <v>48</v>
      </c>
      <c r="L90" s="82">
        <f>J90*32</f>
        <v>96</v>
      </c>
      <c r="M90" s="82">
        <f>SUM(K90:L90)</f>
        <v>144</v>
      </c>
      <c r="N90" s="84" t="s">
        <v>309</v>
      </c>
      <c r="O90" s="84" t="s">
        <v>179</v>
      </c>
      <c r="P90" s="84" t="s">
        <v>180</v>
      </c>
      <c r="Q90" s="84" t="s">
        <v>181</v>
      </c>
    </row>
    <row r="91" spans="1:18" ht="115.5" x14ac:dyDescent="0.35">
      <c r="A91" s="38" t="str">
        <f>_xlfn.XLOOKUP(B91,'Paso 3 Redacción RA '!I$3:I$12,'Paso 3 Redacción RA '!C$3:C$12,,0,1)</f>
        <v>SaberHacer</v>
      </c>
      <c r="B91" s="38" t="s">
        <v>93</v>
      </c>
      <c r="C91" s="82"/>
      <c r="D91" s="82"/>
      <c r="E91" s="84"/>
      <c r="F91" s="82"/>
      <c r="G91" s="82"/>
      <c r="H91" s="82"/>
      <c r="I91" s="82"/>
      <c r="J91" s="82"/>
      <c r="K91" s="82"/>
      <c r="L91" s="82"/>
      <c r="M91" s="82"/>
      <c r="N91" s="84"/>
      <c r="O91" s="84"/>
      <c r="P91" s="84"/>
      <c r="Q91" s="84"/>
    </row>
    <row r="92" spans="1:18" ht="115.5" x14ac:dyDescent="0.35">
      <c r="A92" s="38" t="str">
        <f>_xlfn.XLOOKUP(B92,'Paso 3 Redacción RA '!I$3:I$12,'Paso 3 Redacción RA '!C$3:C$12,,0,1)</f>
        <v>SaberSer</v>
      </c>
      <c r="B92" s="38" t="s">
        <v>97</v>
      </c>
      <c r="C92" s="82"/>
      <c r="D92" s="82"/>
      <c r="E92" s="84"/>
      <c r="F92" s="82"/>
      <c r="G92" s="82"/>
      <c r="H92" s="82"/>
      <c r="I92" s="82"/>
      <c r="J92" s="82"/>
      <c r="K92" s="82"/>
      <c r="L92" s="82"/>
      <c r="M92" s="82"/>
      <c r="N92" s="84"/>
      <c r="O92" s="84"/>
      <c r="P92" s="84"/>
      <c r="Q92" s="84"/>
    </row>
    <row r="93" spans="1:18" ht="115.5" x14ac:dyDescent="0.35">
      <c r="A93" s="48" t="str">
        <f>_xlfn.XLOOKUP(B93,'Paso 3 Redacción RA '!I$3:I$12,'Paso 3 Redacción RA '!C$3:C$12,,0,1)</f>
        <v>Saber</v>
      </c>
      <c r="B93" s="48" t="s">
        <v>99</v>
      </c>
      <c r="C93" s="83"/>
      <c r="D93" s="83"/>
      <c r="E93" s="85"/>
      <c r="F93" s="83"/>
      <c r="G93" s="83"/>
      <c r="H93" s="83"/>
      <c r="I93" s="83"/>
      <c r="J93" s="83"/>
      <c r="K93" s="83"/>
      <c r="L93" s="83"/>
      <c r="M93" s="83"/>
      <c r="N93" s="85"/>
      <c r="O93" s="85"/>
      <c r="P93" s="85"/>
      <c r="Q93" s="85"/>
    </row>
    <row r="94" spans="1:18" ht="115.5" x14ac:dyDescent="0.35">
      <c r="A94" s="38" t="str">
        <f>_xlfn.XLOOKUP(B94,'Paso 3 Redacción RA '!I$3:I$12,'Paso 3 Redacción RA '!C$3:C$12,,0,1)</f>
        <v>Saber</v>
      </c>
      <c r="B94" s="38" t="s">
        <v>89</v>
      </c>
      <c r="C94" s="82">
        <v>6</v>
      </c>
      <c r="D94" s="82" t="s">
        <v>310</v>
      </c>
      <c r="E94" s="84" t="s">
        <v>311</v>
      </c>
      <c r="F94" s="82" t="s">
        <v>187</v>
      </c>
      <c r="G94" s="82"/>
      <c r="H94" s="82" t="s">
        <v>177</v>
      </c>
      <c r="I94" s="82"/>
      <c r="J94" s="82">
        <v>3</v>
      </c>
      <c r="K94" s="82">
        <f>J94*16</f>
        <v>48</v>
      </c>
      <c r="L94" s="82">
        <f>J94*32</f>
        <v>96</v>
      </c>
      <c r="M94" s="82">
        <f>SUM(K94:L94)</f>
        <v>144</v>
      </c>
      <c r="N94" s="84" t="s">
        <v>312</v>
      </c>
      <c r="O94" s="84" t="s">
        <v>179</v>
      </c>
      <c r="P94" s="84" t="s">
        <v>180</v>
      </c>
      <c r="Q94" s="84" t="s">
        <v>181</v>
      </c>
    </row>
    <row r="95" spans="1:18" ht="115.5" x14ac:dyDescent="0.35">
      <c r="A95" s="38" t="str">
        <f>_xlfn.XLOOKUP(B95,'Paso 3 Redacción RA '!I$3:I$12,'Paso 3 Redacción RA '!C$3:C$12,,0,1)</f>
        <v>SaberHacer</v>
      </c>
      <c r="B95" s="38" t="s">
        <v>93</v>
      </c>
      <c r="C95" s="82"/>
      <c r="D95" s="82"/>
      <c r="E95" s="84"/>
      <c r="F95" s="82"/>
      <c r="G95" s="82"/>
      <c r="H95" s="82"/>
      <c r="I95" s="82"/>
      <c r="J95" s="82"/>
      <c r="K95" s="82"/>
      <c r="L95" s="82"/>
      <c r="M95" s="82"/>
      <c r="N95" s="84"/>
      <c r="O95" s="84"/>
      <c r="P95" s="84"/>
      <c r="Q95" s="84"/>
    </row>
    <row r="96" spans="1:18" ht="115.5" x14ac:dyDescent="0.35">
      <c r="A96" s="38" t="str">
        <f>_xlfn.XLOOKUP(B96,'Paso 3 Redacción RA '!I$3:I$12,'Paso 3 Redacción RA '!C$3:C$12,,0,1)</f>
        <v>SaberSer</v>
      </c>
      <c r="B96" s="38" t="s">
        <v>97</v>
      </c>
      <c r="C96" s="82"/>
      <c r="D96" s="82"/>
      <c r="E96" s="84"/>
      <c r="F96" s="82"/>
      <c r="G96" s="82"/>
      <c r="H96" s="82"/>
      <c r="I96" s="82"/>
      <c r="J96" s="82"/>
      <c r="K96" s="82"/>
      <c r="L96" s="82"/>
      <c r="M96" s="82"/>
      <c r="N96" s="84"/>
      <c r="O96" s="84"/>
      <c r="P96" s="84"/>
      <c r="Q96" s="84"/>
    </row>
    <row r="97" spans="1:18" ht="115.5" x14ac:dyDescent="0.35">
      <c r="A97" s="48" t="str">
        <f>_xlfn.XLOOKUP(B97,'Paso 3 Redacción RA '!I$3:I$12,'Paso 3 Redacción RA '!C$3:C$12,,0,1)</f>
        <v>Saber</v>
      </c>
      <c r="B97" s="48" t="s">
        <v>99</v>
      </c>
      <c r="C97" s="83"/>
      <c r="D97" s="83"/>
      <c r="E97" s="85"/>
      <c r="F97" s="83"/>
      <c r="G97" s="83"/>
      <c r="H97" s="83"/>
      <c r="I97" s="83"/>
      <c r="J97" s="83"/>
      <c r="K97" s="83"/>
      <c r="L97" s="83"/>
      <c r="M97" s="83"/>
      <c r="N97" s="85"/>
      <c r="O97" s="85"/>
      <c r="P97" s="85"/>
      <c r="Q97" s="85"/>
    </row>
    <row r="98" spans="1:18" ht="115.5" x14ac:dyDescent="0.35">
      <c r="A98" s="38" t="str">
        <f>_xlfn.XLOOKUP(B98,'Paso 3 Redacción RA '!I$3:I$12,'Paso 3 Redacción RA '!C$3:C$12,,0,1)</f>
        <v>Saber</v>
      </c>
      <c r="B98" s="38" t="s">
        <v>89</v>
      </c>
      <c r="C98" s="82">
        <v>7</v>
      </c>
      <c r="D98" s="82" t="s">
        <v>313</v>
      </c>
      <c r="E98" s="84" t="s">
        <v>314</v>
      </c>
      <c r="F98" s="82" t="s">
        <v>187</v>
      </c>
      <c r="G98" s="82"/>
      <c r="H98" s="82" t="s">
        <v>177</v>
      </c>
      <c r="I98" s="82"/>
      <c r="J98" s="82">
        <v>3</v>
      </c>
      <c r="K98" s="82">
        <f>J98*16</f>
        <v>48</v>
      </c>
      <c r="L98" s="82">
        <f>J98*32</f>
        <v>96</v>
      </c>
      <c r="M98" s="82">
        <f>SUM(K98:L98)</f>
        <v>144</v>
      </c>
      <c r="N98" s="84" t="s">
        <v>315</v>
      </c>
      <c r="O98" s="84" t="s">
        <v>179</v>
      </c>
      <c r="P98" s="84" t="s">
        <v>180</v>
      </c>
      <c r="Q98" s="84" t="s">
        <v>181</v>
      </c>
    </row>
    <row r="99" spans="1:18" ht="115.5" x14ac:dyDescent="0.35">
      <c r="A99" s="38" t="str">
        <f>_xlfn.XLOOKUP(B99,'Paso 3 Redacción RA '!I$3:I$12,'Paso 3 Redacción RA '!C$3:C$12,,0,1)</f>
        <v>SaberHacer</v>
      </c>
      <c r="B99" s="38" t="s">
        <v>93</v>
      </c>
      <c r="C99" s="82"/>
      <c r="D99" s="82"/>
      <c r="E99" s="84"/>
      <c r="F99" s="82"/>
      <c r="G99" s="82"/>
      <c r="H99" s="82"/>
      <c r="I99" s="82"/>
      <c r="J99" s="82"/>
      <c r="K99" s="82"/>
      <c r="L99" s="82"/>
      <c r="M99" s="82"/>
      <c r="N99" s="84"/>
      <c r="O99" s="84"/>
      <c r="P99" s="84"/>
      <c r="Q99" s="84"/>
    </row>
    <row r="100" spans="1:18" ht="115.5" x14ac:dyDescent="0.35">
      <c r="A100" s="38" t="str">
        <f>_xlfn.XLOOKUP(B100,'Paso 3 Redacción RA '!I$3:I$12,'Paso 3 Redacción RA '!C$3:C$12,,0,1)</f>
        <v>SaberSer</v>
      </c>
      <c r="B100" s="38" t="s">
        <v>97</v>
      </c>
      <c r="C100" s="82"/>
      <c r="D100" s="82"/>
      <c r="E100" s="84"/>
      <c r="F100" s="82"/>
      <c r="G100" s="82"/>
      <c r="H100" s="82"/>
      <c r="I100" s="82"/>
      <c r="J100" s="82"/>
      <c r="K100" s="82"/>
      <c r="L100" s="82"/>
      <c r="M100" s="82"/>
      <c r="N100" s="84"/>
      <c r="O100" s="84"/>
      <c r="P100" s="84"/>
      <c r="Q100" s="84"/>
    </row>
    <row r="101" spans="1:18" ht="115.5" x14ac:dyDescent="0.35">
      <c r="A101" s="48" t="str">
        <f>_xlfn.XLOOKUP(B101,'Paso 3 Redacción RA '!I$3:I$12,'Paso 3 Redacción RA '!C$3:C$12,,0,1)</f>
        <v>Saber</v>
      </c>
      <c r="B101" s="48" t="s">
        <v>99</v>
      </c>
      <c r="C101" s="83"/>
      <c r="D101" s="83"/>
      <c r="E101" s="85"/>
      <c r="F101" s="83"/>
      <c r="G101" s="83"/>
      <c r="H101" s="83"/>
      <c r="I101" s="83"/>
      <c r="J101" s="83"/>
      <c r="K101" s="83"/>
      <c r="L101" s="83"/>
      <c r="M101" s="83"/>
      <c r="N101" s="85"/>
      <c r="O101" s="85"/>
      <c r="P101" s="85"/>
      <c r="Q101" s="85"/>
      <c r="R101" s="3">
        <f>SUM(J82:J101)</f>
        <v>15</v>
      </c>
    </row>
    <row r="102" spans="1:18" ht="115.5" x14ac:dyDescent="0.35">
      <c r="A102" s="38" t="str">
        <f>_xlfn.XLOOKUP(B102,'Paso 3 Redacción RA '!I$3:I$12,'Paso 3 Redacción RA '!C$3:C$12,,0,1)</f>
        <v>Saber</v>
      </c>
      <c r="B102" s="38" t="s">
        <v>89</v>
      </c>
      <c r="C102" s="82">
        <v>7</v>
      </c>
      <c r="D102" s="82" t="s">
        <v>316</v>
      </c>
      <c r="E102" s="84" t="s">
        <v>317</v>
      </c>
      <c r="F102" s="82" t="s">
        <v>176</v>
      </c>
      <c r="G102" s="82"/>
      <c r="H102" s="82" t="s">
        <v>177</v>
      </c>
      <c r="I102" s="82"/>
      <c r="J102" s="82">
        <v>3</v>
      </c>
      <c r="K102" s="82">
        <f>J102*16</f>
        <v>48</v>
      </c>
      <c r="L102" s="82">
        <f>J102*32</f>
        <v>96</v>
      </c>
      <c r="M102" s="82">
        <f>SUM(K102:L102)</f>
        <v>144</v>
      </c>
      <c r="N102" s="84" t="s">
        <v>318</v>
      </c>
      <c r="O102" s="84" t="s">
        <v>179</v>
      </c>
      <c r="P102" s="84" t="s">
        <v>180</v>
      </c>
      <c r="Q102" s="84" t="s">
        <v>181</v>
      </c>
    </row>
    <row r="103" spans="1:18" ht="115.5" x14ac:dyDescent="0.35">
      <c r="A103" s="38" t="str">
        <f>_xlfn.XLOOKUP(B103,'Paso 3 Redacción RA '!I$3:I$12,'Paso 3 Redacción RA '!C$3:C$12,,0,1)</f>
        <v>SaberHacer</v>
      </c>
      <c r="B103" s="38" t="s">
        <v>93</v>
      </c>
      <c r="C103" s="82"/>
      <c r="D103" s="82"/>
      <c r="E103" s="84"/>
      <c r="F103" s="82"/>
      <c r="G103" s="82"/>
      <c r="H103" s="82"/>
      <c r="I103" s="82"/>
      <c r="J103" s="82"/>
      <c r="K103" s="82"/>
      <c r="L103" s="82"/>
      <c r="M103" s="82"/>
      <c r="N103" s="84"/>
      <c r="O103" s="84"/>
      <c r="P103" s="84"/>
      <c r="Q103" s="84"/>
    </row>
    <row r="104" spans="1:18" ht="115.5" x14ac:dyDescent="0.35">
      <c r="A104" s="38" t="str">
        <f>_xlfn.XLOOKUP(B104,'Paso 3 Redacción RA '!I$3:I$12,'Paso 3 Redacción RA '!C$3:C$12,,0,1)</f>
        <v>SaberSer</v>
      </c>
      <c r="B104" s="38" t="s">
        <v>97</v>
      </c>
      <c r="C104" s="82"/>
      <c r="D104" s="82"/>
      <c r="E104" s="84"/>
      <c r="F104" s="82"/>
      <c r="G104" s="82"/>
      <c r="H104" s="82"/>
      <c r="I104" s="82"/>
      <c r="J104" s="82"/>
      <c r="K104" s="82"/>
      <c r="L104" s="82"/>
      <c r="M104" s="82"/>
      <c r="N104" s="84"/>
      <c r="O104" s="84"/>
      <c r="P104" s="84"/>
      <c r="Q104" s="84"/>
    </row>
    <row r="105" spans="1:18" ht="115.5" x14ac:dyDescent="0.35">
      <c r="A105" s="48" t="str">
        <f>_xlfn.XLOOKUP(B105,'Paso 3 Redacción RA '!I$3:I$12,'Paso 3 Redacción RA '!C$3:C$12,,0,1)</f>
        <v>Saber</v>
      </c>
      <c r="B105" s="48" t="s">
        <v>99</v>
      </c>
      <c r="C105" s="83"/>
      <c r="D105" s="83"/>
      <c r="E105" s="85"/>
      <c r="F105" s="83"/>
      <c r="G105" s="83"/>
      <c r="H105" s="83"/>
      <c r="I105" s="83"/>
      <c r="J105" s="83"/>
      <c r="K105" s="83"/>
      <c r="L105" s="83"/>
      <c r="M105" s="83"/>
      <c r="N105" s="85"/>
      <c r="O105" s="85"/>
      <c r="P105" s="85"/>
      <c r="Q105" s="85"/>
    </row>
    <row r="106" spans="1:18" ht="115.5" x14ac:dyDescent="0.35">
      <c r="A106" s="38" t="str">
        <f>_xlfn.XLOOKUP(B106,'Paso 3 Redacción RA '!I$3:I$12,'Paso 3 Redacción RA '!C$3:C$12,,0,1)</f>
        <v>Saber</v>
      </c>
      <c r="B106" s="38" t="s">
        <v>89</v>
      </c>
      <c r="C106" s="82">
        <v>7</v>
      </c>
      <c r="D106" s="82" t="s">
        <v>319</v>
      </c>
      <c r="E106" s="84" t="s">
        <v>320</v>
      </c>
      <c r="F106" s="82" t="s">
        <v>187</v>
      </c>
      <c r="G106" s="82"/>
      <c r="H106" s="82" t="s">
        <v>177</v>
      </c>
      <c r="I106" s="82"/>
      <c r="J106" s="82">
        <v>3</v>
      </c>
      <c r="K106" s="82">
        <f>J106*16</f>
        <v>48</v>
      </c>
      <c r="L106" s="82">
        <f>J106*32</f>
        <v>96</v>
      </c>
      <c r="M106" s="82">
        <f>SUM(K106:L106)</f>
        <v>144</v>
      </c>
      <c r="N106" s="84" t="s">
        <v>321</v>
      </c>
      <c r="O106" s="84" t="s">
        <v>179</v>
      </c>
      <c r="P106" s="84" t="s">
        <v>180</v>
      </c>
      <c r="Q106" s="84" t="s">
        <v>181</v>
      </c>
    </row>
    <row r="107" spans="1:18" ht="115.5" x14ac:dyDescent="0.35">
      <c r="A107" s="38" t="str">
        <f>_xlfn.XLOOKUP(B107,'Paso 3 Redacción RA '!I$3:I$12,'Paso 3 Redacción RA '!C$3:C$12,,0,1)</f>
        <v>SaberHacer</v>
      </c>
      <c r="B107" s="38" t="s">
        <v>93</v>
      </c>
      <c r="C107" s="82"/>
      <c r="D107" s="82"/>
      <c r="E107" s="84"/>
      <c r="F107" s="82"/>
      <c r="G107" s="82"/>
      <c r="H107" s="82"/>
      <c r="I107" s="82"/>
      <c r="J107" s="82"/>
      <c r="K107" s="82"/>
      <c r="L107" s="82"/>
      <c r="M107" s="82"/>
      <c r="N107" s="84"/>
      <c r="O107" s="84"/>
      <c r="P107" s="84"/>
      <c r="Q107" s="84"/>
    </row>
    <row r="108" spans="1:18" ht="115.5" x14ac:dyDescent="0.35">
      <c r="A108" s="38" t="str">
        <f>_xlfn.XLOOKUP(B108,'Paso 3 Redacción RA '!I$3:I$12,'Paso 3 Redacción RA '!C$3:C$12,,0,1)</f>
        <v>SaberSer</v>
      </c>
      <c r="B108" s="38" t="s">
        <v>97</v>
      </c>
      <c r="C108" s="82"/>
      <c r="D108" s="82"/>
      <c r="E108" s="84"/>
      <c r="F108" s="82"/>
      <c r="G108" s="82"/>
      <c r="H108" s="82"/>
      <c r="I108" s="82"/>
      <c r="J108" s="82"/>
      <c r="K108" s="82"/>
      <c r="L108" s="82"/>
      <c r="M108" s="82"/>
      <c r="N108" s="84"/>
      <c r="O108" s="84"/>
      <c r="P108" s="84"/>
      <c r="Q108" s="84"/>
    </row>
    <row r="109" spans="1:18" ht="115.5" x14ac:dyDescent="0.35">
      <c r="A109" s="48" t="str">
        <f>_xlfn.XLOOKUP(B109,'Paso 3 Redacción RA '!I$3:I$12,'Paso 3 Redacción RA '!C$3:C$12,,0,1)</f>
        <v>Saber</v>
      </c>
      <c r="B109" s="48" t="s">
        <v>99</v>
      </c>
      <c r="C109" s="83"/>
      <c r="D109" s="83"/>
      <c r="E109" s="85"/>
      <c r="F109" s="83"/>
      <c r="G109" s="83"/>
      <c r="H109" s="83"/>
      <c r="I109" s="83"/>
      <c r="J109" s="83"/>
      <c r="K109" s="83"/>
      <c r="L109" s="83"/>
      <c r="M109" s="83"/>
      <c r="N109" s="85"/>
      <c r="O109" s="85"/>
      <c r="P109" s="85"/>
      <c r="Q109" s="85"/>
    </row>
    <row r="110" spans="1:18" ht="115.5" x14ac:dyDescent="0.35">
      <c r="A110" s="38" t="str">
        <f>_xlfn.XLOOKUP(B110,'Paso 3 Redacción RA '!I$3:I$12,'Paso 3 Redacción RA '!C$3:C$12,,0,1)</f>
        <v>Saber</v>
      </c>
      <c r="B110" s="38" t="s">
        <v>89</v>
      </c>
      <c r="C110" s="82">
        <v>7</v>
      </c>
      <c r="D110" s="82" t="s">
        <v>322</v>
      </c>
      <c r="E110" s="84" t="s">
        <v>323</v>
      </c>
      <c r="F110" s="82" t="s">
        <v>187</v>
      </c>
      <c r="G110" s="82"/>
      <c r="H110" s="82" t="s">
        <v>177</v>
      </c>
      <c r="I110" s="82"/>
      <c r="J110" s="82">
        <v>3</v>
      </c>
      <c r="K110" s="82">
        <f>J110*16</f>
        <v>48</v>
      </c>
      <c r="L110" s="82">
        <f>J110*32</f>
        <v>96</v>
      </c>
      <c r="M110" s="82">
        <f>SUM(K110:L110)</f>
        <v>144</v>
      </c>
      <c r="N110" s="84" t="s">
        <v>324</v>
      </c>
      <c r="O110" s="84" t="s">
        <v>179</v>
      </c>
      <c r="P110" s="84" t="s">
        <v>180</v>
      </c>
      <c r="Q110" s="84" t="s">
        <v>181</v>
      </c>
    </row>
    <row r="111" spans="1:18" ht="115.5" x14ac:dyDescent="0.35">
      <c r="A111" s="38" t="str">
        <f>_xlfn.XLOOKUP(B111,'Paso 3 Redacción RA '!I$3:I$12,'Paso 3 Redacción RA '!C$3:C$12,,0,1)</f>
        <v>SaberHacer</v>
      </c>
      <c r="B111" s="38" t="s">
        <v>93</v>
      </c>
      <c r="C111" s="82"/>
      <c r="D111" s="82"/>
      <c r="E111" s="84"/>
      <c r="F111" s="82"/>
      <c r="G111" s="82"/>
      <c r="H111" s="82"/>
      <c r="I111" s="82"/>
      <c r="J111" s="82"/>
      <c r="K111" s="82"/>
      <c r="L111" s="82"/>
      <c r="M111" s="82"/>
      <c r="N111" s="84"/>
      <c r="O111" s="84"/>
      <c r="P111" s="84"/>
      <c r="Q111" s="84"/>
    </row>
    <row r="112" spans="1:18" ht="115.5" x14ac:dyDescent="0.35">
      <c r="A112" s="38" t="str">
        <f>_xlfn.XLOOKUP(B112,'Paso 3 Redacción RA '!I$3:I$12,'Paso 3 Redacción RA '!C$3:C$12,,0,1)</f>
        <v>SaberSer</v>
      </c>
      <c r="B112" s="38" t="s">
        <v>97</v>
      </c>
      <c r="C112" s="82"/>
      <c r="D112" s="82"/>
      <c r="E112" s="84"/>
      <c r="F112" s="82"/>
      <c r="G112" s="82"/>
      <c r="H112" s="82"/>
      <c r="I112" s="82"/>
      <c r="J112" s="82"/>
      <c r="K112" s="82"/>
      <c r="L112" s="82"/>
      <c r="M112" s="82"/>
      <c r="N112" s="84"/>
      <c r="O112" s="84"/>
      <c r="P112" s="84"/>
      <c r="Q112" s="84"/>
    </row>
    <row r="113" spans="1:18" ht="115.5" x14ac:dyDescent="0.35">
      <c r="A113" s="48" t="str">
        <f>_xlfn.XLOOKUP(B113,'Paso 3 Redacción RA '!I$3:I$12,'Paso 3 Redacción RA '!C$3:C$12,,0,1)</f>
        <v>Saber</v>
      </c>
      <c r="B113" s="48" t="s">
        <v>99</v>
      </c>
      <c r="C113" s="83"/>
      <c r="D113" s="83"/>
      <c r="E113" s="85"/>
      <c r="F113" s="83"/>
      <c r="G113" s="83"/>
      <c r="H113" s="83"/>
      <c r="I113" s="83"/>
      <c r="J113" s="83"/>
      <c r="K113" s="83"/>
      <c r="L113" s="83"/>
      <c r="M113" s="83"/>
      <c r="N113" s="85"/>
      <c r="O113" s="85"/>
      <c r="P113" s="85"/>
      <c r="Q113" s="85"/>
    </row>
    <row r="114" spans="1:18" ht="115.5" x14ac:dyDescent="0.35">
      <c r="A114" s="38" t="str">
        <f>_xlfn.XLOOKUP(B114,'[1]Paso 3 Redacción RA '!I$3:I$12,'[1]Paso 3 Redacción RA '!C$3:C$12,,0,1)</f>
        <v>Saber</v>
      </c>
      <c r="B114" s="38" t="s">
        <v>99</v>
      </c>
      <c r="C114" s="82">
        <v>7</v>
      </c>
      <c r="D114" s="82" t="s">
        <v>325</v>
      </c>
      <c r="E114" s="84" t="s">
        <v>326</v>
      </c>
      <c r="F114" s="82" t="s">
        <v>187</v>
      </c>
      <c r="G114" s="82"/>
      <c r="H114" s="82" t="s">
        <v>177</v>
      </c>
      <c r="I114" s="82"/>
      <c r="J114" s="82">
        <v>3</v>
      </c>
      <c r="K114" s="82">
        <f>J114*16</f>
        <v>48</v>
      </c>
      <c r="L114" s="82">
        <f>J114*32</f>
        <v>96</v>
      </c>
      <c r="M114" s="82">
        <f>SUM(K114:L114)</f>
        <v>144</v>
      </c>
      <c r="N114" s="84" t="s">
        <v>327</v>
      </c>
      <c r="O114" s="84" t="s">
        <v>328</v>
      </c>
      <c r="P114" s="84" t="s">
        <v>293</v>
      </c>
      <c r="Q114" s="84" t="s">
        <v>181</v>
      </c>
    </row>
    <row r="115" spans="1:18" ht="115.5" x14ac:dyDescent="0.35">
      <c r="A115" s="38" t="str">
        <f>_xlfn.XLOOKUP(B115,'[1]Paso 3 Redacción RA '!I$3:I$12,'[1]Paso 3 Redacción RA '!C$3:C$12,,0,1)</f>
        <v>Saber</v>
      </c>
      <c r="B115" s="38" t="s">
        <v>89</v>
      </c>
      <c r="C115" s="82"/>
      <c r="D115" s="82"/>
      <c r="E115" s="84"/>
      <c r="F115" s="82"/>
      <c r="G115" s="82"/>
      <c r="H115" s="82"/>
      <c r="I115" s="82"/>
      <c r="J115" s="82"/>
      <c r="K115" s="82"/>
      <c r="L115" s="82"/>
      <c r="M115" s="82"/>
      <c r="N115" s="84"/>
      <c r="O115" s="84"/>
      <c r="P115" s="84"/>
      <c r="Q115" s="84"/>
    </row>
    <row r="116" spans="1:18" ht="115.5" x14ac:dyDescent="0.35">
      <c r="A116" s="38" t="str">
        <f>_xlfn.XLOOKUP(B116,'[1]Paso 3 Redacción RA '!I$3:I$12,'[1]Paso 3 Redacción RA '!C$3:C$12,,0,1)</f>
        <v>SaberHacer</v>
      </c>
      <c r="B116" s="38" t="s">
        <v>93</v>
      </c>
      <c r="C116" s="82"/>
      <c r="D116" s="82"/>
      <c r="E116" s="84"/>
      <c r="F116" s="82"/>
      <c r="G116" s="82"/>
      <c r="H116" s="82"/>
      <c r="I116" s="82"/>
      <c r="J116" s="82"/>
      <c r="K116" s="82"/>
      <c r="L116" s="82"/>
      <c r="M116" s="82"/>
      <c r="N116" s="84"/>
      <c r="O116" s="84"/>
      <c r="P116" s="84"/>
      <c r="Q116" s="84"/>
    </row>
    <row r="117" spans="1:18" ht="115.5" x14ac:dyDescent="0.35">
      <c r="A117" s="48" t="str">
        <f>_xlfn.XLOOKUP(B117,'[1]Paso 3 Redacción RA '!I$3:I$12,'[1]Paso 3 Redacción RA '!C$3:C$12,,0,1)</f>
        <v>SaberSer</v>
      </c>
      <c r="B117" s="48" t="s">
        <v>97</v>
      </c>
      <c r="C117" s="83"/>
      <c r="D117" s="83"/>
      <c r="E117" s="85"/>
      <c r="F117" s="83"/>
      <c r="G117" s="83"/>
      <c r="H117" s="83"/>
      <c r="I117" s="83"/>
      <c r="J117" s="83"/>
      <c r="K117" s="83"/>
      <c r="L117" s="83"/>
      <c r="M117" s="83"/>
      <c r="N117" s="85"/>
      <c r="O117" s="85"/>
      <c r="P117" s="85"/>
      <c r="Q117" s="85"/>
    </row>
    <row r="118" spans="1:18" ht="115.5" x14ac:dyDescent="0.35">
      <c r="A118" s="38" t="str">
        <f>_xlfn.XLOOKUP(B118,'Paso 3 Redacción RA '!I$3:I$12,'Paso 3 Redacción RA '!C$3:C$12,,0,1)</f>
        <v>Saber</v>
      </c>
      <c r="B118" s="38" t="s">
        <v>89</v>
      </c>
      <c r="C118" s="82">
        <v>7</v>
      </c>
      <c r="D118" s="82" t="s">
        <v>329</v>
      </c>
      <c r="E118" s="84" t="s">
        <v>330</v>
      </c>
      <c r="F118" s="82" t="s">
        <v>187</v>
      </c>
      <c r="G118" s="82"/>
      <c r="H118" s="82" t="s">
        <v>177</v>
      </c>
      <c r="I118" s="82"/>
      <c r="J118" s="82">
        <v>3</v>
      </c>
      <c r="K118" s="82">
        <f>J118*16</f>
        <v>48</v>
      </c>
      <c r="L118" s="82">
        <f>J118*32</f>
        <v>96</v>
      </c>
      <c r="M118" s="82">
        <f>SUM(K118:L118)</f>
        <v>144</v>
      </c>
      <c r="N118" s="84" t="s">
        <v>331</v>
      </c>
      <c r="O118" s="84" t="s">
        <v>179</v>
      </c>
      <c r="P118" s="84" t="s">
        <v>180</v>
      </c>
      <c r="Q118" s="84" t="s">
        <v>181</v>
      </c>
    </row>
    <row r="119" spans="1:18" ht="115.5" x14ac:dyDescent="0.35">
      <c r="A119" s="38" t="str">
        <f>_xlfn.XLOOKUP(B119,'Paso 3 Redacción RA '!I$3:I$12,'Paso 3 Redacción RA '!C$3:C$12,,0,1)</f>
        <v>SaberHacer</v>
      </c>
      <c r="B119" s="38" t="s">
        <v>93</v>
      </c>
      <c r="C119" s="82"/>
      <c r="D119" s="82"/>
      <c r="E119" s="84"/>
      <c r="F119" s="82"/>
      <c r="G119" s="82"/>
      <c r="H119" s="82"/>
      <c r="I119" s="82"/>
      <c r="J119" s="82"/>
      <c r="K119" s="82"/>
      <c r="L119" s="82"/>
      <c r="M119" s="82"/>
      <c r="N119" s="84"/>
      <c r="O119" s="84"/>
      <c r="P119" s="84"/>
      <c r="Q119" s="84"/>
    </row>
    <row r="120" spans="1:18" ht="115.5" x14ac:dyDescent="0.35">
      <c r="A120" s="38" t="str">
        <f>_xlfn.XLOOKUP(B120,'Paso 3 Redacción RA '!I$3:I$12,'Paso 3 Redacción RA '!C$3:C$12,,0,1)</f>
        <v>SaberSer</v>
      </c>
      <c r="B120" s="38" t="s">
        <v>97</v>
      </c>
      <c r="C120" s="82"/>
      <c r="D120" s="82"/>
      <c r="E120" s="84"/>
      <c r="F120" s="82"/>
      <c r="G120" s="82"/>
      <c r="H120" s="82"/>
      <c r="I120" s="82"/>
      <c r="J120" s="82"/>
      <c r="K120" s="82"/>
      <c r="L120" s="82"/>
      <c r="M120" s="82"/>
      <c r="N120" s="84"/>
      <c r="O120" s="84"/>
      <c r="P120" s="84"/>
      <c r="Q120" s="84"/>
    </row>
    <row r="121" spans="1:18" ht="115.5" x14ac:dyDescent="0.35">
      <c r="A121" s="48" t="str">
        <f>_xlfn.XLOOKUP(B121,'Paso 3 Redacción RA '!I$3:I$12,'Paso 3 Redacción RA '!C$3:C$12,,0,1)</f>
        <v>Saber</v>
      </c>
      <c r="B121" s="48" t="s">
        <v>99</v>
      </c>
      <c r="C121" s="83"/>
      <c r="D121" s="83"/>
      <c r="E121" s="85"/>
      <c r="F121" s="83"/>
      <c r="G121" s="83"/>
      <c r="H121" s="83"/>
      <c r="I121" s="83"/>
      <c r="J121" s="83"/>
      <c r="K121" s="83"/>
      <c r="L121" s="83"/>
      <c r="M121" s="83"/>
      <c r="N121" s="85"/>
      <c r="O121" s="85"/>
      <c r="P121" s="85"/>
      <c r="Q121" s="85"/>
    </row>
    <row r="122" spans="1:18" ht="115.5" x14ac:dyDescent="0.35">
      <c r="A122" s="38" t="str">
        <f>_xlfn.XLOOKUP(B122,'Paso 3 Redacción RA '!I$3:I$12,'Paso 3 Redacción RA '!C$3:C$12,,0,1)</f>
        <v>Saber</v>
      </c>
      <c r="B122" s="38" t="s">
        <v>89</v>
      </c>
      <c r="C122" s="82">
        <v>8</v>
      </c>
      <c r="D122" s="82" t="s">
        <v>332</v>
      </c>
      <c r="E122" s="84" t="s">
        <v>333</v>
      </c>
      <c r="F122" s="82" t="s">
        <v>187</v>
      </c>
      <c r="G122" s="82"/>
      <c r="H122" s="82" t="s">
        <v>177</v>
      </c>
      <c r="I122" s="82"/>
      <c r="J122" s="82">
        <v>3</v>
      </c>
      <c r="K122" s="82">
        <f>J122*16</f>
        <v>48</v>
      </c>
      <c r="L122" s="82">
        <f>J122*32</f>
        <v>96</v>
      </c>
      <c r="M122" s="82">
        <f>SUM(K122:L122)</f>
        <v>144</v>
      </c>
      <c r="N122" s="84" t="s">
        <v>334</v>
      </c>
      <c r="O122" s="84" t="s">
        <v>179</v>
      </c>
      <c r="P122" s="84" t="s">
        <v>180</v>
      </c>
      <c r="Q122" s="84" t="s">
        <v>181</v>
      </c>
    </row>
    <row r="123" spans="1:18" ht="115.5" x14ac:dyDescent="0.35">
      <c r="A123" s="38" t="str">
        <f>_xlfn.XLOOKUP(B123,'Paso 3 Redacción RA '!I$3:I$12,'Paso 3 Redacción RA '!C$3:C$12,,0,1)</f>
        <v>SaberHacer</v>
      </c>
      <c r="B123" s="38" t="s">
        <v>93</v>
      </c>
      <c r="C123" s="82"/>
      <c r="D123" s="82"/>
      <c r="E123" s="84"/>
      <c r="F123" s="82"/>
      <c r="G123" s="82"/>
      <c r="H123" s="82"/>
      <c r="I123" s="82"/>
      <c r="J123" s="82"/>
      <c r="K123" s="82"/>
      <c r="L123" s="82"/>
      <c r="M123" s="82"/>
      <c r="N123" s="84"/>
      <c r="O123" s="84"/>
      <c r="P123" s="84"/>
      <c r="Q123" s="84"/>
    </row>
    <row r="124" spans="1:18" ht="115.5" x14ac:dyDescent="0.35">
      <c r="A124" s="38" t="str">
        <f>_xlfn.XLOOKUP(B124,'Paso 3 Redacción RA '!I$3:I$12,'Paso 3 Redacción RA '!C$3:C$12,,0,1)</f>
        <v>SaberSer</v>
      </c>
      <c r="B124" s="38" t="s">
        <v>97</v>
      </c>
      <c r="C124" s="82"/>
      <c r="D124" s="82"/>
      <c r="E124" s="84"/>
      <c r="F124" s="82"/>
      <c r="G124" s="82"/>
      <c r="H124" s="82"/>
      <c r="I124" s="82"/>
      <c r="J124" s="82"/>
      <c r="K124" s="82"/>
      <c r="L124" s="82"/>
      <c r="M124" s="82"/>
      <c r="N124" s="84"/>
      <c r="O124" s="84"/>
      <c r="P124" s="84"/>
      <c r="Q124" s="84"/>
    </row>
    <row r="125" spans="1:18" ht="115.5" x14ac:dyDescent="0.35">
      <c r="A125" s="48" t="str">
        <f>_xlfn.XLOOKUP(B125,'Paso 3 Redacción RA '!I$3:I$12,'Paso 3 Redacción RA '!C$3:C$12,,0,1)</f>
        <v>Saber</v>
      </c>
      <c r="B125" s="48" t="s">
        <v>99</v>
      </c>
      <c r="C125" s="83"/>
      <c r="D125" s="83"/>
      <c r="E125" s="85"/>
      <c r="F125" s="83"/>
      <c r="G125" s="83"/>
      <c r="H125" s="83"/>
      <c r="I125" s="83"/>
      <c r="J125" s="83"/>
      <c r="K125" s="83"/>
      <c r="L125" s="83"/>
      <c r="M125" s="83"/>
      <c r="N125" s="85"/>
      <c r="O125" s="85"/>
      <c r="P125" s="85"/>
      <c r="Q125" s="85"/>
      <c r="R125" s="3">
        <f>SUM(J102:J125)</f>
        <v>18</v>
      </c>
    </row>
    <row r="126" spans="1:18" ht="115.5" x14ac:dyDescent="0.35">
      <c r="A126" s="38" t="str">
        <f>_xlfn.XLOOKUP(B126,'Paso 3 Redacción RA '!I$3:I$12,'Paso 3 Redacción RA '!C$3:C$12,,0,1)</f>
        <v>Saber</v>
      </c>
      <c r="B126" s="38" t="s">
        <v>89</v>
      </c>
      <c r="C126" s="82">
        <v>8</v>
      </c>
      <c r="D126" s="82" t="s">
        <v>335</v>
      </c>
      <c r="E126" s="84" t="s">
        <v>336</v>
      </c>
      <c r="F126" s="82" t="s">
        <v>337</v>
      </c>
      <c r="G126" s="82"/>
      <c r="H126" s="82" t="s">
        <v>177</v>
      </c>
      <c r="I126" s="82"/>
      <c r="J126" s="82">
        <v>3</v>
      </c>
      <c r="K126" s="82">
        <f>J126*16</f>
        <v>48</v>
      </c>
      <c r="L126" s="82">
        <f>J126*32</f>
        <v>96</v>
      </c>
      <c r="M126" s="82">
        <f>SUM(K126:L126)</f>
        <v>144</v>
      </c>
      <c r="N126" s="84" t="s">
        <v>338</v>
      </c>
      <c r="O126" s="84" t="s">
        <v>339</v>
      </c>
      <c r="P126" s="89" t="s">
        <v>340</v>
      </c>
      <c r="Q126" s="84" t="s">
        <v>181</v>
      </c>
    </row>
    <row r="127" spans="1:18" ht="115.5" x14ac:dyDescent="0.35">
      <c r="A127" s="38" t="str">
        <f>_xlfn.XLOOKUP(B127,'Paso 3 Redacción RA '!I$3:I$12,'Paso 3 Redacción RA '!C$3:C$12,,0,1)</f>
        <v>SaberHacer</v>
      </c>
      <c r="B127" s="38" t="s">
        <v>93</v>
      </c>
      <c r="C127" s="82"/>
      <c r="D127" s="82"/>
      <c r="E127" s="84"/>
      <c r="F127" s="82"/>
      <c r="G127" s="82"/>
      <c r="H127" s="82"/>
      <c r="I127" s="82"/>
      <c r="J127" s="82"/>
      <c r="K127" s="82"/>
      <c r="L127" s="82"/>
      <c r="M127" s="82"/>
      <c r="N127" s="84"/>
      <c r="O127" s="84"/>
      <c r="P127" s="89"/>
      <c r="Q127" s="84"/>
    </row>
    <row r="128" spans="1:18" ht="115.5" x14ac:dyDescent="0.35">
      <c r="A128" s="38" t="str">
        <f>_xlfn.XLOOKUP(B128,'Paso 3 Redacción RA '!I$3:I$12,'Paso 3 Redacción RA '!C$3:C$12,,0,1)</f>
        <v>SaberSer</v>
      </c>
      <c r="B128" s="38" t="s">
        <v>97</v>
      </c>
      <c r="C128" s="82"/>
      <c r="D128" s="82"/>
      <c r="E128" s="84"/>
      <c r="F128" s="82"/>
      <c r="G128" s="82"/>
      <c r="H128" s="82"/>
      <c r="I128" s="82"/>
      <c r="J128" s="82"/>
      <c r="K128" s="82"/>
      <c r="L128" s="82"/>
      <c r="M128" s="82"/>
      <c r="N128" s="84"/>
      <c r="O128" s="84"/>
      <c r="P128" s="89"/>
      <c r="Q128" s="84"/>
    </row>
    <row r="129" spans="1:18" ht="115.5" x14ac:dyDescent="0.35">
      <c r="A129" s="48" t="str">
        <f>_xlfn.XLOOKUP(B129,'Paso 3 Redacción RA '!I$3:I$12,'Paso 3 Redacción RA '!C$3:C$12,,0,1)</f>
        <v>Saber</v>
      </c>
      <c r="B129" s="48" t="s">
        <v>99</v>
      </c>
      <c r="C129" s="83"/>
      <c r="D129" s="83"/>
      <c r="E129" s="85"/>
      <c r="F129" s="83"/>
      <c r="G129" s="83"/>
      <c r="H129" s="83"/>
      <c r="I129" s="83"/>
      <c r="J129" s="83"/>
      <c r="K129" s="83"/>
      <c r="L129" s="83"/>
      <c r="M129" s="83"/>
      <c r="N129" s="85"/>
      <c r="O129" s="85"/>
      <c r="P129" s="90"/>
      <c r="Q129" s="85"/>
    </row>
    <row r="130" spans="1:18" x14ac:dyDescent="0.35">
      <c r="A130" s="77"/>
      <c r="B130" s="77"/>
      <c r="C130" s="78">
        <v>8</v>
      </c>
      <c r="D130" s="78" t="s">
        <v>341</v>
      </c>
      <c r="E130" s="79"/>
      <c r="F130" s="78"/>
      <c r="G130" s="78"/>
      <c r="H130" s="78"/>
      <c r="I130" s="78" t="s">
        <v>177</v>
      </c>
      <c r="J130" s="78">
        <v>3</v>
      </c>
      <c r="K130" s="78">
        <f>J130*16</f>
        <v>48</v>
      </c>
      <c r="L130" s="78">
        <f>J130*32</f>
        <v>96</v>
      </c>
      <c r="M130" s="78">
        <f>SUM(K130:L130)</f>
        <v>144</v>
      </c>
      <c r="N130" s="77"/>
      <c r="O130" s="77"/>
      <c r="P130" s="77"/>
      <c r="Q130" s="79"/>
    </row>
    <row r="131" spans="1:18" x14ac:dyDescent="0.35">
      <c r="A131" s="77"/>
      <c r="B131" s="77"/>
      <c r="C131" s="78">
        <v>8</v>
      </c>
      <c r="D131" s="78" t="s">
        <v>342</v>
      </c>
      <c r="E131" s="79"/>
      <c r="F131" s="78"/>
      <c r="G131" s="78"/>
      <c r="H131" s="78"/>
      <c r="I131" s="78" t="s">
        <v>177</v>
      </c>
      <c r="J131" s="78">
        <v>3</v>
      </c>
      <c r="K131" s="78">
        <f>J131*16</f>
        <v>48</v>
      </c>
      <c r="L131" s="78">
        <f>J131*32</f>
        <v>96</v>
      </c>
      <c r="M131" s="78">
        <f>SUM(K131:L131)</f>
        <v>144</v>
      </c>
      <c r="N131" s="77"/>
      <c r="O131" s="77"/>
      <c r="P131" s="77"/>
      <c r="Q131" s="79"/>
    </row>
    <row r="132" spans="1:18" x14ac:dyDescent="0.35">
      <c r="A132" s="77"/>
      <c r="B132" s="77"/>
      <c r="C132" s="78">
        <v>8</v>
      </c>
      <c r="D132" s="78" t="s">
        <v>343</v>
      </c>
      <c r="E132" s="79"/>
      <c r="F132" s="78"/>
      <c r="G132" s="78"/>
      <c r="H132" s="78"/>
      <c r="I132" s="78" t="s">
        <v>177</v>
      </c>
      <c r="J132" s="78">
        <v>3</v>
      </c>
      <c r="K132" s="78">
        <f>J132*16</f>
        <v>48</v>
      </c>
      <c r="L132" s="78">
        <f>J132*32</f>
        <v>96</v>
      </c>
      <c r="M132" s="78">
        <f>SUM(K132:L132)</f>
        <v>144</v>
      </c>
      <c r="N132" s="77"/>
      <c r="O132" s="77"/>
      <c r="P132" s="77"/>
      <c r="Q132" s="79"/>
    </row>
    <row r="133" spans="1:18" x14ac:dyDescent="0.35">
      <c r="A133" s="77"/>
      <c r="B133" s="77"/>
      <c r="C133" s="78">
        <v>8</v>
      </c>
      <c r="D133" s="78" t="s">
        <v>344</v>
      </c>
      <c r="E133" s="79"/>
      <c r="F133" s="78"/>
      <c r="G133" s="78"/>
      <c r="H133" s="78"/>
      <c r="I133" s="78" t="s">
        <v>177</v>
      </c>
      <c r="J133" s="78">
        <v>3</v>
      </c>
      <c r="K133" s="78">
        <f>J133*16</f>
        <v>48</v>
      </c>
      <c r="L133" s="78">
        <f>J133*32</f>
        <v>96</v>
      </c>
      <c r="M133" s="78">
        <f>SUM(K133:L133)</f>
        <v>144</v>
      </c>
      <c r="N133" s="77"/>
      <c r="O133" s="77"/>
      <c r="P133" s="77"/>
      <c r="Q133" s="79"/>
      <c r="R133" s="3">
        <f>SUM(J126:J133)</f>
        <v>15</v>
      </c>
    </row>
    <row r="134" spans="1:18" ht="32" x14ac:dyDescent="0.35">
      <c r="C134" s="65" t="s">
        <v>345</v>
      </c>
      <c r="D134" s="66">
        <f>COUNTA(D3:D133)</f>
        <v>47</v>
      </c>
      <c r="I134" s="67" t="s">
        <v>346</v>
      </c>
      <c r="J134" s="68">
        <f>SUM(J3:J133)</f>
        <v>141</v>
      </c>
      <c r="K134" s="69" t="str">
        <f>IF(AND(J134&gt;=135,J134&lt;=160),"Correcto: Cumple la Política de Gestión, Evaluación e Innovación Curricular","Error: Revisar Política de Gestión, Evaluación e Innovación Curricular")</f>
        <v>Correcto: Cumple la Política de Gestión, Evaluación e Innovación Curricular</v>
      </c>
      <c r="L134" s="70"/>
      <c r="N134" s="38"/>
      <c r="O134" s="38"/>
    </row>
    <row r="135" spans="1:18" ht="48" x14ac:dyDescent="0.35">
      <c r="I135" s="71" t="s">
        <v>347</v>
      </c>
      <c r="J135" s="68">
        <f>SUM(J11:J12,J27,J39:J40,J55)</f>
        <v>18</v>
      </c>
      <c r="K135" s="69" t="str">
        <f>IF(J135=18,"Correcto: Cumple la Política de Gestión, Evaluación e Innovación Curricular","Error: Revisar Política de Gestión, Evaluación e Innovación Curricular")</f>
        <v>Correcto: Cumple la Política de Gestión, Evaluación e Innovación Curricular</v>
      </c>
      <c r="L135" s="72"/>
      <c r="N135" s="38"/>
      <c r="O135" s="38"/>
    </row>
    <row r="136" spans="1:18" ht="48" x14ac:dyDescent="0.35">
      <c r="I136" s="71" t="s">
        <v>348</v>
      </c>
      <c r="J136" s="68">
        <f>SUM(J3:J10,J13:J26,J28:J38,J41:J54,J56:J129)</f>
        <v>111</v>
      </c>
      <c r="K136" s="69" t="str">
        <f>IF(AND(J136&gt;=99,J136&lt;=130),"Correcto: Cumple la Política de Gestión, Evaluación e Innovación Curricular","Error: Revisar Política de Gestión, Evaluación e Innovación Curricular")</f>
        <v>Correcto: Cumple la Política de Gestión, Evaluación e Innovación Curricular</v>
      </c>
      <c r="L136" s="72"/>
      <c r="N136" s="38"/>
      <c r="O136" s="38"/>
    </row>
    <row r="137" spans="1:18" ht="48" x14ac:dyDescent="0.35">
      <c r="C137" s="55"/>
      <c r="I137" s="71" t="s">
        <v>349</v>
      </c>
      <c r="J137" s="72">
        <f>SUM(J130:J133)</f>
        <v>12</v>
      </c>
      <c r="K137" s="70" t="str">
        <f>IF(AND(J137&gt;=12,J137&lt;=18),"Correcto: Cumple la Política de Gestión, Evaluación e Innovación Curricular","Error: Revisar Política de Gestión, Evaluación e Innovación Curricular")</f>
        <v>Correcto: Cumple la Política de Gestión, Evaluación e Innovación Curricular</v>
      </c>
      <c r="N137" s="38"/>
      <c r="O137" s="38"/>
    </row>
    <row r="138" spans="1:18" x14ac:dyDescent="0.35">
      <c r="C138" s="55"/>
      <c r="N138" s="38"/>
      <c r="O138" s="38"/>
    </row>
    <row r="139" spans="1:18" x14ac:dyDescent="0.35">
      <c r="C139" s="55"/>
      <c r="N139" s="38"/>
      <c r="O139" s="38"/>
    </row>
    <row r="140" spans="1:18" x14ac:dyDescent="0.35">
      <c r="C140" s="55"/>
      <c r="N140" s="38"/>
      <c r="O140" s="38"/>
    </row>
    <row r="141" spans="1:18" x14ac:dyDescent="0.35">
      <c r="C141" s="55"/>
      <c r="M141" s="59"/>
      <c r="N141" s="38"/>
      <c r="O141" s="38"/>
    </row>
    <row r="142" spans="1:18" x14ac:dyDescent="0.35">
      <c r="C142" s="55"/>
    </row>
    <row r="143" spans="1:18" x14ac:dyDescent="0.35">
      <c r="C143" s="55"/>
    </row>
    <row r="144" spans="1:18" x14ac:dyDescent="0.35">
      <c r="C144" s="55"/>
    </row>
    <row r="145" spans="1:15" x14ac:dyDescent="0.35">
      <c r="L145" s="55"/>
      <c r="N145" s="38"/>
      <c r="O145" s="38"/>
    </row>
    <row r="146" spans="1:15" x14ac:dyDescent="0.35">
      <c r="L146" s="55"/>
      <c r="N146" s="38"/>
      <c r="O146" s="38"/>
    </row>
    <row r="147" spans="1:15" x14ac:dyDescent="0.35">
      <c r="C147" s="55"/>
      <c r="M147" s="59"/>
      <c r="N147" s="38"/>
      <c r="O147" s="38"/>
    </row>
    <row r="148" spans="1:15" x14ac:dyDescent="0.35">
      <c r="C148" s="55"/>
      <c r="M148" s="59"/>
      <c r="N148" s="38"/>
      <c r="O148" s="38"/>
    </row>
    <row r="149" spans="1:15" x14ac:dyDescent="0.35">
      <c r="C149" s="55"/>
      <c r="M149" s="59"/>
      <c r="N149" s="38"/>
      <c r="O149" s="38"/>
    </row>
    <row r="150" spans="1:15" x14ac:dyDescent="0.35">
      <c r="C150" s="55"/>
      <c r="M150" s="59"/>
      <c r="N150" s="38"/>
      <c r="O150" s="38"/>
    </row>
    <row r="151" spans="1:15" x14ac:dyDescent="0.35">
      <c r="A151" s="50"/>
      <c r="C151" s="55"/>
      <c r="N151" s="38"/>
    </row>
    <row r="152" spans="1:15" x14ac:dyDescent="0.35">
      <c r="B152" s="38"/>
      <c r="E152" s="19"/>
      <c r="F152" s="55"/>
      <c r="G152" s="55"/>
      <c r="H152" s="55"/>
      <c r="I152" s="55"/>
      <c r="J152" s="55"/>
      <c r="K152" s="55"/>
      <c r="L152" s="55"/>
      <c r="M152" s="55"/>
      <c r="N152" s="38"/>
      <c r="O152" s="38"/>
    </row>
    <row r="153" spans="1:15" x14ac:dyDescent="0.35">
      <c r="B153" s="38"/>
      <c r="E153" s="19"/>
      <c r="F153" s="55"/>
      <c r="G153" s="55"/>
      <c r="H153" s="55"/>
      <c r="I153" s="55"/>
      <c r="J153" s="55"/>
      <c r="K153" s="55"/>
      <c r="L153" s="55"/>
      <c r="M153" s="55"/>
      <c r="N153" s="38"/>
      <c r="O153" s="38"/>
    </row>
    <row r="154" spans="1:15" x14ac:dyDescent="0.35">
      <c r="C154" s="55"/>
      <c r="N154" s="38"/>
      <c r="O154" s="38"/>
    </row>
    <row r="155" spans="1:15" x14ac:dyDescent="0.35">
      <c r="C155" s="55"/>
      <c r="N155" s="38"/>
      <c r="O155" s="38"/>
    </row>
    <row r="156" spans="1:15" x14ac:dyDescent="0.35">
      <c r="C156" s="55"/>
      <c r="N156" s="38"/>
      <c r="O156" s="38"/>
    </row>
    <row r="157" spans="1:15" x14ac:dyDescent="0.35">
      <c r="C157" s="55"/>
      <c r="N157" s="38"/>
      <c r="O157" s="38"/>
    </row>
    <row r="158" spans="1:15" x14ac:dyDescent="0.35">
      <c r="C158" s="55"/>
      <c r="N158" s="38"/>
      <c r="O158" s="38"/>
    </row>
    <row r="159" spans="1:15" x14ac:dyDescent="0.35">
      <c r="C159" s="55"/>
      <c r="N159" s="38"/>
      <c r="O159" s="38"/>
    </row>
    <row r="160" spans="1:15" x14ac:dyDescent="0.35">
      <c r="C160" s="55"/>
      <c r="N160" s="38"/>
      <c r="O160" s="38"/>
    </row>
    <row r="161" spans="1:15" x14ac:dyDescent="0.35">
      <c r="C161" s="55"/>
      <c r="N161" s="38"/>
      <c r="O161" s="38"/>
    </row>
    <row r="162" spans="1:15" x14ac:dyDescent="0.35">
      <c r="A162" s="50"/>
      <c r="C162" s="55"/>
    </row>
    <row r="163" spans="1:15" x14ac:dyDescent="0.35">
      <c r="A163" s="50"/>
      <c r="C163" s="55"/>
    </row>
    <row r="164" spans="1:15" x14ac:dyDescent="0.35">
      <c r="A164" s="50"/>
      <c r="C164" s="55"/>
    </row>
    <row r="165" spans="1:15" x14ac:dyDescent="0.35">
      <c r="A165" s="50"/>
      <c r="C165" s="55"/>
    </row>
    <row r="166" spans="1:15" x14ac:dyDescent="0.35">
      <c r="A166" s="50"/>
      <c r="C166" s="55"/>
    </row>
    <row r="167" spans="1:15" x14ac:dyDescent="0.35">
      <c r="A167" s="50"/>
      <c r="C167" s="55"/>
    </row>
    <row r="168" spans="1:15" x14ac:dyDescent="0.35">
      <c r="A168" s="50"/>
      <c r="C168" s="55"/>
      <c r="M168" s="55"/>
      <c r="N168" s="38"/>
      <c r="O168" s="38"/>
    </row>
    <row r="169" spans="1:15" x14ac:dyDescent="0.35">
      <c r="A169" s="50"/>
      <c r="C169" s="55"/>
      <c r="M169" s="55"/>
      <c r="N169" s="38"/>
      <c r="O169" s="38"/>
    </row>
    <row r="170" spans="1:15" x14ac:dyDescent="0.35">
      <c r="A170" s="50"/>
      <c r="C170" s="55"/>
      <c r="M170" s="55"/>
      <c r="N170" s="38"/>
      <c r="O170" s="38"/>
    </row>
    <row r="171" spans="1:15" x14ac:dyDescent="0.35">
      <c r="A171" s="50"/>
      <c r="C171" s="55"/>
      <c r="M171" s="55"/>
      <c r="N171" s="38"/>
      <c r="O171" s="38"/>
    </row>
    <row r="172" spans="1:15" x14ac:dyDescent="0.35">
      <c r="A172" s="50"/>
      <c r="C172" s="55"/>
      <c r="M172" s="55"/>
      <c r="N172" s="38"/>
      <c r="O172" s="38"/>
    </row>
    <row r="173" spans="1:15" x14ac:dyDescent="0.35">
      <c r="A173" s="50"/>
      <c r="C173" s="55"/>
      <c r="M173" s="55"/>
      <c r="N173" s="38"/>
      <c r="O173" s="38"/>
    </row>
    <row r="174" spans="1:15" x14ac:dyDescent="0.35">
      <c r="A174" s="50"/>
      <c r="C174" s="55"/>
      <c r="M174" s="55"/>
      <c r="N174" s="38"/>
      <c r="O174" s="38"/>
    </row>
    <row r="175" spans="1:15" x14ac:dyDescent="0.35">
      <c r="A175" s="50"/>
      <c r="C175" s="55"/>
      <c r="M175" s="55"/>
      <c r="N175" s="38"/>
      <c r="O175" s="38"/>
    </row>
    <row r="176" spans="1:15" x14ac:dyDescent="0.35">
      <c r="A176" s="50"/>
      <c r="C176" s="55"/>
      <c r="N176" s="38"/>
      <c r="O176" s="38"/>
    </row>
    <row r="177" spans="1:15" x14ac:dyDescent="0.35">
      <c r="A177" s="50"/>
      <c r="C177" s="55"/>
      <c r="N177" s="38"/>
      <c r="O177" s="38"/>
    </row>
    <row r="178" spans="1:15" x14ac:dyDescent="0.35">
      <c r="A178" s="50"/>
      <c r="C178" s="55"/>
      <c r="N178" s="38"/>
      <c r="O178" s="38"/>
    </row>
    <row r="179" spans="1:15" x14ac:dyDescent="0.35">
      <c r="A179" s="50"/>
      <c r="C179" s="55"/>
      <c r="N179" s="38"/>
      <c r="O179" s="38"/>
    </row>
    <row r="180" spans="1:15" x14ac:dyDescent="0.35">
      <c r="L180" s="55"/>
      <c r="N180" s="38"/>
      <c r="O180" s="38"/>
    </row>
    <row r="181" spans="1:15" x14ac:dyDescent="0.35">
      <c r="L181" s="55"/>
      <c r="N181" s="38"/>
      <c r="O181" s="38"/>
    </row>
    <row r="182" spans="1:15" x14ac:dyDescent="0.35">
      <c r="C182" s="55"/>
      <c r="M182" s="59"/>
      <c r="N182" s="38"/>
      <c r="O182" s="38"/>
    </row>
    <row r="183" spans="1:15" x14ac:dyDescent="0.35">
      <c r="C183" s="55"/>
      <c r="M183" s="59"/>
      <c r="N183" s="38"/>
      <c r="O183" s="38"/>
    </row>
    <row r="184" spans="1:15" x14ac:dyDescent="0.35">
      <c r="C184" s="55"/>
      <c r="M184" s="59"/>
      <c r="N184" s="38"/>
      <c r="O184" s="38"/>
    </row>
    <row r="185" spans="1:15" x14ac:dyDescent="0.35">
      <c r="C185" s="55"/>
      <c r="M185" s="59"/>
      <c r="N185" s="38"/>
      <c r="O185" s="38"/>
    </row>
    <row r="186" spans="1:15" x14ac:dyDescent="0.35">
      <c r="A186" s="50"/>
      <c r="C186" s="55"/>
      <c r="N186" s="38"/>
      <c r="O186" s="38"/>
    </row>
    <row r="187" spans="1:15" x14ac:dyDescent="0.35">
      <c r="A187" s="50"/>
      <c r="C187" s="55"/>
      <c r="N187" s="38"/>
      <c r="O187" s="38"/>
    </row>
    <row r="188" spans="1:15" x14ac:dyDescent="0.35">
      <c r="A188" s="50"/>
      <c r="C188" s="55"/>
      <c r="N188" s="38"/>
      <c r="O188" s="38"/>
    </row>
    <row r="189" spans="1:15" x14ac:dyDescent="0.35">
      <c r="A189" s="50"/>
      <c r="C189" s="55"/>
      <c r="N189" s="38"/>
      <c r="O189" s="38"/>
    </row>
    <row r="190" spans="1:15" x14ac:dyDescent="0.35">
      <c r="A190" s="50"/>
      <c r="C190" s="55"/>
      <c r="N190" s="38"/>
      <c r="O190" s="38"/>
    </row>
    <row r="191" spans="1:15" x14ac:dyDescent="0.35">
      <c r="A191" s="50"/>
      <c r="C191" s="55"/>
      <c r="N191" s="38"/>
      <c r="O191" s="38"/>
    </row>
    <row r="192" spans="1:15" x14ac:dyDescent="0.35">
      <c r="A192" s="50"/>
      <c r="C192" s="55"/>
      <c r="N192" s="38"/>
      <c r="O192" s="38"/>
    </row>
    <row r="193" spans="1:15" x14ac:dyDescent="0.35">
      <c r="A193" s="50"/>
      <c r="C193" s="55"/>
      <c r="N193" s="38"/>
      <c r="O193" s="38"/>
    </row>
    <row r="194" spans="1:15" x14ac:dyDescent="0.35">
      <c r="A194" s="50"/>
      <c r="C194" s="55"/>
      <c r="N194" s="38"/>
      <c r="O194" s="38"/>
    </row>
    <row r="195" spans="1:15" x14ac:dyDescent="0.35">
      <c r="A195" s="50"/>
      <c r="C195" s="55"/>
      <c r="N195" s="38"/>
      <c r="O195" s="38"/>
    </row>
    <row r="196" spans="1:15" x14ac:dyDescent="0.35">
      <c r="A196" s="50"/>
      <c r="C196" s="55"/>
      <c r="N196" s="38"/>
      <c r="O196" s="38"/>
    </row>
    <row r="197" spans="1:15" x14ac:dyDescent="0.35">
      <c r="A197" s="50"/>
      <c r="C197" s="55"/>
      <c r="N197" s="38"/>
      <c r="O197" s="38"/>
    </row>
    <row r="198" spans="1:15" x14ac:dyDescent="0.35">
      <c r="A198" s="50"/>
      <c r="C198" s="55"/>
      <c r="N198" s="38"/>
      <c r="O198" s="38"/>
    </row>
    <row r="199" spans="1:15" x14ac:dyDescent="0.35">
      <c r="A199" s="50"/>
      <c r="C199" s="55"/>
      <c r="N199" s="38"/>
      <c r="O199" s="38"/>
    </row>
    <row r="200" spans="1:15" x14ac:dyDescent="0.35">
      <c r="A200" s="50"/>
      <c r="C200" s="55"/>
      <c r="N200" s="38"/>
      <c r="O200" s="38"/>
    </row>
    <row r="201" spans="1:15" x14ac:dyDescent="0.35">
      <c r="A201" s="50"/>
      <c r="C201" s="55"/>
      <c r="N201" s="38"/>
      <c r="O201" s="38"/>
    </row>
    <row r="202" spans="1:15" x14ac:dyDescent="0.35">
      <c r="A202" s="50"/>
      <c r="C202" s="55"/>
      <c r="N202" s="38"/>
    </row>
    <row r="203" spans="1:15" x14ac:dyDescent="0.35">
      <c r="A203" s="50"/>
      <c r="C203" s="55"/>
      <c r="N203" s="38"/>
    </row>
    <row r="204" spans="1:15" x14ac:dyDescent="0.35">
      <c r="A204" s="50"/>
      <c r="C204" s="55"/>
      <c r="N204" s="38"/>
    </row>
    <row r="205" spans="1:15" x14ac:dyDescent="0.35">
      <c r="A205" s="50"/>
      <c r="C205" s="55"/>
      <c r="N205" s="38"/>
    </row>
    <row r="206" spans="1:15" x14ac:dyDescent="0.35">
      <c r="A206" s="50"/>
      <c r="C206" s="55"/>
      <c r="N206" s="38"/>
    </row>
    <row r="207" spans="1:15" x14ac:dyDescent="0.35">
      <c r="A207" s="50"/>
      <c r="C207" s="55"/>
      <c r="N207" s="38"/>
    </row>
    <row r="208" spans="1:15" x14ac:dyDescent="0.35">
      <c r="A208" s="50"/>
      <c r="C208" s="55"/>
      <c r="N208" s="38"/>
    </row>
    <row r="209" spans="1:15" x14ac:dyDescent="0.35">
      <c r="A209" s="50"/>
      <c r="C209" s="55"/>
      <c r="N209" s="38"/>
    </row>
    <row r="210" spans="1:15" x14ac:dyDescent="0.35">
      <c r="A210" s="50"/>
      <c r="C210" s="55"/>
      <c r="N210" s="38"/>
    </row>
    <row r="211" spans="1:15" x14ac:dyDescent="0.35">
      <c r="A211" s="50"/>
      <c r="C211" s="55"/>
      <c r="N211" s="38"/>
    </row>
    <row r="212" spans="1:15" x14ac:dyDescent="0.35">
      <c r="A212" s="50"/>
      <c r="C212" s="55"/>
      <c r="N212" s="38"/>
    </row>
    <row r="213" spans="1:15" x14ac:dyDescent="0.35">
      <c r="A213" s="50"/>
      <c r="C213" s="55"/>
      <c r="N213" s="38"/>
    </row>
    <row r="214" spans="1:15" x14ac:dyDescent="0.35">
      <c r="L214" s="55"/>
      <c r="N214" s="38"/>
      <c r="O214" s="38"/>
    </row>
    <row r="215" spans="1:15" x14ac:dyDescent="0.35">
      <c r="L215" s="55"/>
      <c r="N215" s="38"/>
      <c r="O215" s="38"/>
    </row>
  </sheetData>
  <mergeCells count="556">
    <mergeCell ref="Q50:Q52"/>
    <mergeCell ref="C74:C75"/>
    <mergeCell ref="D74:D75"/>
    <mergeCell ref="E74:E75"/>
    <mergeCell ref="F74:F75"/>
    <mergeCell ref="G74:G75"/>
    <mergeCell ref="H74:H75"/>
    <mergeCell ref="I74:I75"/>
    <mergeCell ref="J74:J75"/>
    <mergeCell ref="K74:K75"/>
    <mergeCell ref="L74:L75"/>
    <mergeCell ref="M74:M75"/>
    <mergeCell ref="N74:N75"/>
    <mergeCell ref="O74:O75"/>
    <mergeCell ref="P74:P75"/>
    <mergeCell ref="Q74:Q75"/>
    <mergeCell ref="M71:M73"/>
    <mergeCell ref="N71:N73"/>
    <mergeCell ref="O71:O73"/>
    <mergeCell ref="P71:P73"/>
    <mergeCell ref="Q71:Q73"/>
    <mergeCell ref="H71:H73"/>
    <mergeCell ref="I71:I73"/>
    <mergeCell ref="J71:J73"/>
    <mergeCell ref="I126:I129"/>
    <mergeCell ref="J126:J129"/>
    <mergeCell ref="K126:K129"/>
    <mergeCell ref="L126:L129"/>
    <mergeCell ref="Q122:Q125"/>
    <mergeCell ref="M118:M121"/>
    <mergeCell ref="N118:N121"/>
    <mergeCell ref="O118:O121"/>
    <mergeCell ref="P118:P121"/>
    <mergeCell ref="Q118:Q121"/>
    <mergeCell ref="O122:O125"/>
    <mergeCell ref="M126:M129"/>
    <mergeCell ref="N126:N129"/>
    <mergeCell ref="O126:O129"/>
    <mergeCell ref="L122:L125"/>
    <mergeCell ref="P126:P129"/>
    <mergeCell ref="Q126:Q129"/>
    <mergeCell ref="I118:I121"/>
    <mergeCell ref="J118:J121"/>
    <mergeCell ref="K118:K121"/>
    <mergeCell ref="L118:L121"/>
    <mergeCell ref="P122:P125"/>
    <mergeCell ref="I122:I125"/>
    <mergeCell ref="J122:J125"/>
    <mergeCell ref="E126:E129"/>
    <mergeCell ref="F126:F129"/>
    <mergeCell ref="G126:G129"/>
    <mergeCell ref="C118:C121"/>
    <mergeCell ref="D118:D121"/>
    <mergeCell ref="E118:E121"/>
    <mergeCell ref="F118:F121"/>
    <mergeCell ref="G118:G121"/>
    <mergeCell ref="C110:C113"/>
    <mergeCell ref="D110:D113"/>
    <mergeCell ref="E110:E113"/>
    <mergeCell ref="F110:F113"/>
    <mergeCell ref="C114:C117"/>
    <mergeCell ref="D114:D117"/>
    <mergeCell ref="E114:E117"/>
    <mergeCell ref="F114:F117"/>
    <mergeCell ref="G114:G117"/>
    <mergeCell ref="H110:H113"/>
    <mergeCell ref="I110:I113"/>
    <mergeCell ref="J110:J113"/>
    <mergeCell ref="K110:K113"/>
    <mergeCell ref="L110:L113"/>
    <mergeCell ref="Q110:Q113"/>
    <mergeCell ref="C122:C125"/>
    <mergeCell ref="D122:D125"/>
    <mergeCell ref="E122:E125"/>
    <mergeCell ref="F122:F125"/>
    <mergeCell ref="G122:G125"/>
    <mergeCell ref="G110:G113"/>
    <mergeCell ref="H118:H121"/>
    <mergeCell ref="H122:H125"/>
    <mergeCell ref="K122:K125"/>
    <mergeCell ref="M122:M125"/>
    <mergeCell ref="N122:N125"/>
    <mergeCell ref="H114:H117"/>
    <mergeCell ref="I114:I117"/>
    <mergeCell ref="J114:J117"/>
    <mergeCell ref="K114:K117"/>
    <mergeCell ref="L114:L117"/>
    <mergeCell ref="M114:M117"/>
    <mergeCell ref="H126:H129"/>
    <mergeCell ref="C106:C109"/>
    <mergeCell ref="D106:D109"/>
    <mergeCell ref="E106:E109"/>
    <mergeCell ref="F106:F109"/>
    <mergeCell ref="G106:G109"/>
    <mergeCell ref="M94:M97"/>
    <mergeCell ref="N94:N97"/>
    <mergeCell ref="O94:O97"/>
    <mergeCell ref="C94:C97"/>
    <mergeCell ref="D94:D97"/>
    <mergeCell ref="E94:E97"/>
    <mergeCell ref="F94:F97"/>
    <mergeCell ref="G94:G97"/>
    <mergeCell ref="H106:H109"/>
    <mergeCell ref="I106:I109"/>
    <mergeCell ref="J106:J109"/>
    <mergeCell ref="K106:K109"/>
    <mergeCell ref="L106:L109"/>
    <mergeCell ref="M110:M113"/>
    <mergeCell ref="N110:N113"/>
    <mergeCell ref="O110:O113"/>
    <mergeCell ref="C126:C129"/>
    <mergeCell ref="D126:D129"/>
    <mergeCell ref="P94:P97"/>
    <mergeCell ref="M106:M109"/>
    <mergeCell ref="N106:N109"/>
    <mergeCell ref="O106:O109"/>
    <mergeCell ref="P106:P109"/>
    <mergeCell ref="Q94:Q97"/>
    <mergeCell ref="H94:H97"/>
    <mergeCell ref="I94:I97"/>
    <mergeCell ref="J94:J97"/>
    <mergeCell ref="K94:K97"/>
    <mergeCell ref="L94:L97"/>
    <mergeCell ref="Q106:Q109"/>
    <mergeCell ref="M102:M105"/>
    <mergeCell ref="N102:N105"/>
    <mergeCell ref="O102:O105"/>
    <mergeCell ref="P102:P105"/>
    <mergeCell ref="Q102:Q105"/>
    <mergeCell ref="H102:H105"/>
    <mergeCell ref="I102:I105"/>
    <mergeCell ref="J102:J105"/>
    <mergeCell ref="K102:K105"/>
    <mergeCell ref="L102:L105"/>
    <mergeCell ref="Q98:Q101"/>
    <mergeCell ref="H98:H101"/>
    <mergeCell ref="C98:C101"/>
    <mergeCell ref="D98:D101"/>
    <mergeCell ref="E98:E101"/>
    <mergeCell ref="F98:F101"/>
    <mergeCell ref="G98:G101"/>
    <mergeCell ref="C102:C105"/>
    <mergeCell ref="D102:D105"/>
    <mergeCell ref="E102:E105"/>
    <mergeCell ref="F102:F105"/>
    <mergeCell ref="G102:G105"/>
    <mergeCell ref="K98:K101"/>
    <mergeCell ref="L98:L101"/>
    <mergeCell ref="M98:M101"/>
    <mergeCell ref="N98:N101"/>
    <mergeCell ref="O98:O101"/>
    <mergeCell ref="P98:P101"/>
    <mergeCell ref="N114:N117"/>
    <mergeCell ref="O114:O117"/>
    <mergeCell ref="P114:P117"/>
    <mergeCell ref="P110:P113"/>
    <mergeCell ref="Q86:Q89"/>
    <mergeCell ref="H86:H89"/>
    <mergeCell ref="I86:I89"/>
    <mergeCell ref="J86:J89"/>
    <mergeCell ref="K86:K89"/>
    <mergeCell ref="Q114:Q117"/>
    <mergeCell ref="M6:M8"/>
    <mergeCell ref="N6:N8"/>
    <mergeCell ref="O6:O8"/>
    <mergeCell ref="P6:P8"/>
    <mergeCell ref="H50:H52"/>
    <mergeCell ref="I50:I52"/>
    <mergeCell ref="J50:J52"/>
    <mergeCell ref="K50:K52"/>
    <mergeCell ref="L50:L52"/>
    <mergeCell ref="M50:M52"/>
    <mergeCell ref="Q6:Q8"/>
    <mergeCell ref="H6:H8"/>
    <mergeCell ref="I6:I8"/>
    <mergeCell ref="J6:J8"/>
    <mergeCell ref="K6:K8"/>
    <mergeCell ref="L6:L8"/>
    <mergeCell ref="I98:I101"/>
    <mergeCell ref="J98:J101"/>
    <mergeCell ref="N90:N93"/>
    <mergeCell ref="O90:O93"/>
    <mergeCell ref="P90:P93"/>
    <mergeCell ref="Q90:Q93"/>
    <mergeCell ref="H90:H93"/>
    <mergeCell ref="I90:I93"/>
    <mergeCell ref="J90:J93"/>
    <mergeCell ref="K90:K93"/>
    <mergeCell ref="L90:L93"/>
    <mergeCell ref="C90:C93"/>
    <mergeCell ref="D90:D93"/>
    <mergeCell ref="E90:E93"/>
    <mergeCell ref="F90:F93"/>
    <mergeCell ref="G90:G93"/>
    <mergeCell ref="E6:E8"/>
    <mergeCell ref="F6:F8"/>
    <mergeCell ref="G6:G8"/>
    <mergeCell ref="M90:M93"/>
    <mergeCell ref="H82:H85"/>
    <mergeCell ref="I82:I85"/>
    <mergeCell ref="J82:J85"/>
    <mergeCell ref="K82:K85"/>
    <mergeCell ref="L82:L85"/>
    <mergeCell ref="C50:C52"/>
    <mergeCell ref="D50:D52"/>
    <mergeCell ref="E50:E52"/>
    <mergeCell ref="F50:F52"/>
    <mergeCell ref="G50:G52"/>
    <mergeCell ref="C6:C8"/>
    <mergeCell ref="D6:D8"/>
    <mergeCell ref="L86:L89"/>
    <mergeCell ref="M86:M89"/>
    <mergeCell ref="M76:M78"/>
    <mergeCell ref="N86:N89"/>
    <mergeCell ref="O86:O89"/>
    <mergeCell ref="P86:P89"/>
    <mergeCell ref="C82:C85"/>
    <mergeCell ref="D82:D85"/>
    <mergeCell ref="E82:E85"/>
    <mergeCell ref="F82:F85"/>
    <mergeCell ref="G82:G85"/>
    <mergeCell ref="C86:C89"/>
    <mergeCell ref="D86:D89"/>
    <mergeCell ref="E86:E89"/>
    <mergeCell ref="F86:F89"/>
    <mergeCell ref="G86:G89"/>
    <mergeCell ref="N76:N78"/>
    <mergeCell ref="O76:O78"/>
    <mergeCell ref="P76:P78"/>
    <mergeCell ref="M82:M85"/>
    <mergeCell ref="N82:N85"/>
    <mergeCell ref="O82:O85"/>
    <mergeCell ref="P82:P85"/>
    <mergeCell ref="Q76:Q78"/>
    <mergeCell ref="Q82:Q85"/>
    <mergeCell ref="H76:H78"/>
    <mergeCell ref="I76:I78"/>
    <mergeCell ref="J76:J78"/>
    <mergeCell ref="K76:K78"/>
    <mergeCell ref="L76:L78"/>
    <mergeCell ref="C76:C78"/>
    <mergeCell ref="D76:D78"/>
    <mergeCell ref="E76:E78"/>
    <mergeCell ref="F76:F78"/>
    <mergeCell ref="G76:G78"/>
    <mergeCell ref="K71:K73"/>
    <mergeCell ref="L71:L73"/>
    <mergeCell ref="C68:C70"/>
    <mergeCell ref="D68:D70"/>
    <mergeCell ref="E68:E70"/>
    <mergeCell ref="F68:F70"/>
    <mergeCell ref="G68:G70"/>
    <mergeCell ref="C71:C73"/>
    <mergeCell ref="D71:D73"/>
    <mergeCell ref="E71:E73"/>
    <mergeCell ref="F71:F73"/>
    <mergeCell ref="G71:G73"/>
    <mergeCell ref="Q68:Q70"/>
    <mergeCell ref="H68:H70"/>
    <mergeCell ref="I68:I70"/>
    <mergeCell ref="J68:J70"/>
    <mergeCell ref="K68:K70"/>
    <mergeCell ref="L68:L70"/>
    <mergeCell ref="M68:M70"/>
    <mergeCell ref="N68:N70"/>
    <mergeCell ref="O68:O70"/>
    <mergeCell ref="P68:P70"/>
    <mergeCell ref="M64:M67"/>
    <mergeCell ref="N64:N67"/>
    <mergeCell ref="O64:O67"/>
    <mergeCell ref="P64:P67"/>
    <mergeCell ref="Q64:Q67"/>
    <mergeCell ref="H64:H67"/>
    <mergeCell ref="I64:I67"/>
    <mergeCell ref="J64:J67"/>
    <mergeCell ref="K64:K67"/>
    <mergeCell ref="L64:L67"/>
    <mergeCell ref="K56:K59"/>
    <mergeCell ref="L56:L59"/>
    <mergeCell ref="Q60:Q63"/>
    <mergeCell ref="H60:H63"/>
    <mergeCell ref="I60:I63"/>
    <mergeCell ref="J60:J63"/>
    <mergeCell ref="K60:K63"/>
    <mergeCell ref="L60:L63"/>
    <mergeCell ref="C60:C63"/>
    <mergeCell ref="D60:D63"/>
    <mergeCell ref="E60:E63"/>
    <mergeCell ref="F60:F63"/>
    <mergeCell ref="G60:G63"/>
    <mergeCell ref="M60:M63"/>
    <mergeCell ref="N60:N63"/>
    <mergeCell ref="O60:O63"/>
    <mergeCell ref="P60:P63"/>
    <mergeCell ref="C79:C81"/>
    <mergeCell ref="D79:D81"/>
    <mergeCell ref="E79:E81"/>
    <mergeCell ref="F79:F81"/>
    <mergeCell ref="G79:G81"/>
    <mergeCell ref="C56:C59"/>
    <mergeCell ref="D56:D59"/>
    <mergeCell ref="E56:E59"/>
    <mergeCell ref="F56:F59"/>
    <mergeCell ref="G56:G59"/>
    <mergeCell ref="C64:C67"/>
    <mergeCell ref="D64:D67"/>
    <mergeCell ref="E64:E67"/>
    <mergeCell ref="F64:F67"/>
    <mergeCell ref="G64:G67"/>
    <mergeCell ref="Q53:Q54"/>
    <mergeCell ref="H53:H54"/>
    <mergeCell ref="I53:I54"/>
    <mergeCell ref="J53:J54"/>
    <mergeCell ref="K53:K54"/>
    <mergeCell ref="L53:L54"/>
    <mergeCell ref="Q79:Q81"/>
    <mergeCell ref="H79:H81"/>
    <mergeCell ref="I79:I81"/>
    <mergeCell ref="J79:J81"/>
    <mergeCell ref="K79:K81"/>
    <mergeCell ref="L79:L81"/>
    <mergeCell ref="M79:M81"/>
    <mergeCell ref="N79:N81"/>
    <mergeCell ref="O79:O81"/>
    <mergeCell ref="P79:P81"/>
    <mergeCell ref="M56:M59"/>
    <mergeCell ref="N56:N59"/>
    <mergeCell ref="O56:O59"/>
    <mergeCell ref="P56:P59"/>
    <mergeCell ref="Q56:Q59"/>
    <mergeCell ref="H56:H59"/>
    <mergeCell ref="I56:I59"/>
    <mergeCell ref="J56:J59"/>
    <mergeCell ref="C53:C54"/>
    <mergeCell ref="D53:D54"/>
    <mergeCell ref="E53:E54"/>
    <mergeCell ref="F53:F54"/>
    <mergeCell ref="G53:G54"/>
    <mergeCell ref="M31:M33"/>
    <mergeCell ref="N31:N33"/>
    <mergeCell ref="O31:O33"/>
    <mergeCell ref="P31:P33"/>
    <mergeCell ref="M53:M54"/>
    <mergeCell ref="N53:N54"/>
    <mergeCell ref="O53:O54"/>
    <mergeCell ref="P53:P54"/>
    <mergeCell ref="N50:N52"/>
    <mergeCell ref="O50:O52"/>
    <mergeCell ref="P50:P52"/>
    <mergeCell ref="M47:M49"/>
    <mergeCell ref="N47:N49"/>
    <mergeCell ref="O47:O49"/>
    <mergeCell ref="P47:P49"/>
    <mergeCell ref="C37:C38"/>
    <mergeCell ref="D37:D38"/>
    <mergeCell ref="E37:E38"/>
    <mergeCell ref="F37:F38"/>
    <mergeCell ref="Q31:Q33"/>
    <mergeCell ref="H31:H33"/>
    <mergeCell ref="I31:I33"/>
    <mergeCell ref="J31:J33"/>
    <mergeCell ref="K31:K33"/>
    <mergeCell ref="L31:L33"/>
    <mergeCell ref="C31:C33"/>
    <mergeCell ref="D31:D33"/>
    <mergeCell ref="E31:E33"/>
    <mergeCell ref="F31:F33"/>
    <mergeCell ref="G31:G33"/>
    <mergeCell ref="Q47:Q49"/>
    <mergeCell ref="H47:H49"/>
    <mergeCell ref="I47:I49"/>
    <mergeCell ref="J47:J49"/>
    <mergeCell ref="K47:K49"/>
    <mergeCell ref="L47:L49"/>
    <mergeCell ref="C44:C46"/>
    <mergeCell ref="D44:D46"/>
    <mergeCell ref="E44:E46"/>
    <mergeCell ref="F44:F46"/>
    <mergeCell ref="G44:G46"/>
    <mergeCell ref="C47:C49"/>
    <mergeCell ref="D47:D49"/>
    <mergeCell ref="E47:E49"/>
    <mergeCell ref="F47:F49"/>
    <mergeCell ref="G47:G49"/>
    <mergeCell ref="Q44:Q46"/>
    <mergeCell ref="H44:H46"/>
    <mergeCell ref="I44:I46"/>
    <mergeCell ref="J44:J46"/>
    <mergeCell ref="K44:K46"/>
    <mergeCell ref="L44:L46"/>
    <mergeCell ref="M44:M46"/>
    <mergeCell ref="N44:N46"/>
    <mergeCell ref="O44:O46"/>
    <mergeCell ref="P44:P46"/>
    <mergeCell ref="N34:N36"/>
    <mergeCell ref="O34:O36"/>
    <mergeCell ref="P34:P36"/>
    <mergeCell ref="M37:M38"/>
    <mergeCell ref="N37:N38"/>
    <mergeCell ref="O37:O38"/>
    <mergeCell ref="P37:P38"/>
    <mergeCell ref="Q37:Q38"/>
    <mergeCell ref="H37:H38"/>
    <mergeCell ref="I37:I38"/>
    <mergeCell ref="J37:J38"/>
    <mergeCell ref="K37:K38"/>
    <mergeCell ref="L37:L38"/>
    <mergeCell ref="K34:K36"/>
    <mergeCell ref="L34:L36"/>
    <mergeCell ref="C34:C36"/>
    <mergeCell ref="D34:D36"/>
    <mergeCell ref="E34:E36"/>
    <mergeCell ref="F34:F36"/>
    <mergeCell ref="G34:G36"/>
    <mergeCell ref="G37:G38"/>
    <mergeCell ref="M34:M36"/>
    <mergeCell ref="Q28:Q30"/>
    <mergeCell ref="C41:C43"/>
    <mergeCell ref="D41:D43"/>
    <mergeCell ref="E41:E43"/>
    <mergeCell ref="F41:F43"/>
    <mergeCell ref="G41:G43"/>
    <mergeCell ref="C28:C30"/>
    <mergeCell ref="D28:D30"/>
    <mergeCell ref="E28:E30"/>
    <mergeCell ref="F28:F30"/>
    <mergeCell ref="G28:G30"/>
    <mergeCell ref="H28:H30"/>
    <mergeCell ref="I28:I30"/>
    <mergeCell ref="J28:J30"/>
    <mergeCell ref="K28:K30"/>
    <mergeCell ref="L28:L30"/>
    <mergeCell ref="M28:M30"/>
    <mergeCell ref="N28:N30"/>
    <mergeCell ref="O28:O30"/>
    <mergeCell ref="P28:P30"/>
    <mergeCell ref="Q34:Q36"/>
    <mergeCell ref="H34:H36"/>
    <mergeCell ref="I34:I36"/>
    <mergeCell ref="J34:J36"/>
    <mergeCell ref="Q41:Q43"/>
    <mergeCell ref="H41:H43"/>
    <mergeCell ref="I41:I43"/>
    <mergeCell ref="J41:J43"/>
    <mergeCell ref="K41:K43"/>
    <mergeCell ref="L41:L43"/>
    <mergeCell ref="M41:M43"/>
    <mergeCell ref="N41:N43"/>
    <mergeCell ref="O41:O43"/>
    <mergeCell ref="P41:P43"/>
    <mergeCell ref="M25:M26"/>
    <mergeCell ref="N25:N26"/>
    <mergeCell ref="O25:O26"/>
    <mergeCell ref="P25:P26"/>
    <mergeCell ref="Q25:Q26"/>
    <mergeCell ref="H25:H26"/>
    <mergeCell ref="I25:I26"/>
    <mergeCell ref="J25:J26"/>
    <mergeCell ref="K25:K26"/>
    <mergeCell ref="L25:L26"/>
    <mergeCell ref="J16:J18"/>
    <mergeCell ref="K16:K18"/>
    <mergeCell ref="L16:L18"/>
    <mergeCell ref="C25:C26"/>
    <mergeCell ref="D25:D26"/>
    <mergeCell ref="E25:E26"/>
    <mergeCell ref="F25:F26"/>
    <mergeCell ref="G25:G26"/>
    <mergeCell ref="Q19:Q21"/>
    <mergeCell ref="C22:C24"/>
    <mergeCell ref="D22:D24"/>
    <mergeCell ref="E22:E24"/>
    <mergeCell ref="F22:F24"/>
    <mergeCell ref="G22:G24"/>
    <mergeCell ref="H22:H24"/>
    <mergeCell ref="I22:I24"/>
    <mergeCell ref="J22:J24"/>
    <mergeCell ref="K22:K24"/>
    <mergeCell ref="L22:L24"/>
    <mergeCell ref="M22:M24"/>
    <mergeCell ref="N22:N24"/>
    <mergeCell ref="O22:O24"/>
    <mergeCell ref="P22:P24"/>
    <mergeCell ref="Q22:Q24"/>
    <mergeCell ref="P13:P15"/>
    <mergeCell ref="Q13:Q15"/>
    <mergeCell ref="L19:L21"/>
    <mergeCell ref="M19:M21"/>
    <mergeCell ref="N19:N21"/>
    <mergeCell ref="O19:O21"/>
    <mergeCell ref="P19:P21"/>
    <mergeCell ref="C16:C18"/>
    <mergeCell ref="D16:D18"/>
    <mergeCell ref="E16:E18"/>
    <mergeCell ref="F16:F18"/>
    <mergeCell ref="C19:C21"/>
    <mergeCell ref="D19:D21"/>
    <mergeCell ref="E19:E21"/>
    <mergeCell ref="F19:F21"/>
    <mergeCell ref="G19:G21"/>
    <mergeCell ref="H19:H21"/>
    <mergeCell ref="I19:I21"/>
    <mergeCell ref="J19:J21"/>
    <mergeCell ref="K19:K21"/>
    <mergeCell ref="G16:G18"/>
    <mergeCell ref="H16:H18"/>
    <mergeCell ref="I16:I18"/>
    <mergeCell ref="M16:M18"/>
    <mergeCell ref="H3:H5"/>
    <mergeCell ref="N16:N18"/>
    <mergeCell ref="O16:O18"/>
    <mergeCell ref="P16:P18"/>
    <mergeCell ref="Q16:Q18"/>
    <mergeCell ref="C13:C15"/>
    <mergeCell ref="D13:D15"/>
    <mergeCell ref="E13:E15"/>
    <mergeCell ref="F13:F15"/>
    <mergeCell ref="G13:G15"/>
    <mergeCell ref="H13:H15"/>
    <mergeCell ref="I13:I15"/>
    <mergeCell ref="J13:J15"/>
    <mergeCell ref="K13:K15"/>
    <mergeCell ref="L13:L15"/>
    <mergeCell ref="M13:M15"/>
    <mergeCell ref="N13:N15"/>
    <mergeCell ref="O13:O15"/>
    <mergeCell ref="C3:C5"/>
    <mergeCell ref="C9:C10"/>
    <mergeCell ref="E3:E5"/>
    <mergeCell ref="F3:F5"/>
    <mergeCell ref="G3:G5"/>
    <mergeCell ref="L3:L5"/>
    <mergeCell ref="G1:I1"/>
    <mergeCell ref="I3:I5"/>
    <mergeCell ref="J3:J5"/>
    <mergeCell ref="K3:K5"/>
    <mergeCell ref="Q3:Q5"/>
    <mergeCell ref="D9:D10"/>
    <mergeCell ref="E9:E10"/>
    <mergeCell ref="F9:F10"/>
    <mergeCell ref="G9:G10"/>
    <mergeCell ref="H9:H10"/>
    <mergeCell ref="I9:I10"/>
    <mergeCell ref="J9:J10"/>
    <mergeCell ref="K9:K10"/>
    <mergeCell ref="L9:L10"/>
    <mergeCell ref="M9:M10"/>
    <mergeCell ref="N9:N10"/>
    <mergeCell ref="O9:O10"/>
    <mergeCell ref="P9:P10"/>
    <mergeCell ref="Q9:Q10"/>
    <mergeCell ref="M3:M5"/>
    <mergeCell ref="N3:N5"/>
    <mergeCell ref="O3:O5"/>
    <mergeCell ref="P3:P5"/>
    <mergeCell ref="D3:D5"/>
  </mergeCells>
  <dataValidations count="2">
    <dataValidation type="list" allowBlank="1" showInputMessage="1" showErrorMessage="1" sqref="AB94:XFD94 AB131:XFD131 AB76:XFD76 AB122:XFD122" xr:uid="{00000000-0002-0000-0400-000000000000}">
      <formula1>resultadoaprendizaje</formula1>
    </dataValidation>
    <dataValidation allowBlank="1" showInputMessage="1" showErrorMessage="1" sqref="C131 C76:J76 N76:P76 N82:P82 D82:J82 N86:P86 D86:J86 N90:P90 D90:J90 D6:J6 N6:P6 N98:P98 D98:J98 N102:P102 D102:J102 C94:J94 N94:P94 N106:P106 D106:J106 N110:P110 D110:J110 N118:P118 D118:J118 C122:J122 N122:P122 N126:P126 D126:J126 D130:D133 I130:J133 A3:A10 A28:A38 A41:A54 D74:J74 N74:P74 A56:A78 M134:M141 H142:Q186 A79:B81 A142:B218 D79:Q81 E142:G217 D114 F114:J114 N114:P114 A82:A141 E130:H141 B134:B141 N130:Q141 D135:D146 K137:L141 I138:J141 A13:A26" xr:uid="{F9F7477D-7B73-43EF-A178-2242EAE077EC}"/>
  </dataValidations>
  <pageMargins left="0.7" right="0.7" top="0.75" bottom="0.75" header="0.3" footer="0.3"/>
  <pageSetup paperSize="9" orientation="portrait" r:id="rId1"/>
  <ignoredErrors>
    <ignoredError sqref="J137" formulaRange="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BEA22DB-E997-4DD5-BD90-546AF84C972A}">
          <x14:formula1>
            <xm:f>'Paso 3 Redacción RA '!$I$3:$I$12</xm:f>
          </x14:formula1>
          <xm:sqref>B3:B10 B28:B38 B41:B54 B56:B113 B118:B133 B13:B26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36"/>
  <sheetViews>
    <sheetView workbookViewId="0">
      <selection activeCell="B37" sqref="B37"/>
    </sheetView>
  </sheetViews>
  <sheetFormatPr baseColWidth="10" defaultColWidth="11.453125" defaultRowHeight="14.5" x14ac:dyDescent="0.35"/>
  <cols>
    <col min="2" max="2" width="27.1796875" customWidth="1"/>
  </cols>
  <sheetData>
    <row r="1" spans="2:2" ht="16.5" x14ac:dyDescent="0.5">
      <c r="B1" s="1" t="s">
        <v>350</v>
      </c>
    </row>
    <row r="2" spans="2:2" ht="16.5" x14ac:dyDescent="0.5">
      <c r="B2" s="1" t="s">
        <v>351</v>
      </c>
    </row>
    <row r="3" spans="2:2" ht="16.5" x14ac:dyDescent="0.5">
      <c r="B3" s="1" t="s">
        <v>54</v>
      </c>
    </row>
    <row r="4" spans="2:2" ht="16.5" x14ac:dyDescent="0.5">
      <c r="B4" s="1" t="s">
        <v>352</v>
      </c>
    </row>
    <row r="5" spans="2:2" ht="16.5" x14ac:dyDescent="0.5">
      <c r="B5" s="1" t="s">
        <v>353</v>
      </c>
    </row>
    <row r="6" spans="2:2" ht="16.5" x14ac:dyDescent="0.5">
      <c r="B6" s="1" t="s">
        <v>354</v>
      </c>
    </row>
    <row r="7" spans="2:2" ht="16.5" x14ac:dyDescent="0.5">
      <c r="B7" s="1" t="s">
        <v>355</v>
      </c>
    </row>
    <row r="8" spans="2:2" ht="16.5" x14ac:dyDescent="0.5">
      <c r="B8" s="1" t="s">
        <v>356</v>
      </c>
    </row>
    <row r="9" spans="2:2" ht="16.5" x14ac:dyDescent="0.5">
      <c r="B9" s="1" t="s">
        <v>357</v>
      </c>
    </row>
    <row r="10" spans="2:2" ht="16.5" x14ac:dyDescent="0.5">
      <c r="B10" s="1" t="s">
        <v>358</v>
      </c>
    </row>
    <row r="11" spans="2:2" ht="16.5" x14ac:dyDescent="0.5">
      <c r="B11" s="1" t="s">
        <v>359</v>
      </c>
    </row>
    <row r="12" spans="2:2" ht="16.5" x14ac:dyDescent="0.5">
      <c r="B12" s="1" t="s">
        <v>360</v>
      </c>
    </row>
    <row r="13" spans="2:2" ht="16.5" x14ac:dyDescent="0.5">
      <c r="B13" s="1" t="s">
        <v>361</v>
      </c>
    </row>
    <row r="14" spans="2:2" ht="16.5" x14ac:dyDescent="0.5">
      <c r="B14" s="1" t="s">
        <v>362</v>
      </c>
    </row>
    <row r="15" spans="2:2" ht="16.5" x14ac:dyDescent="0.5">
      <c r="B15" s="1" t="s">
        <v>363</v>
      </c>
    </row>
    <row r="16" spans="2:2" ht="16.5" x14ac:dyDescent="0.5">
      <c r="B16" s="1" t="s">
        <v>364</v>
      </c>
    </row>
    <row r="17" spans="2:2" ht="16.5" x14ac:dyDescent="0.5">
      <c r="B17" s="1" t="s">
        <v>365</v>
      </c>
    </row>
    <row r="18" spans="2:2" ht="16.5" x14ac:dyDescent="0.5">
      <c r="B18" s="1" t="s">
        <v>366</v>
      </c>
    </row>
    <row r="19" spans="2:2" ht="16.5" x14ac:dyDescent="0.5">
      <c r="B19" s="1" t="s">
        <v>367</v>
      </c>
    </row>
    <row r="20" spans="2:2" ht="16.5" x14ac:dyDescent="0.5">
      <c r="B20" s="1" t="s">
        <v>368</v>
      </c>
    </row>
    <row r="21" spans="2:2" ht="16.5" x14ac:dyDescent="0.5">
      <c r="B21" s="1" t="s">
        <v>369</v>
      </c>
    </row>
    <row r="22" spans="2:2" ht="16.5" x14ac:dyDescent="0.5">
      <c r="B22" s="1" t="s">
        <v>370</v>
      </c>
    </row>
    <row r="23" spans="2:2" ht="16.5" x14ac:dyDescent="0.5">
      <c r="B23" s="1" t="s">
        <v>58</v>
      </c>
    </row>
    <row r="24" spans="2:2" ht="16.5" x14ac:dyDescent="0.5">
      <c r="B24" s="1" t="s">
        <v>371</v>
      </c>
    </row>
    <row r="25" spans="2:2" ht="16.5" x14ac:dyDescent="0.5">
      <c r="B25" s="1" t="s">
        <v>372</v>
      </c>
    </row>
    <row r="26" spans="2:2" ht="16.5" x14ac:dyDescent="0.5">
      <c r="B26" s="1" t="s">
        <v>373</v>
      </c>
    </row>
    <row r="27" spans="2:2" ht="16.5" x14ac:dyDescent="0.5">
      <c r="B27" s="1" t="s">
        <v>374</v>
      </c>
    </row>
    <row r="28" spans="2:2" ht="16.5" x14ac:dyDescent="0.5">
      <c r="B28" s="1" t="s">
        <v>375</v>
      </c>
    </row>
    <row r="29" spans="2:2" ht="16.5" x14ac:dyDescent="0.5">
      <c r="B29" s="1" t="s">
        <v>376</v>
      </c>
    </row>
    <row r="30" spans="2:2" ht="16.5" x14ac:dyDescent="0.5">
      <c r="B30" s="1" t="s">
        <v>377</v>
      </c>
    </row>
    <row r="31" spans="2:2" ht="16.5" x14ac:dyDescent="0.5">
      <c r="B31" s="1" t="s">
        <v>378</v>
      </c>
    </row>
    <row r="32" spans="2:2" ht="16.5" x14ac:dyDescent="0.5">
      <c r="B32" s="1" t="s">
        <v>379</v>
      </c>
    </row>
    <row r="33" spans="2:2" ht="16.5" x14ac:dyDescent="0.5">
      <c r="B33" s="1" t="s">
        <v>380</v>
      </c>
    </row>
    <row r="34" spans="2:2" ht="16.5" x14ac:dyDescent="0.5">
      <c r="B34" s="1" t="s">
        <v>381</v>
      </c>
    </row>
    <row r="35" spans="2:2" ht="16.5" x14ac:dyDescent="0.5">
      <c r="B35" s="1" t="s">
        <v>382</v>
      </c>
    </row>
    <row r="36" spans="2:2" ht="16.5" x14ac:dyDescent="0.5">
      <c r="B36" s="39" t="s">
        <v>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08"/>
  <sheetViews>
    <sheetView topLeftCell="O1" zoomScaleNormal="100" workbookViewId="0">
      <selection activeCell="AF28" sqref="AF28"/>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03" t="s">
        <v>383</v>
      </c>
      <c r="T1" s="103"/>
      <c r="U1" s="103"/>
      <c r="V1" s="103"/>
      <c r="W1" s="103"/>
      <c r="X1" s="103"/>
      <c r="Y1" s="103"/>
      <c r="Z1" s="103"/>
      <c r="AA1" s="103"/>
      <c r="AB1" s="103"/>
      <c r="AC1" s="103"/>
      <c r="AD1" s="103"/>
      <c r="AE1" s="103"/>
      <c r="AF1" s="103"/>
      <c r="AG1" s="103"/>
      <c r="AH1" s="5"/>
      <c r="AI1" s="5"/>
      <c r="AJ1" s="5"/>
      <c r="AL1" s="103" t="s">
        <v>384</v>
      </c>
      <c r="AM1" s="103"/>
      <c r="AN1" s="103"/>
      <c r="AO1" s="103"/>
      <c r="AP1" s="103"/>
      <c r="AQ1" s="103"/>
      <c r="AR1" s="5"/>
      <c r="AS1" s="5"/>
      <c r="AT1" s="103" t="s">
        <v>385</v>
      </c>
      <c r="AU1" s="103"/>
      <c r="AV1" s="103"/>
      <c r="AW1" s="103"/>
      <c r="AX1" s="103"/>
      <c r="AY1" s="103"/>
      <c r="AZ1" s="5"/>
      <c r="BC1" s="5"/>
    </row>
    <row r="2" spans="1:55" x14ac:dyDescent="0.5">
      <c r="L2" s="103" t="s">
        <v>386</v>
      </c>
      <c r="M2" s="103"/>
      <c r="N2" s="103"/>
      <c r="O2" s="103"/>
      <c r="P2" s="103"/>
      <c r="Q2" s="103"/>
      <c r="S2" s="104" t="s">
        <v>387</v>
      </c>
      <c r="T2" s="104"/>
      <c r="U2" s="104"/>
      <c r="V2" s="104"/>
      <c r="W2" s="104"/>
      <c r="X2" s="104"/>
      <c r="Y2" s="104" t="s">
        <v>388</v>
      </c>
      <c r="Z2" s="104"/>
      <c r="AA2" s="104"/>
      <c r="AB2" s="104"/>
      <c r="AC2" s="104" t="s">
        <v>389</v>
      </c>
      <c r="AD2" s="104"/>
      <c r="AE2" s="104"/>
      <c r="AF2" s="104"/>
      <c r="AG2" s="104"/>
      <c r="AH2" s="5"/>
      <c r="AI2" s="5"/>
      <c r="AJ2" s="5"/>
      <c r="AL2" s="103"/>
      <c r="AM2" s="103"/>
      <c r="AN2" s="103"/>
      <c r="AO2" s="103"/>
      <c r="AP2" s="103"/>
      <c r="AQ2" s="103"/>
      <c r="AR2" s="5"/>
      <c r="AS2" s="5"/>
      <c r="AT2" s="5"/>
      <c r="AU2" s="5"/>
      <c r="AV2" s="5"/>
      <c r="AW2" s="5"/>
      <c r="AX2" s="5"/>
      <c r="AY2" s="5"/>
      <c r="AZ2" s="5"/>
      <c r="BC2" s="5"/>
    </row>
    <row r="3" spans="1:55" x14ac:dyDescent="0.5">
      <c r="A3" s="1" t="s">
        <v>390</v>
      </c>
      <c r="C3" s="1" t="s">
        <v>391</v>
      </c>
      <c r="D3" s="1" t="s">
        <v>392</v>
      </c>
      <c r="E3" s="1" t="s">
        <v>393</v>
      </c>
      <c r="G3" s="1" t="s">
        <v>86</v>
      </c>
      <c r="H3" s="1" t="s">
        <v>90</v>
      </c>
      <c r="I3" s="1" t="s">
        <v>94</v>
      </c>
      <c r="L3" s="1" t="s">
        <v>394</v>
      </c>
      <c r="M3" s="1" t="s">
        <v>95</v>
      </c>
      <c r="N3" s="1" t="s">
        <v>91</v>
      </c>
      <c r="O3" s="1" t="s">
        <v>98</v>
      </c>
      <c r="P3" s="1" t="s">
        <v>395</v>
      </c>
      <c r="Q3" s="1" t="s">
        <v>396</v>
      </c>
      <c r="S3" s="1" t="s">
        <v>397</v>
      </c>
      <c r="T3" s="1" t="s">
        <v>398</v>
      </c>
      <c r="U3" s="1" t="s">
        <v>399</v>
      </c>
      <c r="V3" s="1" t="s">
        <v>400</v>
      </c>
      <c r="W3" s="1" t="s">
        <v>401</v>
      </c>
      <c r="X3" s="1" t="s">
        <v>402</v>
      </c>
      <c r="Y3" s="1" t="s">
        <v>403</v>
      </c>
      <c r="Z3" s="1" t="s">
        <v>404</v>
      </c>
      <c r="AA3" s="1" t="s">
        <v>405</v>
      </c>
      <c r="AB3" s="1" t="s">
        <v>406</v>
      </c>
      <c r="AC3" s="1" t="s">
        <v>407</v>
      </c>
      <c r="AD3" s="1" t="s">
        <v>408</v>
      </c>
      <c r="AE3" s="1" t="s">
        <v>409</v>
      </c>
      <c r="AF3" s="1" t="s">
        <v>410</v>
      </c>
      <c r="AG3" s="1" t="s">
        <v>411</v>
      </c>
      <c r="AL3" s="105" t="s">
        <v>412</v>
      </c>
      <c r="AM3" s="105"/>
      <c r="AN3" s="105"/>
      <c r="AO3" s="105" t="s">
        <v>413</v>
      </c>
      <c r="AP3" s="105"/>
      <c r="AQ3" s="105"/>
      <c r="AR3" s="6"/>
      <c r="AS3" s="6"/>
      <c r="AT3" s="6"/>
      <c r="AU3" s="6"/>
      <c r="AV3" s="6"/>
      <c r="AW3" s="6"/>
      <c r="AX3" s="6"/>
      <c r="AY3" s="6"/>
      <c r="AZ3" s="6"/>
      <c r="BC3" s="6"/>
    </row>
    <row r="4" spans="1:55" x14ac:dyDescent="0.5">
      <c r="A4" s="1" t="s">
        <v>85</v>
      </c>
      <c r="C4" s="1" t="s">
        <v>414</v>
      </c>
      <c r="D4" s="1" t="s">
        <v>415</v>
      </c>
      <c r="E4" s="1" t="s">
        <v>416</v>
      </c>
      <c r="G4" s="1" t="s">
        <v>394</v>
      </c>
      <c r="H4" s="1" t="s">
        <v>394</v>
      </c>
      <c r="I4" s="1" t="s">
        <v>394</v>
      </c>
      <c r="L4" s="1" t="s">
        <v>417</v>
      </c>
      <c r="M4" s="1" t="s">
        <v>354</v>
      </c>
      <c r="N4" s="1" t="s">
        <v>92</v>
      </c>
      <c r="O4" s="1" t="s">
        <v>418</v>
      </c>
      <c r="P4" s="1" t="s">
        <v>419</v>
      </c>
      <c r="Q4" s="1" t="s">
        <v>420</v>
      </c>
      <c r="S4" s="1" t="s">
        <v>417</v>
      </c>
      <c r="T4" s="1" t="s">
        <v>354</v>
      </c>
      <c r="U4" s="1" t="s">
        <v>92</v>
      </c>
      <c r="V4" s="1" t="s">
        <v>418</v>
      </c>
      <c r="W4" s="1" t="s">
        <v>419</v>
      </c>
      <c r="X4" s="1" t="s">
        <v>420</v>
      </c>
      <c r="Y4" s="1" t="s">
        <v>421</v>
      </c>
      <c r="Z4" s="1" t="s">
        <v>422</v>
      </c>
      <c r="AA4" s="1" t="s">
        <v>423</v>
      </c>
      <c r="AB4" s="1" t="s">
        <v>424</v>
      </c>
      <c r="AC4" s="1" t="s">
        <v>370</v>
      </c>
      <c r="AD4" s="1" t="s">
        <v>425</v>
      </c>
      <c r="AE4" s="1" t="s">
        <v>426</v>
      </c>
      <c r="AF4" s="1" t="s">
        <v>427</v>
      </c>
      <c r="AG4" s="1" t="s">
        <v>428</v>
      </c>
      <c r="AL4" s="7" t="s">
        <v>429</v>
      </c>
      <c r="AM4" s="7" t="s">
        <v>430</v>
      </c>
      <c r="AN4" s="7" t="s">
        <v>431</v>
      </c>
      <c r="AO4" s="7" t="s">
        <v>432</v>
      </c>
      <c r="AP4" s="8" t="s">
        <v>433</v>
      </c>
      <c r="AQ4" s="7" t="s">
        <v>434</v>
      </c>
      <c r="AR4" s="6"/>
      <c r="AS4" s="6"/>
      <c r="AT4" s="1" t="s">
        <v>435</v>
      </c>
      <c r="AU4" s="1" t="s">
        <v>436</v>
      </c>
      <c r="AV4" s="1" t="s">
        <v>437</v>
      </c>
      <c r="AW4" s="1" t="s">
        <v>438</v>
      </c>
      <c r="AX4" s="1" t="s">
        <v>439</v>
      </c>
      <c r="AY4" s="1" t="s">
        <v>440</v>
      </c>
      <c r="AZ4" s="6"/>
      <c r="BC4" s="6"/>
    </row>
    <row r="5" spans="1:55" x14ac:dyDescent="0.5">
      <c r="A5" s="1" t="s">
        <v>391</v>
      </c>
      <c r="C5" s="1" t="s">
        <v>441</v>
      </c>
      <c r="D5" s="1" t="s">
        <v>442</v>
      </c>
      <c r="E5" s="1" t="s">
        <v>443</v>
      </c>
      <c r="G5" s="1" t="s">
        <v>95</v>
      </c>
      <c r="H5" s="1" t="s">
        <v>95</v>
      </c>
      <c r="I5" s="1" t="s">
        <v>95</v>
      </c>
      <c r="L5" s="1" t="s">
        <v>444</v>
      </c>
      <c r="M5" s="1" t="s">
        <v>445</v>
      </c>
      <c r="N5" s="1" t="s">
        <v>446</v>
      </c>
      <c r="O5" s="1" t="s">
        <v>64</v>
      </c>
      <c r="P5" s="1" t="s">
        <v>54</v>
      </c>
      <c r="Q5" s="1" t="s">
        <v>447</v>
      </c>
      <c r="S5" s="1" t="s">
        <v>444</v>
      </c>
      <c r="T5" s="1" t="s">
        <v>445</v>
      </c>
      <c r="U5" s="1" t="s">
        <v>446</v>
      </c>
      <c r="V5" s="1" t="s">
        <v>64</v>
      </c>
      <c r="W5" s="1" t="s">
        <v>54</v>
      </c>
      <c r="X5" s="1" t="s">
        <v>447</v>
      </c>
      <c r="Y5" s="1" t="s">
        <v>419</v>
      </c>
      <c r="Z5" s="1" t="s">
        <v>448</v>
      </c>
      <c r="AA5" s="1" t="s">
        <v>374</v>
      </c>
      <c r="AB5" s="1" t="s">
        <v>449</v>
      </c>
      <c r="AC5" s="1" t="s">
        <v>356</v>
      </c>
      <c r="AD5" s="1" t="s">
        <v>450</v>
      </c>
      <c r="AE5" s="1" t="s">
        <v>425</v>
      </c>
      <c r="AF5" s="1" t="s">
        <v>451</v>
      </c>
      <c r="AG5" s="1" t="s">
        <v>452</v>
      </c>
      <c r="AL5" s="2" t="s">
        <v>453</v>
      </c>
      <c r="AM5" s="2" t="s">
        <v>454</v>
      </c>
      <c r="AN5" s="2" t="s">
        <v>455</v>
      </c>
      <c r="AO5" s="2" t="s">
        <v>456</v>
      </c>
      <c r="AP5" s="2" t="s">
        <v>419</v>
      </c>
      <c r="AQ5" s="2" t="s">
        <v>360</v>
      </c>
      <c r="AR5" s="2"/>
      <c r="AS5" s="2"/>
      <c r="AT5" s="9" t="s">
        <v>453</v>
      </c>
      <c r="AU5" s="11" t="s">
        <v>354</v>
      </c>
      <c r="AV5" s="9" t="s">
        <v>456</v>
      </c>
      <c r="AW5" s="9" t="s">
        <v>455</v>
      </c>
      <c r="AX5" s="11" t="s">
        <v>457</v>
      </c>
      <c r="AY5" s="11" t="s">
        <v>457</v>
      </c>
      <c r="AZ5" s="2"/>
      <c r="BC5" s="2"/>
    </row>
    <row r="6" spans="1:55" x14ac:dyDescent="0.5">
      <c r="A6" s="1" t="s">
        <v>392</v>
      </c>
      <c r="C6" s="1" t="s">
        <v>458</v>
      </c>
      <c r="D6" s="1" t="s">
        <v>459</v>
      </c>
      <c r="E6" s="1" t="s">
        <v>460</v>
      </c>
      <c r="G6" s="1" t="s">
        <v>91</v>
      </c>
      <c r="H6" s="1" t="s">
        <v>91</v>
      </c>
      <c r="I6" s="1" t="s">
        <v>91</v>
      </c>
      <c r="L6" s="1" t="s">
        <v>461</v>
      </c>
      <c r="M6" s="1" t="s">
        <v>462</v>
      </c>
      <c r="N6" s="1" t="s">
        <v>463</v>
      </c>
      <c r="O6" s="1" t="s">
        <v>464</v>
      </c>
      <c r="P6" s="1" t="s">
        <v>465</v>
      </c>
      <c r="Q6" s="1" t="s">
        <v>466</v>
      </c>
      <c r="S6" s="1" t="s">
        <v>461</v>
      </c>
      <c r="T6" s="1" t="s">
        <v>462</v>
      </c>
      <c r="U6" s="1" t="s">
        <v>463</v>
      </c>
      <c r="V6" s="1" t="s">
        <v>464</v>
      </c>
      <c r="W6" s="1" t="s">
        <v>465</v>
      </c>
      <c r="X6" s="1" t="s">
        <v>466</v>
      </c>
      <c r="Y6" s="1" t="s">
        <v>467</v>
      </c>
      <c r="Z6" s="1" t="s">
        <v>468</v>
      </c>
      <c r="AA6" s="1" t="s">
        <v>469</v>
      </c>
      <c r="AB6" s="1" t="s">
        <v>470</v>
      </c>
      <c r="AC6" s="1" t="s">
        <v>361</v>
      </c>
      <c r="AD6" s="1" t="s">
        <v>471</v>
      </c>
      <c r="AE6" s="1" t="s">
        <v>457</v>
      </c>
      <c r="AF6" s="1" t="s">
        <v>472</v>
      </c>
      <c r="AG6" s="1" t="s">
        <v>356</v>
      </c>
      <c r="AL6" s="2" t="s">
        <v>461</v>
      </c>
      <c r="AM6" s="2" t="s">
        <v>473</v>
      </c>
      <c r="AN6" s="2" t="s">
        <v>456</v>
      </c>
      <c r="AO6" s="2" t="s">
        <v>418</v>
      </c>
      <c r="AP6" s="2" t="s">
        <v>474</v>
      </c>
      <c r="AQ6" s="2" t="s">
        <v>475</v>
      </c>
      <c r="AR6" s="2"/>
      <c r="AS6" s="2"/>
      <c r="AT6" s="10" t="s">
        <v>461</v>
      </c>
      <c r="AU6" s="12" t="s">
        <v>445</v>
      </c>
      <c r="AV6" s="11" t="s">
        <v>418</v>
      </c>
      <c r="AW6" s="10" t="s">
        <v>456</v>
      </c>
      <c r="AX6" s="12" t="s">
        <v>476</v>
      </c>
      <c r="AY6" s="11" t="s">
        <v>426</v>
      </c>
      <c r="AZ6" s="2"/>
      <c r="BC6" s="2"/>
    </row>
    <row r="7" spans="1:55" x14ac:dyDescent="0.5">
      <c r="A7" s="1" t="s">
        <v>393</v>
      </c>
      <c r="D7" s="1" t="s">
        <v>477</v>
      </c>
      <c r="G7" s="1" t="s">
        <v>98</v>
      </c>
      <c r="H7" s="1" t="s">
        <v>98</v>
      </c>
      <c r="I7" s="1" t="s">
        <v>98</v>
      </c>
      <c r="L7" s="1" t="s">
        <v>478</v>
      </c>
      <c r="M7" s="1" t="s">
        <v>355</v>
      </c>
      <c r="N7" s="1" t="s">
        <v>479</v>
      </c>
      <c r="O7" s="1" t="s">
        <v>480</v>
      </c>
      <c r="P7" s="1" t="s">
        <v>465</v>
      </c>
      <c r="Q7" s="1" t="s">
        <v>481</v>
      </c>
      <c r="S7" s="1" t="s">
        <v>478</v>
      </c>
      <c r="T7" s="1" t="s">
        <v>355</v>
      </c>
      <c r="U7" s="1" t="s">
        <v>479</v>
      </c>
      <c r="V7" s="1" t="s">
        <v>480</v>
      </c>
      <c r="W7" s="1" t="s">
        <v>465</v>
      </c>
      <c r="X7" s="1" t="s">
        <v>481</v>
      </c>
      <c r="Y7" s="1" t="s">
        <v>482</v>
      </c>
      <c r="Z7" s="1" t="s">
        <v>483</v>
      </c>
      <c r="AA7" s="1" t="s">
        <v>484</v>
      </c>
      <c r="AB7" s="1" t="s">
        <v>485</v>
      </c>
      <c r="AC7" s="1" t="s">
        <v>422</v>
      </c>
      <c r="AD7" s="1" t="s">
        <v>453</v>
      </c>
      <c r="AE7" s="1" t="s">
        <v>453</v>
      </c>
      <c r="AF7" s="1" t="s">
        <v>476</v>
      </c>
      <c r="AG7" s="1" t="s">
        <v>486</v>
      </c>
      <c r="AL7" s="2" t="s">
        <v>487</v>
      </c>
      <c r="AM7" s="2" t="s">
        <v>488</v>
      </c>
      <c r="AN7" s="2" t="s">
        <v>464</v>
      </c>
      <c r="AO7" s="2" t="s">
        <v>489</v>
      </c>
      <c r="AP7" s="2" t="s">
        <v>490</v>
      </c>
      <c r="AQ7" s="2" t="s">
        <v>491</v>
      </c>
      <c r="AR7" s="2"/>
      <c r="AS7" s="2"/>
      <c r="AT7" s="9" t="s">
        <v>487</v>
      </c>
      <c r="AU7" s="1" t="s">
        <v>454</v>
      </c>
      <c r="AV7" s="12" t="s">
        <v>64</v>
      </c>
      <c r="AW7" s="11" t="s">
        <v>92</v>
      </c>
      <c r="AX7" s="11" t="s">
        <v>426</v>
      </c>
      <c r="AY7" s="11" t="s">
        <v>492</v>
      </c>
      <c r="AZ7" s="2"/>
      <c r="BC7" s="2"/>
    </row>
    <row r="8" spans="1:55" x14ac:dyDescent="0.5">
      <c r="G8" s="1" t="s">
        <v>395</v>
      </c>
      <c r="H8" s="1" t="s">
        <v>395</v>
      </c>
      <c r="I8" s="1" t="s">
        <v>395</v>
      </c>
      <c r="L8" s="1" t="s">
        <v>493</v>
      </c>
      <c r="M8" s="1" t="s">
        <v>494</v>
      </c>
      <c r="N8" s="1" t="s">
        <v>356</v>
      </c>
      <c r="O8" s="1" t="s">
        <v>473</v>
      </c>
      <c r="P8" s="1" t="s">
        <v>495</v>
      </c>
      <c r="Q8" s="1" t="s">
        <v>496</v>
      </c>
      <c r="S8" s="1" t="s">
        <v>493</v>
      </c>
      <c r="T8" s="1" t="s">
        <v>494</v>
      </c>
      <c r="U8" s="1" t="s">
        <v>356</v>
      </c>
      <c r="V8" s="1" t="s">
        <v>473</v>
      </c>
      <c r="W8" s="1" t="s">
        <v>495</v>
      </c>
      <c r="X8" s="1" t="s">
        <v>496</v>
      </c>
      <c r="Y8" s="1" t="s">
        <v>352</v>
      </c>
      <c r="Z8" s="1" t="s">
        <v>497</v>
      </c>
      <c r="AA8" s="1" t="s">
        <v>498</v>
      </c>
      <c r="AB8" s="1" t="s">
        <v>499</v>
      </c>
      <c r="AC8" s="1" t="s">
        <v>92</v>
      </c>
      <c r="AD8" s="1" t="s">
        <v>352</v>
      </c>
      <c r="AE8" s="1" t="s">
        <v>500</v>
      </c>
      <c r="AF8" s="1" t="s">
        <v>501</v>
      </c>
      <c r="AG8" s="1" t="s">
        <v>502</v>
      </c>
      <c r="AL8" s="2" t="s">
        <v>493</v>
      </c>
      <c r="AM8" s="2" t="s">
        <v>471</v>
      </c>
      <c r="AN8" s="2" t="s">
        <v>480</v>
      </c>
      <c r="AO8" s="2" t="s">
        <v>503</v>
      </c>
      <c r="AP8" s="2" t="s">
        <v>504</v>
      </c>
      <c r="AQ8" s="2" t="s">
        <v>505</v>
      </c>
      <c r="AR8" s="2"/>
      <c r="AS8" s="2"/>
      <c r="AT8" s="10" t="s">
        <v>493</v>
      </c>
      <c r="AU8" s="11" t="s">
        <v>462</v>
      </c>
      <c r="AV8" s="11" t="s">
        <v>92</v>
      </c>
      <c r="AW8" s="9" t="s">
        <v>464</v>
      </c>
      <c r="AX8" s="12" t="s">
        <v>492</v>
      </c>
      <c r="AY8" s="11" t="s">
        <v>506</v>
      </c>
      <c r="AZ8" s="2"/>
      <c r="BC8" s="2"/>
    </row>
    <row r="9" spans="1:55" x14ac:dyDescent="0.5">
      <c r="G9" s="1" t="s">
        <v>396</v>
      </c>
      <c r="H9" s="1" t="s">
        <v>396</v>
      </c>
      <c r="I9" s="1" t="s">
        <v>396</v>
      </c>
      <c r="L9" s="1" t="s">
        <v>359</v>
      </c>
      <c r="M9" s="1" t="s">
        <v>507</v>
      </c>
      <c r="N9" s="1" t="s">
        <v>508</v>
      </c>
      <c r="O9" s="1" t="s">
        <v>509</v>
      </c>
      <c r="P9" s="1" t="s">
        <v>510</v>
      </c>
      <c r="Q9" s="1" t="s">
        <v>352</v>
      </c>
      <c r="S9" s="1" t="s">
        <v>359</v>
      </c>
      <c r="T9" s="1" t="s">
        <v>507</v>
      </c>
      <c r="U9" s="1" t="s">
        <v>508</v>
      </c>
      <c r="V9" s="1" t="s">
        <v>509</v>
      </c>
      <c r="W9" s="1" t="s">
        <v>510</v>
      </c>
      <c r="X9" s="1" t="s">
        <v>352</v>
      </c>
      <c r="Y9" s="1" t="s">
        <v>481</v>
      </c>
      <c r="Z9" s="1" t="s">
        <v>511</v>
      </c>
      <c r="AA9" s="1" t="s">
        <v>512</v>
      </c>
      <c r="AB9" s="1" t="s">
        <v>513</v>
      </c>
      <c r="AC9" s="1" t="s">
        <v>514</v>
      </c>
      <c r="AD9" s="1" t="s">
        <v>370</v>
      </c>
      <c r="AE9" s="1" t="s">
        <v>515</v>
      </c>
      <c r="AF9" s="1" t="s">
        <v>516</v>
      </c>
      <c r="AG9" s="1" t="s">
        <v>492</v>
      </c>
      <c r="AL9" s="2" t="s">
        <v>359</v>
      </c>
      <c r="AM9" s="2" t="s">
        <v>517</v>
      </c>
      <c r="AN9" s="2" t="s">
        <v>518</v>
      </c>
      <c r="AO9" s="2" t="s">
        <v>480</v>
      </c>
      <c r="AP9" s="2" t="s">
        <v>519</v>
      </c>
      <c r="AQ9" s="2" t="s">
        <v>520</v>
      </c>
      <c r="AR9" s="2"/>
      <c r="AS9" s="2"/>
      <c r="AT9" s="9" t="s">
        <v>359</v>
      </c>
      <c r="AU9" s="10" t="s">
        <v>473</v>
      </c>
      <c r="AV9" s="11" t="s">
        <v>489</v>
      </c>
      <c r="AW9" s="12" t="s">
        <v>446</v>
      </c>
      <c r="AX9" s="12" t="s">
        <v>453</v>
      </c>
      <c r="AY9" s="12" t="s">
        <v>521</v>
      </c>
      <c r="AZ9" s="2"/>
      <c r="BC9" s="2"/>
    </row>
    <row r="10" spans="1:55" x14ac:dyDescent="0.5">
      <c r="L10" s="1" t="s">
        <v>522</v>
      </c>
      <c r="M10" s="1" t="s">
        <v>523</v>
      </c>
      <c r="N10" s="1" t="s">
        <v>471</v>
      </c>
      <c r="O10" s="1" t="s">
        <v>488</v>
      </c>
      <c r="P10" s="1" t="s">
        <v>464</v>
      </c>
      <c r="Q10" s="1" t="s">
        <v>353</v>
      </c>
      <c r="S10" s="1" t="s">
        <v>522</v>
      </c>
      <c r="T10" s="1" t="s">
        <v>523</v>
      </c>
      <c r="U10" s="1" t="s">
        <v>471</v>
      </c>
      <c r="V10" s="1" t="s">
        <v>488</v>
      </c>
      <c r="W10" s="1" t="s">
        <v>464</v>
      </c>
      <c r="X10" s="1" t="s">
        <v>353</v>
      </c>
      <c r="Y10" s="1" t="s">
        <v>64</v>
      </c>
      <c r="Z10" s="1" t="s">
        <v>370</v>
      </c>
      <c r="AA10" s="1" t="s">
        <v>524</v>
      </c>
      <c r="AB10" s="1" t="s">
        <v>525</v>
      </c>
      <c r="AC10" s="1" t="s">
        <v>526</v>
      </c>
      <c r="AD10" s="1" t="s">
        <v>355</v>
      </c>
      <c r="AE10" s="1" t="s">
        <v>527</v>
      </c>
      <c r="AF10" s="1" t="s">
        <v>528</v>
      </c>
      <c r="AG10" s="1" t="s">
        <v>529</v>
      </c>
      <c r="AL10" s="2" t="s">
        <v>522</v>
      </c>
      <c r="AM10" s="2" t="s">
        <v>530</v>
      </c>
      <c r="AN10" s="2" t="s">
        <v>531</v>
      </c>
      <c r="AO10" s="2" t="s">
        <v>532</v>
      </c>
      <c r="AP10" s="2" t="s">
        <v>463</v>
      </c>
      <c r="AQ10" s="2" t="s">
        <v>372</v>
      </c>
      <c r="AR10" s="2"/>
      <c r="AS10" s="2"/>
      <c r="AT10" s="10" t="s">
        <v>522</v>
      </c>
      <c r="AU10" s="12" t="s">
        <v>355</v>
      </c>
      <c r="AV10" s="12" t="s">
        <v>503</v>
      </c>
      <c r="AW10" s="10" t="s">
        <v>480</v>
      </c>
      <c r="AX10" s="12" t="s">
        <v>506</v>
      </c>
      <c r="AY10" s="11" t="s">
        <v>533</v>
      </c>
      <c r="AZ10" s="2"/>
      <c r="BC10" s="2"/>
    </row>
    <row r="11" spans="1:55" x14ac:dyDescent="0.5">
      <c r="G11" s="1" t="s">
        <v>415</v>
      </c>
      <c r="H11" s="1" t="s">
        <v>442</v>
      </c>
      <c r="I11" s="1" t="s">
        <v>534</v>
      </c>
      <c r="J11" s="1" t="s">
        <v>477</v>
      </c>
      <c r="L11" s="1" t="s">
        <v>471</v>
      </c>
      <c r="M11" s="1" t="s">
        <v>535</v>
      </c>
      <c r="N11" s="1" t="s">
        <v>536</v>
      </c>
      <c r="O11" s="1" t="s">
        <v>507</v>
      </c>
      <c r="P11" s="1" t="s">
        <v>479</v>
      </c>
      <c r="Q11" s="1" t="s">
        <v>537</v>
      </c>
      <c r="S11" s="1" t="s">
        <v>471</v>
      </c>
      <c r="T11" s="1" t="s">
        <v>535</v>
      </c>
      <c r="U11" s="1" t="s">
        <v>536</v>
      </c>
      <c r="V11" s="1" t="s">
        <v>507</v>
      </c>
      <c r="W11" s="1" t="s">
        <v>479</v>
      </c>
      <c r="X11" s="1" t="s">
        <v>537</v>
      </c>
      <c r="Y11" s="1" t="s">
        <v>92</v>
      </c>
      <c r="Z11" s="1" t="s">
        <v>427</v>
      </c>
      <c r="AA11" s="1" t="s">
        <v>538</v>
      </c>
      <c r="AB11" s="1" t="s">
        <v>370</v>
      </c>
      <c r="AC11" s="1" t="s">
        <v>539</v>
      </c>
      <c r="AD11" s="1" t="s">
        <v>540</v>
      </c>
      <c r="AE11" s="1" t="s">
        <v>506</v>
      </c>
      <c r="AF11" s="1" t="s">
        <v>541</v>
      </c>
      <c r="AG11" s="1" t="s">
        <v>542</v>
      </c>
      <c r="AL11" s="2" t="s">
        <v>543</v>
      </c>
      <c r="AM11" s="2" t="s">
        <v>544</v>
      </c>
      <c r="AN11" s="2" t="s">
        <v>471</v>
      </c>
      <c r="AO11" s="2" t="s">
        <v>473</v>
      </c>
      <c r="AP11" s="2" t="s">
        <v>473</v>
      </c>
      <c r="AQ11" s="2" t="s">
        <v>545</v>
      </c>
      <c r="AR11" s="2"/>
      <c r="AS11" s="2"/>
      <c r="AT11" s="9" t="s">
        <v>543</v>
      </c>
      <c r="AU11" s="9" t="s">
        <v>488</v>
      </c>
      <c r="AV11" s="11" t="s">
        <v>464</v>
      </c>
      <c r="AW11" s="11" t="s">
        <v>463</v>
      </c>
      <c r="AX11" s="12" t="s">
        <v>521</v>
      </c>
      <c r="AY11" s="11" t="s">
        <v>516</v>
      </c>
      <c r="AZ11" s="2"/>
      <c r="BC11" s="2"/>
    </row>
    <row r="12" spans="1:55" x14ac:dyDescent="0.5">
      <c r="G12" s="1" t="s">
        <v>429</v>
      </c>
      <c r="H12" s="1" t="s">
        <v>429</v>
      </c>
      <c r="I12" s="1" t="s">
        <v>429</v>
      </c>
      <c r="J12" s="1" t="s">
        <v>429</v>
      </c>
      <c r="L12" s="1" t="s">
        <v>546</v>
      </c>
      <c r="M12" s="1" t="s">
        <v>546</v>
      </c>
      <c r="N12" s="1" t="s">
        <v>497</v>
      </c>
      <c r="O12" s="1" t="s">
        <v>547</v>
      </c>
      <c r="P12" s="1" t="s">
        <v>548</v>
      </c>
      <c r="Q12" s="1" t="s">
        <v>464</v>
      </c>
      <c r="S12" s="1" t="s">
        <v>546</v>
      </c>
      <c r="T12" s="1" t="s">
        <v>546</v>
      </c>
      <c r="U12" s="1" t="s">
        <v>497</v>
      </c>
      <c r="V12" s="1" t="s">
        <v>547</v>
      </c>
      <c r="W12" s="1" t="s">
        <v>548</v>
      </c>
      <c r="X12" s="1" t="s">
        <v>464</v>
      </c>
      <c r="Y12" s="1" t="s">
        <v>465</v>
      </c>
      <c r="Z12" s="1" t="s">
        <v>549</v>
      </c>
      <c r="AA12" s="1" t="s">
        <v>550</v>
      </c>
      <c r="AB12" s="1" t="s">
        <v>551</v>
      </c>
      <c r="AC12" s="1" t="s">
        <v>552</v>
      </c>
      <c r="AD12" s="1" t="s">
        <v>517</v>
      </c>
      <c r="AE12" s="1" t="s">
        <v>553</v>
      </c>
      <c r="AF12" s="1" t="s">
        <v>554</v>
      </c>
      <c r="AG12" s="1" t="s">
        <v>555</v>
      </c>
      <c r="AL12" s="2" t="s">
        <v>556</v>
      </c>
      <c r="AM12" s="2" t="s">
        <v>557</v>
      </c>
      <c r="AN12" s="2" t="s">
        <v>360</v>
      </c>
      <c r="AO12" s="2" t="s">
        <v>558</v>
      </c>
      <c r="AP12" s="2" t="s">
        <v>559</v>
      </c>
      <c r="AQ12" s="2" t="s">
        <v>560</v>
      </c>
      <c r="AR12" s="2"/>
      <c r="AS12" s="2"/>
      <c r="AT12" s="10" t="s">
        <v>556</v>
      </c>
      <c r="AU12" s="11" t="s">
        <v>494</v>
      </c>
      <c r="AV12" s="12" t="s">
        <v>446</v>
      </c>
      <c r="AW12" s="12" t="s">
        <v>479</v>
      </c>
      <c r="AX12" s="11" t="s">
        <v>533</v>
      </c>
      <c r="AY12" s="12" t="s">
        <v>515</v>
      </c>
      <c r="AZ12" s="2"/>
      <c r="BC12" s="2"/>
    </row>
    <row r="13" spans="1:55" x14ac:dyDescent="0.5">
      <c r="G13" s="1" t="s">
        <v>430</v>
      </c>
      <c r="H13" s="1" t="s">
        <v>430</v>
      </c>
      <c r="I13" s="1" t="s">
        <v>430</v>
      </c>
      <c r="J13" s="1" t="s">
        <v>430</v>
      </c>
      <c r="L13" s="1" t="s">
        <v>556</v>
      </c>
      <c r="M13" s="1" t="s">
        <v>561</v>
      </c>
      <c r="N13" s="1" t="s">
        <v>562</v>
      </c>
      <c r="O13" s="1" t="s">
        <v>535</v>
      </c>
      <c r="P13" s="1" t="s">
        <v>563</v>
      </c>
      <c r="Q13" s="1" t="s">
        <v>564</v>
      </c>
      <c r="S13" s="1" t="s">
        <v>556</v>
      </c>
      <c r="T13" s="1" t="s">
        <v>561</v>
      </c>
      <c r="U13" s="1" t="s">
        <v>562</v>
      </c>
      <c r="V13" s="1" t="s">
        <v>535</v>
      </c>
      <c r="W13" s="1" t="s">
        <v>563</v>
      </c>
      <c r="X13" s="1" t="s">
        <v>564</v>
      </c>
      <c r="Y13" s="1" t="s">
        <v>565</v>
      </c>
      <c r="Z13" s="1" t="s">
        <v>566</v>
      </c>
      <c r="AA13" s="1" t="s">
        <v>364</v>
      </c>
      <c r="AB13" s="1" t="s">
        <v>567</v>
      </c>
      <c r="AC13" s="1" t="s">
        <v>457</v>
      </c>
      <c r="AD13" s="1" t="s">
        <v>568</v>
      </c>
      <c r="AE13" s="1" t="s">
        <v>569</v>
      </c>
      <c r="AF13" s="1" t="s">
        <v>359</v>
      </c>
      <c r="AG13" s="1" t="s">
        <v>568</v>
      </c>
      <c r="AL13" s="2" t="s">
        <v>570</v>
      </c>
      <c r="AM13" s="2" t="s">
        <v>571</v>
      </c>
      <c r="AN13" s="2" t="s">
        <v>468</v>
      </c>
      <c r="AO13" s="2" t="s">
        <v>572</v>
      </c>
      <c r="AP13" s="2" t="s">
        <v>479</v>
      </c>
      <c r="AQ13" s="2" t="s">
        <v>528</v>
      </c>
      <c r="AR13" s="2"/>
      <c r="AS13" s="2"/>
      <c r="AT13" s="9" t="s">
        <v>570</v>
      </c>
      <c r="AU13" s="12" t="s">
        <v>507</v>
      </c>
      <c r="AV13" s="12" t="s">
        <v>480</v>
      </c>
      <c r="AW13" s="11" t="s">
        <v>356</v>
      </c>
      <c r="AX13" s="12" t="s">
        <v>516</v>
      </c>
      <c r="AY13" s="11" t="s">
        <v>425</v>
      </c>
      <c r="AZ13" s="2"/>
      <c r="BC13" s="2"/>
    </row>
    <row r="14" spans="1:55" x14ac:dyDescent="0.5">
      <c r="G14" s="1" t="s">
        <v>431</v>
      </c>
      <c r="H14" s="1" t="s">
        <v>431</v>
      </c>
      <c r="I14" s="1" t="s">
        <v>431</v>
      </c>
      <c r="J14" s="1" t="s">
        <v>431</v>
      </c>
      <c r="L14" s="1" t="s">
        <v>573</v>
      </c>
      <c r="M14" s="1" t="s">
        <v>497</v>
      </c>
      <c r="N14" s="1" t="s">
        <v>362</v>
      </c>
      <c r="O14" s="1" t="s">
        <v>574</v>
      </c>
      <c r="P14" s="1" t="s">
        <v>518</v>
      </c>
      <c r="Q14" s="1" t="s">
        <v>575</v>
      </c>
      <c r="S14" s="1" t="s">
        <v>573</v>
      </c>
      <c r="T14" s="1" t="s">
        <v>497</v>
      </c>
      <c r="U14" s="1" t="s">
        <v>362</v>
      </c>
      <c r="V14" s="1" t="s">
        <v>574</v>
      </c>
      <c r="W14" s="1" t="s">
        <v>518</v>
      </c>
      <c r="X14" s="1" t="s">
        <v>575</v>
      </c>
      <c r="Y14" s="1" t="s">
        <v>576</v>
      </c>
      <c r="Z14" s="1" t="s">
        <v>573</v>
      </c>
      <c r="AA14" s="1" t="s">
        <v>577</v>
      </c>
      <c r="AB14" s="1" t="s">
        <v>578</v>
      </c>
      <c r="AC14" s="1" t="s">
        <v>579</v>
      </c>
      <c r="AD14" s="1" t="s">
        <v>580</v>
      </c>
      <c r="AE14" s="1" t="s">
        <v>581</v>
      </c>
      <c r="AF14" s="1" t="s">
        <v>536</v>
      </c>
      <c r="AG14" s="1" t="s">
        <v>580</v>
      </c>
      <c r="AL14" s="2" t="s">
        <v>582</v>
      </c>
      <c r="AM14" s="2" t="s">
        <v>583</v>
      </c>
      <c r="AN14" s="2" t="s">
        <v>556</v>
      </c>
      <c r="AO14" s="2" t="s">
        <v>584</v>
      </c>
      <c r="AP14" s="2" t="s">
        <v>508</v>
      </c>
      <c r="AQ14" s="2" t="s">
        <v>585</v>
      </c>
      <c r="AR14" s="2"/>
      <c r="AS14" s="2"/>
      <c r="AT14" s="10" t="s">
        <v>582</v>
      </c>
      <c r="AU14" s="11" t="s">
        <v>523</v>
      </c>
      <c r="AV14" s="10" t="s">
        <v>532</v>
      </c>
      <c r="AW14" s="9" t="s">
        <v>518</v>
      </c>
      <c r="AX14" s="12" t="s">
        <v>490</v>
      </c>
      <c r="AY14" s="11" t="s">
        <v>586</v>
      </c>
      <c r="AZ14" s="2"/>
      <c r="BC14" s="2"/>
    </row>
    <row r="15" spans="1:55" x14ac:dyDescent="0.5">
      <c r="G15" s="1" t="s">
        <v>432</v>
      </c>
      <c r="H15" s="1" t="s">
        <v>432</v>
      </c>
      <c r="I15" s="1" t="s">
        <v>432</v>
      </c>
      <c r="J15" s="1" t="s">
        <v>432</v>
      </c>
      <c r="L15" s="1" t="s">
        <v>570</v>
      </c>
      <c r="M15" s="1" t="s">
        <v>517</v>
      </c>
      <c r="N15" s="1" t="s">
        <v>468</v>
      </c>
      <c r="O15" s="1" t="s">
        <v>360</v>
      </c>
      <c r="P15" s="1" t="s">
        <v>508</v>
      </c>
      <c r="Q15" s="1" t="s">
        <v>454</v>
      </c>
      <c r="S15" s="1" t="s">
        <v>570</v>
      </c>
      <c r="T15" s="1" t="s">
        <v>517</v>
      </c>
      <c r="U15" s="1" t="s">
        <v>468</v>
      </c>
      <c r="V15" s="1" t="s">
        <v>360</v>
      </c>
      <c r="W15" s="1" t="s">
        <v>508</v>
      </c>
      <c r="X15" s="1" t="s">
        <v>454</v>
      </c>
      <c r="Y15" s="1" t="s">
        <v>423</v>
      </c>
      <c r="Z15" s="1" t="s">
        <v>356</v>
      </c>
      <c r="AA15" s="1" t="s">
        <v>587</v>
      </c>
      <c r="AB15" s="1" t="s">
        <v>356</v>
      </c>
      <c r="AC15" s="1" t="s">
        <v>365</v>
      </c>
      <c r="AD15" s="1" t="s">
        <v>588</v>
      </c>
      <c r="AE15" s="1" t="s">
        <v>521</v>
      </c>
      <c r="AF15" s="1" t="s">
        <v>509</v>
      </c>
      <c r="AG15" s="1" t="s">
        <v>562</v>
      </c>
      <c r="AL15" s="2" t="s">
        <v>589</v>
      </c>
      <c r="AM15" s="2" t="s">
        <v>590</v>
      </c>
      <c r="AN15" s="2" t="s">
        <v>552</v>
      </c>
      <c r="AO15" s="2" t="s">
        <v>591</v>
      </c>
      <c r="AP15" s="2" t="s">
        <v>592</v>
      </c>
      <c r="AQ15" s="2" t="s">
        <v>593</v>
      </c>
      <c r="AR15" s="2"/>
      <c r="AS15" s="2"/>
      <c r="AT15" s="9" t="s">
        <v>589</v>
      </c>
      <c r="AU15" s="12" t="s">
        <v>535</v>
      </c>
      <c r="AV15" s="11" t="s">
        <v>463</v>
      </c>
      <c r="AW15" s="12" t="s">
        <v>508</v>
      </c>
      <c r="AX15" s="12" t="s">
        <v>515</v>
      </c>
      <c r="AY15" s="11" t="s">
        <v>581</v>
      </c>
      <c r="AZ15" s="2"/>
      <c r="BC15" s="2"/>
    </row>
    <row r="16" spans="1:55" x14ac:dyDescent="0.5">
      <c r="G16" s="1" t="s">
        <v>433</v>
      </c>
      <c r="H16" s="1" t="s">
        <v>433</v>
      </c>
      <c r="I16" s="1" t="s">
        <v>433</v>
      </c>
      <c r="J16" s="1" t="s">
        <v>433</v>
      </c>
      <c r="L16" s="1" t="s">
        <v>364</v>
      </c>
      <c r="M16" s="1" t="s">
        <v>362</v>
      </c>
      <c r="N16" s="1" t="s">
        <v>594</v>
      </c>
      <c r="O16" s="1" t="s">
        <v>595</v>
      </c>
      <c r="P16" s="1" t="s">
        <v>61</v>
      </c>
      <c r="Q16" s="1" t="s">
        <v>548</v>
      </c>
      <c r="S16" s="1" t="s">
        <v>364</v>
      </c>
      <c r="T16" s="1" t="s">
        <v>362</v>
      </c>
      <c r="U16" s="1" t="s">
        <v>594</v>
      </c>
      <c r="V16" s="1" t="s">
        <v>595</v>
      </c>
      <c r="W16" s="1" t="s">
        <v>61</v>
      </c>
      <c r="X16" s="1" t="s">
        <v>548</v>
      </c>
      <c r="Y16" s="1" t="s">
        <v>596</v>
      </c>
      <c r="Z16" s="1" t="s">
        <v>361</v>
      </c>
      <c r="AA16" s="1" t="s">
        <v>597</v>
      </c>
      <c r="AB16" s="1" t="s">
        <v>422</v>
      </c>
      <c r="AC16" s="1" t="s">
        <v>598</v>
      </c>
      <c r="AD16" s="1" t="s">
        <v>599</v>
      </c>
      <c r="AE16" s="1" t="s">
        <v>533</v>
      </c>
      <c r="AF16" s="1" t="s">
        <v>600</v>
      </c>
      <c r="AG16" s="1" t="s">
        <v>591</v>
      </c>
      <c r="AL16" s="2" t="s">
        <v>512</v>
      </c>
      <c r="AM16" s="2" t="s">
        <v>601</v>
      </c>
      <c r="AN16" s="2" t="s">
        <v>573</v>
      </c>
      <c r="AO16" s="2" t="s">
        <v>602</v>
      </c>
      <c r="AP16" s="2" t="s">
        <v>61</v>
      </c>
      <c r="AQ16" s="2" t="s">
        <v>603</v>
      </c>
      <c r="AR16" s="2"/>
      <c r="AS16" s="2"/>
      <c r="AT16" s="10" t="s">
        <v>512</v>
      </c>
      <c r="AU16" s="10" t="s">
        <v>471</v>
      </c>
      <c r="AV16" s="11" t="s">
        <v>473</v>
      </c>
      <c r="AW16" s="9" t="s">
        <v>471</v>
      </c>
      <c r="AX16" s="12" t="s">
        <v>425</v>
      </c>
      <c r="AY16" s="11" t="s">
        <v>604</v>
      </c>
      <c r="AZ16" s="2"/>
      <c r="BC16" s="2"/>
    </row>
    <row r="17" spans="7:55" x14ac:dyDescent="0.5">
      <c r="G17" s="1" t="s">
        <v>434</v>
      </c>
      <c r="H17" s="1" t="s">
        <v>434</v>
      </c>
      <c r="I17" s="1" t="s">
        <v>434</v>
      </c>
      <c r="J17" s="1" t="s">
        <v>434</v>
      </c>
      <c r="L17" s="1" t="s">
        <v>605</v>
      </c>
      <c r="M17" s="1" t="s">
        <v>364</v>
      </c>
      <c r="N17" s="1" t="s">
        <v>556</v>
      </c>
      <c r="O17" s="1" t="s">
        <v>606</v>
      </c>
      <c r="P17" s="1" t="s">
        <v>607</v>
      </c>
      <c r="Q17" s="1" t="s">
        <v>563</v>
      </c>
      <c r="S17" s="1" t="s">
        <v>605</v>
      </c>
      <c r="T17" s="1" t="s">
        <v>364</v>
      </c>
      <c r="U17" s="1" t="s">
        <v>556</v>
      </c>
      <c r="V17" s="1" t="s">
        <v>606</v>
      </c>
      <c r="W17" s="1" t="s">
        <v>607</v>
      </c>
      <c r="X17" s="1" t="s">
        <v>563</v>
      </c>
      <c r="Y17" s="1" t="s">
        <v>369</v>
      </c>
      <c r="Z17" s="1" t="s">
        <v>514</v>
      </c>
      <c r="AA17" s="1" t="s">
        <v>608</v>
      </c>
      <c r="AB17" s="1" t="s">
        <v>609</v>
      </c>
      <c r="AC17" s="1" t="s">
        <v>515</v>
      </c>
      <c r="AD17" s="1" t="s">
        <v>610</v>
      </c>
      <c r="AE17" s="1" t="s">
        <v>611</v>
      </c>
      <c r="AF17" s="1" t="s">
        <v>612</v>
      </c>
      <c r="AG17" s="1" t="s">
        <v>480</v>
      </c>
      <c r="AL17" s="2" t="s">
        <v>613</v>
      </c>
      <c r="AM17" s="2" t="s">
        <v>614</v>
      </c>
      <c r="AN17" s="2" t="s">
        <v>615</v>
      </c>
      <c r="AO17" s="2" t="s">
        <v>556</v>
      </c>
      <c r="AP17" s="2" t="s">
        <v>507</v>
      </c>
      <c r="AQ17" s="2" t="s">
        <v>616</v>
      </c>
      <c r="AR17" s="2"/>
      <c r="AS17" s="2"/>
      <c r="AT17" s="9" t="s">
        <v>613</v>
      </c>
      <c r="AU17" s="11" t="s">
        <v>546</v>
      </c>
      <c r="AV17" s="12" t="s">
        <v>479</v>
      </c>
      <c r="AW17" s="10" t="s">
        <v>360</v>
      </c>
      <c r="AX17" s="12" t="s">
        <v>465</v>
      </c>
      <c r="AY17" s="11" t="s">
        <v>480</v>
      </c>
      <c r="AZ17" s="2"/>
      <c r="BC17" s="2"/>
    </row>
    <row r="18" spans="7:55" x14ac:dyDescent="0.5">
      <c r="L18" s="1" t="s">
        <v>617</v>
      </c>
      <c r="M18" s="1" t="s">
        <v>617</v>
      </c>
      <c r="N18" s="1" t="s">
        <v>618</v>
      </c>
      <c r="O18" s="1" t="s">
        <v>584</v>
      </c>
      <c r="P18" s="1" t="s">
        <v>574</v>
      </c>
      <c r="Q18" s="1" t="s">
        <v>619</v>
      </c>
      <c r="S18" s="1" t="s">
        <v>617</v>
      </c>
      <c r="T18" s="1" t="s">
        <v>617</v>
      </c>
      <c r="U18" s="1" t="s">
        <v>618</v>
      </c>
      <c r="V18" s="1" t="s">
        <v>584</v>
      </c>
      <c r="W18" s="1" t="s">
        <v>574</v>
      </c>
      <c r="X18" s="1" t="s">
        <v>619</v>
      </c>
      <c r="Y18" s="1" t="s">
        <v>620</v>
      </c>
      <c r="Z18" s="1" t="s">
        <v>526</v>
      </c>
      <c r="AA18" s="1" t="s">
        <v>514</v>
      </c>
      <c r="AB18" s="1" t="s">
        <v>479</v>
      </c>
      <c r="AC18" s="1" t="s">
        <v>569</v>
      </c>
      <c r="AD18" s="1" t="s">
        <v>493</v>
      </c>
      <c r="AE18" s="1" t="s">
        <v>621</v>
      </c>
      <c r="AF18" s="1" t="s">
        <v>96</v>
      </c>
      <c r="AG18" s="1" t="s">
        <v>622</v>
      </c>
      <c r="AL18" s="2" t="s">
        <v>623</v>
      </c>
      <c r="AM18" s="2" t="s">
        <v>624</v>
      </c>
      <c r="AN18" s="2" t="s">
        <v>625</v>
      </c>
      <c r="AO18" s="2" t="s">
        <v>538</v>
      </c>
      <c r="AP18" s="2" t="s">
        <v>535</v>
      </c>
      <c r="AQ18" s="2" t="s">
        <v>626</v>
      </c>
      <c r="AR18" s="2"/>
      <c r="AS18" s="2"/>
      <c r="AT18" s="10" t="s">
        <v>623</v>
      </c>
      <c r="AU18" s="12" t="s">
        <v>561</v>
      </c>
      <c r="AV18" s="11" t="s">
        <v>356</v>
      </c>
      <c r="AW18" s="9" t="s">
        <v>536</v>
      </c>
      <c r="AX18" s="12" t="s">
        <v>586</v>
      </c>
      <c r="AY18" s="11" t="s">
        <v>454</v>
      </c>
      <c r="AZ18" s="2"/>
      <c r="BC18" s="2"/>
    </row>
    <row r="19" spans="7:55" x14ac:dyDescent="0.5">
      <c r="G19" s="1" t="s">
        <v>416</v>
      </c>
      <c r="H19" s="1" t="s">
        <v>627</v>
      </c>
      <c r="I19" s="1" t="s">
        <v>460</v>
      </c>
      <c r="L19" s="1" t="s">
        <v>617</v>
      </c>
      <c r="M19" s="1" t="s">
        <v>557</v>
      </c>
      <c r="N19" s="1" t="s">
        <v>552</v>
      </c>
      <c r="O19" s="1" t="s">
        <v>600</v>
      </c>
      <c r="P19" s="1" t="s">
        <v>628</v>
      </c>
      <c r="Q19" s="1" t="s">
        <v>629</v>
      </c>
      <c r="S19" s="1" t="s">
        <v>617</v>
      </c>
      <c r="T19" s="1" t="s">
        <v>557</v>
      </c>
      <c r="U19" s="1" t="s">
        <v>552</v>
      </c>
      <c r="V19" s="1" t="s">
        <v>600</v>
      </c>
      <c r="W19" s="1" t="s">
        <v>628</v>
      </c>
      <c r="X19" s="1" t="s">
        <v>629</v>
      </c>
      <c r="Y19" s="1" t="s">
        <v>630</v>
      </c>
      <c r="Z19" s="1" t="s">
        <v>617</v>
      </c>
      <c r="AA19" s="1" t="s">
        <v>631</v>
      </c>
      <c r="AB19" s="1" t="s">
        <v>632</v>
      </c>
      <c r="AC19" s="1" t="s">
        <v>553</v>
      </c>
      <c r="AD19" s="1" t="s">
        <v>633</v>
      </c>
      <c r="AE19" s="1" t="s">
        <v>634</v>
      </c>
      <c r="AF19" s="1" t="s">
        <v>88</v>
      </c>
      <c r="AG19" s="1" t="s">
        <v>373</v>
      </c>
      <c r="AL19" s="2" t="s">
        <v>635</v>
      </c>
      <c r="AM19" s="2" t="s">
        <v>623</v>
      </c>
      <c r="AN19" s="2" t="s">
        <v>96</v>
      </c>
      <c r="AO19" s="2" t="s">
        <v>636</v>
      </c>
      <c r="AP19" s="2" t="s">
        <v>607</v>
      </c>
      <c r="AQ19" s="2" t="s">
        <v>637</v>
      </c>
      <c r="AR19" s="2"/>
      <c r="AS19" s="2"/>
      <c r="AT19" s="9" t="s">
        <v>635</v>
      </c>
      <c r="AU19" s="11" t="s">
        <v>497</v>
      </c>
      <c r="AV19" s="12" t="s">
        <v>509</v>
      </c>
      <c r="AW19" s="9" t="s">
        <v>497</v>
      </c>
      <c r="AX19" s="11" t="s">
        <v>581</v>
      </c>
      <c r="AY19" s="11" t="s">
        <v>502</v>
      </c>
      <c r="AZ19" s="2"/>
      <c r="BC19" s="2"/>
    </row>
    <row r="20" spans="7:55" x14ac:dyDescent="0.5">
      <c r="G20" s="1" t="s">
        <v>435</v>
      </c>
      <c r="H20" s="1" t="s">
        <v>435</v>
      </c>
      <c r="I20" s="1" t="s">
        <v>435</v>
      </c>
      <c r="L20" s="1" t="s">
        <v>638</v>
      </c>
      <c r="M20" s="1" t="s">
        <v>639</v>
      </c>
      <c r="N20" s="1" t="s">
        <v>544</v>
      </c>
      <c r="O20" s="1" t="s">
        <v>562</v>
      </c>
      <c r="P20" s="1" t="s">
        <v>360</v>
      </c>
      <c r="Q20" s="1" t="s">
        <v>640</v>
      </c>
      <c r="S20" s="1" t="s">
        <v>638</v>
      </c>
      <c r="T20" s="1" t="s">
        <v>639</v>
      </c>
      <c r="U20" s="1" t="s">
        <v>544</v>
      </c>
      <c r="V20" s="1" t="s">
        <v>562</v>
      </c>
      <c r="W20" s="1" t="s">
        <v>360</v>
      </c>
      <c r="X20" s="1" t="s">
        <v>640</v>
      </c>
      <c r="Y20" s="1" t="s">
        <v>641</v>
      </c>
      <c r="Z20" s="1" t="s">
        <v>642</v>
      </c>
      <c r="AA20" s="1" t="s">
        <v>643</v>
      </c>
      <c r="AB20" s="1" t="s">
        <v>616</v>
      </c>
      <c r="AC20" s="1" t="s">
        <v>644</v>
      </c>
      <c r="AD20" s="1" t="s">
        <v>645</v>
      </c>
      <c r="AE20" s="1" t="s">
        <v>604</v>
      </c>
      <c r="AF20" s="1" t="s">
        <v>367</v>
      </c>
      <c r="AG20" s="1" t="s">
        <v>604</v>
      </c>
      <c r="AL20" s="2" t="s">
        <v>646</v>
      </c>
      <c r="AM20" s="2" t="s">
        <v>646</v>
      </c>
      <c r="AN20" s="2" t="s">
        <v>624</v>
      </c>
      <c r="AO20" s="2" t="s">
        <v>364</v>
      </c>
      <c r="AP20" s="2" t="s">
        <v>574</v>
      </c>
      <c r="AQ20" s="2" t="s">
        <v>380</v>
      </c>
      <c r="AR20" s="2"/>
      <c r="AS20" s="2"/>
      <c r="AT20" s="10" t="s">
        <v>646</v>
      </c>
      <c r="AU20" s="9" t="s">
        <v>517</v>
      </c>
      <c r="AV20" s="12" t="s">
        <v>508</v>
      </c>
      <c r="AW20" s="9" t="s">
        <v>562</v>
      </c>
      <c r="AX20" s="11" t="s">
        <v>604</v>
      </c>
      <c r="AY20" s="11" t="s">
        <v>527</v>
      </c>
      <c r="AZ20" s="2"/>
      <c r="BC20" s="2"/>
    </row>
    <row r="21" spans="7:55" x14ac:dyDescent="0.5">
      <c r="G21" s="1" t="s">
        <v>436</v>
      </c>
      <c r="H21" s="1" t="s">
        <v>436</v>
      </c>
      <c r="I21" s="1" t="s">
        <v>436</v>
      </c>
      <c r="L21" s="1" t="s">
        <v>370</v>
      </c>
      <c r="M21" s="1" t="s">
        <v>571</v>
      </c>
      <c r="N21" s="1" t="s">
        <v>553</v>
      </c>
      <c r="O21" s="1" t="s">
        <v>591</v>
      </c>
      <c r="P21" s="1" t="s">
        <v>546</v>
      </c>
      <c r="Q21" s="1" t="s">
        <v>647</v>
      </c>
      <c r="S21" s="1" t="s">
        <v>370</v>
      </c>
      <c r="T21" s="1" t="s">
        <v>571</v>
      </c>
      <c r="U21" s="1" t="s">
        <v>553</v>
      </c>
      <c r="V21" s="1" t="s">
        <v>591</v>
      </c>
      <c r="W21" s="1" t="s">
        <v>546</v>
      </c>
      <c r="X21" s="1" t="s">
        <v>647</v>
      </c>
      <c r="Y21" s="1" t="s">
        <v>508</v>
      </c>
      <c r="Z21" s="1" t="s">
        <v>648</v>
      </c>
      <c r="AA21" s="1" t="s">
        <v>649</v>
      </c>
      <c r="AB21" s="1" t="s">
        <v>650</v>
      </c>
      <c r="AC21" s="1" t="s">
        <v>651</v>
      </c>
      <c r="AD21" s="1" t="s">
        <v>652</v>
      </c>
      <c r="AE21" s="1" t="s">
        <v>586</v>
      </c>
      <c r="AF21" s="1" t="s">
        <v>465</v>
      </c>
      <c r="AG21" s="1" t="s">
        <v>653</v>
      </c>
      <c r="AL21" s="2" t="s">
        <v>654</v>
      </c>
      <c r="AM21" s="2" t="s">
        <v>655</v>
      </c>
      <c r="AN21" s="2" t="s">
        <v>608</v>
      </c>
      <c r="AO21" s="2" t="s">
        <v>617</v>
      </c>
      <c r="AP21" s="2" t="s">
        <v>541</v>
      </c>
      <c r="AQ21" s="2" t="s">
        <v>656</v>
      </c>
      <c r="AR21" s="2"/>
      <c r="AS21" s="2"/>
      <c r="AT21" s="9" t="s">
        <v>654</v>
      </c>
      <c r="AU21" s="11" t="s">
        <v>362</v>
      </c>
      <c r="AV21" s="11" t="s">
        <v>488</v>
      </c>
      <c r="AW21" s="9" t="s">
        <v>362</v>
      </c>
      <c r="AX21" s="12" t="s">
        <v>657</v>
      </c>
      <c r="AY21" s="11" t="s">
        <v>356</v>
      </c>
      <c r="AZ21" s="2"/>
      <c r="BC21" s="2"/>
    </row>
    <row r="22" spans="7:55" x14ac:dyDescent="0.5">
      <c r="G22" s="1" t="s">
        <v>437</v>
      </c>
      <c r="H22" s="1" t="s">
        <v>437</v>
      </c>
      <c r="I22" s="1" t="s">
        <v>437</v>
      </c>
      <c r="L22" s="1" t="s">
        <v>96</v>
      </c>
      <c r="M22" s="1" t="s">
        <v>427</v>
      </c>
      <c r="N22" s="1" t="s">
        <v>658</v>
      </c>
      <c r="O22" s="1" t="s">
        <v>658</v>
      </c>
      <c r="P22" s="1" t="s">
        <v>659</v>
      </c>
      <c r="Q22" s="1" t="s">
        <v>660</v>
      </c>
      <c r="S22" s="1" t="s">
        <v>96</v>
      </c>
      <c r="T22" s="1" t="s">
        <v>427</v>
      </c>
      <c r="U22" s="1" t="s">
        <v>658</v>
      </c>
      <c r="V22" s="1" t="s">
        <v>658</v>
      </c>
      <c r="W22" s="1" t="s">
        <v>659</v>
      </c>
      <c r="X22" s="1" t="s">
        <v>660</v>
      </c>
      <c r="Y22" s="1" t="s">
        <v>661</v>
      </c>
      <c r="Z22" s="1" t="s">
        <v>571</v>
      </c>
      <c r="AA22" s="1" t="s">
        <v>602</v>
      </c>
      <c r="AB22" s="1" t="s">
        <v>550</v>
      </c>
      <c r="AC22" s="1" t="s">
        <v>662</v>
      </c>
      <c r="AD22" s="1" t="s">
        <v>377</v>
      </c>
      <c r="AE22" s="1" t="s">
        <v>663</v>
      </c>
      <c r="AF22" s="1" t="s">
        <v>644</v>
      </c>
      <c r="AG22" s="1" t="s">
        <v>664</v>
      </c>
      <c r="AL22" s="2" t="s">
        <v>665</v>
      </c>
      <c r="AM22" s="2" t="s">
        <v>666</v>
      </c>
      <c r="AN22" s="2" t="s">
        <v>565</v>
      </c>
      <c r="AO22" s="2" t="s">
        <v>601</v>
      </c>
      <c r="AP22" s="2" t="s">
        <v>471</v>
      </c>
      <c r="AT22" s="9" t="s">
        <v>655</v>
      </c>
      <c r="AU22" s="11" t="s">
        <v>530</v>
      </c>
      <c r="AV22" s="12" t="s">
        <v>558</v>
      </c>
      <c r="AW22" s="9" t="s">
        <v>468</v>
      </c>
      <c r="AX22" s="12" t="s">
        <v>480</v>
      </c>
      <c r="AY22" s="11" t="s">
        <v>518</v>
      </c>
    </row>
    <row r="23" spans="7:55" x14ac:dyDescent="0.5">
      <c r="G23" s="1" t="s">
        <v>438</v>
      </c>
      <c r="H23" s="1" t="s">
        <v>438</v>
      </c>
      <c r="I23" s="1" t="s">
        <v>438</v>
      </c>
      <c r="L23" s="1" t="s">
        <v>590</v>
      </c>
      <c r="M23" s="1" t="s">
        <v>583</v>
      </c>
      <c r="N23" s="1" t="s">
        <v>658</v>
      </c>
      <c r="O23" s="1" t="s">
        <v>617</v>
      </c>
      <c r="P23" s="1" t="s">
        <v>361</v>
      </c>
      <c r="Q23" s="1" t="s">
        <v>507</v>
      </c>
      <c r="S23" s="1" t="s">
        <v>590</v>
      </c>
      <c r="T23" s="1" t="s">
        <v>583</v>
      </c>
      <c r="U23" s="1" t="s">
        <v>658</v>
      </c>
      <c r="V23" s="1" t="s">
        <v>617</v>
      </c>
      <c r="W23" s="1" t="s">
        <v>361</v>
      </c>
      <c r="X23" s="1" t="s">
        <v>507</v>
      </c>
      <c r="Y23" s="1" t="s">
        <v>370</v>
      </c>
      <c r="Z23" s="1" t="s">
        <v>667</v>
      </c>
      <c r="AA23" s="1" t="s">
        <v>668</v>
      </c>
      <c r="AB23" s="1" t="s">
        <v>524</v>
      </c>
      <c r="AC23" s="1" t="s">
        <v>669</v>
      </c>
      <c r="AD23" s="1" t="s">
        <v>596</v>
      </c>
      <c r="AE23" s="1" t="s">
        <v>556</v>
      </c>
      <c r="AF23" s="1" t="s">
        <v>547</v>
      </c>
      <c r="AG23" s="1" t="s">
        <v>670</v>
      </c>
      <c r="AL23" s="2" t="s">
        <v>610</v>
      </c>
      <c r="AM23" s="2" t="s">
        <v>644</v>
      </c>
      <c r="AN23" s="2" t="s">
        <v>374</v>
      </c>
      <c r="AO23" s="2" t="s">
        <v>671</v>
      </c>
      <c r="AP23" s="2" t="s">
        <v>672</v>
      </c>
      <c r="AT23" s="10" t="s">
        <v>665</v>
      </c>
      <c r="AU23" s="11" t="s">
        <v>544</v>
      </c>
      <c r="AV23" s="12" t="s">
        <v>507</v>
      </c>
      <c r="AW23" s="11" t="s">
        <v>594</v>
      </c>
      <c r="AX23" s="11" t="s">
        <v>454</v>
      </c>
      <c r="AY23" s="11" t="s">
        <v>509</v>
      </c>
    </row>
    <row r="24" spans="7:55" x14ac:dyDescent="0.5">
      <c r="G24" s="1" t="s">
        <v>439</v>
      </c>
      <c r="H24" s="1" t="s">
        <v>439</v>
      </c>
      <c r="I24" s="1" t="s">
        <v>439</v>
      </c>
      <c r="L24" s="1" t="s">
        <v>589</v>
      </c>
      <c r="M24" s="1" t="s">
        <v>370</v>
      </c>
      <c r="N24" s="1" t="s">
        <v>365</v>
      </c>
      <c r="O24" s="1" t="s">
        <v>673</v>
      </c>
      <c r="P24" s="1" t="s">
        <v>362</v>
      </c>
      <c r="Q24" s="1" t="s">
        <v>547</v>
      </c>
      <c r="S24" s="1" t="s">
        <v>589</v>
      </c>
      <c r="T24" s="1" t="s">
        <v>370</v>
      </c>
      <c r="U24" s="1" t="s">
        <v>365</v>
      </c>
      <c r="V24" s="1" t="s">
        <v>673</v>
      </c>
      <c r="W24" s="1" t="s">
        <v>362</v>
      </c>
      <c r="X24" s="1" t="s">
        <v>547</v>
      </c>
      <c r="Y24" s="1" t="s">
        <v>511</v>
      </c>
      <c r="Z24" s="1" t="s">
        <v>421</v>
      </c>
      <c r="AA24" s="1" t="s">
        <v>674</v>
      </c>
      <c r="AB24" s="1" t="s">
        <v>642</v>
      </c>
      <c r="AC24" s="1" t="s">
        <v>604</v>
      </c>
      <c r="AD24" s="1" t="s">
        <v>675</v>
      </c>
      <c r="AE24" s="1" t="s">
        <v>675</v>
      </c>
      <c r="AF24" s="1" t="s">
        <v>676</v>
      </c>
      <c r="AG24" s="1" t="s">
        <v>578</v>
      </c>
      <c r="AL24" s="2" t="s">
        <v>88</v>
      </c>
      <c r="AM24" s="2" t="s">
        <v>676</v>
      </c>
      <c r="AN24" s="2" t="s">
        <v>677</v>
      </c>
      <c r="AO24" s="2" t="s">
        <v>678</v>
      </c>
      <c r="AP24" s="2" t="s">
        <v>362</v>
      </c>
      <c r="AT24" s="9" t="s">
        <v>610</v>
      </c>
      <c r="AU24" s="11" t="s">
        <v>364</v>
      </c>
      <c r="AV24" s="11" t="s">
        <v>547</v>
      </c>
      <c r="AW24" s="10" t="s">
        <v>556</v>
      </c>
      <c r="AX24" s="11" t="s">
        <v>580</v>
      </c>
      <c r="AY24" s="11" t="s">
        <v>679</v>
      </c>
    </row>
    <row r="25" spans="7:55" x14ac:dyDescent="0.5">
      <c r="G25" s="1" t="s">
        <v>680</v>
      </c>
      <c r="H25" s="1" t="s">
        <v>680</v>
      </c>
      <c r="I25" s="1" t="s">
        <v>680</v>
      </c>
      <c r="L25" s="1" t="s">
        <v>681</v>
      </c>
      <c r="M25" s="1" t="s">
        <v>96</v>
      </c>
      <c r="N25" s="1" t="s">
        <v>673</v>
      </c>
      <c r="O25" s="1" t="s">
        <v>671</v>
      </c>
      <c r="P25" s="1" t="s">
        <v>670</v>
      </c>
      <c r="Q25" s="1" t="s">
        <v>682</v>
      </c>
      <c r="S25" s="1" t="s">
        <v>681</v>
      </c>
      <c r="T25" s="1" t="s">
        <v>96</v>
      </c>
      <c r="U25" s="1" t="s">
        <v>673</v>
      </c>
      <c r="V25" s="1" t="s">
        <v>671</v>
      </c>
      <c r="W25" s="1" t="s">
        <v>670</v>
      </c>
      <c r="X25" s="1" t="s">
        <v>682</v>
      </c>
      <c r="Y25" s="1" t="s">
        <v>683</v>
      </c>
      <c r="Z25" s="1" t="s">
        <v>684</v>
      </c>
      <c r="AA25" s="1" t="s">
        <v>685</v>
      </c>
      <c r="AB25" s="1" t="s">
        <v>686</v>
      </c>
      <c r="AC25" s="1" t="s">
        <v>653</v>
      </c>
      <c r="AD25" s="1" t="s">
        <v>556</v>
      </c>
      <c r="AE25" s="1" t="s">
        <v>687</v>
      </c>
      <c r="AF25" s="1" t="s">
        <v>518</v>
      </c>
      <c r="AG25" s="1" t="s">
        <v>490</v>
      </c>
      <c r="AL25" s="2" t="s">
        <v>676</v>
      </c>
      <c r="AM25" s="2" t="s">
        <v>451</v>
      </c>
      <c r="AN25" s="2" t="s">
        <v>377</v>
      </c>
      <c r="AO25" s="2" t="s">
        <v>688</v>
      </c>
      <c r="AP25" s="2" t="s">
        <v>553</v>
      </c>
      <c r="AT25" s="10" t="s">
        <v>88</v>
      </c>
      <c r="AU25" s="11" t="s">
        <v>617</v>
      </c>
      <c r="AV25" s="12" t="s">
        <v>535</v>
      </c>
      <c r="AW25" s="11" t="s">
        <v>618</v>
      </c>
      <c r="AX25" s="11" t="s">
        <v>689</v>
      </c>
      <c r="AY25" s="11" t="s">
        <v>555</v>
      </c>
    </row>
    <row r="26" spans="7:55" x14ac:dyDescent="0.5">
      <c r="L26" s="1" t="s">
        <v>635</v>
      </c>
      <c r="M26" s="1" t="s">
        <v>690</v>
      </c>
      <c r="N26" s="1" t="s">
        <v>590</v>
      </c>
      <c r="O26" s="1" t="s">
        <v>691</v>
      </c>
      <c r="P26" s="1" t="s">
        <v>630</v>
      </c>
      <c r="Q26" s="1" t="s">
        <v>535</v>
      </c>
      <c r="S26" s="1" t="s">
        <v>635</v>
      </c>
      <c r="T26" s="1" t="s">
        <v>690</v>
      </c>
      <c r="U26" s="1" t="s">
        <v>590</v>
      </c>
      <c r="V26" s="1" t="s">
        <v>691</v>
      </c>
      <c r="W26" s="1" t="s">
        <v>630</v>
      </c>
      <c r="X26" s="1" t="s">
        <v>535</v>
      </c>
      <c r="Y26" s="1" t="s">
        <v>519</v>
      </c>
      <c r="Z26" s="1" t="s">
        <v>465</v>
      </c>
      <c r="AA26" s="1" t="s">
        <v>467</v>
      </c>
      <c r="AB26" s="1" t="s">
        <v>692</v>
      </c>
      <c r="AC26" s="1" t="s">
        <v>693</v>
      </c>
      <c r="AD26" s="1" t="s">
        <v>687</v>
      </c>
      <c r="AE26" s="1" t="s">
        <v>454</v>
      </c>
      <c r="AF26" s="1" t="s">
        <v>694</v>
      </c>
      <c r="AG26" s="1" t="s">
        <v>695</v>
      </c>
      <c r="AL26" s="2" t="s">
        <v>676</v>
      </c>
      <c r="AM26" s="2" t="s">
        <v>696</v>
      </c>
      <c r="AN26" s="2" t="s">
        <v>451</v>
      </c>
      <c r="AO26" s="2" t="s">
        <v>646</v>
      </c>
      <c r="AP26" s="2" t="s">
        <v>365</v>
      </c>
      <c r="AT26" s="9" t="s">
        <v>676</v>
      </c>
      <c r="AU26" s="11" t="s">
        <v>557</v>
      </c>
      <c r="AV26" s="11" t="s">
        <v>574</v>
      </c>
      <c r="AW26" s="12" t="s">
        <v>552</v>
      </c>
      <c r="AX26" s="11" t="s">
        <v>502</v>
      </c>
      <c r="AY26" s="11" t="s">
        <v>547</v>
      </c>
    </row>
    <row r="27" spans="7:55" x14ac:dyDescent="0.5">
      <c r="L27" s="1" t="s">
        <v>697</v>
      </c>
      <c r="M27" s="1" t="s">
        <v>601</v>
      </c>
      <c r="N27" s="1" t="s">
        <v>690</v>
      </c>
      <c r="O27" s="1" t="s">
        <v>678</v>
      </c>
      <c r="P27" s="1" t="s">
        <v>570</v>
      </c>
      <c r="Q27" s="1" t="s">
        <v>607</v>
      </c>
      <c r="S27" s="1" t="s">
        <v>697</v>
      </c>
      <c r="T27" s="1" t="s">
        <v>601</v>
      </c>
      <c r="U27" s="1" t="s">
        <v>690</v>
      </c>
      <c r="V27" s="1" t="s">
        <v>678</v>
      </c>
      <c r="W27" s="1" t="s">
        <v>570</v>
      </c>
      <c r="X27" s="1" t="s">
        <v>607</v>
      </c>
      <c r="Y27" s="1" t="s">
        <v>467</v>
      </c>
      <c r="Z27" s="1" t="s">
        <v>505</v>
      </c>
      <c r="AA27" s="1" t="s">
        <v>421</v>
      </c>
      <c r="AB27" s="1" t="s">
        <v>514</v>
      </c>
      <c r="AC27" s="1" t="s">
        <v>556</v>
      </c>
      <c r="AD27" s="1" t="s">
        <v>454</v>
      </c>
      <c r="AE27" s="1" t="s">
        <v>698</v>
      </c>
      <c r="AF27" s="1" t="s">
        <v>699</v>
      </c>
      <c r="AG27" s="1" t="s">
        <v>382</v>
      </c>
      <c r="AL27" s="2" t="s">
        <v>700</v>
      </c>
      <c r="AM27" s="2" t="s">
        <v>567</v>
      </c>
      <c r="AN27" s="2" t="s">
        <v>675</v>
      </c>
      <c r="AO27" s="2" t="s">
        <v>576</v>
      </c>
      <c r="AP27" s="2" t="s">
        <v>673</v>
      </c>
      <c r="AT27" s="14" t="s">
        <v>700</v>
      </c>
      <c r="AU27" s="11" t="s">
        <v>639</v>
      </c>
      <c r="AV27" s="11" t="s">
        <v>471</v>
      </c>
      <c r="AW27" s="10" t="s">
        <v>573</v>
      </c>
      <c r="AX27" s="12" t="s">
        <v>486</v>
      </c>
      <c r="AY27" s="11" t="s">
        <v>634</v>
      </c>
    </row>
    <row r="28" spans="7:55" x14ac:dyDescent="0.5">
      <c r="L28" s="1" t="s">
        <v>646</v>
      </c>
      <c r="M28" s="1" t="s">
        <v>624</v>
      </c>
      <c r="N28" s="1" t="s">
        <v>624</v>
      </c>
      <c r="O28" s="1" t="s">
        <v>589</v>
      </c>
      <c r="P28" s="1" t="s">
        <v>364</v>
      </c>
      <c r="Q28" s="1" t="s">
        <v>574</v>
      </c>
      <c r="S28" s="1" t="s">
        <v>646</v>
      </c>
      <c r="T28" s="1" t="s">
        <v>624</v>
      </c>
      <c r="U28" s="1" t="s">
        <v>624</v>
      </c>
      <c r="V28" s="1" t="s">
        <v>589</v>
      </c>
      <c r="W28" s="1" t="s">
        <v>364</v>
      </c>
      <c r="X28" s="1" t="s">
        <v>574</v>
      </c>
      <c r="Y28" s="1" t="s">
        <v>380</v>
      </c>
      <c r="Z28" s="1" t="s">
        <v>608</v>
      </c>
      <c r="AA28" s="1" t="s">
        <v>701</v>
      </c>
      <c r="AB28" s="1" t="s">
        <v>702</v>
      </c>
      <c r="AC28" s="1" t="s">
        <v>687</v>
      </c>
      <c r="AD28" s="1" t="s">
        <v>703</v>
      </c>
      <c r="AE28" s="1" t="s">
        <v>704</v>
      </c>
      <c r="AF28" s="1" t="s">
        <v>705</v>
      </c>
      <c r="AG28" s="1" t="s">
        <v>679</v>
      </c>
      <c r="AL28" s="2"/>
      <c r="AM28" s="2"/>
      <c r="AN28" s="2" t="s">
        <v>706</v>
      </c>
      <c r="AO28" s="2" t="s">
        <v>644</v>
      </c>
      <c r="AP28" s="2" t="s">
        <v>557</v>
      </c>
      <c r="AT28" s="14"/>
      <c r="AU28" s="11" t="s">
        <v>571</v>
      </c>
      <c r="AV28" s="12" t="s">
        <v>360</v>
      </c>
      <c r="AW28" s="9" t="s">
        <v>615</v>
      </c>
      <c r="AX28" s="11" t="s">
        <v>527</v>
      </c>
      <c r="AY28" s="11" t="s">
        <v>664</v>
      </c>
    </row>
    <row r="29" spans="7:55" x14ac:dyDescent="0.5">
      <c r="L29" s="1" t="s">
        <v>707</v>
      </c>
      <c r="M29" s="1" t="s">
        <v>691</v>
      </c>
      <c r="N29" s="1" t="s">
        <v>678</v>
      </c>
      <c r="O29" s="1" t="s">
        <v>631</v>
      </c>
      <c r="P29" s="1" t="s">
        <v>708</v>
      </c>
      <c r="Q29" s="1" t="s">
        <v>541</v>
      </c>
      <c r="S29" s="1" t="s">
        <v>707</v>
      </c>
      <c r="T29" s="1" t="s">
        <v>691</v>
      </c>
      <c r="U29" s="1" t="s">
        <v>678</v>
      </c>
      <c r="V29" s="1" t="s">
        <v>631</v>
      </c>
      <c r="W29" s="1" t="s">
        <v>708</v>
      </c>
      <c r="X29" s="1" t="s">
        <v>541</v>
      </c>
      <c r="Y29" s="1" t="s">
        <v>709</v>
      </c>
      <c r="Z29" s="1" t="s">
        <v>710</v>
      </c>
      <c r="AA29" s="1" t="s">
        <v>710</v>
      </c>
      <c r="AB29" s="1" t="s">
        <v>711</v>
      </c>
      <c r="AC29" s="1" t="s">
        <v>675</v>
      </c>
      <c r="AD29" s="1" t="s">
        <v>712</v>
      </c>
      <c r="AE29" s="1" t="s">
        <v>630</v>
      </c>
      <c r="AF29" s="1" t="s">
        <v>561</v>
      </c>
      <c r="AG29" s="1" t="s">
        <v>647</v>
      </c>
      <c r="AL29" s="2"/>
      <c r="AN29" s="2" t="s">
        <v>713</v>
      </c>
      <c r="AO29" s="2" t="s">
        <v>714</v>
      </c>
      <c r="AP29" s="2" t="s">
        <v>715</v>
      </c>
      <c r="AU29" s="11" t="s">
        <v>427</v>
      </c>
      <c r="AV29" s="11" t="s">
        <v>572</v>
      </c>
      <c r="AW29" s="11" t="s">
        <v>544</v>
      </c>
      <c r="AX29" s="11" t="s">
        <v>356</v>
      </c>
      <c r="AY29" s="11" t="s">
        <v>541</v>
      </c>
    </row>
    <row r="30" spans="7:55" x14ac:dyDescent="0.5">
      <c r="L30" s="1" t="s">
        <v>576</v>
      </c>
      <c r="M30" s="1" t="s">
        <v>512</v>
      </c>
      <c r="N30" s="1" t="s">
        <v>589</v>
      </c>
      <c r="O30" s="1" t="s">
        <v>374</v>
      </c>
      <c r="P30" s="1" t="s">
        <v>716</v>
      </c>
      <c r="Q30" s="1" t="s">
        <v>541</v>
      </c>
      <c r="S30" s="1" t="s">
        <v>576</v>
      </c>
      <c r="T30" s="1" t="s">
        <v>512</v>
      </c>
      <c r="U30" s="1" t="s">
        <v>589</v>
      </c>
      <c r="V30" s="1" t="s">
        <v>374</v>
      </c>
      <c r="W30" s="1" t="s">
        <v>716</v>
      </c>
      <c r="X30" s="1" t="s">
        <v>541</v>
      </c>
      <c r="Y30" s="1" t="s">
        <v>382</v>
      </c>
      <c r="Z30" s="1" t="s">
        <v>96</v>
      </c>
      <c r="AA30" s="1" t="s">
        <v>369</v>
      </c>
      <c r="AB30" s="1" t="s">
        <v>58</v>
      </c>
      <c r="AC30" s="1" t="s">
        <v>717</v>
      </c>
      <c r="AD30" s="1" t="s">
        <v>690</v>
      </c>
      <c r="AE30" s="1" t="s">
        <v>373</v>
      </c>
      <c r="AL30" s="2"/>
      <c r="AN30" s="2" t="s">
        <v>704</v>
      </c>
      <c r="AO30" s="2" t="s">
        <v>718</v>
      </c>
      <c r="AP30" s="2" t="s">
        <v>367</v>
      </c>
      <c r="AU30" s="11" t="s">
        <v>583</v>
      </c>
      <c r="AV30" s="11" t="s">
        <v>595</v>
      </c>
      <c r="AW30" s="12" t="s">
        <v>553</v>
      </c>
      <c r="AX30" s="12" t="s">
        <v>518</v>
      </c>
      <c r="AY30" s="11" t="s">
        <v>536</v>
      </c>
    </row>
    <row r="31" spans="7:55" x14ac:dyDescent="0.5">
      <c r="L31" s="1" t="s">
        <v>565</v>
      </c>
      <c r="M31" s="1" t="s">
        <v>645</v>
      </c>
      <c r="N31" s="1" t="s">
        <v>608</v>
      </c>
      <c r="O31" s="1" t="s">
        <v>644</v>
      </c>
      <c r="P31" s="1" t="s">
        <v>367</v>
      </c>
      <c r="Q31" s="1" t="s">
        <v>536</v>
      </c>
      <c r="S31" s="1" t="s">
        <v>565</v>
      </c>
      <c r="T31" s="1" t="s">
        <v>645</v>
      </c>
      <c r="U31" s="1" t="s">
        <v>608</v>
      </c>
      <c r="V31" s="1" t="s">
        <v>644</v>
      </c>
      <c r="W31" s="1" t="s">
        <v>367</v>
      </c>
      <c r="X31" s="1" t="s">
        <v>536</v>
      </c>
      <c r="Y31" s="1" t="s">
        <v>647</v>
      </c>
      <c r="Z31" s="1" t="s">
        <v>671</v>
      </c>
      <c r="AA31" s="1" t="s">
        <v>428</v>
      </c>
      <c r="AB31" s="1" t="s">
        <v>719</v>
      </c>
      <c r="AC31" s="1" t="s">
        <v>720</v>
      </c>
      <c r="AD31" s="1" t="s">
        <v>591</v>
      </c>
      <c r="AE31" s="1" t="s">
        <v>657</v>
      </c>
      <c r="AL31" s="2"/>
      <c r="AN31" s="2" t="s">
        <v>721</v>
      </c>
      <c r="AO31" s="2" t="s">
        <v>722</v>
      </c>
      <c r="AP31" s="2" t="s">
        <v>723</v>
      </c>
      <c r="AU31" s="11" t="s">
        <v>370</v>
      </c>
      <c r="AV31" s="12" t="s">
        <v>536</v>
      </c>
      <c r="AW31" s="11" t="s">
        <v>658</v>
      </c>
      <c r="AX31" s="12" t="s">
        <v>509</v>
      </c>
      <c r="AY31" s="11" t="s">
        <v>600</v>
      </c>
    </row>
    <row r="32" spans="7:55" x14ac:dyDescent="0.5">
      <c r="L32" s="1" t="s">
        <v>644</v>
      </c>
      <c r="M32" s="1" t="s">
        <v>655</v>
      </c>
      <c r="N32" s="1" t="s">
        <v>372</v>
      </c>
      <c r="O32" s="1" t="s">
        <v>718</v>
      </c>
      <c r="P32" s="1" t="s">
        <v>368</v>
      </c>
      <c r="Q32" s="1" t="s">
        <v>517</v>
      </c>
      <c r="S32" s="1" t="s">
        <v>644</v>
      </c>
      <c r="T32" s="1" t="s">
        <v>655</v>
      </c>
      <c r="U32" s="1" t="s">
        <v>372</v>
      </c>
      <c r="V32" s="1" t="s">
        <v>718</v>
      </c>
      <c r="W32" s="1" t="s">
        <v>368</v>
      </c>
      <c r="X32" s="1" t="s">
        <v>517</v>
      </c>
      <c r="Y32" s="1" t="s">
        <v>488</v>
      </c>
      <c r="Z32" s="1" t="s">
        <v>696</v>
      </c>
      <c r="AA32" s="1" t="s">
        <v>724</v>
      </c>
      <c r="AB32" s="1" t="s">
        <v>725</v>
      </c>
      <c r="AC32" s="1" t="s">
        <v>646</v>
      </c>
      <c r="AD32" s="1" t="s">
        <v>694</v>
      </c>
      <c r="AE32" s="1" t="s">
        <v>726</v>
      </c>
      <c r="AL32" s="2"/>
      <c r="AO32" s="2" t="s">
        <v>727</v>
      </c>
      <c r="AP32" s="2" t="s">
        <v>728</v>
      </c>
      <c r="AU32" s="11" t="s">
        <v>96</v>
      </c>
      <c r="AV32" s="12" t="s">
        <v>606</v>
      </c>
      <c r="AW32" s="11" t="s">
        <v>365</v>
      </c>
      <c r="AX32" s="11" t="s">
        <v>679</v>
      </c>
      <c r="AY32" s="11" t="s">
        <v>562</v>
      </c>
    </row>
    <row r="33" spans="12:51" x14ac:dyDescent="0.5">
      <c r="L33" s="1" t="s">
        <v>729</v>
      </c>
      <c r="M33" s="1" t="s">
        <v>729</v>
      </c>
      <c r="N33" s="1" t="s">
        <v>730</v>
      </c>
      <c r="O33" s="1" t="s">
        <v>88</v>
      </c>
      <c r="P33" s="1" t="s">
        <v>369</v>
      </c>
      <c r="Q33" s="1" t="s">
        <v>556</v>
      </c>
      <c r="S33" s="1" t="s">
        <v>729</v>
      </c>
      <c r="T33" s="1" t="s">
        <v>729</v>
      </c>
      <c r="U33" s="1" t="s">
        <v>730</v>
      </c>
      <c r="V33" s="1" t="s">
        <v>88</v>
      </c>
      <c r="W33" s="1" t="s">
        <v>369</v>
      </c>
      <c r="X33" s="1" t="s">
        <v>556</v>
      </c>
      <c r="Y33" s="1" t="s">
        <v>703</v>
      </c>
      <c r="Z33" s="1" t="s">
        <v>731</v>
      </c>
      <c r="AA33" s="1" t="s">
        <v>732</v>
      </c>
      <c r="AB33" s="1" t="s">
        <v>653</v>
      </c>
      <c r="AC33" s="1" t="s">
        <v>664</v>
      </c>
      <c r="AD33" s="1" t="s">
        <v>357</v>
      </c>
      <c r="AE33" s="1" t="s">
        <v>498</v>
      </c>
      <c r="AO33" s="2" t="s">
        <v>733</v>
      </c>
      <c r="AP33" s="2" t="s">
        <v>734</v>
      </c>
      <c r="AU33" s="11" t="s">
        <v>590</v>
      </c>
      <c r="AV33" s="11" t="s">
        <v>497</v>
      </c>
      <c r="AW33" s="12" t="s">
        <v>673</v>
      </c>
      <c r="AX33" s="11" t="s">
        <v>555</v>
      </c>
      <c r="AY33" s="11" t="s">
        <v>591</v>
      </c>
    </row>
    <row r="34" spans="12:51" x14ac:dyDescent="0.5">
      <c r="L34" s="1" t="s">
        <v>718</v>
      </c>
      <c r="M34" s="1" t="s">
        <v>694</v>
      </c>
      <c r="N34" s="1" t="s">
        <v>565</v>
      </c>
      <c r="O34" s="1" t="s">
        <v>676</v>
      </c>
      <c r="P34" s="1" t="s">
        <v>370</v>
      </c>
      <c r="Q34" s="1" t="s">
        <v>630</v>
      </c>
      <c r="S34" s="1" t="s">
        <v>718</v>
      </c>
      <c r="T34" s="1" t="s">
        <v>694</v>
      </c>
      <c r="U34" s="1" t="s">
        <v>565</v>
      </c>
      <c r="V34" s="1" t="s">
        <v>676</v>
      </c>
      <c r="W34" s="1" t="s">
        <v>370</v>
      </c>
      <c r="X34" s="1" t="s">
        <v>630</v>
      </c>
      <c r="Y34" s="1" t="s">
        <v>735</v>
      </c>
      <c r="Z34" s="1" t="s">
        <v>88</v>
      </c>
      <c r="AA34" s="1" t="s">
        <v>736</v>
      </c>
      <c r="AB34" s="1" t="s">
        <v>737</v>
      </c>
      <c r="AC34" s="1" t="s">
        <v>617</v>
      </c>
      <c r="AE34" s="1" t="s">
        <v>738</v>
      </c>
      <c r="AO34" s="2" t="s">
        <v>739</v>
      </c>
      <c r="AP34" s="2" t="s">
        <v>740</v>
      </c>
      <c r="AU34" s="11" t="s">
        <v>690</v>
      </c>
      <c r="AV34" s="11" t="s">
        <v>584</v>
      </c>
      <c r="AW34" s="10" t="s">
        <v>625</v>
      </c>
      <c r="AX34" s="11" t="s">
        <v>738</v>
      </c>
      <c r="AY34" s="11" t="s">
        <v>670</v>
      </c>
    </row>
    <row r="35" spans="12:51" x14ac:dyDescent="0.5">
      <c r="L35" s="1" t="s">
        <v>539</v>
      </c>
      <c r="M35" s="1" t="s">
        <v>741</v>
      </c>
      <c r="N35" s="1" t="s">
        <v>742</v>
      </c>
      <c r="O35" s="1" t="s">
        <v>739</v>
      </c>
      <c r="P35" s="1" t="s">
        <v>601</v>
      </c>
      <c r="Q35" s="1" t="s">
        <v>687</v>
      </c>
      <c r="S35" s="1" t="s">
        <v>539</v>
      </c>
      <c r="T35" s="1" t="s">
        <v>741</v>
      </c>
      <c r="U35" s="1" t="s">
        <v>742</v>
      </c>
      <c r="V35" s="1" t="s">
        <v>739</v>
      </c>
      <c r="W35" s="1" t="s">
        <v>601</v>
      </c>
      <c r="X35" s="1" t="s">
        <v>687</v>
      </c>
      <c r="Y35" s="1" t="s">
        <v>743</v>
      </c>
      <c r="Z35" s="1" t="s">
        <v>744</v>
      </c>
      <c r="AA35" s="1" t="s">
        <v>745</v>
      </c>
      <c r="AB35" s="1" t="s">
        <v>746</v>
      </c>
      <c r="AC35" s="1" t="s">
        <v>721</v>
      </c>
      <c r="AE35" s="1" t="s">
        <v>747</v>
      </c>
      <c r="AO35" s="2" t="s">
        <v>593</v>
      </c>
      <c r="AP35" s="2" t="s">
        <v>622</v>
      </c>
      <c r="AU35" s="11" t="s">
        <v>601</v>
      </c>
      <c r="AV35" s="12" t="s">
        <v>600</v>
      </c>
      <c r="AW35" s="9" t="s">
        <v>96</v>
      </c>
      <c r="AX35" s="12" t="s">
        <v>647</v>
      </c>
      <c r="AY35" s="11" t="s">
        <v>556</v>
      </c>
    </row>
    <row r="36" spans="12:51" x14ac:dyDescent="0.5">
      <c r="L36" s="1" t="s">
        <v>88</v>
      </c>
      <c r="M36" s="1" t="s">
        <v>451</v>
      </c>
      <c r="N36" s="1" t="s">
        <v>677</v>
      </c>
      <c r="O36" s="1" t="s">
        <v>748</v>
      </c>
      <c r="P36" s="1" t="s">
        <v>744</v>
      </c>
      <c r="Q36" s="1" t="s">
        <v>364</v>
      </c>
      <c r="S36" s="1" t="s">
        <v>88</v>
      </c>
      <c r="T36" s="1" t="s">
        <v>451</v>
      </c>
      <c r="U36" s="1" t="s">
        <v>677</v>
      </c>
      <c r="V36" s="1" t="s">
        <v>748</v>
      </c>
      <c r="W36" s="1" t="s">
        <v>744</v>
      </c>
      <c r="X36" s="1" t="s">
        <v>364</v>
      </c>
      <c r="Y36" s="1" t="s">
        <v>687</v>
      </c>
      <c r="Z36" s="1" t="s">
        <v>749</v>
      </c>
      <c r="AA36" s="1" t="s">
        <v>730</v>
      </c>
      <c r="AB36" s="1" t="s">
        <v>454</v>
      </c>
      <c r="AC36" s="1" t="s">
        <v>493</v>
      </c>
      <c r="AE36" s="1" t="s">
        <v>689</v>
      </c>
      <c r="AP36" s="2" t="s">
        <v>631</v>
      </c>
      <c r="AU36" s="11" t="s">
        <v>614</v>
      </c>
      <c r="AV36" s="11" t="s">
        <v>562</v>
      </c>
      <c r="AW36" s="11" t="s">
        <v>590</v>
      </c>
      <c r="AX36" s="12" t="s">
        <v>698</v>
      </c>
      <c r="AY36" s="11" t="s">
        <v>687</v>
      </c>
    </row>
    <row r="37" spans="12:51" x14ac:dyDescent="0.5">
      <c r="L37" s="1" t="s">
        <v>750</v>
      </c>
      <c r="M37" s="1" t="s">
        <v>696</v>
      </c>
      <c r="N37" s="1" t="s">
        <v>751</v>
      </c>
      <c r="P37" s="1" t="s">
        <v>624</v>
      </c>
      <c r="Q37" s="1" t="s">
        <v>553</v>
      </c>
      <c r="S37" s="1" t="s">
        <v>750</v>
      </c>
      <c r="T37" s="1" t="s">
        <v>696</v>
      </c>
      <c r="U37" s="1" t="s">
        <v>751</v>
      </c>
      <c r="W37" s="1" t="s">
        <v>624</v>
      </c>
      <c r="X37" s="1" t="s">
        <v>553</v>
      </c>
      <c r="Y37" s="1" t="s">
        <v>751</v>
      </c>
      <c r="Z37" s="1" t="s">
        <v>550</v>
      </c>
      <c r="AA37" s="1" t="s">
        <v>361</v>
      </c>
      <c r="AB37" s="1" t="s">
        <v>576</v>
      </c>
      <c r="AC37" s="1" t="s">
        <v>515</v>
      </c>
      <c r="AE37" s="1" t="s">
        <v>490</v>
      </c>
      <c r="AP37" s="2" t="s">
        <v>752</v>
      </c>
      <c r="AU37" s="11" t="s">
        <v>624</v>
      </c>
      <c r="AV37" s="11" t="s">
        <v>362</v>
      </c>
      <c r="AW37" s="12" t="s">
        <v>690</v>
      </c>
      <c r="AX37" s="12" t="s">
        <v>568</v>
      </c>
      <c r="AY37" s="11" t="s">
        <v>553</v>
      </c>
    </row>
    <row r="38" spans="12:51" x14ac:dyDescent="0.5">
      <c r="L38" s="1" t="s">
        <v>731</v>
      </c>
      <c r="M38" s="1" t="s">
        <v>675</v>
      </c>
      <c r="N38" s="1" t="s">
        <v>676</v>
      </c>
      <c r="P38" s="1" t="s">
        <v>753</v>
      </c>
      <c r="Q38" s="1" t="s">
        <v>365</v>
      </c>
      <c r="S38" s="1" t="s">
        <v>731</v>
      </c>
      <c r="T38" s="1" t="s">
        <v>675</v>
      </c>
      <c r="U38" s="1" t="s">
        <v>676</v>
      </c>
      <c r="W38" s="1" t="s">
        <v>753</v>
      </c>
      <c r="X38" s="1" t="s">
        <v>365</v>
      </c>
      <c r="Y38" s="1" t="s">
        <v>754</v>
      </c>
      <c r="Z38" s="1" t="s">
        <v>691</v>
      </c>
      <c r="AA38" s="1" t="s">
        <v>755</v>
      </c>
      <c r="AB38" s="1" t="s">
        <v>465</v>
      </c>
      <c r="AC38" s="1" t="s">
        <v>591</v>
      </c>
      <c r="AE38" s="1" t="s">
        <v>695</v>
      </c>
      <c r="AP38" s="2" t="s">
        <v>756</v>
      </c>
      <c r="AU38" s="11" t="s">
        <v>691</v>
      </c>
      <c r="AV38" s="9" t="s">
        <v>591</v>
      </c>
      <c r="AW38" s="9" t="s">
        <v>624</v>
      </c>
      <c r="AX38" s="12" t="s">
        <v>611</v>
      </c>
      <c r="AY38" s="11" t="s">
        <v>498</v>
      </c>
    </row>
    <row r="39" spans="12:51" x14ac:dyDescent="0.5">
      <c r="L39" s="1" t="s">
        <v>676</v>
      </c>
      <c r="M39" s="1" t="s">
        <v>739</v>
      </c>
      <c r="N39" s="1" t="s">
        <v>741</v>
      </c>
      <c r="P39" s="1" t="s">
        <v>757</v>
      </c>
      <c r="Q39" s="1" t="s">
        <v>365</v>
      </c>
      <c r="S39" s="1" t="s">
        <v>676</v>
      </c>
      <c r="T39" s="1" t="s">
        <v>739</v>
      </c>
      <c r="U39" s="1" t="s">
        <v>741</v>
      </c>
      <c r="W39" s="1" t="s">
        <v>757</v>
      </c>
      <c r="X39" s="1" t="s">
        <v>365</v>
      </c>
      <c r="Y39" s="1" t="s">
        <v>758</v>
      </c>
      <c r="Z39" s="1" t="s">
        <v>418</v>
      </c>
      <c r="AA39" s="1" t="s">
        <v>565</v>
      </c>
      <c r="AB39" s="1" t="s">
        <v>715</v>
      </c>
      <c r="AC39" s="1" t="s">
        <v>595</v>
      </c>
      <c r="AP39" s="2" t="s">
        <v>612</v>
      </c>
      <c r="AU39" s="11" t="s">
        <v>512</v>
      </c>
      <c r="AV39" s="10" t="s">
        <v>602</v>
      </c>
      <c r="AW39" s="12" t="s">
        <v>678</v>
      </c>
      <c r="AX39" s="12" t="s">
        <v>547</v>
      </c>
      <c r="AY39" s="11" t="s">
        <v>705</v>
      </c>
    </row>
    <row r="40" spans="12:51" x14ac:dyDescent="0.5">
      <c r="L40" s="1" t="s">
        <v>694</v>
      </c>
      <c r="M40" s="1" t="s">
        <v>567</v>
      </c>
      <c r="N40" s="1" t="s">
        <v>377</v>
      </c>
      <c r="P40" s="1" t="s">
        <v>758</v>
      </c>
      <c r="Q40" s="1" t="s">
        <v>759</v>
      </c>
      <c r="S40" s="1" t="s">
        <v>694</v>
      </c>
      <c r="T40" s="1" t="s">
        <v>567</v>
      </c>
      <c r="U40" s="1" t="s">
        <v>377</v>
      </c>
      <c r="W40" s="1" t="s">
        <v>758</v>
      </c>
      <c r="X40" s="1" t="s">
        <v>759</v>
      </c>
      <c r="Y40" s="1" t="s">
        <v>473</v>
      </c>
      <c r="Z40" s="1" t="s">
        <v>760</v>
      </c>
      <c r="AA40" s="1" t="s">
        <v>576</v>
      </c>
      <c r="AB40" s="1" t="s">
        <v>761</v>
      </c>
      <c r="AC40" s="1" t="s">
        <v>454</v>
      </c>
      <c r="AP40" s="2" t="s">
        <v>762</v>
      </c>
      <c r="AU40" s="11" t="s">
        <v>623</v>
      </c>
      <c r="AV40" s="12" t="s">
        <v>468</v>
      </c>
      <c r="AW40" s="11" t="s">
        <v>589</v>
      </c>
      <c r="AX40" s="12" t="s">
        <v>634</v>
      </c>
      <c r="AY40" s="11" t="s">
        <v>427</v>
      </c>
    </row>
    <row r="41" spans="12:51" x14ac:dyDescent="0.5">
      <c r="L41" s="1" t="s">
        <v>551</v>
      </c>
      <c r="M41" s="1" t="s">
        <v>380</v>
      </c>
      <c r="N41" s="1" t="s">
        <v>713</v>
      </c>
      <c r="P41" s="1" t="s">
        <v>608</v>
      </c>
      <c r="Q41" s="1" t="s">
        <v>763</v>
      </c>
      <c r="S41" s="1" t="s">
        <v>551</v>
      </c>
      <c r="T41" s="1" t="s">
        <v>380</v>
      </c>
      <c r="U41" s="1" t="s">
        <v>713</v>
      </c>
      <c r="W41" s="1" t="s">
        <v>608</v>
      </c>
      <c r="X41" s="1" t="s">
        <v>763</v>
      </c>
      <c r="Y41" s="1" t="s">
        <v>764</v>
      </c>
      <c r="AA41" s="1" t="s">
        <v>696</v>
      </c>
      <c r="AB41" s="1" t="s">
        <v>644</v>
      </c>
      <c r="AP41" s="2" t="s">
        <v>765</v>
      </c>
      <c r="AU41" s="11" t="s">
        <v>645</v>
      </c>
      <c r="AV41" s="11" t="s">
        <v>594</v>
      </c>
      <c r="AW41" s="12" t="s">
        <v>608</v>
      </c>
      <c r="AX41" s="11" t="s">
        <v>664</v>
      </c>
      <c r="AY41" s="11" t="s">
        <v>367</v>
      </c>
    </row>
    <row r="42" spans="12:51" x14ac:dyDescent="0.5">
      <c r="L42" s="1" t="s">
        <v>696</v>
      </c>
      <c r="M42" s="1" t="s">
        <v>524</v>
      </c>
      <c r="N42" s="1" t="s">
        <v>721</v>
      </c>
      <c r="P42" s="1" t="s">
        <v>505</v>
      </c>
      <c r="Q42" s="1" t="s">
        <v>740</v>
      </c>
      <c r="S42" s="1" t="s">
        <v>696</v>
      </c>
      <c r="T42" s="1" t="s">
        <v>524</v>
      </c>
      <c r="U42" s="1" t="s">
        <v>721</v>
      </c>
      <c r="W42" s="1" t="s">
        <v>505</v>
      </c>
      <c r="X42" s="1" t="s">
        <v>740</v>
      </c>
      <c r="Y42" s="1" t="s">
        <v>356</v>
      </c>
      <c r="AA42" s="1" t="s">
        <v>766</v>
      </c>
      <c r="AB42" s="1" t="s">
        <v>701</v>
      </c>
      <c r="AP42" s="2" t="s">
        <v>718</v>
      </c>
      <c r="AU42" s="11" t="s">
        <v>646</v>
      </c>
      <c r="AV42" s="9" t="s">
        <v>556</v>
      </c>
      <c r="AW42" s="11" t="s">
        <v>372</v>
      </c>
      <c r="AX42" s="12" t="s">
        <v>541</v>
      </c>
      <c r="AY42" s="11" t="s">
        <v>96</v>
      </c>
    </row>
    <row r="43" spans="12:51" x14ac:dyDescent="0.5">
      <c r="L43" s="1" t="s">
        <v>767</v>
      </c>
      <c r="N43" s="1" t="s">
        <v>598</v>
      </c>
      <c r="P43" s="1" t="s">
        <v>467</v>
      </c>
      <c r="Q43" s="1" t="s">
        <v>622</v>
      </c>
      <c r="S43" s="1" t="s">
        <v>767</v>
      </c>
      <c r="U43" s="1" t="s">
        <v>598</v>
      </c>
      <c r="W43" s="1" t="s">
        <v>467</v>
      </c>
      <c r="X43" s="1" t="s">
        <v>622</v>
      </c>
      <c r="Y43" s="1" t="s">
        <v>422</v>
      </c>
      <c r="AA43" s="1" t="s">
        <v>768</v>
      </c>
      <c r="AB43" s="1" t="s">
        <v>769</v>
      </c>
      <c r="AP43" s="2" t="s">
        <v>770</v>
      </c>
      <c r="AU43" s="11" t="s">
        <v>666</v>
      </c>
      <c r="AV43" s="11" t="s">
        <v>618</v>
      </c>
      <c r="AW43" s="12" t="s">
        <v>730</v>
      </c>
      <c r="AX43" s="12" t="s">
        <v>359</v>
      </c>
      <c r="AY43" s="11" t="s">
        <v>622</v>
      </c>
    </row>
    <row r="44" spans="12:51" x14ac:dyDescent="0.5">
      <c r="L44" s="1" t="s">
        <v>675</v>
      </c>
      <c r="P44" s="1" t="s">
        <v>697</v>
      </c>
      <c r="Q44" s="1" t="s">
        <v>771</v>
      </c>
      <c r="S44" s="1" t="s">
        <v>675</v>
      </c>
      <c r="W44" s="1" t="s">
        <v>697</v>
      </c>
      <c r="X44" s="1" t="s">
        <v>771</v>
      </c>
      <c r="Y44" s="1" t="s">
        <v>671</v>
      </c>
      <c r="AA44" s="1" t="s">
        <v>772</v>
      </c>
      <c r="AB44" s="1" t="s">
        <v>88</v>
      </c>
      <c r="AP44" s="2" t="s">
        <v>675</v>
      </c>
      <c r="AU44" s="11" t="s">
        <v>644</v>
      </c>
      <c r="AV44" s="12" t="s">
        <v>552</v>
      </c>
      <c r="AW44" s="11" t="s">
        <v>565</v>
      </c>
      <c r="AX44" s="12" t="s">
        <v>561</v>
      </c>
      <c r="AY44" s="11" t="s">
        <v>428</v>
      </c>
    </row>
    <row r="45" spans="12:51" x14ac:dyDescent="0.5">
      <c r="L45" s="1" t="s">
        <v>773</v>
      </c>
      <c r="P45" s="1" t="s">
        <v>707</v>
      </c>
      <c r="Q45" s="1" t="s">
        <v>771</v>
      </c>
      <c r="S45" s="1" t="s">
        <v>773</v>
      </c>
      <c r="W45" s="1" t="s">
        <v>707</v>
      </c>
      <c r="X45" s="1" t="s">
        <v>771</v>
      </c>
      <c r="Y45" s="1" t="s">
        <v>358</v>
      </c>
      <c r="AA45" s="1" t="s">
        <v>774</v>
      </c>
      <c r="AB45" s="1" t="s">
        <v>671</v>
      </c>
      <c r="AP45" s="2" t="s">
        <v>637</v>
      </c>
      <c r="AU45" s="11" t="s">
        <v>729</v>
      </c>
      <c r="AV45" s="10" t="s">
        <v>538</v>
      </c>
      <c r="AW45" s="12" t="s">
        <v>742</v>
      </c>
      <c r="AX45" s="11" t="s">
        <v>536</v>
      </c>
      <c r="AY45" s="11" t="s">
        <v>452</v>
      </c>
    </row>
    <row r="46" spans="12:51" x14ac:dyDescent="0.5">
      <c r="P46" s="1" t="s">
        <v>576</v>
      </c>
      <c r="Q46" s="1" t="s">
        <v>631</v>
      </c>
      <c r="W46" s="1" t="s">
        <v>576</v>
      </c>
      <c r="X46" s="1" t="s">
        <v>631</v>
      </c>
      <c r="Y46" s="1" t="s">
        <v>775</v>
      </c>
      <c r="AA46" s="1" t="s">
        <v>539</v>
      </c>
      <c r="AB46" s="1" t="s">
        <v>362</v>
      </c>
      <c r="AP46" s="2" t="s">
        <v>598</v>
      </c>
      <c r="AU46" s="11" t="s">
        <v>676</v>
      </c>
      <c r="AV46" s="9" t="s">
        <v>636</v>
      </c>
      <c r="AW46" s="9" t="s">
        <v>374</v>
      </c>
      <c r="AX46" s="11" t="s">
        <v>600</v>
      </c>
      <c r="AY46" s="11" t="s">
        <v>373</v>
      </c>
    </row>
    <row r="47" spans="12:51" x14ac:dyDescent="0.5">
      <c r="P47" s="1" t="s">
        <v>565</v>
      </c>
      <c r="Q47" s="1" t="s">
        <v>467</v>
      </c>
      <c r="W47" s="1" t="s">
        <v>565</v>
      </c>
      <c r="X47" s="1" t="s">
        <v>467</v>
      </c>
      <c r="Y47" s="1" t="s">
        <v>776</v>
      </c>
      <c r="AA47" s="1" t="s">
        <v>370</v>
      </c>
      <c r="AB47" s="1" t="s">
        <v>777</v>
      </c>
      <c r="AP47" s="2"/>
      <c r="AU47" s="11" t="s">
        <v>694</v>
      </c>
      <c r="AV47" s="11" t="s">
        <v>544</v>
      </c>
      <c r="AW47" s="11" t="s">
        <v>677</v>
      </c>
      <c r="AX47" s="12" t="s">
        <v>562</v>
      </c>
      <c r="AY47" s="11" t="s">
        <v>612</v>
      </c>
    </row>
    <row r="48" spans="12:51" x14ac:dyDescent="0.5">
      <c r="P48" s="1" t="s">
        <v>565</v>
      </c>
      <c r="Q48" s="1" t="s">
        <v>697</v>
      </c>
      <c r="W48" s="1" t="s">
        <v>565</v>
      </c>
      <c r="X48" s="1" t="s">
        <v>697</v>
      </c>
      <c r="Y48" s="1" t="s">
        <v>778</v>
      </c>
      <c r="AA48" s="1" t="s">
        <v>642</v>
      </c>
      <c r="AB48" s="1" t="s">
        <v>382</v>
      </c>
      <c r="AU48" s="11" t="s">
        <v>741</v>
      </c>
      <c r="AV48" s="10" t="s">
        <v>364</v>
      </c>
      <c r="AW48" s="12" t="s">
        <v>751</v>
      </c>
      <c r="AX48" s="11" t="s">
        <v>591</v>
      </c>
      <c r="AY48" s="11" t="s">
        <v>644</v>
      </c>
    </row>
    <row r="49" spans="16:51" x14ac:dyDescent="0.5">
      <c r="P49" s="1" t="s">
        <v>779</v>
      </c>
      <c r="Q49" s="1" t="s">
        <v>780</v>
      </c>
      <c r="W49" s="1" t="s">
        <v>779</v>
      </c>
      <c r="X49" s="1" t="s">
        <v>780</v>
      </c>
      <c r="Y49" s="1" t="s">
        <v>471</v>
      </c>
      <c r="AA49" s="1" t="s">
        <v>664</v>
      </c>
      <c r="AB49" s="1" t="s">
        <v>381</v>
      </c>
      <c r="AU49" s="11" t="s">
        <v>451</v>
      </c>
      <c r="AV49" s="12" t="s">
        <v>553</v>
      </c>
      <c r="AW49" s="11" t="s">
        <v>676</v>
      </c>
      <c r="AX49" s="12" t="s">
        <v>670</v>
      </c>
      <c r="AY49" s="11" t="s">
        <v>472</v>
      </c>
    </row>
    <row r="50" spans="16:51" x14ac:dyDescent="0.5">
      <c r="P50" s="1" t="s">
        <v>374</v>
      </c>
      <c r="Q50" s="1" t="s">
        <v>666</v>
      </c>
      <c r="W50" s="1" t="s">
        <v>374</v>
      </c>
      <c r="X50" s="1" t="s">
        <v>666</v>
      </c>
      <c r="Y50" s="1" t="s">
        <v>595</v>
      </c>
      <c r="AA50" s="1" t="s">
        <v>455</v>
      </c>
      <c r="AB50" s="1" t="s">
        <v>696</v>
      </c>
      <c r="AU50" s="11" t="s">
        <v>696</v>
      </c>
      <c r="AV50" s="11" t="s">
        <v>658</v>
      </c>
      <c r="AW50" s="12" t="s">
        <v>741</v>
      </c>
      <c r="AX50" s="12" t="s">
        <v>556</v>
      </c>
      <c r="AY50" s="11" t="s">
        <v>528</v>
      </c>
    </row>
    <row r="51" spans="16:51" x14ac:dyDescent="0.5">
      <c r="P51" s="1" t="s">
        <v>781</v>
      </c>
      <c r="Q51" s="1" t="s">
        <v>782</v>
      </c>
      <c r="W51" s="1" t="s">
        <v>781</v>
      </c>
      <c r="X51" s="1" t="s">
        <v>782</v>
      </c>
      <c r="Y51" s="1" t="s">
        <v>783</v>
      </c>
      <c r="AA51" s="1" t="s">
        <v>670</v>
      </c>
      <c r="AB51" s="1" t="s">
        <v>718</v>
      </c>
      <c r="AU51" s="11" t="s">
        <v>675</v>
      </c>
      <c r="AV51" s="11" t="s">
        <v>365</v>
      </c>
      <c r="AW51" s="11" t="s">
        <v>377</v>
      </c>
      <c r="AX51" s="12" t="s">
        <v>630</v>
      </c>
      <c r="AY51" s="11" t="s">
        <v>726</v>
      </c>
    </row>
    <row r="52" spans="16:51" x14ac:dyDescent="0.5">
      <c r="P52" s="1" t="s">
        <v>749</v>
      </c>
      <c r="Q52" s="1" t="s">
        <v>770</v>
      </c>
      <c r="W52" s="1" t="s">
        <v>749</v>
      </c>
      <c r="X52" s="1" t="s">
        <v>770</v>
      </c>
      <c r="Y52" s="1" t="s">
        <v>718</v>
      </c>
      <c r="AA52" s="1" t="s">
        <v>624</v>
      </c>
      <c r="AB52" s="1" t="s">
        <v>784</v>
      </c>
      <c r="AU52" s="11" t="s">
        <v>739</v>
      </c>
      <c r="AV52" s="9" t="s">
        <v>617</v>
      </c>
      <c r="AW52" s="10" t="s">
        <v>451</v>
      </c>
      <c r="AX52" s="11" t="s">
        <v>578</v>
      </c>
      <c r="AY52" s="11" t="s">
        <v>747</v>
      </c>
    </row>
    <row r="53" spans="16:51" x14ac:dyDescent="0.5">
      <c r="P53" s="1" t="s">
        <v>666</v>
      </c>
      <c r="Q53" s="1" t="s">
        <v>668</v>
      </c>
      <c r="W53" s="1" t="s">
        <v>666</v>
      </c>
      <c r="X53" s="1" t="s">
        <v>668</v>
      </c>
      <c r="AA53" s="1" t="s">
        <v>785</v>
      </c>
      <c r="AB53" s="1" t="s">
        <v>786</v>
      </c>
      <c r="AU53" s="11" t="s">
        <v>567</v>
      </c>
      <c r="AV53" s="11" t="s">
        <v>673</v>
      </c>
      <c r="AW53" s="9" t="s">
        <v>675</v>
      </c>
      <c r="AX53" s="12" t="s">
        <v>687</v>
      </c>
      <c r="AY53" s="11" t="s">
        <v>88</v>
      </c>
    </row>
    <row r="54" spans="16:51" x14ac:dyDescent="0.5">
      <c r="P54" s="1" t="s">
        <v>683</v>
      </c>
      <c r="Q54" s="1" t="s">
        <v>377</v>
      </c>
      <c r="W54" s="1" t="s">
        <v>683</v>
      </c>
      <c r="X54" s="1" t="s">
        <v>377</v>
      </c>
      <c r="AA54" s="1" t="s">
        <v>787</v>
      </c>
      <c r="AB54" s="1" t="s">
        <v>377</v>
      </c>
      <c r="AU54" s="11" t="s">
        <v>380</v>
      </c>
      <c r="AV54" s="11" t="s">
        <v>590</v>
      </c>
      <c r="AW54" s="10" t="s">
        <v>706</v>
      </c>
      <c r="AX54" s="11" t="s">
        <v>553</v>
      </c>
      <c r="AY54" s="11" t="s">
        <v>676</v>
      </c>
    </row>
    <row r="55" spans="16:51" x14ac:dyDescent="0.5">
      <c r="P55" s="1" t="s">
        <v>376</v>
      </c>
      <c r="Q55" s="1" t="s">
        <v>641</v>
      </c>
      <c r="W55" s="1" t="s">
        <v>376</v>
      </c>
      <c r="X55" s="1" t="s">
        <v>641</v>
      </c>
      <c r="AA55" s="1" t="s">
        <v>677</v>
      </c>
      <c r="AB55" s="1" t="s">
        <v>788</v>
      </c>
      <c r="AU55" s="11" t="s">
        <v>524</v>
      </c>
      <c r="AV55" s="12" t="s">
        <v>690</v>
      </c>
      <c r="AW55" s="12" t="s">
        <v>713</v>
      </c>
      <c r="AX55" s="12" t="s">
        <v>498</v>
      </c>
      <c r="AY55" s="11" t="s">
        <v>451</v>
      </c>
    </row>
    <row r="56" spans="16:51" x14ac:dyDescent="0.5">
      <c r="P56" s="1" t="s">
        <v>528</v>
      </c>
      <c r="Q56" s="1" t="s">
        <v>696</v>
      </c>
      <c r="W56" s="1" t="s">
        <v>528</v>
      </c>
      <c r="X56" s="1" t="s">
        <v>696</v>
      </c>
      <c r="AA56" s="1" t="s">
        <v>789</v>
      </c>
      <c r="AB56" s="1" t="s">
        <v>721</v>
      </c>
      <c r="AU56" s="13"/>
      <c r="AV56" s="10" t="s">
        <v>601</v>
      </c>
      <c r="AW56" s="10" t="s">
        <v>704</v>
      </c>
      <c r="AX56" s="11" t="s">
        <v>705</v>
      </c>
      <c r="AY56" s="11" t="s">
        <v>675</v>
      </c>
    </row>
    <row r="57" spans="16:51" x14ac:dyDescent="0.5">
      <c r="P57" s="1" t="s">
        <v>790</v>
      </c>
      <c r="Q57" s="1" t="s">
        <v>675</v>
      </c>
      <c r="W57" s="1" t="s">
        <v>790</v>
      </c>
      <c r="X57" s="1" t="s">
        <v>675</v>
      </c>
      <c r="AA57" s="1" t="s">
        <v>638</v>
      </c>
      <c r="AB57" s="1" t="s">
        <v>552</v>
      </c>
      <c r="AV57" s="12" t="s">
        <v>671</v>
      </c>
      <c r="AW57" s="11" t="s">
        <v>721</v>
      </c>
      <c r="AX57" s="11" t="s">
        <v>427</v>
      </c>
      <c r="AY57" s="11" t="s">
        <v>621</v>
      </c>
    </row>
    <row r="58" spans="16:51" x14ac:dyDescent="0.5">
      <c r="P58" s="1" t="s">
        <v>377</v>
      </c>
      <c r="Q58" s="1" t="s">
        <v>378</v>
      </c>
      <c r="W58" s="1" t="s">
        <v>377</v>
      </c>
      <c r="X58" s="1" t="s">
        <v>378</v>
      </c>
      <c r="AA58" s="1" t="s">
        <v>791</v>
      </c>
      <c r="AB58" s="1" t="s">
        <v>792</v>
      </c>
      <c r="AV58" s="11" t="s">
        <v>624</v>
      </c>
      <c r="AW58" s="9"/>
      <c r="AX58" s="11" t="s">
        <v>501</v>
      </c>
      <c r="AY58" s="11" t="s">
        <v>704</v>
      </c>
    </row>
    <row r="59" spans="16:51" x14ac:dyDescent="0.5">
      <c r="P59" s="1" t="s">
        <v>641</v>
      </c>
      <c r="Q59" s="1" t="s">
        <v>793</v>
      </c>
      <c r="W59" s="1" t="s">
        <v>641</v>
      </c>
      <c r="X59" s="1" t="s">
        <v>793</v>
      </c>
      <c r="AA59" s="1" t="s">
        <v>794</v>
      </c>
      <c r="AB59" s="1" t="s">
        <v>795</v>
      </c>
      <c r="AU59" s="2"/>
      <c r="AV59" s="11" t="s">
        <v>691</v>
      </c>
      <c r="AW59" s="9"/>
      <c r="AX59" s="11" t="s">
        <v>367</v>
      </c>
      <c r="AY59" s="11" t="s">
        <v>598</v>
      </c>
    </row>
    <row r="60" spans="16:51" x14ac:dyDescent="0.5">
      <c r="P60" s="1" t="s">
        <v>783</v>
      </c>
      <c r="Q60" s="1" t="s">
        <v>569</v>
      </c>
      <c r="W60" s="1" t="s">
        <v>783</v>
      </c>
      <c r="X60" s="1" t="s">
        <v>569</v>
      </c>
      <c r="AA60" s="1" t="s">
        <v>796</v>
      </c>
      <c r="AB60" s="1" t="s">
        <v>797</v>
      </c>
      <c r="AV60" s="12" t="s">
        <v>678</v>
      </c>
      <c r="AW60" s="9"/>
      <c r="AX60" s="11" t="s">
        <v>96</v>
      </c>
      <c r="AY60" s="11"/>
    </row>
    <row r="61" spans="16:51" x14ac:dyDescent="0.5">
      <c r="P61" s="1" t="s">
        <v>593</v>
      </c>
      <c r="Q61" s="1" t="s">
        <v>542</v>
      </c>
      <c r="W61" s="1" t="s">
        <v>593</v>
      </c>
      <c r="X61" s="1" t="s">
        <v>542</v>
      </c>
      <c r="AA61" s="1" t="s">
        <v>427</v>
      </c>
      <c r="AB61" s="1" t="s">
        <v>798</v>
      </c>
      <c r="AV61" s="11" t="s">
        <v>589</v>
      </c>
      <c r="AW61" s="9"/>
      <c r="AX61" s="11" t="s">
        <v>622</v>
      </c>
      <c r="AY61" s="11"/>
    </row>
    <row r="62" spans="16:51" x14ac:dyDescent="0.5">
      <c r="P62" s="1" t="s">
        <v>748</v>
      </c>
      <c r="Q62" s="1" t="s">
        <v>704</v>
      </c>
      <c r="W62" s="1" t="s">
        <v>748</v>
      </c>
      <c r="X62" s="1" t="s">
        <v>704</v>
      </c>
      <c r="AA62" s="1" t="s">
        <v>376</v>
      </c>
      <c r="AB62" s="1" t="s">
        <v>799</v>
      </c>
      <c r="AV62" s="12" t="s">
        <v>608</v>
      </c>
      <c r="AW62" s="9"/>
      <c r="AX62" s="11" t="s">
        <v>428</v>
      </c>
      <c r="AY62" s="11"/>
    </row>
    <row r="63" spans="16:51" x14ac:dyDescent="0.5">
      <c r="P63" s="1" t="s">
        <v>603</v>
      </c>
      <c r="Q63" s="1" t="s">
        <v>381</v>
      </c>
      <c r="W63" s="1" t="s">
        <v>603</v>
      </c>
      <c r="X63" s="1" t="s">
        <v>381</v>
      </c>
      <c r="AA63" s="1" t="s">
        <v>800</v>
      </c>
      <c r="AU63" s="2"/>
      <c r="AV63" s="12" t="s">
        <v>631</v>
      </c>
      <c r="AW63" s="9"/>
      <c r="AX63" s="12" t="s">
        <v>452</v>
      </c>
      <c r="AY63" s="11"/>
    </row>
    <row r="64" spans="16:51" x14ac:dyDescent="0.5">
      <c r="Q64" s="1" t="s">
        <v>598</v>
      </c>
      <c r="X64" s="1" t="s">
        <v>598</v>
      </c>
      <c r="AA64" s="1" t="s">
        <v>729</v>
      </c>
      <c r="AV64" s="11" t="s">
        <v>372</v>
      </c>
      <c r="AW64" s="9"/>
      <c r="AX64" s="11" t="s">
        <v>373</v>
      </c>
      <c r="AY64" s="11"/>
    </row>
    <row r="65" spans="17:51" x14ac:dyDescent="0.5">
      <c r="Q65" s="1" t="s">
        <v>382</v>
      </c>
      <c r="X65" s="1" t="s">
        <v>382</v>
      </c>
      <c r="AA65" s="1" t="s">
        <v>775</v>
      </c>
      <c r="AV65" s="9" t="s">
        <v>688</v>
      </c>
      <c r="AW65" s="9"/>
      <c r="AX65" s="12" t="s">
        <v>612</v>
      </c>
      <c r="AY65" s="11"/>
    </row>
    <row r="66" spans="17:51" x14ac:dyDescent="0.5">
      <c r="Q66" s="1" t="s">
        <v>801</v>
      </c>
      <c r="X66" s="1" t="s">
        <v>801</v>
      </c>
      <c r="AA66" s="1" t="s">
        <v>802</v>
      </c>
      <c r="AV66" s="10" t="s">
        <v>646</v>
      </c>
      <c r="AW66" s="9"/>
      <c r="AX66" s="11" t="s">
        <v>644</v>
      </c>
      <c r="AY66" s="11"/>
    </row>
    <row r="67" spans="17:51" x14ac:dyDescent="0.5">
      <c r="AA67" s="1" t="s">
        <v>803</v>
      </c>
      <c r="AV67" s="12" t="s">
        <v>730</v>
      </c>
      <c r="AW67" s="9"/>
      <c r="AX67" s="11" t="s">
        <v>663</v>
      </c>
      <c r="AY67" s="11"/>
    </row>
    <row r="68" spans="17:51" x14ac:dyDescent="0.5">
      <c r="AA68" s="1" t="s">
        <v>724</v>
      </c>
      <c r="AV68" s="9" t="s">
        <v>576</v>
      </c>
      <c r="AW68" s="9"/>
      <c r="AX68" s="11" t="s">
        <v>472</v>
      </c>
      <c r="AY68" s="11"/>
    </row>
    <row r="69" spans="17:51" x14ac:dyDescent="0.5">
      <c r="AV69" s="11" t="s">
        <v>565</v>
      </c>
      <c r="AW69" s="9"/>
      <c r="AX69" s="11" t="s">
        <v>528</v>
      </c>
      <c r="AY69" s="11"/>
    </row>
    <row r="70" spans="17:51" x14ac:dyDescent="0.5">
      <c r="AV70" s="12" t="s">
        <v>742</v>
      </c>
      <c r="AW70" s="14"/>
      <c r="AX70" s="11" t="s">
        <v>726</v>
      </c>
      <c r="AY70" s="11"/>
    </row>
    <row r="71" spans="17:51" x14ac:dyDescent="0.5">
      <c r="AV71" s="11" t="s">
        <v>374</v>
      </c>
      <c r="AX71" s="11" t="s">
        <v>554</v>
      </c>
      <c r="AY71" s="11"/>
    </row>
    <row r="72" spans="17:51" x14ac:dyDescent="0.5">
      <c r="AV72" s="11" t="s">
        <v>677</v>
      </c>
      <c r="AX72" s="12" t="s">
        <v>747</v>
      </c>
      <c r="AY72" s="11"/>
    </row>
    <row r="73" spans="17:51" x14ac:dyDescent="0.5">
      <c r="AV73" s="12" t="s">
        <v>644</v>
      </c>
      <c r="AX73" s="11" t="s">
        <v>500</v>
      </c>
      <c r="AY73" s="11"/>
    </row>
    <row r="74" spans="17:51" x14ac:dyDescent="0.5">
      <c r="AV74" s="9" t="s">
        <v>714</v>
      </c>
      <c r="AX74" s="12" t="s">
        <v>88</v>
      </c>
      <c r="AY74" s="11"/>
    </row>
    <row r="75" spans="17:51" x14ac:dyDescent="0.5">
      <c r="AV75" s="10" t="s">
        <v>718</v>
      </c>
      <c r="AX75" s="11" t="s">
        <v>676</v>
      </c>
      <c r="AY75" s="11"/>
    </row>
    <row r="76" spans="17:51" x14ac:dyDescent="0.5">
      <c r="AV76" s="9" t="s">
        <v>722</v>
      </c>
      <c r="AX76" s="11" t="s">
        <v>694</v>
      </c>
      <c r="AY76" s="11"/>
    </row>
    <row r="77" spans="17:51" x14ac:dyDescent="0.5">
      <c r="AV77" s="12" t="s">
        <v>751</v>
      </c>
      <c r="AX77" s="12" t="s">
        <v>451</v>
      </c>
      <c r="AY77" s="11"/>
    </row>
    <row r="78" spans="17:51" x14ac:dyDescent="0.5">
      <c r="AV78" s="12" t="s">
        <v>88</v>
      </c>
      <c r="AX78" s="12" t="s">
        <v>699</v>
      </c>
      <c r="AY78" s="11"/>
    </row>
    <row r="79" spans="17:51" x14ac:dyDescent="0.5">
      <c r="AV79" s="11" t="s">
        <v>676</v>
      </c>
      <c r="AX79" s="11" t="s">
        <v>675</v>
      </c>
      <c r="AY79" s="11"/>
    </row>
    <row r="80" spans="17:51" x14ac:dyDescent="0.5">
      <c r="AV80" s="10" t="s">
        <v>727</v>
      </c>
      <c r="AX80" s="11" t="s">
        <v>621</v>
      </c>
      <c r="AY80" s="11"/>
    </row>
    <row r="81" spans="48:51" x14ac:dyDescent="0.5">
      <c r="AV81" s="12" t="s">
        <v>741</v>
      </c>
      <c r="AX81" s="12" t="s">
        <v>653</v>
      </c>
      <c r="AY81" s="12"/>
    </row>
    <row r="82" spans="48:51" x14ac:dyDescent="0.5">
      <c r="AV82" s="9" t="s">
        <v>733</v>
      </c>
      <c r="AX82" s="11" t="s">
        <v>695</v>
      </c>
      <c r="AY82" s="11"/>
    </row>
    <row r="83" spans="48:51" x14ac:dyDescent="0.5">
      <c r="AV83" s="11" t="s">
        <v>377</v>
      </c>
      <c r="AX83" s="12" t="s">
        <v>569</v>
      </c>
      <c r="AY83" s="12"/>
    </row>
    <row r="84" spans="48:51" x14ac:dyDescent="0.5">
      <c r="AV84" s="12" t="s">
        <v>739</v>
      </c>
      <c r="AX84" s="12" t="s">
        <v>542</v>
      </c>
      <c r="AY84" s="11"/>
    </row>
    <row r="85" spans="48:51" x14ac:dyDescent="0.5">
      <c r="AV85" s="9" t="s">
        <v>593</v>
      </c>
      <c r="AX85" s="11" t="s">
        <v>704</v>
      </c>
      <c r="AY85" s="11"/>
    </row>
    <row r="86" spans="48:51" x14ac:dyDescent="0.5">
      <c r="AV86" s="11" t="s">
        <v>748</v>
      </c>
      <c r="AX86" s="15" t="s">
        <v>598</v>
      </c>
      <c r="AY86" s="11"/>
    </row>
    <row r="87" spans="48:51" x14ac:dyDescent="0.5">
      <c r="AV87" s="12" t="s">
        <v>713</v>
      </c>
      <c r="AX87" s="12" t="s">
        <v>382</v>
      </c>
      <c r="AY87" s="15"/>
    </row>
    <row r="88" spans="48:51" x14ac:dyDescent="0.5">
      <c r="AV88" s="11" t="s">
        <v>721</v>
      </c>
      <c r="AX88" s="12"/>
    </row>
    <row r="89" spans="48:51" x14ac:dyDescent="0.5">
      <c r="AV89" s="12"/>
      <c r="AX89" s="12"/>
    </row>
    <row r="90" spans="48:51" x14ac:dyDescent="0.5">
      <c r="AV90" s="12"/>
      <c r="AX90" s="12"/>
    </row>
    <row r="91" spans="48:51" x14ac:dyDescent="0.5">
      <c r="AV91" s="11"/>
      <c r="AX91" s="12"/>
    </row>
    <row r="92" spans="48:51" x14ac:dyDescent="0.5">
      <c r="AV92" s="12"/>
      <c r="AX92" s="15"/>
    </row>
    <row r="93" spans="48:51" x14ac:dyDescent="0.5">
      <c r="AV93" s="12"/>
    </row>
    <row r="94" spans="48:51" x14ac:dyDescent="0.5">
      <c r="AV94" s="12"/>
    </row>
    <row r="95" spans="48:51" x14ac:dyDescent="0.5">
      <c r="AV95" s="12"/>
    </row>
    <row r="96" spans="48:51" x14ac:dyDescent="0.5">
      <c r="AV96" s="12"/>
    </row>
    <row r="97" spans="48:48" x14ac:dyDescent="0.5">
      <c r="AV97" s="11"/>
    </row>
    <row r="98" spans="48:48" x14ac:dyDescent="0.5">
      <c r="AV98" s="12"/>
    </row>
    <row r="99" spans="48:48" x14ac:dyDescent="0.5">
      <c r="AV99" s="12"/>
    </row>
    <row r="100" spans="48:48" x14ac:dyDescent="0.5">
      <c r="AV100" s="12"/>
    </row>
    <row r="101" spans="48:48" x14ac:dyDescent="0.5">
      <c r="AV101" s="12"/>
    </row>
    <row r="102" spans="48:48" x14ac:dyDescent="0.5">
      <c r="AV102" s="12"/>
    </row>
    <row r="103" spans="48:48" x14ac:dyDescent="0.5">
      <c r="AV103" s="10"/>
    </row>
    <row r="104" spans="48:48" x14ac:dyDescent="0.5">
      <c r="AV104" s="12"/>
    </row>
    <row r="105" spans="48:48" x14ac:dyDescent="0.5">
      <c r="AV105" s="12"/>
    </row>
    <row r="106" spans="48:48" x14ac:dyDescent="0.5">
      <c r="AV106" s="12"/>
    </row>
    <row r="107" spans="48:48" x14ac:dyDescent="0.5">
      <c r="AV107" s="12"/>
    </row>
    <row r="108" spans="48:48" x14ac:dyDescent="0.5">
      <c r="AV108" s="15"/>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67</vt:i4>
      </vt:variant>
    </vt:vector>
  </HeadingPairs>
  <TitlesOfParts>
    <vt:vector size="74"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AnálisisAK</vt:lpstr>
      <vt:lpstr>AnálisisB</vt:lpstr>
      <vt:lpstr>AnálisisBAK</vt:lpstr>
      <vt:lpstr>AnalizarLK</vt:lpstr>
      <vt:lpstr>AplicaciónB</vt:lpstr>
      <vt:lpstr>AplicaciónBAK</vt:lpstr>
      <vt:lpstr>AplicarLK</vt:lpstr>
      <vt:lpstr>áreasprofesionales</vt:lpstr>
      <vt:lpstr>BAK</vt:lpstr>
      <vt:lpstr>Bloom</vt:lpstr>
      <vt:lpstr>CaracterizarBAK</vt:lpstr>
      <vt:lpstr>Cognitivo</vt:lpstr>
      <vt:lpstr>cognitivoB</vt:lpstr>
      <vt:lpstr>CognitivoBAK</vt:lpstr>
      <vt:lpstr>competencias</vt:lpstr>
      <vt:lpstr>ComprenderLK</vt:lpstr>
      <vt:lpstr>ComprensiónAK</vt:lpstr>
      <vt:lpstr>ComprensiónB</vt:lpstr>
      <vt:lpstr>ComprensiónBAK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InformaciónAK</vt:lpstr>
      <vt:lpstr>LK</vt:lpstr>
      <vt:lpstr>ManipulaciónBAK</vt:lpstr>
      <vt:lpstr>MetacogniciónAK</vt:lpstr>
      <vt:lpstr>MetacogniciónLK</vt:lpstr>
      <vt:lpstr>MetocogniciónAK</vt:lpstr>
      <vt:lpstr>ocupacional</vt:lpstr>
      <vt:lpstr>OrganizarBAK</vt:lpstr>
      <vt:lpstr>PercepciónBAK</vt:lpstr>
      <vt:lpstr>poblacionactuacion</vt:lpstr>
      <vt:lpstr>poblaciones</vt:lpstr>
      <vt:lpstr>poblacionesactuación</vt:lpstr>
      <vt:lpstr>PrecisiónBAK</vt:lpstr>
      <vt:lpstr>procedimentalB</vt:lpstr>
      <vt:lpstr>ProcedimentalBAK</vt:lpstr>
      <vt:lpstr>ProcedimientosLK</vt:lpstr>
      <vt:lpstr>ProcesosAK</vt:lpstr>
      <vt:lpstr>PsicomotorAK</vt:lpstr>
      <vt:lpstr>RecordarLK</vt:lpstr>
      <vt:lpstr>RecuperaciónAK</vt:lpstr>
      <vt:lpstr>ResponderBAK</vt:lpstr>
      <vt:lpstr>resultadoaprendizaje</vt:lpstr>
      <vt:lpstr>Saberhacer</vt:lpstr>
      <vt:lpstr>saberser</vt:lpstr>
      <vt:lpstr>SíntesisB</vt:lpstr>
      <vt:lpstr>SíntesisBAK</vt:lpstr>
      <vt:lpstr>tareas</vt:lpstr>
      <vt:lpstr>tareasprofesionales</vt:lpstr>
      <vt:lpstr>taxonomiasra</vt:lpstr>
      <vt:lpstr>UsoConocimientoAK</vt:lpstr>
      <vt:lpstr>Valoragregado</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2026-05-11T15:05:30Z</dcterms:modified>
  <cp:category/>
  <cp:contentStatus/>
</cp:coreProperties>
</file>