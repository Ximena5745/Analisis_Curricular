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updateLinks="always" defaultThemeVersion="166925"/>
  <mc:AlternateContent xmlns:mc="http://schemas.openxmlformats.org/markup-compatibility/2006">
    <mc:Choice Requires="x15">
      <x15ac:absPath xmlns:x15ac="http://schemas.microsoft.com/office/spreadsheetml/2010/11/ac" url="https://poligran-my.sharepoint.com/personal/micortes_poligran_edu_co/Documents/Escritorio/01_FormatosRA_ReformaCurricular/"/>
    </mc:Choice>
  </mc:AlternateContent>
  <xr:revisionPtr revIDLastSave="1" documentId="13_ncr:1_{1056F121-6F4D-472F-BFB3-45024DF0D5F1}" xr6:coauthVersionLast="47" xr6:coauthVersionMax="47" xr10:uidLastSave="{0F729F42-D136-42D4-AC6E-9BE11BA419A0}"/>
  <bookViews>
    <workbookView xWindow="-110" yWindow="-110" windowWidth="19420" windowHeight="10300" firstSheet="4" activeTab="4" xr2:uid="{BD68381A-4EB3-42BA-ADD5-D7B5B6C7E498}"/>
  </bookViews>
  <sheets>
    <sheet name="Paso1 Analisis perfil egreso" sheetId="1" r:id="rId1"/>
    <sheet name="Paso 2 Redacción competen" sheetId="6" r:id="rId2"/>
    <sheet name="Paso 3 Redacción RA " sheetId="5" r:id="rId3"/>
    <sheet name="Paso 4 Estrategias mesocurricu" sheetId="8" r:id="rId4"/>
    <sheet name="Paso 5 Estrategias micro" sheetId="10" r:id="rId5"/>
    <sheet name="Taxonomia para Competencias" sheetId="11" r:id="rId6"/>
    <sheet name="Taxonomias para RA" sheetId="9" r:id="rId7"/>
  </sheets>
  <externalReferences>
    <externalReference r:id="rId8"/>
  </externalReferences>
  <definedNames>
    <definedName name="_xlnm._FilterDatabase" localSheetId="2" hidden="1">'Paso 3 Redacción RA '!$A$2:$I$12</definedName>
    <definedName name="_xlnm._FilterDatabase" localSheetId="3" hidden="1">'Paso 4 Estrategias mesocurricu'!$A$2:$E$11</definedName>
    <definedName name="_xlnm._FilterDatabase" localSheetId="4" hidden="1">'Paso 5 Estrategias micro'!$A$1:$Q$128</definedName>
    <definedName name="actitudinalB" localSheetId="4">Tabla5785[ActitudinalB]</definedName>
    <definedName name="actitudinalB">Tabla5785[ActitudinalB]</definedName>
    <definedName name="ActitudinalBAK">'Taxonomias para RA'!$AC$3:$AG$3</definedName>
    <definedName name="AK" localSheetId="4">Tabla6088[AK]</definedName>
    <definedName name="AK">Tabla6088[AK]</definedName>
    <definedName name="AnálisisAK" localSheetId="4">Tabla99[AnálisisAK]</definedName>
    <definedName name="AnálisisAK">Tabla99[AnálisisAK]</definedName>
    <definedName name="AnálisisB" localSheetId="4">Tabla385280[AnálisisB]</definedName>
    <definedName name="AnálisisB">Tabla385280[AnálisisB]</definedName>
    <definedName name="AnálisisBAK" localSheetId="4">Tabla3865[AnálisisBAK]</definedName>
    <definedName name="AnálisisBAK">Tabla3865[AnálisisBAK]</definedName>
    <definedName name="AnalizarLK" localSheetId="4">Tabla2129[AnalizarLK]</definedName>
    <definedName name="AnalizarLK">Tabla2129[AnalizarLK]</definedName>
    <definedName name="AplicaciónB" localSheetId="4">Tabla375179[AplicaciónB]</definedName>
    <definedName name="AplicaciónB">Tabla375179[AplicaciónB]</definedName>
    <definedName name="AplicaciónBAK" localSheetId="4">Tabla3764[AplicaciónBAK]</definedName>
    <definedName name="AplicaciónBAK">Tabla3764[AplicaciónBAK]</definedName>
    <definedName name="AplicarLK" localSheetId="4">Tabla2028[AplicarLK]</definedName>
    <definedName name="AplicarLK">Tabla2028[AplicarLK]</definedName>
    <definedName name="áreasprofesionales" localSheetId="4">'Paso1 Analisis perfil egreso'!$H$3:$H$13</definedName>
    <definedName name="áreasprofesionales">'Paso1 Analisis perfil egreso'!$H$3:$H$13</definedName>
    <definedName name="BAK" localSheetId="4">Tabla5886[BAK]</definedName>
    <definedName name="BAK">Tabla5886[BAK]</definedName>
    <definedName name="Bloom">'Taxonomias para RA'!$G$3:$I$3</definedName>
    <definedName name="CaracterizarBAK" localSheetId="4">Tabla4776[CaracterizarBAK]</definedName>
    <definedName name="CaracterizarBAK">Tabla4776[CaracterizarBAK]</definedName>
    <definedName name="Cognitivo" localSheetId="4">'Paso1 Analisis perfil egreso'!$E$3:$E$14</definedName>
    <definedName name="Cognitivo">'Paso1 Analisis perfil egreso'!$E$3:$E$14</definedName>
    <definedName name="cognitivoB" localSheetId="4">Tabla5583[CognitivoB]</definedName>
    <definedName name="cognitivoB">Tabla5583[CognitivoB]</definedName>
    <definedName name="CognitivoBAK">'Taxonomias para RA'!$S$3:$X$3</definedName>
    <definedName name="competencias">'Paso 2 Redacción competen'!$F$4:$F$12</definedName>
    <definedName name="ComponentesCompetencias">'[1]Paso1 Analisis perfil egreso'!$E$2:$G$2</definedName>
    <definedName name="ComprenderLK">'Taxonomias para RA'!$AM$5:$AM$27</definedName>
    <definedName name="ComprensiónAK" localSheetId="4">Tabla98[ComprensiónAK]</definedName>
    <definedName name="ComprensiónAK">Tabla98[ComprensiónAK]</definedName>
    <definedName name="ComprensionB" localSheetId="4">Tabla365078[ComprensiónB]</definedName>
    <definedName name="ComprensionB">Tabla365078[ComprensiónB]</definedName>
    <definedName name="ComprensiónBAK" localSheetId="4">Tabla3663[ComprensiónBAK]</definedName>
    <definedName name="ComprensiónBAK">Tabla3663[ComprensiónBAK]</definedName>
    <definedName name="ConceptosLK" localSheetId="4">Tabla91[ConceptosLK]</definedName>
    <definedName name="ConceptosLK">Tabla91[ConceptosLK]</definedName>
    <definedName name="ConocimientoB" localSheetId="4">Tabla354977[ConocimientoB]</definedName>
    <definedName name="ConocimientoB">Tabla354977[ConocimientoB]</definedName>
    <definedName name="ConocimientoBAK" localSheetId="4">Tabla3555[ConocimientoBAK]</definedName>
    <definedName name="ConocimientoBAK">Tabla3555[ConocimientoBAK]</definedName>
    <definedName name="Conocimientos" localSheetId="4">'Paso1 Analisis perfil egreso'!$E$3:$E$14</definedName>
    <definedName name="Conocimientos">'Paso1 Analisis perfil egreso'!$E$3:$E$14</definedName>
    <definedName name="ControlBAK" localSheetId="4">Tabla4271[ControlBAK]</definedName>
    <definedName name="ControlBAK">Tabla4271[ControlBAK]</definedName>
    <definedName name="CrearLK" localSheetId="4">Tabla2333[CrearLK]</definedName>
    <definedName name="CrearLK">Tabla2333[CrearLK]</definedName>
    <definedName name="dominios">'Paso1 Analisis perfil egreso'!$E$2:$G$2</definedName>
    <definedName name="EvaluaciónB" localSheetId="4">Tabla405482[EvaluaciónB]</definedName>
    <definedName name="EvaluaciónB">Tabla405482[EvaluaciónB]</definedName>
    <definedName name="EvaluaciónBAK" localSheetId="4">Tabla4067[EvaluaciónBAK]</definedName>
    <definedName name="EvaluaciónBAK">Tabla4067[EvaluaciónBAK]</definedName>
    <definedName name="EvaluarLK">'Taxonomias para RA'!$AP$5:$AP$46</definedName>
    <definedName name="HechosLK" localSheetId="4">Tabla90[HechosLK]</definedName>
    <definedName name="HechosLK">Tabla90[HechosLK]</definedName>
    <definedName name="ImitaciónBAK" localSheetId="4">Tabla1168[ImitaciónBAK]</definedName>
    <definedName name="ImitaciónBAK">Tabla1168[ImitaciónBAK]</definedName>
    <definedName name="InformaciónAK" localSheetId="4">Tabla94[InformaciónAK]</definedName>
    <definedName name="InformaciónAK">Tabla94[InformaciónAK]</definedName>
    <definedName name="LK" localSheetId="4">Tabla5987[LK]</definedName>
    <definedName name="LK">Tabla5987[LK]</definedName>
    <definedName name="ManipulaciónBAK" localSheetId="4">Tabla3069[ManipulaciónBAK]</definedName>
    <definedName name="ManipulaciónBAK">Tabla3069[ManipulaciónBAK]</definedName>
    <definedName name="MetacogniciónAK" localSheetId="4">Tabla101[MetacogniciónAK]</definedName>
    <definedName name="MetacogniciónAK">Tabla101[MetacogniciónAK]</definedName>
    <definedName name="MetacogniciónLK" localSheetId="4">Tabla93[MetacogniciónLK]</definedName>
    <definedName name="MetacogniciónLK">Tabla93[MetacogniciónLK]</definedName>
    <definedName name="MetocogniciónAK" localSheetId="4">Tabla101[MetacogniciónAK]</definedName>
    <definedName name="MetocogniciónAK">Tabla101[MetacogniciónAK]</definedName>
    <definedName name="ocupacional">'Paso1 Analisis perfil egreso'!$H$2:$J$2</definedName>
    <definedName name="OrganizarBAK" localSheetId="4">Tabla4675[OrganizarBAK]</definedName>
    <definedName name="OrganizarBAK">Tabla4675[OrganizarBAK]</definedName>
    <definedName name="PercepciónBAK">'Taxonomias para RA'!$AC$4:$AC$40</definedName>
    <definedName name="poblacionactuacion" localSheetId="4">'Paso1 Analisis perfil egreso'!$J$3:$J$7</definedName>
    <definedName name="poblacionactuacion">'Paso1 Analisis perfil egreso'!$J$3:$J$7</definedName>
    <definedName name="poblaciones" localSheetId="4">'Paso1 Analisis perfil egreso'!$J$3:$J$7</definedName>
    <definedName name="poblaciones">'Paso1 Analisis perfil egreso'!$J$3:$J$7</definedName>
    <definedName name="poblacionesactuación" localSheetId="4">'Paso1 Analisis perfil egreso'!$J$3:$J$7</definedName>
    <definedName name="poblacionesactuación">'Paso1 Analisis perfil egreso'!$J$3:$J$7</definedName>
    <definedName name="PrecisiónBAK" localSheetId="4">Tabla4170[PrecisiónBAK]</definedName>
    <definedName name="PrecisiónBAK">Tabla4170[PrecisiónBAK]</definedName>
    <definedName name="procedimentalB" localSheetId="4">Tabla5684[ProcedimentalB]</definedName>
    <definedName name="procedimentalB">Tabla5684[ProcedimentalB]</definedName>
    <definedName name="ProcedimentalBAK">'Taxonomias para RA'!$Y$3:$AB$3</definedName>
    <definedName name="ProcedimientosLK" localSheetId="4">Tabla92[ProcedimientosLK]</definedName>
    <definedName name="ProcedimientosLK">Tabla92[ProcedimientosLK]</definedName>
    <definedName name="ProcesosAK" localSheetId="4">Tabla95[ProcesosAK]</definedName>
    <definedName name="ProcesosAK">Tabla95[ProcesosAK]</definedName>
    <definedName name="PsicomotorAK" localSheetId="4">Tabla96[PsicomotorAK]</definedName>
    <definedName name="PsicomotorAK">Tabla96[PsicomotorAK]</definedName>
    <definedName name="RecordarLK">'Taxonomias para RA'!$AL$5:$AL$27</definedName>
    <definedName name="RecuperaciónAK">'Taxonomias para RA'!$AT$4:$AT$27</definedName>
    <definedName name="ResponderBAK" localSheetId="4">Tabla4473[ResponderBAK]</definedName>
    <definedName name="ResponderBAK">Tabla4473[ResponderBAK]</definedName>
    <definedName name="resultadoaprendizaje">'Paso 3 Redacción RA '!$I$3:$I$13</definedName>
    <definedName name="Saber">'Paso1 Analisis perfil egreso'!$E$3:$E$6</definedName>
    <definedName name="Saberhacer" localSheetId="4">'Paso1 Analisis perfil egreso'!$F$3:$F$14</definedName>
    <definedName name="Saberhacer">'Paso1 Analisis perfil egreso'!$F$3:$F$14</definedName>
    <definedName name="saberser" localSheetId="4">'Paso1 Analisis perfil egreso'!$G$3:$G$14</definedName>
    <definedName name="saberser">'Paso1 Analisis perfil egreso'!$G$3:$G$14</definedName>
    <definedName name="SíntesisB" localSheetId="4">Tabla395381[SíntesisB]</definedName>
    <definedName name="SíntesisB">Tabla395381[SíntesisB]</definedName>
    <definedName name="SíntesisBAK" localSheetId="4">Tabla3966[SíntesisBAK]</definedName>
    <definedName name="SíntesisBAK">Tabla3966[SíntesisBAK]</definedName>
    <definedName name="tareas" localSheetId="4">'Paso1 Analisis perfil egreso'!$I$3:$I$13</definedName>
    <definedName name="tareas">'Paso1 Analisis perfil egreso'!$I$3:$I$13</definedName>
    <definedName name="tareasprofesionales" localSheetId="4">'Paso1 Analisis perfil egreso'!$I$3:$I$13</definedName>
    <definedName name="tareasprofesionales">'Paso1 Analisis perfil egreso'!$I$3:$I$13</definedName>
    <definedName name="taxonomiasra" localSheetId="4">Tabla1715[Taxonomías]</definedName>
    <definedName name="taxonomiasra">Tabla1715[Taxonomías]</definedName>
    <definedName name="UsoConocimientoAK">'Taxonomias para RA'!$AW$4:$AW$70</definedName>
    <definedName name="Valoragregado" localSheetId="4">'Paso1 Analisis perfil egreso'!$K$3:$K$7</definedName>
    <definedName name="Valoragregado">'Paso1 Analisis perfil egreso'!$K$3:$K$7</definedName>
    <definedName name="ValorarBAK" localSheetId="4">Tabla4574[ValorarBAK]</definedName>
    <definedName name="ValorarBAK">Tabla4574[ValorarBAK]</definedName>
    <definedName name="VerbosCompetencias">'Taxonomia para Competencias'!$B:$B</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26" i="10" l="1"/>
  <c r="D125" i="10"/>
  <c r="M63" i="10"/>
  <c r="A10" i="10"/>
  <c r="J128" i="10"/>
  <c r="A117" i="10"/>
  <c r="A105" i="10"/>
  <c r="A106" i="10"/>
  <c r="A107" i="10"/>
  <c r="J127" i="10"/>
  <c r="J125" i="10"/>
  <c r="L105" i="10"/>
  <c r="K105" i="10"/>
  <c r="M105" i="10" l="1"/>
  <c r="L17" i="10"/>
  <c r="K17" i="10"/>
  <c r="K111" i="10"/>
  <c r="L124" i="10"/>
  <c r="K124" i="10"/>
  <c r="L123" i="10"/>
  <c r="K123" i="10"/>
  <c r="L112" i="10"/>
  <c r="K112" i="10"/>
  <c r="L111" i="10"/>
  <c r="L120" i="10"/>
  <c r="K120" i="10"/>
  <c r="L116" i="10"/>
  <c r="K116" i="10"/>
  <c r="L113" i="10"/>
  <c r="K113" i="10"/>
  <c r="L108" i="10"/>
  <c r="K108" i="10"/>
  <c r="L102" i="10"/>
  <c r="K102" i="10"/>
  <c r="L99" i="10"/>
  <c r="K99" i="10"/>
  <c r="L96" i="10"/>
  <c r="K96" i="10"/>
  <c r="L93" i="10"/>
  <c r="K93" i="10"/>
  <c r="L90" i="10"/>
  <c r="K90" i="10"/>
  <c r="L87" i="10"/>
  <c r="K87" i="10"/>
  <c r="L84" i="10"/>
  <c r="K84" i="10"/>
  <c r="L81" i="10"/>
  <c r="K81" i="10"/>
  <c r="L78" i="10"/>
  <c r="K78" i="10"/>
  <c r="L75" i="10"/>
  <c r="K75" i="10"/>
  <c r="L72" i="10"/>
  <c r="K72" i="10"/>
  <c r="L69" i="10"/>
  <c r="K69" i="10"/>
  <c r="L66" i="10"/>
  <c r="K66" i="10"/>
  <c r="L63" i="10"/>
  <c r="K63" i="10"/>
  <c r="L60" i="10"/>
  <c r="K60" i="10"/>
  <c r="L57" i="10"/>
  <c r="K57" i="10"/>
  <c r="L54" i="10"/>
  <c r="K54" i="10"/>
  <c r="L51" i="10"/>
  <c r="K51" i="10"/>
  <c r="L48" i="10"/>
  <c r="K48" i="10"/>
  <c r="L44" i="10"/>
  <c r="L41" i="10"/>
  <c r="L38" i="10"/>
  <c r="L35" i="10"/>
  <c r="K35" i="10"/>
  <c r="K44" i="10"/>
  <c r="K41" i="10"/>
  <c r="K38" i="10"/>
  <c r="L30" i="10"/>
  <c r="L27" i="10"/>
  <c r="L24" i="10"/>
  <c r="L21" i="10"/>
  <c r="L18" i="10"/>
  <c r="K30" i="10"/>
  <c r="K27" i="10"/>
  <c r="K24" i="10"/>
  <c r="K21" i="10"/>
  <c r="K18" i="10"/>
  <c r="L14" i="10"/>
  <c r="L11" i="10"/>
  <c r="L8" i="10"/>
  <c r="L5" i="10"/>
  <c r="K14" i="10"/>
  <c r="K11" i="10"/>
  <c r="K8" i="10"/>
  <c r="K5" i="10"/>
  <c r="L47" i="10"/>
  <c r="K47" i="10"/>
  <c r="L34" i="10"/>
  <c r="K34" i="10"/>
  <c r="L33" i="10"/>
  <c r="K33" i="10"/>
  <c r="L4" i="10"/>
  <c r="K4" i="10"/>
  <c r="L3" i="10"/>
  <c r="K3" i="10"/>
  <c r="A47" i="10"/>
  <c r="A34" i="10"/>
  <c r="A33" i="10"/>
  <c r="A17" i="10"/>
  <c r="A3" i="10"/>
  <c r="A4" i="10"/>
  <c r="A122" i="10"/>
  <c r="A121" i="10"/>
  <c r="A120" i="10"/>
  <c r="A119" i="10"/>
  <c r="A118" i="10"/>
  <c r="A116" i="10"/>
  <c r="A115" i="10"/>
  <c r="A114" i="10"/>
  <c r="A113" i="10"/>
  <c r="A110" i="10"/>
  <c r="A109" i="10"/>
  <c r="A108" i="10"/>
  <c r="A104" i="10"/>
  <c r="A103" i="10"/>
  <c r="A102" i="10"/>
  <c r="A101" i="10"/>
  <c r="A100" i="10"/>
  <c r="A99" i="10"/>
  <c r="A98" i="10"/>
  <c r="A97" i="10"/>
  <c r="A96" i="10"/>
  <c r="A95" i="10"/>
  <c r="A94" i="10"/>
  <c r="A93" i="10"/>
  <c r="A92" i="10"/>
  <c r="A91" i="10"/>
  <c r="A90" i="10"/>
  <c r="A89" i="10"/>
  <c r="A88" i="10"/>
  <c r="A87" i="10"/>
  <c r="A86" i="10"/>
  <c r="A85" i="10"/>
  <c r="A84" i="10"/>
  <c r="A83" i="10"/>
  <c r="A82" i="10"/>
  <c r="A81" i="10"/>
  <c r="A80" i="10"/>
  <c r="A79" i="10"/>
  <c r="A78" i="10"/>
  <c r="A77" i="10"/>
  <c r="A76" i="10"/>
  <c r="A75" i="10"/>
  <c r="A74" i="10"/>
  <c r="A73" i="10"/>
  <c r="A72" i="10"/>
  <c r="A71" i="10"/>
  <c r="A70" i="10"/>
  <c r="A69" i="10"/>
  <c r="A68" i="10"/>
  <c r="A67" i="10"/>
  <c r="A66" i="10"/>
  <c r="A65" i="10"/>
  <c r="A64" i="10"/>
  <c r="A63" i="10"/>
  <c r="A62" i="10"/>
  <c r="A61" i="10"/>
  <c r="A60" i="10"/>
  <c r="A59" i="10"/>
  <c r="A58" i="10"/>
  <c r="A57" i="10"/>
  <c r="A56" i="10"/>
  <c r="A55" i="10"/>
  <c r="A54" i="10"/>
  <c r="A53" i="10"/>
  <c r="A52" i="10"/>
  <c r="A51" i="10"/>
  <c r="A50" i="10"/>
  <c r="A49" i="10"/>
  <c r="A48" i="10"/>
  <c r="A46" i="10"/>
  <c r="A45" i="10"/>
  <c r="A44" i="10"/>
  <c r="A43" i="10"/>
  <c r="A42" i="10"/>
  <c r="A41" i="10"/>
  <c r="A40" i="10"/>
  <c r="A39" i="10"/>
  <c r="A38" i="10"/>
  <c r="A37" i="10"/>
  <c r="A36" i="10"/>
  <c r="A35" i="10"/>
  <c r="A32" i="10"/>
  <c r="A31" i="10"/>
  <c r="A30" i="10"/>
  <c r="A29" i="10"/>
  <c r="A28" i="10"/>
  <c r="A27" i="10"/>
  <c r="A26" i="10"/>
  <c r="A25" i="10"/>
  <c r="A24" i="10"/>
  <c r="A23" i="10"/>
  <c r="A22" i="10"/>
  <c r="A21" i="10"/>
  <c r="A20" i="10"/>
  <c r="A19" i="10"/>
  <c r="A18" i="10"/>
  <c r="A16" i="10"/>
  <c r="A15" i="10"/>
  <c r="A14" i="10"/>
  <c r="A13" i="10"/>
  <c r="A12" i="10"/>
  <c r="A11" i="10"/>
  <c r="A9" i="10"/>
  <c r="A8" i="10"/>
  <c r="A6" i="10"/>
  <c r="A7" i="10"/>
  <c r="A5" i="10"/>
  <c r="M11" i="10" l="1"/>
  <c r="M24" i="10"/>
  <c r="M51" i="10"/>
  <c r="M60" i="10"/>
  <c r="M72" i="10"/>
  <c r="M81" i="10"/>
  <c r="M87" i="10"/>
  <c r="M90" i="10"/>
  <c r="M102" i="10"/>
  <c r="M93" i="10"/>
  <c r="M108" i="10"/>
  <c r="M27" i="10"/>
  <c r="M5" i="10"/>
  <c r="M18" i="10"/>
  <c r="M44" i="10"/>
  <c r="M116" i="10"/>
  <c r="M111" i="10"/>
  <c r="M8" i="10"/>
  <c r="M21" i="10"/>
  <c r="M35" i="10"/>
  <c r="M48" i="10"/>
  <c r="M57" i="10"/>
  <c r="M69" i="10"/>
  <c r="M112" i="10"/>
  <c r="M54" i="10"/>
  <c r="M66" i="10"/>
  <c r="M78" i="10"/>
  <c r="M99" i="10"/>
  <c r="M113" i="10"/>
  <c r="M124" i="10"/>
  <c r="M14" i="10"/>
  <c r="M38" i="10"/>
  <c r="M41" i="10"/>
  <c r="M84" i="10"/>
  <c r="M120" i="10"/>
  <c r="M30" i="10"/>
  <c r="M47" i="10"/>
  <c r="M75" i="10"/>
  <c r="M96" i="10"/>
  <c r="M123" i="10"/>
  <c r="M33" i="10" l="1"/>
  <c r="M34" i="10"/>
  <c r="M17" i="10"/>
  <c r="M3" i="10"/>
  <c r="M4"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E338DED5-79E3-45EA-817F-66D8D3C549D2}">
      <text>
        <r>
          <rPr>
            <sz val="11"/>
            <color theme="1"/>
            <rFont val="Calibri"/>
            <family val="2"/>
            <scheme val="minor"/>
          </rPr>
          <t>Diana Shirley Velasquez Rojas:
Escriba el perfil del egresado que tiene el programa en su documento maestro o el que se haya ajustado de acuerdo con las tendencias o necesidades del entorno que lo hayan generado.</t>
        </r>
      </text>
    </comment>
    <comment ref="E2" authorId="0" shapeId="0" xr:uid="{12792177-0D62-47E7-9BFF-318A4AB271E4}">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F061F63A-3635-4989-89F1-6CCF984D96A3}">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389D3840-7D6C-4F77-AE2B-C83F9926A6C6}">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91F787E4-9F42-4666-B6D1-66DE9D88CA79}">
      <text>
        <r>
          <rPr>
            <b/>
            <sz val="9"/>
            <color indexed="81"/>
            <rFont val="Tahoma"/>
            <family val="2"/>
          </rPr>
          <t>Dir. Currículo:</t>
        </r>
        <r>
          <rPr>
            <sz val="9"/>
            <color indexed="81"/>
            <rFont val="Tahoma"/>
            <family val="2"/>
          </rPr>
          <t xml:space="preserve">
Áreas en las que podrá laborar el profesional.</t>
        </r>
      </text>
    </comment>
    <comment ref="I2" authorId="0" shapeId="0" xr:uid="{4990A9C5-31E1-4BCB-81EB-7C14549AB462}">
      <text>
        <r>
          <rPr>
            <b/>
            <sz val="9"/>
            <color indexed="81"/>
            <rFont val="Tahoma"/>
            <family val="2"/>
          </rPr>
          <t>Dir. Currículo:</t>
        </r>
        <r>
          <rPr>
            <sz val="9"/>
            <color indexed="81"/>
            <rFont val="Tahoma"/>
            <family val="2"/>
          </rPr>
          <t xml:space="preserve">
Tareas potenciales que hará el profesional.</t>
        </r>
      </text>
    </comment>
    <comment ref="J2" authorId="0" shapeId="0" xr:uid="{7BF9192D-7FC7-43E0-A6DE-5F1A0C0CB845}">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1CF5AD7F-64EB-4A95-94F5-CEFC52E18578}">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3" authorId="0" shapeId="0" xr:uid="{53EF9953-5C1D-409D-ADCD-293F780FDCB1}">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3" authorId="0" shapeId="0" xr:uid="{89B1F064-85DD-446C-A9DE-35C70EC4764C}">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3" authorId="0" shapeId="0" xr:uid="{845B80FF-0F7D-4D93-B3F5-84DCA285350F}">
      <text>
        <r>
          <rPr>
            <b/>
            <sz val="9"/>
            <color indexed="81"/>
            <rFont val="Tahoma"/>
            <family val="2"/>
          </rPr>
          <t>Dir. Currículo:</t>
        </r>
        <r>
          <rPr>
            <sz val="9"/>
            <color indexed="81"/>
            <rFont val="Tahoma"/>
            <family val="2"/>
          </rPr>
          <t xml:space="preserve">
Recuerde que el objeto conceptual hace referencia a qué debe saber (conocimientos, hechos, teorías) el egresado cuando termine su formación profesional.</t>
        </r>
      </text>
    </comment>
    <comment ref="D3" authorId="0" shapeId="0" xr:uid="{DA64038A-6099-4D22-9EF8-C8D9FC3F33E7}">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elementos del componente ocupacional pueden ayudar a declarar la finalidad. Se listaron en la hoja Paso 1.</t>
        </r>
      </text>
    </comment>
    <comment ref="E3" authorId="0" shapeId="0" xr:uid="{7AD9CEF8-C620-4D74-A493-6111E862964C}">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estableció en el perfil, en el contexto donde se desenvolverá el egresado? </t>
        </r>
      </text>
    </comment>
    <comment ref="F3" authorId="0" shapeId="0" xr:uid="{1DDC73BF-6D66-45D6-8CC2-D2CCBDED89EA}">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D3F143C3-D231-4875-B93F-43DD53FE5195}">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B1FB04BB-65D6-44B8-8F8C-4AC9B8A95942}">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958DBB57-68B3-466F-A186-1D6CED4E13CE}">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179B26A7-FC6E-4158-A82B-747AD08A87C0}">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DC2391F0-23C2-4858-A4CC-DE1159046B64}">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BA81069A-F375-4BBA-B338-1D6EDE5CE274}">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314680C8-A08A-49DA-998F-2218755A6E23}">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C91CCBA1-C27D-4136-A997-8392C8F3ED69}">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3F53F5B1-B1E3-4596-A9B1-55041ACD33EB}">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C011BE17-7130-44E8-AB43-A7ABB726547F}">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866CD5F0-AA71-406A-BF4F-2F8088056BD6}">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70784CBA-9D53-4A90-B97A-05E3615D36F9}">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Y4" authorId="0" shapeId="0" xr:uid="{9607C37A-C8B3-44AC-90C2-DDC4836F9013}">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sharedStrings.xml><?xml version="1.0" encoding="utf-8"?>
<sst xmlns="http://schemas.openxmlformats.org/spreadsheetml/2006/main" count="2361" uniqueCount="773">
  <si>
    <t>[Escribir el nombre del programa]</t>
  </si>
  <si>
    <t>[Escribir la modalidad: presencial o virtual]</t>
  </si>
  <si>
    <t>[Escribir el perfil profesional del egresado.]</t>
  </si>
  <si>
    <t>[Escribir el perfil ocupacional del egresado.]</t>
  </si>
  <si>
    <r>
      <rPr>
        <b/>
        <sz val="11"/>
        <color theme="0"/>
        <rFont val="Gill Sans MT"/>
        <family val="2"/>
      </rPr>
      <t>Componentes fundamentales para definir competencias</t>
    </r>
    <r>
      <rPr>
        <b/>
        <sz val="8"/>
        <color theme="0"/>
        <rFont val="Gill Sans MT"/>
        <family val="2"/>
      </rPr>
      <t xml:space="preserve">
</t>
    </r>
    <r>
      <rPr>
        <sz val="8"/>
        <color theme="0"/>
        <rFont val="Gill Sans MT"/>
        <family val="2"/>
      </rPr>
      <t>[Listar las palabras clave, no armar oraciones, respecto qué debe saber el egresado en las categorías de Saber -conocimientos, hechos, teorías-, Saber hacer -técnicas, procedimientos, metodologías-, y Saber ser -valores, condiciones. Esta información se estructura a partir del perfil profesional y cada saber hacer depende del saber ubicado a su izquierda, lo mismo ocurre con el saber ser.]</t>
    </r>
  </si>
  <si>
    <r>
      <rPr>
        <b/>
        <sz val="11"/>
        <color theme="0"/>
        <rFont val="Gill Sans MT"/>
        <family val="2"/>
      </rPr>
      <t>Componentes fundamentales de la ocupación laboral del profesional</t>
    </r>
    <r>
      <rPr>
        <b/>
        <sz val="8"/>
        <color theme="0"/>
        <rFont val="Gill Sans MT"/>
        <family val="2"/>
      </rPr>
      <t xml:space="preserve">
</t>
    </r>
    <r>
      <rPr>
        <sz val="8"/>
        <color theme="0"/>
        <rFont val="Gill Sans MT"/>
        <family val="2"/>
      </rPr>
      <t>[Listar, según lo escrito en el perfil ocupacional, en qué áreas, qué tareas potenciales y en qué poblaciones o contextos podrá laborar el profesional. Esta información es un listado general no requiere dependencia horizontal]</t>
    </r>
  </si>
  <si>
    <r>
      <rPr>
        <b/>
        <sz val="11"/>
        <color theme="0"/>
        <rFont val="Gill Sans MT"/>
        <family val="2"/>
      </rPr>
      <t>Diferencial (valor agregado) del profesional</t>
    </r>
    <r>
      <rPr>
        <b/>
        <sz val="8"/>
        <color theme="0"/>
        <rFont val="Gill Sans MT"/>
        <family val="2"/>
      </rPr>
      <t xml:space="preserve">
</t>
    </r>
    <r>
      <rPr>
        <sz val="8"/>
        <color theme="0"/>
        <rFont val="Gill Sans MT"/>
        <family val="2"/>
      </rPr>
      <t>[Listar, según lo escrito en los perfiles, los elementos que son diferenciales y generan un valor agregado al egresado. Debe ser disciplinar, asociado al perfil, ¿qué es lo que lo hace diferente a otros perfiles similares.]</t>
    </r>
  </si>
  <si>
    <t>Programa</t>
  </si>
  <si>
    <t>Modalidad</t>
  </si>
  <si>
    <t>Perfil profesional</t>
  </si>
  <si>
    <t>Perfil ocupacional</t>
  </si>
  <si>
    <t>Saber</t>
  </si>
  <si>
    <t>Saberhacer</t>
  </si>
  <si>
    <t>Saberser</t>
  </si>
  <si>
    <t>ÁreasProfesionales</t>
  </si>
  <si>
    <t>TareasProfesionales</t>
  </si>
  <si>
    <t>PoblacionesActuacion</t>
  </si>
  <si>
    <t>ValorAgregado</t>
  </si>
  <si>
    <t>Diseño Digital</t>
  </si>
  <si>
    <t>Virtual</t>
  </si>
  <si>
    <t>El egresado del programa en Diseño Digital es un profesional con sólidos conocimientos conceptuales, técnicos y metodológicos en interacción, usabilidad, accesibilidad y publicidad, que le permiten liderar y proyectar soluciones de diseño digital fundamentadas en la investigación y la innovación. Está capacitado para crear artefactos digitales funcionales y accesibles, integrando herramientas tecnológicas avanzadas y recursos informacionales, en contextos globalizados e interconectados.</t>
  </si>
  <si>
    <t>Está capacitado para desempeñarse como diseñador con amplios conocimientos en diseño digital capaz de reconocer y resolver problemas de comunicación visual profesional que comprende los diferentes procesos de producción de artefactos de diseño, experto en evaluar y crear tácticas publicitarias apoyadas en el uso y aplicación de la tecnología.</t>
  </si>
  <si>
    <t>Principios y metodologías de diseño</t>
  </si>
  <si>
    <t>crear artefactos funcionales</t>
  </si>
  <si>
    <t>integrando criterios de interacción, usabilidad y accesibilidad, en contextos organizacionales.</t>
  </si>
  <si>
    <t>Diseño
Publicidad
Comunicación Digital
Producción audiovisual
Departamentos de Marketing y Comunicación Digital</t>
  </si>
  <si>
    <t>Diseño de interfaces con grandes niveles de usabilidad y accesibilidad. Planteamiento de soluciones acertadas a problemas de producción gráfica. 
Creación de contenido gráfico para plataformas de comunicación digital.
Diseño para aplicaciones gráficas en diversos campos como la ilustración o la animación.
Creación de producción gráfica para campañas publicitarias para empresas de comunicación.</t>
  </si>
  <si>
    <t xml:space="preserve">
Agencias de diseño, publicidad y marketing digital.
Medios de comunicación y productoras audiovisuales.
Áreas de comunicación en empresas y organizaciones.
</t>
  </si>
  <si>
    <t>El programa articula pensamiento creativo, análisis de información y estrategias publicitarias para diseñar experiencias digitales centradas en el usuario, que respondan a necesidades de funcionalidad y accesibilidad.</t>
  </si>
  <si>
    <t>Comunicación publicitaria</t>
  </si>
  <si>
    <t>realizar materiales audiovisuales</t>
  </si>
  <si>
    <t>a partir de las necesidades de los usuarios y los requerimientos del producto.</t>
  </si>
  <si>
    <t>Herramientas tecnológicas y de gestión de información</t>
  </si>
  <si>
    <t>formular soluciones de diseño</t>
  </si>
  <si>
    <t>considerando criterios de adaptabilidad y transformación digital, según las necesidades del entorno.</t>
  </si>
  <si>
    <t>Fenómenos contemporáneos</t>
  </si>
  <si>
    <t>reconocer sus afectaciones o contribuciones en el marco de las ciudadanías globales y de una sociedad responsable y sostenible.</t>
  </si>
  <si>
    <t>desde una perspectiva glocal, soportada en datos, con una mirada ética y crítica</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</si>
  <si>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</si>
  <si>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</si>
  <si>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</si>
  <si>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</si>
  <si>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</si>
  <si>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</si>
  <si>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</si>
  <si>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</si>
  <si>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</si>
  <si>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</si>
  <si>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</si>
  <si>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</si>
  <si>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</si>
  <si>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</si>
  <si>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competencia</t>
  </si>
  <si>
    <t>Aplicar</t>
  </si>
  <si>
    <t>Aplicar principios y metodologías de diseño para crear artefactos funcionales, integrando criterios de interacción, usabilidad y accesibilidad, en contextos organizacionales.</t>
  </si>
  <si>
    <t>Específica</t>
  </si>
  <si>
    <t>Desarrollar</t>
  </si>
  <si>
    <t>Desarrollar comunicaciones publicitarias para realizar materiales audiovisuales a partir de las necesidades de los usuarios y los requerimientos del producto.</t>
  </si>
  <si>
    <t>Implementar</t>
  </si>
  <si>
    <t>Implementar herramientas tecnológicas y de gestión de información para formular soluciones de diseño, considerando criterios de adaptabilidad y transformación digital, según las necesidades del entorno.</t>
  </si>
  <si>
    <t>Analizar</t>
  </si>
  <si>
    <t>Analizar los fenómenos contemporáneos desde una perspectiva glocal, soportada en datos, con una mirada ética y crítica, para reconocer sus afectaciones o contribuciones en el marco de las ciudadanías globales y de una sociedad responsable y sostenible.</t>
  </si>
  <si>
    <t>Genérica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</si>
  <si>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</si>
  <si>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</si>
  <si>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</si>
  <si>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</si>
  <si>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</si>
  <si>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</si>
  <si>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</si>
  <si>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</si>
  <si>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</si>
  <si>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</si>
  <si>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</si>
  <si>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</si>
  <si>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</si>
  <si>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</si>
  <si>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</si>
  <si>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</si>
  <si>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</si>
  <si>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</si>
  <si>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BAK</t>
  </si>
  <si>
    <t>CognitivoBAK</t>
  </si>
  <si>
    <t>AplicaciónBAK</t>
  </si>
  <si>
    <t>Seleccionar</t>
  </si>
  <si>
    <t>Selecciona metodologías de diseño para contrastar enfoques proyectuales según los requerimientos del entorno y las características del usuario.</t>
  </si>
  <si>
    <t>ProcedimentalBAK</t>
  </si>
  <si>
    <t>PrecisiónBAK</t>
  </si>
  <si>
    <t>Proponer</t>
  </si>
  <si>
    <t>Propone soluciones de diseño para crear artefactos funcionales, considerando los requerimientos técnicos.</t>
  </si>
  <si>
    <t>ActitudinalBAK</t>
  </si>
  <si>
    <t>ValorarBAK</t>
  </si>
  <si>
    <t>Adoptar</t>
  </si>
  <si>
    <t>Adopta criterios de interacción, adaptabilidad, usabilidad y accesibilidad, para responder a los procesos, a las necesidades de los usuarios y a los requerimientos del producto.</t>
  </si>
  <si>
    <t>AnálisisBAK</t>
  </si>
  <si>
    <t>Analiza los fundamentos y estrategias de la comunicación publicitaria para apoyar la toma de decisiones creativas en el diseño de campañas.</t>
  </si>
  <si>
    <t>Realizar</t>
  </si>
  <si>
    <t>Realiza materiales audiovisuales para comunicar mensajes publicitarios de manera efectiva, considerando las características del público objetivo y los propósitos de la campaña.</t>
  </si>
  <si>
    <t>Analiza herramientas tecnológicas y de gestión de información para determinar su pertinencia en la solución de problemas de diseño.</t>
  </si>
  <si>
    <t>Bloom</t>
  </si>
  <si>
    <t>CognitivoB</t>
  </si>
  <si>
    <t>ComprensiónB</t>
  </si>
  <si>
    <t>Identificar</t>
  </si>
  <si>
    <t>Identifica fenómenos contemporáneos y su relación con la profesión, para determinar sus impactos e influencia en la sociedad, de forma responsable y crítica.</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</si>
  <si>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</si>
  <si>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</si>
  <si>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</si>
  <si>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</si>
  <si>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</si>
  <si>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</si>
  <si>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</si>
  <si>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</si>
  <si>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</si>
  <si>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</si>
  <si>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</si>
  <si>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</si>
  <si>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Semilleros</t>
  </si>
  <si>
    <r>
      <rPr>
        <b/>
        <sz val="11"/>
        <rFont val="Gill Sans MT"/>
        <family val="2"/>
      </rPr>
      <t>Diseño Artefacto y Sociedad:</t>
    </r>
    <r>
      <rPr>
        <sz val="11"/>
        <rFont val="Gill Sans MT"/>
        <family val="2"/>
      </rPr>
      <t xml:space="preserve"> semillero que integra a los estudiantes de la escuela de diseño en torno a temas de reflexión sobre la disciplina del diseño y sus diferentes expresiones.
</t>
    </r>
    <r>
      <rPr>
        <b/>
        <sz val="11"/>
        <rFont val="Gill Sans MT"/>
        <family val="2"/>
      </rPr>
      <t xml:space="preserve">E-Sports: </t>
    </r>
    <r>
      <rPr>
        <sz val="11"/>
        <rFont val="Gill Sans MT"/>
        <family val="2"/>
      </rPr>
      <t>semillero que vincula actividades relacionadas con el escenario de los videojuegos desde la perspectiva del diseño y la ingeniería.</t>
    </r>
  </si>
  <si>
    <t>Valoración de la estrategia respecto al nivel de aporte a los resultados de aprendizaje del programa.</t>
  </si>
  <si>
    <t>Formar a los estudiantes con la estrategia para desarrollar competencias investigativas
Informar sobre los resultados de procesos de Apropiación Social del Conocimiento y divulgación pública de la ciencia</t>
  </si>
  <si>
    <t>Encuesta de valoración para los estudiantes.</t>
  </si>
  <si>
    <t>Número de veces que se realiza la estrategia por periodo académico.</t>
  </si>
  <si>
    <t>Informe o Reporte.</t>
  </si>
  <si>
    <t xml:space="preserve">Número de estudiantes que participan en la estrategia. </t>
  </si>
  <si>
    <t>Listados de participación de los estudiantes.</t>
  </si>
  <si>
    <t xml:space="preserve"> Selecciona metodologías de diseño para contrastar enfoques proyectuales según los requerimientos del entorno y las características del usuario.</t>
  </si>
  <si>
    <t>Publicaciones PIF</t>
  </si>
  <si>
    <t>Proyectos resultados de procesos de investigación formativa que derivan en publicaciones en revistas y otros medios de divulgación de la institución.</t>
  </si>
  <si>
    <t>Informar a los estudiantes sobre los resultados los proyectos de investigación formativa seleccionados.</t>
  </si>
  <si>
    <t>Muestra de proyectos Escuela de Diseño</t>
  </si>
  <si>
    <t>Evento semestral organizado por la Escuela de Diseño en el que los estudiantes del programa tienen oportunidad de socializar los resultados de sus proyectos desarrollados en clase. Cuenta con un proceso de curaduría.</t>
  </si>
  <si>
    <t>Formar a los estudiantes mediante el análisis de los resultados de las muestras de proyectos.</t>
  </si>
  <si>
    <t>Actividades de proyección social</t>
  </si>
  <si>
    <t>Acciones encaminadas a procesos de acompañamiento entorno a identidades visuales que realizan estudiantes del programa con el liderazgo docente para el fortalecimiento de emprendimientos y proyectos al interior de la institución como de comunidad externa generando vinculación con el sector real.</t>
  </si>
  <si>
    <t>Ayudar a tomar decisiones sobre el desarrollo de proyectos e informar a los estudiantes sobre los resultados de los trabajos de grado a través de plataformas virtuales.</t>
  </si>
  <si>
    <t>Actividades formativas y de internacionalización</t>
  </si>
  <si>
    <t>• Clases Espejo: Actividad desarrollada desde el programa de Diseño Interactivo en el contexto de internacionalización que involucra un intercambio temático con docentes y grupos de universidades externas.</t>
  </si>
  <si>
    <t>Formar a través de procesos que involucren la autoevaluación/coevaluación con bitácoras y
portafolios resultado de experiencias.</t>
  </si>
  <si>
    <t>Encuesta de valoración para los estudiantes</t>
  </si>
  <si>
    <t>• Misiones Internacionales: Actividades desarrolladas desde la Escuela de Diseño en el contexto de internacionalización que ofrece a los estudiantes la opción de cursar un seminario Internacional a través de plataformas digitales o de manera presencial en el lugar de desarrollo.</t>
  </si>
  <si>
    <t xml:space="preserve">• COIL: Estrategia que permite el desarrollo de proyectos colaborativos entre instituciones de diferentes países.
</t>
  </si>
  <si>
    <t>•  Webinars: Actividades de charlas mediadas en plataformas online para el intercambio de saberes con las comunidades académicas en el ámbito internacional e interinstitucional.</t>
  </si>
  <si>
    <t>•  Charlas con invitados externos: Actividades con invitados internacionales y nacionales para el desarrollo de charlas y/o conferencias en temas asociados al diseño.</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</si>
  <si>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</si>
  <si>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</si>
  <si>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</si>
  <si>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</si>
  <si>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</si>
  <si>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</si>
  <si>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</si>
  <si>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</si>
  <si>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</si>
  <si>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</si>
  <si>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</si>
  <si>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</si>
  <si>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</si>
  <si>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</si>
  <si>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</si>
  <si>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</si>
  <si>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</si>
  <si>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</si>
  <si>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</si>
  <si>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</si>
  <si>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B.Institucional</t>
  </si>
  <si>
    <t>B.Disciplinar</t>
  </si>
  <si>
    <t>B.Electivo</t>
  </si>
  <si>
    <t>Créditos</t>
  </si>
  <si>
    <t>Número de horas trabajo directo</t>
  </si>
  <si>
    <t>Número de horas trabajo independiente</t>
  </si>
  <si>
    <t>Total de horas</t>
  </si>
  <si>
    <t>Núcleos temáticos</t>
  </si>
  <si>
    <t>Actividades de aprendizaje</t>
  </si>
  <si>
    <t>Actividades de evaluación</t>
  </si>
  <si>
    <t>Acciones de retroalimentación</t>
  </si>
  <si>
    <t>Razonamiento Cuantitativo</t>
  </si>
  <si>
    <t>Analiza datos numéricos presentados en tablas, gráficos o textos para proponer soluciones informadas a situaciones problema del contexto.</t>
  </si>
  <si>
    <t>TP</t>
  </si>
  <si>
    <t>X</t>
  </si>
  <si>
    <t>1.	Pensamiento numérico. Interpretación y representación de información numérica
2.	Pensamiento algebraico. Desde la representación de regularidades y patrones
3.	Pensamiento algebraico. Desde las relaciones de comparación entre cantidades o expresiones numéricas
4.	Pensamiento geométrico. Propiedades, formas y relaciones espaciales</t>
  </si>
  <si>
    <t>Trabajo directo:
Ecuentros sincrónicos
Mensajería interna
Anuncios
Trabajo independiente:
Lecturas fundamentales y complementarias
Material de trabajo
Participación en foros</t>
  </si>
  <si>
    <t xml:space="preserve">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Actividad individual o grupal, diseñada para evaluar de manera integral el nivel de conocimiento, comprensión y el desempeño de los indicadores de logro. Varía entre entregas independientes o secuenciales. Al ser un módulo teórico, ésta es la única actividad de entrega. 
Actividad evaluativa: Cuestionario de, mínimo, cinco preguntas, que da cuenta del desarrollo total o parcial de los indicadores de logro y el desarrollo de los temas vistos hasta la unidad 3. 
Examen final: Cuestionario de, mínimo, quince preguntas, que da cuenta del desarrollo total o parcial de los indicadores de logro y el desarrollo de los temas vistos en el módulo. 
Autoevaluación: Cuestionario final de, mínimo, cinco preguntas, en el cual el estudiante reflexiona sobre su propio desempeño, habilidades y resultados en un contexto específico. </t>
  </si>
  <si>
    <t>Informar oportunamente a través de la plataforma institucional y sesiones sincrónicas sobre el propósito, el proceso de realización, entrega de la actividad y criterios de evaluación. 
En las sesiones sincrónicas, atender las inquietudes y dar orientaciones al respecto, así como invitar a tomar asesorías ofrecidas por la Escuela de Ciencia Básicas, como estrategia de prevención y ayuda. 
Ayudar a tomar decisiones a través de preguntas orientadoras y actividades de refuerzo dentro del trabajo directo y autónomo. 
Retroalimentación por medio de rúbrica que indica el nivel de alcance del logro obtenido. 
Retroalimentación general del docente acorde a los resultados alcanzados por el grupo</t>
  </si>
  <si>
    <t>Cultura, Política y Sociedad</t>
  </si>
  <si>
    <t>Reconoce las problemáticas, escenarios y mecanismos de participación ciudadana en el marco de sociedades de información y digitales para abordarlas desde iniciativas investigativas. 
Identifica los objetivos de desarrollo sostenible para la comprensión de problemáticas sociales, ambientales y culturales. 
Reflexiona los impactos de avances tecnológicos en su contexto profesional y ciudadano para el análisis de contextos situados.</t>
  </si>
  <si>
    <t>1. ODS, problemas locales: una mirada a Colombia, territorio en búsqueda de la consolidación de la Paz.   
2. Ciudadanía y su lugar: relaciones, dinámicas, construcción, expresión y mecanismos de participación.  
3. Ecosistemas digitales: relaciones, dinámicas, construcción, expresión e impactos en el contexto profesional.  
4. Narrativas y contenidos digitales: análisis de contextos situados.</t>
  </si>
  <si>
    <t>1. Evaluación diagnóstica escenario 1: Cuestionario inicial de mínimo cinco preguntas que recopila información sobre el conocimiento previo y las habilidades del estudiante.
2. Actividad formativa escenario 2: Foro individual o grupal, creado para que el estudiante participe activamente en la construcción de su conocimiento y desarrollo de habilidades. Varía entre una actividad entregable y la participación en un foro.
3. Actividad de entrega 1 escenario 4: Actividad individual o grupal, diseñada para evaluar de manera integral el nivel de conocimiento, comprensión y el desempeño de los indicadores de logro. Varía entre entregas independientes o secuenciales.
4. Actividad formativa escenario 5: Foro individual o grupal, creado para que el estudiante participe activamente en la construcción de su conocimiento y desarrollo de habilidades. Varía entre una actividad entregable y la participación en un foro.
5. Actividad evaluativa escenario 6: Cuestionario de, mínimo, cinco preguntas, que da cuenta del desarrollo total o parcial de los indicadores de logro y el desarrollo de los temas vistos hasta la unidad 3.
6. Actividad de entrega 2 escenario 7: Actividad individual o grupal, diseñada para evaluar de manera integral el nivel de conocimiento, comprensión y el desempeño de los indicadores de logro. Varía entre entregas independientes o secuenciales.
7. Autoevaluación escenario 8: Cuestionario final de mínimo cinco preguntas en el cual el estudiante reflexiona sobre su propio desempeño, habilidades y resultados en un contexto específico.</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</si>
  <si>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</si>
  <si>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Pensamiento Algorítmico</t>
  </si>
  <si>
    <t>Identifica variables relevantes, su naturaleza y la forma en que se relacionan para modelar un problema computacional básico.
Implementa expresiones matemáticas y estructuras básicas de programación para desarrollar soluciones a problemas computacionales básicos.</t>
  </si>
  <si>
    <t>T</t>
  </si>
  <si>
    <t>1.Problema y algoritmo
2. Datos y tipos de datos
3. Operaciones sobre datos
4. Evaluación y construcción de expresiones</t>
  </si>
  <si>
    <t xml:space="preserve">Quiz (semana 2 - Cuestionario de 5 preguntas). 
Entrega inicial (semana 3 – Ensayo, artículo, cuadro comparativo, revisión documental, entre otros). 
Foro analítico o argumentativo (semanas 5 y 6 – Participación en el espacio correspondiente del aula). 
Entrega final (semana 7 – Ensayo, artículo, cuadro comparativo, revisión documental, entre otros). 
Evaluación final (semana 8 – Cuestionario de entre 15 y 20 preguntas). </t>
  </si>
  <si>
    <t>Fundamentos de Diseño</t>
  </si>
  <si>
    <t>Reconoce los elementos fundamentales que constituyen una composición visual desde el color, la función y la tipografía y para resolver problemas aplicados a piezas de diseño.
Emplea herramientas análogas y digitales para construir piezas visuales identificando el contexto en el cual se requiere, favoreciendo los objetivos de comunicación propuestos.</t>
  </si>
  <si>
    <t>1. Elementos básicos de composición
2. El espacio formato
3. Modulación y tipografía
4. Color y texturas</t>
  </si>
  <si>
    <t>Actividad de puntos evaluables (semana 2 – Cuestionario de 5 preguntas).
Entrega previa 1 (semana 3 - Laboratorio, taller, ejercicios, resolución de casos o de problemas, desarrollo de procesos o ejecución de propuestas. Entrega de forma individual o grupal, según indicaciones del profesor).
Parcial (semana 4 - Cuestionarios de entre 15 y 20 preguntas).
Entrega previa 2 (semana 5 - Laboratorio, taller, ejercicios, resolución de casos o de problemas, desarrollo de procesos o ejecución de propuestas. Entrega de forma individual o grupal, según indicaciones dadas por el profesor).
Entrega final (semana 7 - Laboratorio, taller, ejercicios, resolución de casos o de problemas, desarrollo de procesos o ejecución de propuestas. Entrega de forma individual o grupal, según indicaciones dadas por el profesor).
Evaluación final (semana 8 - Cuestionario de entre 15 y 20 preguntas).</t>
  </si>
  <si>
    <t>Dibujo y Perspectiva</t>
  </si>
  <si>
    <t>Identifica los elementos y técnicas del dibujo bidimensional para desarrollar representaciones bidimensionales analógicas y artefactos de diseño con capacidad expresiva.</t>
  </si>
  <si>
    <t>1. Perspectivas axonométricas 
2. Perspectiva cónica 
3. Volumen 
4. Dibujo de Expresión</t>
  </si>
  <si>
    <t>Comunicación Publicitaria</t>
  </si>
  <si>
    <t>Aplica métodos creativos, narrativos y visuales para crear conceptos y mensajes publicitarios considerando los objetivos de comunicación, el análisis de las audiencias y la identidad de marca.</t>
  </si>
  <si>
    <t>1. Fundamentación y propósito de la comunicación publicitaria
2. El brief como insumo estratégico de la comunicación publicitaria
3. Oportunidades de la mediación tecnológica en la investigación publicitaria 
4. Plataforma de ejecución</t>
  </si>
  <si>
    <t xml:space="preserve">Evaluación diagnóstica (semana 1- Cuestionario inicial de, mínimo, cinco preguntas, que recopila información sobre el conocimiento previo o las habilidades del estudiante). 
Actividad formativa (semana 2 - Foro individual o grupal, creado para que el estudiante participe activamente en la construcción de su conocimiento y desarrollo de habilidades. Varía entre una actividad entregable y la participación en un foro). 
Actividad de entrega 1 (semana 4 - Actividad individual o grupal, diseñada para evaluar de manera integral el nivel de conocimiento, comprensión y el desempeño de los indicadores de logro. Varía entre entregas independientes o secuenciales). 
Actividad formativa (semana 5 - Foro individual o grupal, creado para que el estudiante participe activamente en la construcción de su conocimiento y desarrollo de habilidades. Varía entre una actividad entregable y la participación en un foro). 
Actividad evaluativa (semana 6 - Cuestionario de mínimo cinco preguntas, que da cuenta del desarrollo total o parcial de los indicadores de logro y el desarrollo de los temas vistos hasta la unidad 3). 
Actividad de entrega 2 (semana 7 - Actividad individual o grupal, diseñada para evaluar de manera integral el nivel de conocimiento, comprensión y el desempeño de los indicadores de logro. Varía entre entregas independientes o secuenciales). 
Autoevaluación (semana 8 - Cuestionario final de, mínimo, cinco preguntas, en el cual el estudiante reflexiona sobre su propio desempeño, habilidades y resultados en un contexto específico). </t>
  </si>
  <si>
    <t>Análisis y Visualización de Datos</t>
  </si>
  <si>
    <t>Identifica conceptos básicos relacionados con el análisis y visualización de datos con el propósito de comunicar información relevante de manera efectiva en diversos contextos. 
Utiliza herramientas para realizar análisis y transformación de datos que garanticen una visualización sencilla y eficiente. 
Utiliza asistentes virtuales para realizar tareas prácticas y resolver problemas en su campo de estudio. 
Evalúa la presencia de sesgos y cuestiones éticas en el análisis y tratamiento de dato para garantizar que su uso esté desprovisto de efectos negativos en el entorno.</t>
  </si>
  <si>
    <t xml:space="preserve">1. Contextualización 
2. Análisis de Datos y Visualización 
3. Usos de la Inteligencia Artificial 
4. Casos de Estudio </t>
  </si>
  <si>
    <t xml:space="preserve">Programación de Computadores </t>
  </si>
  <si>
    <t>Describe objetos del mundo real y cómo se relacionan entre ellos para proponer soluciones a problemas computacionales por medio de datos y expresiones matemáticas.
Aplica estructuras de control en la construcción de programas para resolver problemas computacionales.</t>
  </si>
  <si>
    <t>1. Fundamentos de programación de computadores
2. Estructuras de control
3. Estructuras de datos básicas
4. Recursividad</t>
  </si>
  <si>
    <t>Imagen Digital</t>
  </si>
  <si>
    <t>Aplica técnicas de representación bi y tridimensional en medios digitales, para proponer soluciones de diseño que respondan a necesidades de usuario y contexto.</t>
  </si>
  <si>
    <t>1. Introducción a la imagen digital
2. Dibujo vectorial
3. Color y pinceles
4. Texto, calco y finalización</t>
  </si>
  <si>
    <t>Historia del Diseño</t>
  </si>
  <si>
    <t>Identifica los diferentes contextos históricos y sus vínculos con los procesos de creación objetual como sustento para desarrollar proyectos de diseño.
Interpreta los principales referentes históricos del diseño gráfico para conceptualizarlos a través de proyectos visuales.</t>
  </si>
  <si>
    <t>1. La Comunicación visual y los antecedentes del diseño gráfico
2. Configuración de la sociedad industrial y consolidación del diseño como disciplina moderna
3. Estilos y escuelas modernas de diseño
4. El diseño y su relación con otros campos en el mundo contemporáneo</t>
  </si>
  <si>
    <t>Fundamentos de Fotografía</t>
  </si>
  <si>
    <t>Reconoce los fundamentos técnicos y conceptuales de la fotografía, para aplicar criterios básicos en la valoración de imágenes según su intención comunicativa y tipología visual.</t>
  </si>
  <si>
    <t>1. Contexto y antecedentes de la fotografía
2. Fundamentos técnicos de la fotografía
3. Producción de la imagen fotográfica
4. Tipologías de la imagen fotográfica</t>
  </si>
  <si>
    <t>Fundamentos de Mercadeo y Publicidad</t>
  </si>
  <si>
    <t>Relaciona los conceptos y procesos fundamentales del mercadeo y la comunicación publicitaria para describir propuestas de valor que integren el análisis del mercado, la identificación de necesidades del consumidor y los elementos centrales de la mezcla de mercadeo y del proceso publicitario.</t>
  </si>
  <si>
    <t xml:space="preserve">1. Conceptualización del Mercadeo y proceso de mercadeo.  
2. Conocimiento del mercado y los consumidores. 
3. Diseño de la estrategia y mezcla de Mercadeo orientadas al cliente. 
4. Conceptualización de la Publicidad y el proceso creativo. </t>
  </si>
  <si>
    <t>Oportunidades para Emprender</t>
  </si>
  <si>
    <t>Propone soluciones a los problemas, frustraciones y expectativas de un grupo de personas en su comunidad para idear productos o servicios con valor agregado dentro de su campo de acción profesional.
Diseña una idea de negocio que represente una oportunidad de mercado teniendo en cuenta sus habilidades para emprender y el análisis del entorno.</t>
  </si>
  <si>
    <t>1. Empatía y Comprensión del Usuario   
2. Co-creación con los Usuarios   
3. Enfoque en la Experiencia del Usuario   
4. Diseño del modelo de negocio</t>
  </si>
  <si>
    <t xml:space="preserve">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1 y 2: Actividad individual o grupal, diseñada para evaluar de manera integral el nivel de conocimiento, comprensión y el desempeño de los indicadores de logro. Varía entre entregas independientes o secuenciales. 
Actividad evaluativa: Cuestionario de, mínimo, cinco preguntas, que da cuenta del desarrollo total o parcial de los indicadores de logro y el desarrollo de los temas vistos hasta la unidad 3. 
Autoevaluación: Cuestionario final de mínimo cinco preguntas en el cual el estudiante reflexiona sobre su propio desempeño, habilidades y resultados en un contexto específico. 
</t>
  </si>
  <si>
    <t>Pensamiento Crítico y Ciudadanías Activas</t>
  </si>
  <si>
    <t xml:space="preserve">Identifica los Derechos y Deberes consignados en la Constitución 1991 en relación con la ciudadanía de manera local y global para la comprensión de inmersiones sociales éticas. 
Reflexiona los impactos de la investigación- acción sin daño en los espacios académicos y los territorios para el abordaje desde proyectos de investigación formativa. 
Elabora el diseño de planes detallados desde abordajes investigativos e inmersiones creativas para divulgar hallazgos en el ámbito académico. </t>
  </si>
  <si>
    <t>1. Pacto social colombiano y marco de referencias de DDHH internacionales
2. Planes detallados e inmersiones sociales desde procesos participativos, acciones sociales e iniciativas ciudadanas como respuesta a problemas glocales
3. Perspectivas para la participación ciudadana en los territorios
4. Los avances tecnológicos y su impacto en lo social, cultural y ambiental en el marco de las sociedades de información</t>
  </si>
  <si>
    <t>1. Actividad de puntos evaluables escenario 1 (diagnóstica) - Cuestionario de 5 preguntas.
2. Entrega escenario 2 (formativa)
3. Entrega escenario 4 (formativa)
4. Entrega escenario 5 (formativa)
5. Quiz escenario 6 (sumativa.)</t>
  </si>
  <si>
    <t>Semiótica</t>
  </si>
  <si>
    <t>Reconoce los sistemas simbólicos presentes en mensajes visuales, sonoros y audiovisuales, para aplicar conceptos semióticos en el análisis de productos comunicativos en contextos culturales específicos.</t>
  </si>
  <si>
    <t>1. Introducción a la semiótica 
2. Teoría de los códigos 
3. El mundo como entrecruzamiento de signos sociales
4. Los mensajes modernos: la radio, la televisión y el cine. Los mensajes postmodernos: el cómic, el videoclip y los video juegos</t>
  </si>
  <si>
    <t>Graficación Bitmap</t>
  </si>
  <si>
    <t xml:space="preserve">Analiza los aspectos tecnológicos que definen la imagen digital basada en pixeles y su naturalez para crear productos publicitarios que requieran foto edición. 
Utiliza los procesos de edición de imágenes de mapas de bits para realizar proyectos específicos de diseño y publicidad que aprovechen el uso de las herramientas digitales. </t>
  </si>
  <si>
    <t xml:space="preserve">1. Fundamentos de la imagen digital basada en pixels 
2. Flujo de trabajo de la imagen 
3. Post-producción de imagen digital avanzada 
4. Diseñar con imagen </t>
  </si>
  <si>
    <t>Redacción Publicitaria</t>
  </si>
  <si>
    <t>Aplica técnicas narrativas, retóricas y estrategias de comunicación para desarrollar mensajes publicitarios que respondan a los requerimientos establecidos en un reto de comunicación publicitaria.</t>
  </si>
  <si>
    <t xml:space="preserve">1. Pensamiento creativo publicitario y estrategia creativa. 
2. Concepto publicitario como eje de la comunicación.  
3. Ejecución publicitaria. 
4. Speech en la presentación de campañas. </t>
  </si>
  <si>
    <t>Ilustración Digital</t>
  </si>
  <si>
    <t>Aplica habilidades de dibujo requeridas en la creación de ilustraciones, animaciones e interfaces para desarrollar campañas publicitarias en las que se utilicen teorías y herramientas tecnológicas en la resolución de problemas comunicativos en un contexto digital.</t>
  </si>
  <si>
    <t xml:space="preserve">1. Principios esenciales de la ilustración digital. Pixel v/s vector 
2. Pintura digital: volumen e iluminación 
3. Concept art + perspectiva 
4. Photobashing, matte painting o foto composición </t>
  </si>
  <si>
    <t>Desarrollo Sostenible</t>
  </si>
  <si>
    <t>Identifica ejemplos de problemas ambientales, sociales y económicos en la sociedad contemporánea para analizar sus causas y efectos desde el enfoque del desarrollo sostenible a escala local y global. 
Compara enfoques y aproximaciones tanto privados como público/colectivos desde la sostenibilidad y otras visiones alternativas para proponer ideas de solución que respondan a los desafíos contemporáneos.</t>
  </si>
  <si>
    <t xml:space="preserve">1. Análisis de la Era del Antropoceno 
2. Otras Alternativas al Desarrollo Sostenible 
3. Ciudadanía y Políticas Públicas para el Desarrollo Sostenible 
4. El aporte de Negocios para la Búsqueda del Desarrollo Sostenible </t>
  </si>
  <si>
    <t xml:space="preserve">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1 y 2: Actividad individual o grupal, diseñada para evaluar de manera integral el nivel de conocimiento, comprensión y el desempeño de los indicadores de logro. Varía entre entregas independientes o secuenciales. 
Actividad evaluativa: Cuestionario de, mínimo, cinco preguntas, que da cuenta del desarrollo total o parcial de los indicadores de logro y el desarrollo de los temas vistos hasta la unidad 3. 
Autoevaluación: Cuestionario final de mínimo cinco preguntas en el cual el estudiante reflexiona sobre su propio desempeño, habilidades y resultados en un contexto específico. </t>
  </si>
  <si>
    <t>Pensamiento Creativo</t>
  </si>
  <si>
    <t xml:space="preserve">Analiza las necesidades del contexto y del usuario para resolver problemas de diseño en prototipos funcionales acordes a la toma de decisiones.
Aplica metodologías de pensamiento en diseño y estrategias creativas para diseñar artefactos visuales que resuelvan necesidades de contextos y/o usuarios. </t>
  </si>
  <si>
    <t>1. Diseño centrado en el usuario: Empatía, definición e ideación de soluciones
2. Diseñar pensando en las necesidades: Investigación e ideación
3. Co-creación: Diseño prototipo de mínimo Producto viable, testeo como prueba de usabilidad y evaluación de la experiencia de usuario
4. Evaluar el producto: Rediseñar y consolidar propuestas de valor</t>
  </si>
  <si>
    <t>Gráficos en Movimiento</t>
  </si>
  <si>
    <r>
      <rPr>
        <sz val="11"/>
        <color rgb="FF000000"/>
        <rFont val="Calibri"/>
        <scheme val="minor"/>
      </rPr>
      <t xml:space="preserve">Reconoce los criterios, las técnicas y tecnologías requeridas en la elaboración de animaciones dentro del contexto digital, </t>
    </r>
    <r>
      <rPr>
        <sz val="11"/>
        <color rgb="FF000000"/>
        <rFont val="Gill Sans MT"/>
      </rPr>
      <t xml:space="preserve">para crear soluciones de problemas asociados al diseño digital y a la publicidad. 
Desarrolla los procesos (boceto, </t>
    </r>
    <r>
      <rPr>
        <i/>
        <sz val="11"/>
        <color rgb="FF000000"/>
        <rFont val="Gill Sans MT"/>
      </rPr>
      <t>storyboard</t>
    </r>
    <r>
      <rPr>
        <sz val="11"/>
        <color rgb="FF000000"/>
        <rFont val="Gill Sans MT"/>
      </rPr>
      <t xml:space="preserve">, composición, aplicación de color, creación de secuencias y movimientos) para elaborar animaciones aplicando los conceptos de color, fotografía, imagen vectorial y tipografía, entre otros. </t>
    </r>
  </si>
  <si>
    <t xml:space="preserve">1. Conceptos y criterios básicos de la animación  
2. Representación y estructura  
3. Realización de la animación 
4. Finalización  </t>
  </si>
  <si>
    <t>Planeación de Medios Publicitarios</t>
  </si>
  <si>
    <t>Utiliza técnicas y datos de audiencias, apoyados en plataformas digitales y estudios de mercado, para planificar acciones de medios publicitarios en entornos multicanales.</t>
  </si>
  <si>
    <t>1. Análisis del ecosistema mediático y del consumidor.
2. Planeación estratégica de medios.
3. Medición, seguimiento y control de pauta.
4. Innovación y tecnologías aplicadas a la planeación de medios.</t>
  </si>
  <si>
    <t>Humanidades Digitales</t>
  </si>
  <si>
    <t xml:space="preserve">Reconoce en el contexto histórico, los aspectos teóricos, enfoques y perspectivas del humanismo digital, así como los procesos de cognición de textos e imágenes, para interpretar el fenómeno de las tecnologías y sus implicaciones en los procesos de diseño.
Identifica información a partir de datos representados gráficamente, en el estudio de casos y de análisis de situaciones o problemáticas que emergen en la producción gráfica, para establecer elementos fundamentales que orienten la toma de decisiones.
</t>
  </si>
  <si>
    <t>1.	El humanismo digital, enfoques y perspectivas
2.	Alfabetización digital: textualidades e imágenes digitales
3.	Metodologías y análisis de datos
4.	Análisis y visualización de datos: estudio de caso</t>
  </si>
  <si>
    <t>Estructuras de Datos</t>
  </si>
  <si>
    <t>Aplica conceptos de análisis de algoritmos y notación asintótica para determinar la complejidad temporal y espacial de un programa.
Describe objetos del mundo real y cómo se relacionan entre ellos para proponer soluciones a problemas computacionales por medio de estructuras de datos.</t>
  </si>
  <si>
    <t>1. Introducción al análisis de algoritmos
2. Estructuras de datos lineales
3. Estructuras de datos jerárquicas
4. Tablas hash y grafos</t>
  </si>
  <si>
    <t>Diseño y Usabilidad</t>
  </si>
  <si>
    <t xml:space="preserve">1. Diseño Digital 
2. Prototipado  
3. Usabilidad Digital 
4. Accesibilidad Digital </t>
  </si>
  <si>
    <t>Tipografía</t>
  </si>
  <si>
    <t>Identifica los principios de la composición tipográfica y sus tecnologías de construcción para desarrollar propuestas de diseño acordes a la funcionalidad y finalidad comunicativa.
Aplica los principios de tipografía y composición tipográfica para construir mensajes visuales acordes al público objetivo y su medio de distribución.</t>
  </si>
  <si>
    <t>1. Historia de las tecnologías de la escritura y de la impresión.
2. Anatomía de los tipos, estilos, familias y fuentes tipográficas.
3. Principios de composición tipográfica.
4. Composición tipográfica para medios digitales.</t>
  </si>
  <si>
    <t>Narrativa Digital</t>
  </si>
  <si>
    <t>Emplea los recursos tecnológicos propios del diseño audiovisual para crear experiencias de usuario a través de la interacción.
Identifica las características del usuario y su contexto para proponer soluciones narrativas que respondan a necesidades comunicativas en interacción a través de diversas plataformas tecnológica.</t>
  </si>
  <si>
    <t xml:space="preserve">1. La narración y el universo narrativo
2. Relato, hipertextualidades, interactividad y experiencia de usuario
3. Narrativas multiplataforma, transmedia y crossmedia
4. El relato en los medios digitales </t>
  </si>
  <si>
    <t>Programación para la Interacción</t>
  </si>
  <si>
    <t>Utiliza software y hardware especializados para desarrollar experiencias interactivas, integrando componentes técnicos y creativos en la propuesta de diseño.
Aplica lenguajes de programación especializados para construir proyectos interactivos centrados en la funcionalidad y la experiencia del usuario.</t>
  </si>
  <si>
    <t xml:space="preserve">1. Interacción creativa
2. Aplicaciones
3. Construcción de módulos electrónicos e interactivos
4. Prototipado y visualización </t>
  </si>
  <si>
    <t>Campañas de Comunicación Publicitaria</t>
  </si>
  <si>
    <t>Diseña una campaña de comunicación publicitaria integral, con propuestas de estrategia creativa coherentes con el contexto cultural, la marca y los medios de comunicación, para responder a las necesidades de los anunciantes planteadas en un brief.</t>
  </si>
  <si>
    <t>1. Análisis, síntesis y visión estratégica
2. Estrategia y creatividad publicitaria
3. Ejecución y gestión de campañas publicitarias
4. Indicadores de gestión y métricas de campaña</t>
  </si>
  <si>
    <t>Color</t>
  </si>
  <si>
    <t>Aplica conocimientos teóricos, técnicos y contextuales del color para desarrollar piezas de diseño visual y digital accesibles, funcionales y coherentes con las necesidades del usuario.</t>
  </si>
  <si>
    <t>1. Fundamentos del color
2. Color, sociedad y comunicación  
3. Sistemas de color 
4. La luz y el color</t>
  </si>
  <si>
    <t>Publicidad Digital</t>
  </si>
  <si>
    <t>Analiza la empresa, la marca, los grupos objetivos y los ecosistemas digitales para diseñar estrategias de comunicación digital.</t>
  </si>
  <si>
    <t>1. Entornos y ecosistemas digitales
2. Segmentación y audiencias digitales
3. Planeación estratégica y creativa de la publicidad digital
4. Data, tecnología e inteligencia artificial aplicada</t>
  </si>
  <si>
    <t>Diseño para Nuevos Medios</t>
  </si>
  <si>
    <t>Desarrolla proyectos que involucren el diseño digital estático y en movimiento para generar soluciones comunicativas orientadas a los nuevos medios.
Analiza las características de los diferentes espacios en donde se desenvuelven los nuevos medios para crear nuevos productos de innovación gráfica que mejoren las experiencias de uso a las personas.</t>
  </si>
  <si>
    <t>1. Visión Histórica del Diseño y los Nuevos Medios 
2. Difusión Digital 
3. Diseño y Video Juegos
4. Diseño y Realidad Aumentada</t>
  </si>
  <si>
    <t>Diseño de Interfaces</t>
  </si>
  <si>
    <t>Analiza conceptos de creación gráfica, interacción, usabilidad, accesibilidad y contexto para diseñar interfaces digitales funcionales y experiencias de usuario orientadas a las necesidades del comsumidor final.</t>
  </si>
  <si>
    <t xml:space="preserve">1. Análisis de contexto y necesidades de usuario 
2. Procesos de diseño para entornos digitales 
3. Diseño UI - UX 
4. Fundamentos de Front End </t>
  </si>
  <si>
    <t>Visualización de Información</t>
  </si>
  <si>
    <t xml:space="preserve">Desarrolla procesos de estructuración y organización de información para diseñar piezas digitales que faciliten la transmisión de datos a públicos específicos. 
Maneja la información como insumo de diseño en diversos contextos, para proponer soluciones a problemas de comunicacicón delimitados. </t>
  </si>
  <si>
    <t xml:space="preserve">1. Delimitar el problema de diseño 
2. El espacio de diseño 
3.  La solución de diseño 
4. Diseño de información </t>
  </si>
  <si>
    <t>Tendencias Publicitarias</t>
  </si>
  <si>
    <t>Aplica métodos de análisis de tendencias publicitarias emergentes para identificar oportunidades de comunicación publicitaria en contextos culturales, tecnológicos y sociales.</t>
  </si>
  <si>
    <t>1. Contextualización y conceptualización de tendencias publicitarias
2. Investigación e identificación de tendencias publicitarias
3. Innovación y aplicación creativa basada en tendencias
4. Prospectiva e inteligencia aplicada a la innovación publicitaria</t>
  </si>
  <si>
    <t>Diseño de Interacción</t>
  </si>
  <si>
    <t>Relaciona estrategias de comunicación visual con las necesidades del usuario para diseñar artefactos funcionales en proyectos profesionales de Diseño Digital.</t>
  </si>
  <si>
    <t xml:space="preserve">1. Conceptos generales  
2. Elementos multimedia 
3. Narrativas y experiencias interactivas  
4. Tecnologías y aplicación del diseño de interacción </t>
  </si>
  <si>
    <t>Análisis Publicitario</t>
  </si>
  <si>
    <t>Analiza elementos estratégicos, visuales y culturales en mensajes de medios tradicionales y digitales para aplicar técnicas que evalúen el impacto en la comunicación publicitaria.</t>
  </si>
  <si>
    <t>1. Fundamentos del análisis publicitario y lectura crítica de mensajes
2. Semiótica, narrativa visual y cultura de marca
3. Análisis estratégico y argumentativo de campañas
4. Evaluación de impacto y tendencias analíticas en publicidad</t>
  </si>
  <si>
    <t>Imvestigación Creación</t>
  </si>
  <si>
    <t>Relaciona tipologías de investigación a través de la concreción de ideas para formular proyectos de investigación-creación.
Vincula el diseño con métodos y técnicas de investigación para generar propuestas de solución a problemas de diseño.
Incorpora en los procesos creativos los conceptos teóricos y las habilidades investigativas para construir propuestas de investigación-creación.</t>
  </si>
  <si>
    <t xml:space="preserve">1. ¿Qué es la investigación-creación?
2. Concepción de ideas y planeación
3. Definición y desarrollo
4. Escenarios de divulgación </t>
  </si>
  <si>
    <t>Diseño de Videojuegos</t>
  </si>
  <si>
    <t xml:space="preserve">Aplica principios fundamentales del diseño de videojuegos para proponer mejoras basadas en el análisis de juegos existentes. 
Desarrolla prototipos de experiencias de juego  para integrar narrativa, interacción y experiencia del usuario en propuestas cohenrentes, a partir del trabajo interdisciplinar. </t>
  </si>
  <si>
    <t>1. Fundamentos del diseño de juegos
2. Narrativa interactiva
3. Prototipado y desarrollo iterativo
4. Producción y trabajo colaborativo</t>
  </si>
  <si>
    <t>Branding</t>
  </si>
  <si>
    <t>Analiza el valor simbólico, funcional y emocional de una entidad (organización o producto) mediante la aplicación de modelos de branding y arquitectura de marca para establecer los lineamientos de la identidad corporativa.</t>
  </si>
  <si>
    <t>1. Branding e identidad de marca
2. Plataforma de marca
3. Arquitectura y comunicación de marca
4. Gestión estratégica y medición del valor de marca</t>
  </si>
  <si>
    <t>Electiva I</t>
  </si>
  <si>
    <t>Electiva 2</t>
  </si>
  <si>
    <t>Diseño Sostenible</t>
  </si>
  <si>
    <t xml:space="preserve">Identifica las afectaciones y variables que genera o posee un producto, contrastando los aspectos básicos del diseño sostenible, para proponer una intervención desde el ciclo de vida (ACV). 
Aplica los conceptos básicos del diseño sostenible para plantear propuestas en el desarrollo de productos, proyectos y servicios, que promuevan la producción limpia y el consumo responsable. </t>
  </si>
  <si>
    <t xml:space="preserve">1. Desarrollo sostenible y medio ambiente (actualidad y alfabetización ambiental) 
2. Materialización sostenible (procesos, materiales y productos) 
3. Consumo (comercio justo, responsabilidad social del diseño y consumo responsable) 
4. Análisis de ciclo de vida de producto (ACV)  </t>
  </si>
  <si>
    <t>Proyecto Aplicado</t>
  </si>
  <si>
    <t>Aplica conocimientos teóricos y técnicos del diseño, así como éticos y de responsabilidad social, para resolver problemas según el contexto de aplicación.
Propone soluciones innovadoras a problemas reales derivados del análisis de información y el estudio del entorno social, para generar propuestas de diseño gráfico que solucionen problemas o atiendan a satisfacer necesidades del contexto.</t>
  </si>
  <si>
    <t>1. Identificación, diagnóstico y rastreo
2. Planteamiento de la ruta proyectual
3. Desarrollo de la propuesta de diseño
4. Implementación y evaluación</t>
  </si>
  <si>
    <t>E-Commerce</t>
  </si>
  <si>
    <t>Formula estrategias de comercio electrónico para proponer acciones de distribución comercial online, que optimicen la eficiencia operativa y la sostenibilidad del negocio digital.</t>
  </si>
  <si>
    <t xml:space="preserve">1. Estrategia de comercio electrónico y modelos de negocio     
2. Plataforma tecnológica, logística y experiencia del usuario   
3. Marketing digital, marketplaces y canales de venta online    
4. Analítica, métricas y optimización del e-commerce  
 </t>
  </si>
  <si>
    <t>Electiva 3</t>
  </si>
  <si>
    <t>Electiva 4</t>
  </si>
  <si>
    <t>Total módulos del programa</t>
  </si>
  <si>
    <t>Total créditos programa</t>
  </si>
  <si>
    <t>Total créditos bloque institucional</t>
  </si>
  <si>
    <t>Total créditos bloque disciplinar</t>
  </si>
  <si>
    <t>Total créditos bloque electivo</t>
  </si>
  <si>
    <t>Verbos Competencias</t>
  </si>
  <si>
    <t>Actualizar</t>
  </si>
  <si>
    <t>Administrar</t>
  </si>
  <si>
    <t>Asegurar</t>
  </si>
  <si>
    <t>Asesorar</t>
  </si>
  <si>
    <t>Auditar</t>
  </si>
  <si>
    <t>Comunicar</t>
  </si>
  <si>
    <t>Conducir</t>
  </si>
  <si>
    <t>Conocer</t>
  </si>
  <si>
    <t>Coordinar</t>
  </si>
  <si>
    <t>Definir</t>
  </si>
  <si>
    <t>Dirigir</t>
  </si>
  <si>
    <t>Diseñar</t>
  </si>
  <si>
    <t>Dominar</t>
  </si>
  <si>
    <t>Establecer</t>
  </si>
  <si>
    <t>Evaluar</t>
  </si>
  <si>
    <t>Fiscalizar</t>
  </si>
  <si>
    <t>Formular</t>
  </si>
  <si>
    <t>Generar</t>
  </si>
  <si>
    <t>Gestionar</t>
  </si>
  <si>
    <t>Hacer</t>
  </si>
  <si>
    <t>Liderar</t>
  </si>
  <si>
    <t>Modelar</t>
  </si>
  <si>
    <t>Participar</t>
  </si>
  <si>
    <t>Planear</t>
  </si>
  <si>
    <t>Presidir</t>
  </si>
  <si>
    <t>Producir</t>
  </si>
  <si>
    <t>Resolver</t>
  </si>
  <si>
    <t>Sistematizar</t>
  </si>
  <si>
    <t>Supervisar</t>
  </si>
  <si>
    <t>Transformar</t>
  </si>
  <si>
    <t>Usar</t>
  </si>
  <si>
    <t>Validar</t>
  </si>
  <si>
    <t>Verificar</t>
  </si>
  <si>
    <t>Taxonomía de Bloom Adaptada bajo las ideas de Anderson y Krathwohl</t>
  </si>
  <si>
    <t>Taxonomía de Bloom adaptada bajo las ideas de Lorin y Krathwohl (LK)</t>
  </si>
  <si>
    <t>Taxonomía de Bloom adaptada bajo las ideas de Anderson y Kendal (AK)</t>
  </si>
  <si>
    <t>Taxonomía de Bloom</t>
  </si>
  <si>
    <t>Cognitivo(BAK)</t>
  </si>
  <si>
    <t>Procedimental(BAK)</t>
  </si>
  <si>
    <t>Actitudinal(BAK)</t>
  </si>
  <si>
    <t>Taxonomías</t>
  </si>
  <si>
    <t>LK</t>
  </si>
  <si>
    <t>AK</t>
  </si>
  <si>
    <t>ProcedimentalB</t>
  </si>
  <si>
    <t>ActitudinalB</t>
  </si>
  <si>
    <t>ConocimientoB</t>
  </si>
  <si>
    <t>AplicaciónB</t>
  </si>
  <si>
    <t>AnálisisB</t>
  </si>
  <si>
    <t>SíntesisB</t>
  </si>
  <si>
    <t>EvaluaciónB</t>
  </si>
  <si>
    <t>ConocimientoBAK</t>
  </si>
  <si>
    <t>ComprensiónBAK</t>
  </si>
  <si>
    <t>SíntesisBAK</t>
  </si>
  <si>
    <t>EvaluaciónBAK</t>
  </si>
  <si>
    <t>ImitaciónBAK</t>
  </si>
  <si>
    <t>ManipulaciónBAK</t>
  </si>
  <si>
    <t>ControlBAK</t>
  </si>
  <si>
    <t>PercepciónBAK</t>
  </si>
  <si>
    <t>ResponderBAK</t>
  </si>
  <si>
    <t>OrganizarBAK</t>
  </si>
  <si>
    <t>CaracterizarBAK</t>
  </si>
  <si>
    <t>Procesos cognitivos de orden inferior</t>
  </si>
  <si>
    <t>Procesos cognitivos de orden superior</t>
  </si>
  <si>
    <t>HechosLK</t>
  </si>
  <si>
    <t>InformaciónAK</t>
  </si>
  <si>
    <t>Adquirir</t>
  </si>
  <si>
    <t>Aislar</t>
  </si>
  <si>
    <t>Adaptar</t>
  </si>
  <si>
    <t>Aconsejar</t>
  </si>
  <si>
    <t>Ajustar</t>
  </si>
  <si>
    <t>Direccionar</t>
  </si>
  <si>
    <t>Disponer</t>
  </si>
  <si>
    <t>Remover</t>
  </si>
  <si>
    <t>Aprobar</t>
  </si>
  <si>
    <t>Extraer</t>
  </si>
  <si>
    <t>Negociar</t>
  </si>
  <si>
    <t>RecordarLK</t>
  </si>
  <si>
    <t>ComprenderLK</t>
  </si>
  <si>
    <t>AplicarLK</t>
  </si>
  <si>
    <t>AnalizarLK</t>
  </si>
  <si>
    <t>EvaluarLK</t>
  </si>
  <si>
    <t>CrearLK</t>
  </si>
  <si>
    <t>RecuperaciónAK</t>
  </si>
  <si>
    <t>ComprensiónAK</t>
  </si>
  <si>
    <t>AnálisisAK</t>
  </si>
  <si>
    <t>UsoConocimientoAK</t>
  </si>
  <si>
    <t>MetacogniciónAK</t>
  </si>
  <si>
    <t>SistemadelYoAK</t>
  </si>
  <si>
    <t>ConceptosLK</t>
  </si>
  <si>
    <t>ProcesosMentalesAK</t>
  </si>
  <si>
    <t>Buscar</t>
  </si>
  <si>
    <t>Bosquejar</t>
  </si>
  <si>
    <t>Calisificar</t>
  </si>
  <si>
    <t>Adjuntar</t>
  </si>
  <si>
    <t>Desmontar</t>
  </si>
  <si>
    <t>Quitar</t>
  </si>
  <si>
    <t>Autorizar</t>
  </si>
  <si>
    <t>Resumir</t>
  </si>
  <si>
    <t>Ofrecer</t>
  </si>
  <si>
    <t>Afirmar</t>
  </si>
  <si>
    <t>Clasificar</t>
  </si>
  <si>
    <t>Actuar</t>
  </si>
  <si>
    <t>Agrupar</t>
  </si>
  <si>
    <t>Aceptar</t>
  </si>
  <si>
    <t>ProcedimientoslLK</t>
  </si>
  <si>
    <t>PsicomotorAK</t>
  </si>
  <si>
    <t>Citar</t>
  </si>
  <si>
    <t>Comentar</t>
  </si>
  <si>
    <t>Combinar</t>
  </si>
  <si>
    <t>Calcular</t>
  </si>
  <si>
    <t>Arreglar</t>
  </si>
  <si>
    <t>Agregar</t>
  </si>
  <si>
    <t>Modificar</t>
  </si>
  <si>
    <t>Dramatizar</t>
  </si>
  <si>
    <t>Apalancar</t>
  </si>
  <si>
    <t>Suprimir</t>
  </si>
  <si>
    <t>Demostrar</t>
  </si>
  <si>
    <t>Promover</t>
  </si>
  <si>
    <t>Comparar</t>
  </si>
  <si>
    <t>Añadir</t>
  </si>
  <si>
    <t>Elaborar</t>
  </si>
  <si>
    <t>Adelantar</t>
  </si>
  <si>
    <t>MetacogniciónLK</t>
  </si>
  <si>
    <t>Consignar</t>
  </si>
  <si>
    <t>Componer</t>
  </si>
  <si>
    <t>Categorizar</t>
  </si>
  <si>
    <t>Alinear</t>
  </si>
  <si>
    <t>Concretar</t>
  </si>
  <si>
    <t>Docificar</t>
  </si>
  <si>
    <t>Levantar</t>
  </si>
  <si>
    <t>Eliminar</t>
  </si>
  <si>
    <t>Comportarse bajo condiciones</t>
  </si>
  <si>
    <t>Copiar</t>
  </si>
  <si>
    <t>Contrastar</t>
  </si>
  <si>
    <t>Asumir</t>
  </si>
  <si>
    <t>Apoyar</t>
  </si>
  <si>
    <t>Maximizar</t>
  </si>
  <si>
    <t>Afinar</t>
  </si>
  <si>
    <t>Decir</t>
  </si>
  <si>
    <t>Convertir</t>
  </si>
  <si>
    <t>Articular</t>
  </si>
  <si>
    <t>Arbitrar</t>
  </si>
  <si>
    <t>Dibujar</t>
  </si>
  <si>
    <t>Estimular</t>
  </si>
  <si>
    <t>Retirar</t>
  </si>
  <si>
    <t>Ratificar</t>
  </si>
  <si>
    <t>Fomentar</t>
  </si>
  <si>
    <t>Completar</t>
  </si>
  <si>
    <t>Buscar similitudes</t>
  </si>
  <si>
    <t>Argumentar</t>
  </si>
  <si>
    <t>Mejorar</t>
  </si>
  <si>
    <t>Agradecer</t>
  </si>
  <si>
    <t>Criticar</t>
  </si>
  <si>
    <t>Construir</t>
  </si>
  <si>
    <t>Considerar</t>
  </si>
  <si>
    <t>Aumentar</t>
  </si>
  <si>
    <t>Trazar</t>
  </si>
  <si>
    <t>Localizar</t>
  </si>
  <si>
    <t>Extirpar</t>
  </si>
  <si>
    <t>Manejar</t>
  </si>
  <si>
    <t>Apreciar</t>
  </si>
  <si>
    <t>Anticipar</t>
  </si>
  <si>
    <t>Discutir</t>
  </si>
  <si>
    <t>Conectar</t>
  </si>
  <si>
    <t>Cambiar</t>
  </si>
  <si>
    <t>Minimizar</t>
  </si>
  <si>
    <t>Ambicionar</t>
  </si>
  <si>
    <t>Deletrear</t>
  </si>
  <si>
    <t>Dar ejemplos</t>
  </si>
  <si>
    <t>Ubicar</t>
  </si>
  <si>
    <t>Disipar</t>
  </si>
  <si>
    <t>Guiar</t>
  </si>
  <si>
    <t>Comprender</t>
  </si>
  <si>
    <t>Acabar</t>
  </si>
  <si>
    <t>Ejemplificar</t>
  </si>
  <si>
    <t xml:space="preserve">Construir </t>
  </si>
  <si>
    <t>Centrarse</t>
  </si>
  <si>
    <t>Anhelar</t>
  </si>
  <si>
    <t>ProcedimientosLK</t>
  </si>
  <si>
    <t>Debatir</t>
  </si>
  <si>
    <t>Determinar</t>
  </si>
  <si>
    <t>Atar</t>
  </si>
  <si>
    <t>Encontrar</t>
  </si>
  <si>
    <t>Hablar</t>
  </si>
  <si>
    <t>Defender</t>
  </si>
  <si>
    <t>Terminar</t>
  </si>
  <si>
    <t xml:space="preserve">Duplicar </t>
  </si>
  <si>
    <t>Esquematizar</t>
  </si>
  <si>
    <t>Pensar</t>
  </si>
  <si>
    <t>Describir</t>
  </si>
  <si>
    <t>Cuestionar</t>
  </si>
  <si>
    <t>Computar</t>
  </si>
  <si>
    <t>Perforar</t>
  </si>
  <si>
    <t>Colocar</t>
  </si>
  <si>
    <t>Reproducir</t>
  </si>
  <si>
    <t>Emplear</t>
  </si>
  <si>
    <t>Estimar</t>
  </si>
  <si>
    <t>Proteger</t>
  </si>
  <si>
    <t>Contextualizar</t>
  </si>
  <si>
    <t>Elegir</t>
  </si>
  <si>
    <t>Explicar</t>
  </si>
  <si>
    <t>Correlacionar</t>
  </si>
  <si>
    <t>Compilar</t>
  </si>
  <si>
    <t xml:space="preserve">Planear </t>
  </si>
  <si>
    <t>Desplegar</t>
  </si>
  <si>
    <t>Discriminar</t>
  </si>
  <si>
    <t>Concluir</t>
  </si>
  <si>
    <t>Calificar</t>
  </si>
  <si>
    <t>Organizar</t>
  </si>
  <si>
    <t>Ejercitar</t>
  </si>
  <si>
    <t>Traducir</t>
  </si>
  <si>
    <t>Cooperar</t>
  </si>
  <si>
    <t>Tasar</t>
  </si>
  <si>
    <t>Escribir</t>
  </si>
  <si>
    <t>Expresar</t>
  </si>
  <si>
    <t>Descomponer</t>
  </si>
  <si>
    <t>Enseñar</t>
  </si>
  <si>
    <t>Deducir</t>
  </si>
  <si>
    <t>Censurar</t>
  </si>
  <si>
    <t>Ordenar</t>
  </si>
  <si>
    <t>Hallar</t>
  </si>
  <si>
    <t>Entregar</t>
  </si>
  <si>
    <t>Admitir</t>
  </si>
  <si>
    <t>Colaborar</t>
  </si>
  <si>
    <t>Aspirar</t>
  </si>
  <si>
    <t>Leer</t>
  </si>
  <si>
    <t>Generalizar</t>
  </si>
  <si>
    <t>Diferenciar</t>
  </si>
  <si>
    <t>Reescribir</t>
  </si>
  <si>
    <t>Asistir</t>
  </si>
  <si>
    <t>Situar</t>
  </si>
  <si>
    <t>Actuar recíprocamente</t>
  </si>
  <si>
    <t>Listar</t>
  </si>
  <si>
    <t>Ilustrar</t>
  </si>
  <si>
    <t>Distinguir</t>
  </si>
  <si>
    <t>Convencer</t>
  </si>
  <si>
    <t>Simplificar</t>
  </si>
  <si>
    <t>Duplicar</t>
  </si>
  <si>
    <t>Detectar</t>
  </si>
  <si>
    <t>Crear</t>
  </si>
  <si>
    <t>Acordar</t>
  </si>
  <si>
    <t>Bajar</t>
  </si>
  <si>
    <t>Valorar</t>
  </si>
  <si>
    <t>Obrar recíprocamente</t>
  </si>
  <si>
    <t>Discernir</t>
  </si>
  <si>
    <t>Inferir</t>
  </si>
  <si>
    <t>Dividir</t>
  </si>
  <si>
    <t>Suponer</t>
  </si>
  <si>
    <t>Atender</t>
  </si>
  <si>
    <t>Etiquetar</t>
  </si>
  <si>
    <t>Diagramar</t>
  </si>
  <si>
    <t>Decidir</t>
  </si>
  <si>
    <t>Manipular</t>
  </si>
  <si>
    <t>Reparar</t>
  </si>
  <si>
    <t>Recitar</t>
  </si>
  <si>
    <t>Creer</t>
  </si>
  <si>
    <t>Percibir</t>
  </si>
  <si>
    <t>Memorizar</t>
  </si>
  <si>
    <t xml:space="preserve">Informar </t>
  </si>
  <si>
    <t>Entrevistar</t>
  </si>
  <si>
    <t>Sustituir</t>
  </si>
  <si>
    <t>Examinar</t>
  </si>
  <si>
    <t>Emparejar</t>
  </si>
  <si>
    <t>Conformar</t>
  </si>
  <si>
    <t>Armar</t>
  </si>
  <si>
    <t>Ser partidario de</t>
  </si>
  <si>
    <t>Juzgar</t>
  </si>
  <si>
    <t>Mostrar</t>
  </si>
  <si>
    <t>Interpretar</t>
  </si>
  <si>
    <t>Hacer uso</t>
  </si>
  <si>
    <t>Teorizar</t>
  </si>
  <si>
    <t>ProcesosAK</t>
  </si>
  <si>
    <t>Derivar</t>
  </si>
  <si>
    <t>Constrastar</t>
  </si>
  <si>
    <t>Ensamblar</t>
  </si>
  <si>
    <t>Medir</t>
  </si>
  <si>
    <t>Reemplazar</t>
  </si>
  <si>
    <t>Enumerar</t>
  </si>
  <si>
    <t>Cuidar</t>
  </si>
  <si>
    <t>Reconocer</t>
  </si>
  <si>
    <t>Nombrar</t>
  </si>
  <si>
    <t>Encuestar</t>
  </si>
  <si>
    <t>Testar</t>
  </si>
  <si>
    <t>Grabar</t>
  </si>
  <si>
    <t>Exponer</t>
  </si>
  <si>
    <t>Contabilizar</t>
  </si>
  <si>
    <t>Reunir</t>
  </si>
  <si>
    <t>Ejecutar</t>
  </si>
  <si>
    <t>Racionar</t>
  </si>
  <si>
    <t>Preguntar</t>
  </si>
  <si>
    <t>Narrar</t>
  </si>
  <si>
    <t>Observar</t>
  </si>
  <si>
    <t>Controlar</t>
  </si>
  <si>
    <t>Explorar</t>
  </si>
  <si>
    <t>Separer</t>
  </si>
  <si>
    <t>Reponer</t>
  </si>
  <si>
    <t>Interrogar</t>
  </si>
  <si>
    <t>Referir</t>
  </si>
  <si>
    <t>Servir</t>
  </si>
  <si>
    <t>Omitir</t>
  </si>
  <si>
    <t>Parafrasear</t>
  </si>
  <si>
    <t>Visualizar</t>
  </si>
  <si>
    <t>Aunar</t>
  </si>
  <si>
    <t>Estructurar</t>
  </si>
  <si>
    <t>Desempeñar</t>
  </si>
  <si>
    <t>Corregir</t>
  </si>
  <si>
    <t>Edificar</t>
  </si>
  <si>
    <t>Publicar</t>
  </si>
  <si>
    <t>Preocuparse de o por</t>
  </si>
  <si>
    <t>Cumplir</t>
  </si>
  <si>
    <t>Rastrear</t>
  </si>
  <si>
    <t>Predecir</t>
  </si>
  <si>
    <t>Encajar</t>
  </si>
  <si>
    <t>Repartir</t>
  </si>
  <si>
    <t>Asisitir</t>
  </si>
  <si>
    <t>Ejercer</t>
  </si>
  <si>
    <t>Inspeccionar</t>
  </si>
  <si>
    <t>Descubrir</t>
  </si>
  <si>
    <t>Experimentar</t>
  </si>
  <si>
    <t>Mezclar</t>
  </si>
  <si>
    <t>Relacionar</t>
  </si>
  <si>
    <t>Practicar</t>
  </si>
  <si>
    <t>Investigar</t>
  </si>
  <si>
    <t>Constatar</t>
  </si>
  <si>
    <t>AutoSistemaAK</t>
  </si>
  <si>
    <t>Mostar</t>
  </si>
  <si>
    <t>Culminar</t>
  </si>
  <si>
    <t>Preparar</t>
  </si>
  <si>
    <t>Acceder</t>
  </si>
  <si>
    <t>Porcionar</t>
  </si>
  <si>
    <t>Correr</t>
  </si>
  <si>
    <t>Escoger</t>
  </si>
  <si>
    <t>Motivar</t>
  </si>
  <si>
    <t>Compartir</t>
  </si>
  <si>
    <t>Indicar</t>
  </si>
  <si>
    <t>Inventariar</t>
  </si>
  <si>
    <t>Llevar</t>
  </si>
  <si>
    <t>Ocupar</t>
  </si>
  <si>
    <t>Relatar</t>
  </si>
  <si>
    <t>Soportar</t>
  </si>
  <si>
    <t>Revisar</t>
  </si>
  <si>
    <t>Numerar</t>
  </si>
  <si>
    <t>Convocar</t>
  </si>
  <si>
    <t>Revelar</t>
  </si>
  <si>
    <t>Repetir</t>
  </si>
  <si>
    <t>Mover</t>
  </si>
  <si>
    <t>Seguir</t>
  </si>
  <si>
    <t>Contar</t>
  </si>
  <si>
    <t>Unir</t>
  </si>
  <si>
    <t>Exteriorizar</t>
  </si>
  <si>
    <t>Simular</t>
  </si>
  <si>
    <t>Obtener</t>
  </si>
  <si>
    <t>Estudiar</t>
  </si>
  <si>
    <t>Comprobar</t>
  </si>
  <si>
    <t>Maniobrar</t>
  </si>
  <si>
    <t>Trasladar</t>
  </si>
  <si>
    <t>Informar</t>
  </si>
  <si>
    <t>Transferir</t>
  </si>
  <si>
    <t>Priorizar</t>
  </si>
  <si>
    <t>Extender</t>
  </si>
  <si>
    <t>Figurar</t>
  </si>
  <si>
    <t>Escuchar</t>
  </si>
  <si>
    <t>Probar</t>
  </si>
  <si>
    <t>Esculpir</t>
  </si>
  <si>
    <t>Anotar</t>
  </si>
  <si>
    <t>Razonar</t>
  </si>
  <si>
    <t>Hipotetizar</t>
  </si>
  <si>
    <t>Emitir</t>
  </si>
  <si>
    <t>Entallar</t>
  </si>
  <si>
    <t>Proporcionar</t>
  </si>
  <si>
    <t>Reorganizar</t>
  </si>
  <si>
    <t>Influir</t>
  </si>
  <si>
    <t>Presentar</t>
  </si>
  <si>
    <t>Operar</t>
  </si>
  <si>
    <t>Registrar</t>
  </si>
  <si>
    <t>Abrir</t>
  </si>
  <si>
    <t>Resaltar</t>
  </si>
  <si>
    <t>Innovar</t>
  </si>
  <si>
    <t>Limpiar</t>
  </si>
  <si>
    <t>Destapar</t>
  </si>
  <si>
    <t>Coser</t>
  </si>
  <si>
    <t>Contribuir</t>
  </si>
  <si>
    <t>Separar</t>
  </si>
  <si>
    <t>Justificar</t>
  </si>
  <si>
    <t>Reportar</t>
  </si>
  <si>
    <t>Patronar</t>
  </si>
  <si>
    <t>Filtrar</t>
  </si>
  <si>
    <t>Instalar</t>
  </si>
  <si>
    <t>Comenzar</t>
  </si>
  <si>
    <t>Soldar</t>
  </si>
  <si>
    <t>Provocar</t>
  </si>
  <si>
    <t>Subdividir</t>
  </si>
  <si>
    <t>Poner</t>
  </si>
  <si>
    <t>Recordar</t>
  </si>
  <si>
    <t>Recoger</t>
  </si>
  <si>
    <t>Opinar</t>
  </si>
  <si>
    <t>Introducir</t>
  </si>
  <si>
    <t>Recaudar</t>
  </si>
  <si>
    <t>Impulsar</t>
  </si>
  <si>
    <t>Originar</t>
  </si>
  <si>
    <t>Inventar</t>
  </si>
  <si>
    <t>Juntar</t>
  </si>
  <si>
    <t>Finalizar</t>
  </si>
  <si>
    <t>Ampliar</t>
  </si>
  <si>
    <t>Ensanchar</t>
  </si>
  <si>
    <t>Persuadir</t>
  </si>
  <si>
    <t>Formar</t>
  </si>
  <si>
    <t>Cotejar</t>
  </si>
  <si>
    <t>Premiar</t>
  </si>
  <si>
    <t>Repasar</t>
  </si>
  <si>
    <t>Rotular</t>
  </si>
  <si>
    <t>Empaquetar</t>
  </si>
  <si>
    <t>Balancear</t>
  </si>
  <si>
    <t>Recomendar</t>
  </si>
  <si>
    <t>Marcar</t>
  </si>
  <si>
    <t>Envasar</t>
  </si>
  <si>
    <t>Subrayar</t>
  </si>
  <si>
    <t>Pintar</t>
  </si>
  <si>
    <t>Cortar</t>
  </si>
  <si>
    <t>Recortar</t>
  </si>
  <si>
    <t>Sincronizar</t>
  </si>
  <si>
    <t>Bailar</t>
  </si>
  <si>
    <t>Perfeccionar</t>
  </si>
  <si>
    <t>Peritar</t>
  </si>
  <si>
    <t>Planificar</t>
  </si>
  <si>
    <t>Pronosticar</t>
  </si>
  <si>
    <t>Señalar</t>
  </si>
  <si>
    <t>Difundir</t>
  </si>
  <si>
    <t>Tocar</t>
  </si>
  <si>
    <t>Transmitir</t>
  </si>
  <si>
    <t>Representar</t>
  </si>
  <si>
    <t>Tapizar</t>
  </si>
  <si>
    <t>Entrenar</t>
  </si>
  <si>
    <t>Proyectar</t>
  </si>
  <si>
    <t>Sacar</t>
  </si>
  <si>
    <t>Utilizar</t>
  </si>
  <si>
    <t>Sugerir</t>
  </si>
  <si>
    <t>Imprimir</t>
  </si>
  <si>
    <t>Ponderar</t>
  </si>
  <si>
    <t>Estampar</t>
  </si>
  <si>
    <t>Mecanizar</t>
  </si>
  <si>
    <t>Industrializar</t>
  </si>
  <si>
    <t>Codificar</t>
  </si>
  <si>
    <t>Fabricar</t>
  </si>
  <si>
    <t>Vincular</t>
  </si>
  <si>
    <t>Reducir</t>
  </si>
  <si>
    <t>Mitigar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</si>
</sst>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1" x14ac:knownFonts="1">
    <font>
      <sz val="11"/>
      <color theme="1"/>
      <name val="Calibri"/>
      <family val="2"/>
      <scheme val="minor"/>
    </font>
    <font>
      <sz val="9"/>
      <color indexed="81"/>
      <name val="Tahoma"/>
      <family val="2"/>
    </font>
    <font>
      <b/>
      <sz val="9"/>
      <color indexed="81"/>
      <name val="Tahoma"/>
      <family val="2"/>
    </font>
    <font>
      <sz val="11"/>
      <color theme="1"/>
      <name val="Gill Sans MT"/>
      <family val="2"/>
    </font>
    <font>
      <sz val="11"/>
      <color rgb="FF000000"/>
      <name val="Gill Sans MT"/>
      <family val="2"/>
    </font>
    <font>
      <b/>
      <sz val="11"/>
      <color theme="0"/>
      <name val="Gill Sans MT"/>
      <family val="2"/>
    </font>
    <font>
      <sz val="11"/>
      <color theme="0"/>
      <name val="Gill Sans MT"/>
      <family val="2"/>
    </font>
    <font>
      <b/>
      <sz val="11"/>
      <name val="Gill Sans MT"/>
      <family val="2"/>
    </font>
    <font>
      <b/>
      <sz val="11"/>
      <color theme="1"/>
      <name val="Gill Sans MT"/>
      <family val="2"/>
    </font>
    <font>
      <sz val="11"/>
      <name val="Gill Sans MT"/>
      <family val="2"/>
    </font>
    <font>
      <sz val="10"/>
      <color theme="1"/>
      <name val="Gill Sans MT"/>
      <family val="2"/>
    </font>
    <font>
      <sz val="10"/>
      <color rgb="FF000000"/>
      <name val="Gill Sans MT"/>
      <family val="2"/>
    </font>
    <font>
      <sz val="10"/>
      <name val="Gill Sans MT"/>
      <family val="2"/>
    </font>
    <font>
      <sz val="10"/>
      <color rgb="FF000000"/>
      <name val="Candara"/>
      <family val="2"/>
    </font>
    <font>
      <sz val="10"/>
      <color theme="1"/>
      <name val="Candara"/>
      <family val="2"/>
    </font>
    <font>
      <sz val="11"/>
      <color rgb="FFFF0000"/>
      <name val="Gill Sans MT"/>
      <family val="2"/>
    </font>
    <font>
      <sz val="8"/>
      <color rgb="FFFFFFFF"/>
      <name val="Gill Sans MT"/>
      <family val="2"/>
    </font>
    <font>
      <b/>
      <sz val="11"/>
      <color rgb="FFFFFFFF"/>
      <name val="Gill Sans MT"/>
      <family val="2"/>
    </font>
    <font>
      <b/>
      <sz val="8"/>
      <color theme="0"/>
      <name val="Gill Sans MT"/>
      <family val="2"/>
    </font>
    <font>
      <sz val="8"/>
      <color theme="0"/>
      <name val="Gill Sans MT"/>
      <family val="2"/>
    </font>
    <font>
      <sz val="8"/>
      <color rgb="FF000000"/>
      <name val="Gill Sans MT"/>
      <family val="2"/>
    </font>
    <font>
      <sz val="8"/>
      <color theme="1"/>
      <name val="Gill Sans MT"/>
      <family val="2"/>
    </font>
    <font>
      <b/>
      <sz val="11"/>
      <color rgb="FF000000"/>
      <name val="Gill Sans MT"/>
      <family val="2"/>
    </font>
    <font>
      <sz val="8"/>
      <name val="Gill Sans MT"/>
      <family val="2"/>
    </font>
    <font>
      <b/>
      <sz val="10"/>
      <color rgb="FFFFFFFF"/>
      <name val="Gill Sans MT"/>
      <family val="2"/>
    </font>
    <font>
      <sz val="11"/>
      <name val="Gill Sans MT"/>
    </font>
    <font>
      <sz val="11"/>
      <color theme="1"/>
      <name val="Gill Sans MT"/>
    </font>
    <font>
      <sz val="11"/>
      <color rgb="FF000000"/>
      <name val="Calibri"/>
      <scheme val="minor"/>
    </font>
    <font>
      <sz val="11"/>
      <color rgb="FF000000"/>
      <name val="Gill Sans MT"/>
    </font>
    <font>
      <i/>
      <sz val="11"/>
      <color rgb="FF000000"/>
      <name val="Gill Sans MT"/>
    </font>
    <font>
      <sz val="11"/>
      <color rgb="FF000000"/>
      <name val="Calibri"/>
      <family val="2"/>
      <scheme val="minor"/>
    </font>
  </fonts>
  <fills count="11">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rgb="FF0F385A"/>
        <bgColor rgb="FF000000"/>
      </patternFill>
    </fill>
    <fill>
      <patternFill patternType="solid">
        <fgColor theme="7" tint="0.79998168889431442"/>
        <bgColor indexed="64"/>
      </patternFill>
    </fill>
    <fill>
      <patternFill patternType="solid">
        <fgColor rgb="FFDDEBF7"/>
        <bgColor rgb="FF000000"/>
      </patternFill>
    </fill>
    <fill>
      <patternFill patternType="solid">
        <fgColor rgb="FF1FB2DE"/>
        <bgColor rgb="FF000000"/>
      </patternFill>
    </fill>
    <fill>
      <patternFill patternType="solid">
        <fgColor theme="4" tint="0.79998168889431442"/>
        <bgColor indexed="64"/>
      </patternFill>
    </fill>
  </fills>
  <borders count="18">
    <border>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right/>
      <top style="medium">
        <color indexed="64"/>
      </top>
      <bottom style="medium">
        <color indexed="64"/>
      </bottom>
      <diagonal/>
    </border>
    <border>
      <left/>
      <right/>
      <top style="medium">
        <color indexed="64"/>
      </top>
      <bottom/>
      <diagonal/>
    </border>
    <border>
      <left/>
      <right/>
      <top style="thin">
        <color auto="1"/>
      </top>
      <bottom/>
      <diagonal/>
    </border>
    <border>
      <left/>
      <right/>
      <top/>
      <bottom style="medium">
        <color indexed="64"/>
      </bottom>
      <diagonal/>
    </border>
    <border>
      <left style="thin">
        <color rgb="FF1FB2DE"/>
      </left>
      <right/>
      <top/>
      <bottom/>
      <diagonal/>
    </border>
    <border>
      <left/>
      <right/>
      <top/>
      <bottom style="medium">
        <color rgb="FF000000"/>
      </bottom>
      <diagonal/>
    </border>
    <border>
      <left style="thin">
        <color rgb="FF1FB2DE"/>
      </left>
      <right style="thin">
        <color rgb="FF1FB2DE"/>
      </right>
      <top/>
      <bottom style="thin">
        <color rgb="FF1FB2DE"/>
      </bottom>
      <diagonal/>
    </border>
    <border>
      <left style="thin">
        <color auto="1"/>
      </left>
      <right style="thin">
        <color auto="1"/>
      </right>
      <top/>
      <bottom style="thin">
        <color auto="1"/>
      </bottom>
      <diagonal/>
    </border>
    <border>
      <left style="thin">
        <color rgb="FF1FB2DE"/>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medium">
        <color indexed="64"/>
      </top>
      <bottom style="medium">
        <color rgb="FF000000"/>
      </bottom>
      <diagonal/>
    </border>
    <border>
      <left/>
      <right style="thin">
        <color rgb="FF1FB2DE"/>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77">
    <xf numFmtId="0" fontId="0" fillId="0" borderId="0" xfId="0"/>
    <xf numFmtId="0" fontId="3" fillId="0" borderId="0" xfId="0" applyFont="1"/>
    <xf numFmtId="0" fontId="4" fillId="0" borderId="0" xfId="0" applyFont="1" applyAlignment="1">
      <alignment vertical="center"/>
    </xf>
    <xf numFmtId="0" fontId="6" fillId="0" borderId="0" xfId="0" applyFont="1" applyAlignment="1">
      <alignment horizontal="center" vertical="center"/>
    </xf>
    <xf numFmtId="0" fontId="6" fillId="0" borderId="0" xfId="0" applyFont="1" applyAlignment="1">
      <alignment vertical="center"/>
    </xf>
    <xf numFmtId="0" fontId="4" fillId="5" borderId="2" xfId="0" applyFont="1" applyFill="1" applyBorder="1" applyAlignment="1">
      <alignment vertical="center"/>
    </xf>
    <xf numFmtId="0" fontId="4" fillId="0" borderId="2" xfId="0" applyFont="1" applyBorder="1" applyAlignment="1">
      <alignment vertical="center"/>
    </xf>
    <xf numFmtId="0" fontId="3" fillId="5" borderId="2" xfId="0" applyFont="1" applyFill="1" applyBorder="1"/>
    <xf numFmtId="0" fontId="3" fillId="0" borderId="2" xfId="0" applyFont="1" applyBorder="1"/>
    <xf numFmtId="0" fontId="3" fillId="5" borderId="3" xfId="0" applyFont="1" applyFill="1" applyBorder="1"/>
    <xf numFmtId="0" fontId="4" fillId="5" borderId="3" xfId="0" applyFont="1" applyFill="1" applyBorder="1" applyAlignment="1">
      <alignment vertical="center"/>
    </xf>
    <xf numFmtId="0" fontId="3" fillId="0" borderId="3" xfId="0" applyFont="1" applyBorder="1"/>
    <xf numFmtId="0" fontId="3" fillId="0" borderId="0" xfId="0" applyFont="1" applyAlignment="1">
      <alignment vertical="center"/>
    </xf>
    <xf numFmtId="0" fontId="4" fillId="0" borderId="0" xfId="0" applyFont="1" applyAlignment="1">
      <alignment horizontal="center" vertical="center"/>
    </xf>
    <xf numFmtId="0" fontId="3" fillId="0" borderId="0" xfId="0" applyFont="1" applyAlignment="1">
      <alignment horizontal="center"/>
    </xf>
    <xf numFmtId="0" fontId="16" fillId="6" borderId="1" xfId="0" applyFont="1" applyFill="1" applyBorder="1" applyAlignment="1">
      <alignment horizontal="center" vertical="center" wrapText="1"/>
    </xf>
    <xf numFmtId="0" fontId="3" fillId="0" borderId="0" xfId="0" applyFont="1" applyAlignment="1">
      <alignment horizontal="left" vertical="center" wrapText="1"/>
    </xf>
    <xf numFmtId="0" fontId="3" fillId="0" borderId="6" xfId="0" applyFont="1" applyBorder="1" applyAlignment="1">
      <alignment vertical="center" wrapText="1"/>
    </xf>
    <xf numFmtId="0" fontId="16" fillId="6" borderId="0" xfId="0" applyFont="1" applyFill="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horizontal="left" vertical="center" wrapText="1"/>
    </xf>
    <xf numFmtId="0" fontId="3" fillId="0" borderId="0" xfId="0" applyFont="1" applyAlignment="1">
      <alignment wrapText="1"/>
    </xf>
    <xf numFmtId="0" fontId="3" fillId="0" borderId="0" xfId="0" applyFont="1" applyAlignment="1">
      <alignment horizontal="left" vertical="center"/>
    </xf>
    <xf numFmtId="0" fontId="15" fillId="0" borderId="0" xfId="0" applyFont="1" applyAlignment="1">
      <alignment horizontal="left" vertical="center" wrapText="1"/>
    </xf>
    <xf numFmtId="0" fontId="3" fillId="0" borderId="7" xfId="0" applyFont="1" applyBorder="1" applyAlignment="1">
      <alignment horizontal="center" vertical="center" wrapText="1"/>
    </xf>
    <xf numFmtId="0" fontId="3" fillId="0" borderId="7" xfId="0" applyFont="1" applyBorder="1" applyAlignment="1">
      <alignment horizontal="left" vertical="center" wrapText="1"/>
    </xf>
    <xf numFmtId="0" fontId="3" fillId="0" borderId="5" xfId="0" applyFont="1" applyBorder="1" applyAlignment="1">
      <alignment horizontal="left" vertical="center" wrapText="1"/>
    </xf>
    <xf numFmtId="0" fontId="20" fillId="9" borderId="1" xfId="0" applyFont="1" applyFill="1" applyBorder="1" applyAlignment="1">
      <alignment horizontal="center" vertical="center" wrapText="1"/>
    </xf>
    <xf numFmtId="0" fontId="21" fillId="0" borderId="0" xfId="0" applyFont="1" applyAlignment="1">
      <alignment horizontal="center" vertical="center" wrapText="1"/>
    </xf>
    <xf numFmtId="0" fontId="22" fillId="9" borderId="1" xfId="0" applyFont="1" applyFill="1" applyBorder="1" applyAlignment="1">
      <alignment horizontal="center" vertical="center" wrapText="1"/>
    </xf>
    <xf numFmtId="0" fontId="9" fillId="0" borderId="0" xfId="0" applyFont="1" applyAlignment="1">
      <alignment horizontal="center" vertical="center" wrapText="1"/>
    </xf>
    <xf numFmtId="0" fontId="8" fillId="0" borderId="0" xfId="0" applyFont="1" applyAlignment="1">
      <alignment vertical="center" wrapText="1"/>
    </xf>
    <xf numFmtId="0" fontId="17" fillId="6" borderId="1" xfId="0" applyFont="1" applyFill="1" applyBorder="1" applyAlignment="1">
      <alignment horizontal="center" vertical="center" wrapText="1"/>
    </xf>
    <xf numFmtId="0" fontId="21" fillId="0" borderId="0" xfId="0" applyFont="1" applyAlignment="1">
      <alignment horizontal="left" vertical="center" wrapText="1"/>
    </xf>
    <xf numFmtId="0" fontId="17" fillId="6" borderId="0" xfId="0" applyFont="1" applyFill="1" applyAlignment="1">
      <alignment horizontal="center" vertical="center" wrapText="1"/>
    </xf>
    <xf numFmtId="0" fontId="8" fillId="0" borderId="0" xfId="0" applyFont="1" applyAlignment="1">
      <alignment horizontal="left" vertical="center" wrapText="1"/>
    </xf>
    <xf numFmtId="0" fontId="4" fillId="0" borderId="0" xfId="0" applyFont="1" applyAlignment="1">
      <alignment horizontal="center" vertical="center" wrapText="1"/>
    </xf>
    <xf numFmtId="0" fontId="0" fillId="0" borderId="0" xfId="0" applyAlignment="1">
      <alignment horizontal="left" vertical="center"/>
    </xf>
    <xf numFmtId="0" fontId="3" fillId="0" borderId="7" xfId="0" applyFont="1" applyBorder="1" applyAlignment="1">
      <alignment vertical="center" wrapText="1"/>
    </xf>
    <xf numFmtId="0" fontId="3" fillId="0" borderId="7" xfId="0" applyFont="1" applyBorder="1" applyAlignment="1">
      <alignment vertical="center"/>
    </xf>
    <xf numFmtId="0" fontId="4" fillId="0" borderId="7" xfId="0" applyFont="1" applyBorder="1" applyAlignment="1">
      <alignment vertical="center" wrapText="1"/>
    </xf>
    <xf numFmtId="0" fontId="4" fillId="0" borderId="7" xfId="0" applyFont="1" applyBorder="1" applyAlignment="1">
      <alignment horizontal="center" vertical="center" wrapText="1"/>
    </xf>
    <xf numFmtId="0" fontId="9" fillId="0" borderId="0" xfId="0" applyFont="1" applyAlignment="1">
      <alignment vertical="center" wrapText="1"/>
    </xf>
    <xf numFmtId="0" fontId="9" fillId="0" borderId="6" xfId="0" applyFont="1" applyBorder="1" applyAlignment="1">
      <alignment vertical="center" wrapText="1"/>
    </xf>
    <xf numFmtId="0" fontId="9" fillId="0" borderId="7" xfId="0" applyFont="1" applyBorder="1" applyAlignment="1">
      <alignment vertical="center" wrapText="1"/>
    </xf>
    <xf numFmtId="0" fontId="9" fillId="0" borderId="5" xfId="0" applyFont="1" applyBorder="1" applyAlignment="1">
      <alignment vertical="center" wrapText="1"/>
    </xf>
    <xf numFmtId="0" fontId="3" fillId="0" borderId="5" xfId="0" applyFont="1" applyBorder="1" applyAlignment="1">
      <alignment vertical="center" wrapText="1"/>
    </xf>
    <xf numFmtId="0" fontId="3" fillId="0" borderId="5" xfId="0" applyFont="1" applyBorder="1" applyAlignment="1">
      <alignment horizontal="center" vertical="center" wrapText="1"/>
    </xf>
    <xf numFmtId="0" fontId="3" fillId="0" borderId="0" xfId="0" applyFont="1" applyAlignment="1">
      <alignment horizontal="center" vertical="center"/>
    </xf>
    <xf numFmtId="0" fontId="10" fillId="0" borderId="0" xfId="0" applyFont="1" applyAlignment="1">
      <alignment horizontal="center" vertical="center"/>
    </xf>
    <xf numFmtId="0" fontId="10" fillId="0" borderId="0" xfId="0" applyFont="1" applyAlignment="1">
      <alignment horizontal="center" vertical="center" wrapText="1"/>
    </xf>
    <xf numFmtId="0" fontId="10" fillId="0" borderId="0" xfId="0" applyFont="1" applyAlignment="1" applyProtection="1">
      <alignment horizontal="left" vertical="center" wrapText="1"/>
      <protection locked="0"/>
    </xf>
    <xf numFmtId="0" fontId="10" fillId="0" borderId="0" xfId="0" applyFont="1" applyAlignment="1" applyProtection="1">
      <alignment horizontal="center" vertical="center" wrapText="1"/>
      <protection locked="0"/>
    </xf>
    <xf numFmtId="0" fontId="11" fillId="0" borderId="0" xfId="0" applyFont="1" applyAlignment="1">
      <alignment horizontal="center" vertical="center" wrapText="1"/>
    </xf>
    <xf numFmtId="0" fontId="11" fillId="0" borderId="0" xfId="0" applyFont="1" applyAlignment="1">
      <alignment horizontal="left" vertical="center" wrapText="1"/>
    </xf>
    <xf numFmtId="0" fontId="10" fillId="0" borderId="0" xfId="0" applyFont="1" applyAlignment="1">
      <alignment horizontal="left" vertical="center" wrapText="1"/>
    </xf>
    <xf numFmtId="0" fontId="11" fillId="0" borderId="0" xfId="0" applyFont="1" applyAlignment="1">
      <alignment horizontal="center" vertical="center"/>
    </xf>
    <xf numFmtId="0" fontId="12" fillId="0" borderId="0" xfId="0" applyFont="1" applyAlignment="1">
      <alignment horizontal="center" vertical="center" wrapText="1"/>
    </xf>
    <xf numFmtId="0" fontId="13" fillId="0" borderId="0" xfId="0" applyFont="1" applyAlignment="1">
      <alignment horizontal="center" vertical="center" wrapText="1"/>
    </xf>
    <xf numFmtId="0" fontId="10" fillId="0" borderId="0" xfId="0" applyFont="1" applyAlignment="1" applyProtection="1">
      <alignment horizontal="left" vertical="center"/>
      <protection locked="0"/>
    </xf>
    <xf numFmtId="0" fontId="14" fillId="0" borderId="0" xfId="0" applyFont="1" applyAlignment="1">
      <alignment horizontal="left" vertical="center" wrapText="1"/>
    </xf>
    <xf numFmtId="0" fontId="14" fillId="0" borderId="0" xfId="0" applyFont="1" applyAlignment="1">
      <alignment horizontal="center" vertical="center" wrapText="1"/>
    </xf>
    <xf numFmtId="0" fontId="12" fillId="0" borderId="0" xfId="0" applyFont="1" applyAlignment="1">
      <alignment horizontal="left" vertical="center" wrapText="1"/>
    </xf>
    <xf numFmtId="0" fontId="10" fillId="0" borderId="0" xfId="0" applyFont="1" applyAlignment="1">
      <alignment horizontal="left" vertical="center"/>
    </xf>
    <xf numFmtId="0" fontId="17" fillId="6" borderId="0" xfId="0" applyFont="1" applyFill="1" applyAlignment="1">
      <alignment horizontal="left" vertical="center" wrapText="1"/>
    </xf>
    <xf numFmtId="0" fontId="11" fillId="0" borderId="0" xfId="0" applyFont="1" applyAlignment="1" applyProtection="1">
      <alignment horizontal="left" vertical="center" wrapText="1"/>
      <protection locked="0"/>
    </xf>
    <xf numFmtId="0" fontId="4" fillId="0" borderId="0" xfId="0" applyFont="1"/>
    <xf numFmtId="0" fontId="3" fillId="0" borderId="0" xfId="0" applyFont="1" applyAlignment="1" applyProtection="1">
      <alignment horizontal="left" vertical="center" wrapText="1"/>
      <protection locked="0"/>
    </xf>
    <xf numFmtId="0" fontId="3" fillId="0" borderId="0" xfId="0" applyFont="1" applyAlignment="1" applyProtection="1">
      <alignment horizontal="center" vertical="center" wrapText="1"/>
      <protection locked="0"/>
    </xf>
    <xf numFmtId="0" fontId="4" fillId="0" borderId="0" xfId="0" applyFont="1" applyAlignment="1" applyProtection="1">
      <alignment horizontal="left" vertical="center" wrapText="1"/>
      <protection locked="0"/>
    </xf>
    <xf numFmtId="0" fontId="3" fillId="0" borderId="0" xfId="0" applyFont="1" applyAlignment="1" applyProtection="1">
      <alignment horizontal="left" vertical="center"/>
      <protection locked="0"/>
    </xf>
    <xf numFmtId="0" fontId="3" fillId="7" borderId="5" xfId="0" applyFont="1" applyFill="1" applyBorder="1" applyAlignment="1">
      <alignment horizontal="left" vertical="center" wrapText="1"/>
    </xf>
    <xf numFmtId="0" fontId="3" fillId="7" borderId="5" xfId="0" applyFont="1" applyFill="1" applyBorder="1" applyAlignment="1">
      <alignment horizontal="center" vertical="center" wrapText="1"/>
    </xf>
    <xf numFmtId="0" fontId="4" fillId="7" borderId="5" xfId="0" applyFont="1" applyFill="1" applyBorder="1" applyAlignment="1">
      <alignment horizontal="center" vertical="center" wrapText="1"/>
    </xf>
    <xf numFmtId="0" fontId="4" fillId="7" borderId="5" xfId="0" applyFont="1" applyFill="1" applyBorder="1" applyAlignment="1">
      <alignment horizontal="left" vertical="center" wrapText="1"/>
    </xf>
    <xf numFmtId="49" fontId="3" fillId="7" borderId="5" xfId="0" applyNumberFormat="1" applyFont="1" applyFill="1" applyBorder="1" applyAlignment="1">
      <alignment horizontal="left" vertical="center" wrapText="1"/>
    </xf>
    <xf numFmtId="0" fontId="3" fillId="7" borderId="5" xfId="0" applyFont="1" applyFill="1" applyBorder="1" applyAlignment="1">
      <alignment horizontal="center" vertical="center"/>
    </xf>
    <xf numFmtId="0" fontId="3" fillId="7" borderId="5" xfId="0" applyFont="1" applyFill="1" applyBorder="1" applyAlignment="1" applyProtection="1">
      <alignment horizontal="center" vertical="center" wrapText="1"/>
      <protection locked="0"/>
    </xf>
    <xf numFmtId="0" fontId="4" fillId="7" borderId="5" xfId="0" applyFont="1" applyFill="1" applyBorder="1" applyAlignment="1">
      <alignment vertical="center" wrapText="1"/>
    </xf>
    <xf numFmtId="0" fontId="4" fillId="7" borderId="5" xfId="0" applyFont="1" applyFill="1" applyBorder="1" applyAlignment="1" applyProtection="1">
      <alignment horizontal="left" vertical="center" wrapText="1"/>
      <protection locked="0"/>
    </xf>
    <xf numFmtId="0" fontId="3" fillId="10" borderId="4" xfId="0" applyFont="1" applyFill="1" applyBorder="1" applyAlignment="1">
      <alignment horizontal="left" vertical="center" wrapText="1"/>
    </xf>
    <xf numFmtId="0" fontId="3" fillId="10" borderId="4" xfId="0" applyFont="1" applyFill="1" applyBorder="1" applyAlignment="1">
      <alignment horizontal="center" vertical="center"/>
    </xf>
    <xf numFmtId="0" fontId="3" fillId="10" borderId="4" xfId="0" applyFont="1" applyFill="1" applyBorder="1" applyAlignment="1">
      <alignment horizontal="center" vertical="center" wrapText="1"/>
    </xf>
    <xf numFmtId="0" fontId="3" fillId="10" borderId="4" xfId="0" applyFont="1" applyFill="1" applyBorder="1" applyAlignment="1" applyProtection="1">
      <alignment horizontal="left" vertical="center"/>
      <protection locked="0"/>
    </xf>
    <xf numFmtId="0" fontId="3" fillId="10" borderId="4" xfId="0" applyFont="1" applyFill="1" applyBorder="1" applyAlignment="1" applyProtection="1">
      <alignment horizontal="center" vertical="center" wrapText="1"/>
      <protection locked="0"/>
    </xf>
    <xf numFmtId="0" fontId="4" fillId="10" borderId="4" xfId="0" applyFont="1" applyFill="1" applyBorder="1" applyAlignment="1">
      <alignment horizontal="left" vertical="center" wrapText="1"/>
    </xf>
    <xf numFmtId="0" fontId="4" fillId="10" borderId="4" xfId="0" applyFont="1" applyFill="1" applyBorder="1" applyAlignment="1" applyProtection="1">
      <alignment horizontal="left" vertical="center" wrapText="1"/>
      <protection locked="0"/>
    </xf>
    <xf numFmtId="0" fontId="3" fillId="10" borderId="5" xfId="0" applyFont="1" applyFill="1" applyBorder="1" applyAlignment="1">
      <alignment horizontal="left" vertical="center" wrapText="1"/>
    </xf>
    <xf numFmtId="0" fontId="3" fillId="10" borderId="5" xfId="0" applyFont="1" applyFill="1" applyBorder="1" applyAlignment="1">
      <alignment horizontal="center" vertical="center"/>
    </xf>
    <xf numFmtId="0" fontId="3" fillId="10" borderId="5" xfId="0" applyFont="1" applyFill="1" applyBorder="1" applyAlignment="1">
      <alignment horizontal="center" vertical="center" wrapText="1"/>
    </xf>
    <xf numFmtId="0" fontId="3" fillId="10" borderId="5" xfId="0" applyFont="1" applyFill="1" applyBorder="1" applyAlignment="1" applyProtection="1">
      <alignment horizontal="center" vertical="center" wrapText="1"/>
      <protection locked="0"/>
    </xf>
    <xf numFmtId="0" fontId="4" fillId="10" borderId="5" xfId="0" applyFont="1" applyFill="1" applyBorder="1" applyAlignment="1" applyProtection="1">
      <alignment horizontal="left" vertical="center" wrapText="1"/>
      <protection locked="0"/>
    </xf>
    <xf numFmtId="0" fontId="3" fillId="0" borderId="4" xfId="0" applyFont="1" applyBorder="1" applyAlignment="1">
      <alignment horizontal="left" vertical="center"/>
    </xf>
    <xf numFmtId="0" fontId="3" fillId="7" borderId="4" xfId="0" applyFont="1" applyFill="1" applyBorder="1" applyAlignment="1">
      <alignment horizontal="left" vertical="center" wrapText="1"/>
    </xf>
    <xf numFmtId="0" fontId="3" fillId="0" borderId="8" xfId="0" applyFont="1" applyBorder="1" applyAlignment="1">
      <alignment vertical="center" wrapText="1"/>
    </xf>
    <xf numFmtId="0" fontId="3" fillId="0" borderId="5" xfId="0" applyFont="1" applyBorder="1" applyAlignment="1">
      <alignment horizontal="left" vertical="center"/>
    </xf>
    <xf numFmtId="0" fontId="3" fillId="0" borderId="9" xfId="0" applyFont="1" applyBorder="1" applyAlignment="1">
      <alignment horizontal="left" vertical="center"/>
    </xf>
    <xf numFmtId="0" fontId="3" fillId="0" borderId="9" xfId="0" applyFont="1" applyBorder="1" applyAlignment="1">
      <alignment horizontal="left" vertical="center" wrapText="1"/>
    </xf>
    <xf numFmtId="0" fontId="4" fillId="7" borderId="4" xfId="0" applyFont="1" applyFill="1" applyBorder="1" applyAlignment="1">
      <alignment horizontal="left" vertical="center" wrapText="1"/>
    </xf>
    <xf numFmtId="0" fontId="4" fillId="7" borderId="4" xfId="0" applyFont="1" applyFill="1" applyBorder="1" applyAlignment="1">
      <alignment vertical="center" wrapText="1"/>
    </xf>
    <xf numFmtId="0" fontId="24" fillId="6" borderId="10" xfId="0" applyFont="1" applyFill="1" applyBorder="1" applyAlignment="1">
      <alignment horizontal="center" vertical="center" wrapText="1"/>
    </xf>
    <xf numFmtId="0" fontId="24" fillId="6" borderId="11" xfId="0" applyFont="1" applyFill="1" applyBorder="1" applyAlignment="1">
      <alignment horizontal="center" vertical="center" wrapText="1"/>
    </xf>
    <xf numFmtId="0" fontId="23" fillId="0" borderId="0" xfId="0" applyFont="1" applyAlignment="1">
      <alignment horizontal="center" vertical="center" wrapText="1"/>
    </xf>
    <xf numFmtId="0" fontId="24" fillId="6" borderId="1" xfId="0" applyFont="1" applyFill="1" applyBorder="1" applyAlignment="1">
      <alignment horizontal="center" vertical="center" wrapText="1"/>
    </xf>
    <xf numFmtId="0" fontId="20" fillId="0" borderId="0" xfId="0" applyFont="1" applyAlignment="1">
      <alignment horizontal="center" vertical="center" wrapText="1"/>
    </xf>
    <xf numFmtId="0" fontId="3" fillId="7" borderId="7" xfId="0" applyFont="1" applyFill="1" applyBorder="1" applyAlignment="1">
      <alignment horizontal="left" vertical="center"/>
    </xf>
    <xf numFmtId="0" fontId="4" fillId="0" borderId="7" xfId="0" applyFont="1" applyBorder="1" applyAlignment="1">
      <alignment vertical="center"/>
    </xf>
    <xf numFmtId="0" fontId="3" fillId="0" borderId="9" xfId="0" applyFont="1" applyBorder="1" applyAlignment="1">
      <alignment vertical="center" wrapText="1"/>
    </xf>
    <xf numFmtId="0" fontId="3" fillId="0" borderId="9" xfId="0" applyFont="1" applyBorder="1" applyAlignment="1">
      <alignment vertical="center"/>
    </xf>
    <xf numFmtId="0" fontId="3" fillId="7" borderId="4" xfId="0" applyFont="1" applyFill="1" applyBorder="1" applyAlignment="1">
      <alignment horizontal="center" vertical="center" wrapText="1"/>
    </xf>
    <xf numFmtId="0" fontId="4" fillId="7" borderId="4" xfId="0" applyFont="1" applyFill="1" applyBorder="1" applyAlignment="1">
      <alignment horizontal="center" vertical="center" wrapText="1"/>
    </xf>
    <xf numFmtId="0" fontId="23" fillId="9"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20" fillId="8" borderId="11" xfId="0" applyFont="1" applyFill="1" applyBorder="1" applyAlignment="1">
      <alignment horizontal="center" vertical="center" wrapText="1"/>
    </xf>
    <xf numFmtId="0" fontId="20" fillId="9" borderId="14" xfId="0" applyFont="1" applyFill="1" applyBorder="1" applyAlignment="1">
      <alignment horizontal="center" vertical="center" wrapText="1"/>
    </xf>
    <xf numFmtId="0" fontId="16" fillId="6" borderId="14" xfId="0" applyFont="1" applyFill="1" applyBorder="1" applyAlignment="1">
      <alignment horizontal="center" vertical="center" wrapText="1"/>
    </xf>
    <xf numFmtId="0" fontId="22" fillId="8" borderId="11" xfId="0" applyFont="1" applyFill="1" applyBorder="1" applyAlignment="1">
      <alignment horizontal="center" vertical="center" wrapText="1"/>
    </xf>
    <xf numFmtId="0" fontId="22" fillId="9" borderId="14" xfId="0" applyFont="1" applyFill="1" applyBorder="1" applyAlignment="1">
      <alignment horizontal="center" vertical="center" wrapText="1"/>
    </xf>
    <xf numFmtId="0" fontId="17" fillId="6" borderId="14" xfId="0" applyFont="1" applyFill="1" applyBorder="1" applyAlignment="1">
      <alignment horizontal="center" vertical="center" wrapText="1"/>
    </xf>
    <xf numFmtId="0" fontId="3" fillId="7" borderId="15" xfId="0" applyFont="1" applyFill="1" applyBorder="1" applyAlignment="1">
      <alignment horizontal="center" vertical="center" wrapText="1"/>
    </xf>
    <xf numFmtId="0" fontId="3" fillId="10" borderId="7" xfId="0" applyFont="1" applyFill="1" applyBorder="1" applyAlignment="1" applyProtection="1">
      <alignment horizontal="center" vertical="center" wrapText="1"/>
      <protection locked="0"/>
    </xf>
    <xf numFmtId="0" fontId="4" fillId="0" borderId="9" xfId="0" applyFont="1" applyBorder="1" applyAlignment="1">
      <alignment vertical="center" wrapText="1"/>
    </xf>
    <xf numFmtId="0" fontId="3" fillId="0" borderId="9" xfId="0" applyFont="1" applyBorder="1" applyAlignment="1">
      <alignment horizontal="center" vertical="center" wrapText="1"/>
    </xf>
    <xf numFmtId="0" fontId="26" fillId="0" borderId="0" xfId="0" applyFont="1" applyAlignment="1">
      <alignment horizontal="left" vertical="center" wrapText="1"/>
    </xf>
    <xf numFmtId="0" fontId="26" fillId="10" borderId="5" xfId="0" applyFont="1" applyFill="1" applyBorder="1" applyAlignment="1">
      <alignment horizontal="left" vertical="center" wrapText="1"/>
    </xf>
    <xf numFmtId="0" fontId="26" fillId="10" borderId="4" xfId="0" applyFont="1" applyFill="1" applyBorder="1" applyAlignment="1">
      <alignment horizontal="left" vertical="center" wrapText="1"/>
    </xf>
    <xf numFmtId="0" fontId="3" fillId="0" borderId="7" xfId="0" applyFont="1" applyBorder="1" applyAlignment="1">
      <alignment horizontal="left" vertical="center"/>
    </xf>
    <xf numFmtId="0" fontId="3" fillId="7" borderId="0" xfId="0" applyFont="1" applyFill="1" applyAlignment="1">
      <alignment horizontal="left" vertical="center" wrapText="1"/>
    </xf>
    <xf numFmtId="0" fontId="4" fillId="10" borderId="7" xfId="0" applyFont="1" applyFill="1" applyBorder="1" applyAlignment="1">
      <alignment horizontal="left" vertical="center" wrapText="1"/>
    </xf>
    <xf numFmtId="0" fontId="17" fillId="6" borderId="9" xfId="0" applyFont="1" applyFill="1" applyBorder="1" applyAlignment="1">
      <alignment horizontal="center" vertical="center" wrapText="1"/>
    </xf>
    <xf numFmtId="0" fontId="16" fillId="6" borderId="17" xfId="0" applyFont="1" applyFill="1" applyBorder="1" applyAlignment="1">
      <alignment horizontal="center" vertical="center" wrapText="1"/>
    </xf>
    <xf numFmtId="0" fontId="18" fillId="2" borderId="17" xfId="0" applyFont="1" applyFill="1" applyBorder="1" applyAlignment="1">
      <alignment horizontal="center" vertical="center" wrapText="1"/>
    </xf>
    <xf numFmtId="0" fontId="5" fillId="2" borderId="17" xfId="0" applyFont="1" applyFill="1" applyBorder="1" applyAlignment="1">
      <alignment horizontal="center" vertical="center" wrapText="1"/>
    </xf>
    <xf numFmtId="0" fontId="7" fillId="3" borderId="17" xfId="0" applyFont="1" applyFill="1" applyBorder="1" applyAlignment="1">
      <alignment horizontal="center" vertical="center" wrapText="1"/>
    </xf>
    <xf numFmtId="0" fontId="3" fillId="0" borderId="5" xfId="0" applyFont="1" applyBorder="1" applyAlignment="1" applyProtection="1">
      <alignment horizontal="left" vertical="center" wrapText="1"/>
      <protection locked="0"/>
    </xf>
    <xf numFmtId="0" fontId="3" fillId="0" borderId="0" xfId="0" applyFont="1" applyAlignment="1" applyProtection="1">
      <alignment horizontal="left" vertical="center" wrapText="1"/>
      <protection locked="0"/>
    </xf>
    <xf numFmtId="0" fontId="3" fillId="0" borderId="7" xfId="0" applyFont="1" applyBorder="1" applyAlignment="1" applyProtection="1">
      <alignment horizontal="left" vertical="center" wrapText="1"/>
      <protection locked="0"/>
    </xf>
    <xf numFmtId="0" fontId="3" fillId="0" borderId="5" xfId="0" applyFont="1" applyBorder="1" applyAlignment="1">
      <alignment horizontal="center" vertical="center" wrapText="1"/>
    </xf>
    <xf numFmtId="0" fontId="3" fillId="0" borderId="0" xfId="0" applyFont="1" applyAlignment="1">
      <alignment horizontal="center" vertical="center" wrapText="1"/>
    </xf>
    <xf numFmtId="0" fontId="3" fillId="0" borderId="7" xfId="0" applyFont="1" applyBorder="1" applyAlignment="1">
      <alignment horizontal="center" vertical="center" wrapText="1"/>
    </xf>
    <xf numFmtId="0" fontId="3" fillId="0" borderId="9" xfId="0" applyFont="1" applyBorder="1" applyAlignment="1">
      <alignment horizontal="center" vertical="center" wrapText="1"/>
    </xf>
    <xf numFmtId="0" fontId="4" fillId="0" borderId="5" xfId="0" applyFont="1" applyBorder="1" applyAlignment="1" applyProtection="1">
      <alignment horizontal="left" vertical="center" wrapText="1"/>
      <protection locked="0"/>
    </xf>
    <xf numFmtId="0" fontId="4" fillId="0" borderId="0" xfId="0" applyFont="1" applyAlignment="1" applyProtection="1">
      <alignment horizontal="left" vertical="center" wrapText="1"/>
      <protection locked="0"/>
    </xf>
    <xf numFmtId="0" fontId="4" fillId="0" borderId="9" xfId="0" applyFont="1" applyBorder="1" applyAlignment="1" applyProtection="1">
      <alignment horizontal="left" vertical="center" wrapText="1"/>
      <protection locked="0"/>
    </xf>
    <xf numFmtId="0" fontId="4" fillId="0" borderId="7" xfId="0" applyFont="1" applyBorder="1" applyAlignment="1" applyProtection="1">
      <alignment horizontal="left" vertical="center" wrapText="1"/>
      <protection locked="0"/>
    </xf>
    <xf numFmtId="0" fontId="3" fillId="0" borderId="9" xfId="0" applyFont="1" applyBorder="1" applyAlignment="1" applyProtection="1">
      <alignment horizontal="left" vertical="center" wrapText="1"/>
      <protection locked="0"/>
    </xf>
    <xf numFmtId="0" fontId="30" fillId="0" borderId="0" xfId="0" applyFont="1" applyAlignment="1">
      <alignment wrapText="1"/>
    </xf>
    <xf numFmtId="0" fontId="25" fillId="0" borderId="0" xfId="0" applyFont="1" applyAlignment="1" applyProtection="1">
      <alignment horizontal="left" vertical="center" wrapText="1"/>
      <protection locked="0"/>
    </xf>
    <xf numFmtId="0" fontId="25" fillId="0" borderId="7" xfId="0" applyFont="1" applyBorder="1" applyAlignment="1" applyProtection="1">
      <alignment horizontal="left" vertical="center" wrapText="1"/>
      <protection locked="0"/>
    </xf>
    <xf numFmtId="0" fontId="3" fillId="0" borderId="5"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3" fillId="0" borderId="5" xfId="0" applyFont="1" applyBorder="1" applyAlignment="1">
      <alignment horizontal="left" vertical="center" wrapText="1"/>
    </xf>
    <xf numFmtId="0" fontId="3" fillId="0" borderId="0" xfId="0" applyFont="1" applyAlignment="1">
      <alignment horizontal="left" vertical="center" wrapText="1"/>
    </xf>
    <xf numFmtId="0" fontId="3" fillId="0" borderId="7" xfId="0" applyFont="1" applyBorder="1" applyAlignment="1">
      <alignment horizontal="left" vertical="center" wrapText="1"/>
    </xf>
    <xf numFmtId="0" fontId="16" fillId="6" borderId="0" xfId="0" applyFont="1" applyFill="1" applyAlignment="1">
      <alignment horizontal="center" vertical="center" wrapText="1"/>
    </xf>
    <xf numFmtId="0" fontId="3" fillId="0" borderId="9" xfId="0" applyFont="1" applyBorder="1" applyAlignment="1">
      <alignment horizontal="center" vertical="center"/>
    </xf>
    <xf numFmtId="0" fontId="3" fillId="0" borderId="8" xfId="0" applyFont="1" applyBorder="1" applyAlignment="1">
      <alignment horizontal="center" vertical="center" wrapText="1"/>
    </xf>
    <xf numFmtId="0" fontId="18" fillId="2" borderId="17" xfId="0" applyFont="1" applyFill="1" applyBorder="1" applyAlignment="1">
      <alignment horizontal="center" vertical="center" wrapText="1"/>
    </xf>
    <xf numFmtId="0" fontId="3" fillId="0" borderId="16" xfId="0" applyFont="1" applyBorder="1" applyAlignment="1">
      <alignment horizontal="left" vertical="center" wrapText="1"/>
    </xf>
    <xf numFmtId="0" fontId="17" fillId="6" borderId="12" xfId="0" applyFont="1" applyFill="1" applyBorder="1" applyAlignment="1">
      <alignment horizontal="center" vertical="center" wrapText="1"/>
    </xf>
    <xf numFmtId="0" fontId="17" fillId="6" borderId="13" xfId="0" applyFont="1" applyFill="1" applyBorder="1" applyAlignment="1">
      <alignment horizontal="center" vertical="center" wrapText="1"/>
    </xf>
    <xf numFmtId="0" fontId="9" fillId="0" borderId="6" xfId="0" applyFont="1" applyBorder="1" applyAlignment="1">
      <alignment horizontal="left" vertical="center" wrapText="1"/>
    </xf>
    <xf numFmtId="0" fontId="9" fillId="0" borderId="0" xfId="0" applyFont="1" applyAlignment="1">
      <alignment horizontal="left" vertical="center" wrapText="1"/>
    </xf>
    <xf numFmtId="0" fontId="9" fillId="0" borderId="7" xfId="0" applyFont="1" applyBorder="1" applyAlignment="1">
      <alignment horizontal="left" vertical="center" wrapText="1"/>
    </xf>
    <xf numFmtId="0" fontId="9" fillId="0" borderId="5" xfId="0" applyFont="1" applyBorder="1" applyAlignment="1">
      <alignment horizontal="left" vertical="center" wrapText="1"/>
    </xf>
    <xf numFmtId="0" fontId="4" fillId="0" borderId="6" xfId="0" applyFont="1" applyBorder="1" applyAlignment="1">
      <alignment horizontal="center" vertical="center" wrapText="1"/>
    </xf>
    <xf numFmtId="0" fontId="4" fillId="0" borderId="0" xfId="0" applyFont="1" applyAlignment="1">
      <alignment horizontal="center" vertical="center" wrapText="1"/>
    </xf>
    <xf numFmtId="0" fontId="4" fillId="0" borderId="7" xfId="0" applyFont="1" applyBorder="1" applyAlignment="1">
      <alignment horizontal="center" vertical="center" wrapText="1"/>
    </xf>
    <xf numFmtId="0" fontId="3" fillId="0" borderId="0" xfId="0" applyFont="1" applyAlignment="1">
      <alignment horizontal="left" vertical="center"/>
    </xf>
    <xf numFmtId="0" fontId="9" fillId="0" borderId="0" xfId="0" applyFont="1" applyAlignment="1">
      <alignment horizontal="center" vertical="center" wrapText="1"/>
    </xf>
    <xf numFmtId="0" fontId="9" fillId="0" borderId="9" xfId="0" applyFont="1" applyBorder="1" applyAlignment="1">
      <alignment horizontal="center" vertical="center" wrapText="1"/>
    </xf>
    <xf numFmtId="0" fontId="4" fillId="0" borderId="0" xfId="0" applyFont="1" applyAlignment="1">
      <alignment horizontal="center" vertical="center"/>
    </xf>
    <xf numFmtId="0" fontId="3" fillId="0" borderId="0" xfId="0" applyFont="1" applyAlignment="1">
      <alignment horizontal="center"/>
    </xf>
    <xf numFmtId="0" fontId="5" fillId="4" borderId="1" xfId="0" applyFont="1" applyFill="1" applyBorder="1" applyAlignment="1">
      <alignment horizontal="center"/>
    </xf>
  </cellXfs>
  <cellStyles count="1">
    <cellStyle name="Normal" xfId="0" builtinId="0"/>
  </cellStyles>
  <dxfs count="152">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51"/>
    </tableStyle>
    <tableStyle name="Estilo de tabla 2" pivot="0" count="1" xr9:uid="{C6F8D6C6-DD7E-42E8-8328-19C722F9F97F}">
      <tableStyleElement type="wholeTable" dxfId="150"/>
    </tableStyle>
    <tableStyle name="Estilo de tabla 3" pivot="0" count="1" xr9:uid="{BD8219D8-F95E-4ADD-BD98-5883EDA7E91C}">
      <tableStyleElement type="headerRow" dxfId="149"/>
    </tableStyle>
  </tableStyles>
  <colors>
    <mruColors>
      <color rgb="FFF5B0B0"/>
      <color rgb="FF1FB2DE"/>
      <color rgb="FF0F38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https://poligran-my.sharepoint.com/personal/dvelasquez_poligran_edu_co/Documents/02_Curriculo_Virtual/05_Documentos_Reforzamiento%20curricular/ReforzamientoCurricular2022/03_Entregables/Nivel%20Micro/06_FormatosRA2024_AC/01_Renovacion/FormatoRA_TecProfJudicial_VNAL.xlsx" TargetMode="External"/><Relationship Id="rId2" Type="http://schemas.microsoft.com/office/2019/04/relationships/externalLinkLongPath" Target="/personal/dvelasquez_poligran_edu_co/Documents/02_Curriculo_Virtual/05_Documentos_Reforzamiento%20curricular/ReforzamientoCurricular2022/03_Entregables/Nivel%20Micro/06_FormatosRA2024_AC/01_Renovacion/FormatoRA_TecProfJudicial_VNAL.xlsx?0A18EC3A" TargetMode="External"/><Relationship Id="rId1" Type="http://schemas.openxmlformats.org/officeDocument/2006/relationships/externalLinkPath" Target="file:///\\0A18EC3A\FormatoRA_TecProfJudicial_VNAL.xlsx" TargetMode="External"/><Relationship Id="rId4" Type="http://schemas.openxmlformats.org/officeDocument/2006/relationships/externalLinkPath" Target="../../../../dvelasquez_poligran_edu_co/Documents/02_Curriculo_Virtual/05_Documentos_Reforzamiento%20curricular/ReforzamientoCurricular2022/03_Entregables/Nivel%20Micro/06_FormatosRA2024_AC/01_Renovacion/FormatoRA_TecProfJudicial_V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cni8NL5dwkaGySQFxD1mpD9Up9Jq245OlXEFAEVxh_yGpr5orbeXS77QVIKZKnPK" itemId="012I3KOA5EEP7EY6FKXFEKPBOGH5NVIR4O">
      <xxl21:absoluteUrl r:id="rId3"/>
      <xxl21:relativeUrl r:id="rId4"/>
    </xxl21:alternateUrls>
    <sheetNames>
      <sheetName val="Paso1 Analisis perfil egreso"/>
      <sheetName val="Paso 2 Redacción competen"/>
      <sheetName val="Paso 3 Redacción RA "/>
      <sheetName val="Paso 4 Estrategias mesocurricu"/>
      <sheetName val="Paso 5 Estrategias microcurricu"/>
      <sheetName val="Taxonomía para competencias"/>
      <sheetName val="Taxonomias para RA"/>
    </sheetNames>
    <sheetDataSet>
      <sheetData sheetId="0"/>
      <sheetData sheetId="1"/>
      <sheetData sheetId="2"/>
      <sheetData sheetId="3"/>
      <sheetData sheetId="4"/>
      <sheetData sheetId="5"/>
      <sheetData sheetId="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C8770C3-071D-499F-9BF2-620169EB50C6}" name="Tabla33103" displayName="Tabla33103" ref="B1:B38" totalsRowShown="0" headerRowDxfId="148" dataDxfId="147">
  <autoFilter ref="B1:B38" xr:uid="{5C8770C3-071D-499F-9BF2-620169EB50C6}"/>
  <sortState xmlns:xlrd2="http://schemas.microsoft.com/office/spreadsheetml/2017/richdata2" ref="B2:B38">
    <sortCondition ref="B1:B38"/>
  </sortState>
  <tableColumns count="1">
    <tableColumn id="1" xr3:uid="{4942F65A-DE34-45AD-8AFA-EDFC3B88631B}" name="Verbos Competencias" dataDxfId="14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8FC5A9A-4920-4623-A07A-3CF9371DCF4A}" name="Tabla1715" displayName="Tabla1715" ref="A3:A7" totalsRowShown="0" headerRowDxfId="145" dataDxfId="144">
  <autoFilter ref="A3:A7" xr:uid="{48FC5A9A-4920-4623-A07A-3CF9371DCF4A}"/>
  <tableColumns count="1">
    <tableColumn id="1" xr3:uid="{63D540FA-82EB-4145-8DC7-B519D8CD7CC0}" name="Taxonomías" dataDxfId="143"/>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9BF92EC-A277-4656-A963-5B1EAB7D46D6}" name="Tabla1816" displayName="Tabla1816" ref="AL4:AL32" totalsRowShown="0" headerRowDxfId="142" dataDxfId="141">
  <autoFilter ref="AL4:AL32" xr:uid="{59BF92EC-A277-4656-A963-5B1EAB7D46D6}"/>
  <sortState xmlns:xlrd2="http://schemas.microsoft.com/office/spreadsheetml/2017/richdata2" ref="AL5:AL32">
    <sortCondition ref="AL5:AL32"/>
  </sortState>
  <tableColumns count="1">
    <tableColumn id="1" xr3:uid="{F4C3BEC3-A8BA-43A6-AF00-06D2C8E04D5E}" name="RecordarLK" dataDxfId="14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3A057E8-BC14-4481-9B47-B7A94BC9D97A}" name="Tabla1926" displayName="Tabla1926" ref="AM4:AM28" totalsRowShown="0" headerRowDxfId="139" dataDxfId="138">
  <autoFilter ref="AM4:AM28" xr:uid="{B3A057E8-BC14-4481-9B47-B7A94BC9D97A}"/>
  <sortState xmlns:xlrd2="http://schemas.microsoft.com/office/spreadsheetml/2017/richdata2" ref="AM5:AM28">
    <sortCondition ref="AM5:AM28"/>
  </sortState>
  <tableColumns count="1">
    <tableColumn id="1" xr3:uid="{22C36FE7-AAEE-4B9D-8345-61BDDF16672A}" name="ComprenderLK" dataDxfId="13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CD6709B3-878C-4665-A64F-6617D841DAF8}" name="Tabla2028" displayName="Tabla2028" ref="AN4:AN31" totalsRowShown="0" headerRowDxfId="136" dataDxfId="135">
  <autoFilter ref="AN4:AN31" xr:uid="{CD6709B3-878C-4665-A64F-6617D841DAF8}"/>
  <sortState xmlns:xlrd2="http://schemas.microsoft.com/office/spreadsheetml/2017/richdata2" ref="AN5:AN31">
    <sortCondition ref="AN5:AN31"/>
  </sortState>
  <tableColumns count="1">
    <tableColumn id="1" xr3:uid="{E0748E34-505E-4B6C-88AD-69D1650A1458}" name="AplicarLK" dataDxfId="13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6F0B0E8-A8D0-4F61-A40D-B1423DE7B813}" name="Tabla2129" displayName="Tabla2129" ref="AO4:AO35" totalsRowShown="0" headerRowDxfId="133" dataDxfId="132">
  <autoFilter ref="AO4:AO35" xr:uid="{C6F0B0E8-A8D0-4F61-A40D-B1423DE7B813}"/>
  <sortState xmlns:xlrd2="http://schemas.microsoft.com/office/spreadsheetml/2017/richdata2" ref="AO5:AO35">
    <sortCondition ref="AO5:AO35"/>
  </sortState>
  <tableColumns count="1">
    <tableColumn id="1" xr3:uid="{4EC3AE28-DA86-4BC0-BF7B-BF5699537101}" name="AnalizarLK" dataDxfId="13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847CBB9-9D6E-4D0E-8127-07F853DB7AC6}" name="Tabla2230" displayName="Tabla2230" ref="AP4:AP47" totalsRowShown="0" headerRowDxfId="130" dataDxfId="129">
  <autoFilter ref="AP4:AP47" xr:uid="{7847CBB9-9D6E-4D0E-8127-07F853DB7AC6}"/>
  <sortState xmlns:xlrd2="http://schemas.microsoft.com/office/spreadsheetml/2017/richdata2" ref="AP5:AP47">
    <sortCondition ref="AP5:AP47"/>
  </sortState>
  <tableColumns count="1">
    <tableColumn id="1" xr3:uid="{47FDF88B-30DA-4104-BC28-92F05B1464DC}" name="EvaluarLK" dataDxfId="12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D29FBDA-C4C7-4802-9945-B1136AA1A5B6}" name="Tabla2333" displayName="Tabla2333" ref="AQ4:AQ21" totalsRowShown="0" headerRowDxfId="127" dataDxfId="126">
  <autoFilter ref="AQ4:AQ21" xr:uid="{1D29FBDA-C4C7-4802-9945-B1136AA1A5B6}"/>
  <sortState xmlns:xlrd2="http://schemas.microsoft.com/office/spreadsheetml/2017/richdata2" ref="AQ5:AQ21">
    <sortCondition ref="AQ5:AQ21"/>
  </sortState>
  <tableColumns count="1">
    <tableColumn id="1" xr3:uid="{695E3FF0-9053-4D06-82E6-12950FD1BCA1}" name="CrearLK" dataDxfId="12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F8CECA1C-3082-403C-A916-A3F7860E419B}" name="Tabla3555" displayName="Tabla3555" ref="S3:S45" totalsRowShown="0" headerRowDxfId="124" dataDxfId="123">
  <autoFilter ref="S3:S45" xr:uid="{F8CECA1C-3082-403C-A916-A3F7860E419B}"/>
  <sortState xmlns:xlrd2="http://schemas.microsoft.com/office/spreadsheetml/2017/richdata2" ref="S4:S45">
    <sortCondition ref="S4:S45"/>
  </sortState>
  <tableColumns count="1">
    <tableColumn id="1" xr3:uid="{E8288FDF-6DC1-467B-8083-3BB5E5966D23}" name="ConocimientoBAK" dataDxfId="12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91DAFDAE-F212-4BAF-BC19-DDD22FBAA62D}" name="Tabla3663" displayName="Tabla3663" ref="T3:T42" totalsRowShown="0" headerRowDxfId="121" dataDxfId="120">
  <autoFilter ref="T3:T42" xr:uid="{91DAFDAE-F212-4BAF-BC19-DDD22FBAA62D}"/>
  <sortState xmlns:xlrd2="http://schemas.microsoft.com/office/spreadsheetml/2017/richdata2" ref="T4:T42">
    <sortCondition ref="T4:T42"/>
  </sortState>
  <tableColumns count="1">
    <tableColumn id="1" xr3:uid="{BE0B8AE9-98EE-44F6-8C48-260F8C2558A0}" name="ComprensiónBAK" dataDxfId="119"/>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B1A040A9-8CFD-4596-8FBC-27FD56392945}" name="Tabla3764" displayName="Tabla3764" ref="U3:U44" totalsRowShown="0" headerRowDxfId="118" dataDxfId="117">
  <autoFilter ref="U3:U44" xr:uid="{B1A040A9-8CFD-4596-8FBC-27FD56392945}"/>
  <sortState xmlns:xlrd2="http://schemas.microsoft.com/office/spreadsheetml/2017/richdata2" ref="U4:U43">
    <sortCondition ref="U4:U43"/>
  </sortState>
  <tableColumns count="1">
    <tableColumn id="1" xr3:uid="{37523E1E-21F0-4AD5-AE5F-B4C6B322C81C}" name="AplicaciónBAK" dataDxfId="116"/>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2AA761F5-FCA1-4A0B-90D8-1C642DDF1D1A}" name="Tabla3865" displayName="Tabla3865" ref="V3:V36" totalsRowShown="0" headerRowDxfId="115" dataDxfId="114">
  <autoFilter ref="V3:V36" xr:uid="{2AA761F5-FCA1-4A0B-90D8-1C642DDF1D1A}"/>
  <sortState xmlns:xlrd2="http://schemas.microsoft.com/office/spreadsheetml/2017/richdata2" ref="V4:V36">
    <sortCondition ref="V4:V36"/>
  </sortState>
  <tableColumns count="1">
    <tableColumn id="1" xr3:uid="{AF14FE7A-A899-43F9-A3C0-8119863088B1}" name="AnálisisBAK" dataDxfId="113"/>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F6A45780-86A0-4428-88DB-1A555C4970E6}" name="Tabla3966" displayName="Tabla3966" ref="W3:W63" totalsRowShown="0" headerRowDxfId="112" dataDxfId="111">
  <autoFilter ref="W3:W63" xr:uid="{F6A45780-86A0-4428-88DB-1A555C4970E6}"/>
  <sortState xmlns:xlrd2="http://schemas.microsoft.com/office/spreadsheetml/2017/richdata2" ref="W4:W63">
    <sortCondition ref="W4:W63"/>
  </sortState>
  <tableColumns count="1">
    <tableColumn id="1" xr3:uid="{8D1F3CAA-A929-411E-B3AB-90C77CB5BC14}" name="SíntesisBAK" dataDxfId="11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245156A-EE8E-4F9F-B3E3-F1F013A29E6E}" name="Tabla4067" displayName="Tabla4067" ref="X3:X66" totalsRowShown="0" headerRowDxfId="109" dataDxfId="108">
  <autoFilter ref="X3:X66" xr:uid="{3245156A-EE8E-4F9F-B3E3-F1F013A29E6E}"/>
  <sortState xmlns:xlrd2="http://schemas.microsoft.com/office/spreadsheetml/2017/richdata2" ref="X4:X66">
    <sortCondition ref="X4:X66"/>
  </sortState>
  <tableColumns count="1">
    <tableColumn id="1" xr3:uid="{D08EDAAB-166E-48F7-9B09-46F65D2F2270}" name="EvaluaciónBAK" dataDxfId="107"/>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C46EE9B-0911-4522-BB5D-1931406AB4AB}" name="Tabla1168" displayName="Tabla1168" ref="Y3:Y52" totalsRowShown="0" headerRowDxfId="106" dataDxfId="105">
  <autoFilter ref="Y3:Y52" xr:uid="{0C46EE9B-0911-4522-BB5D-1931406AB4AB}"/>
  <tableColumns count="1">
    <tableColumn id="1" xr3:uid="{CDE7758F-9A83-44EB-B2E4-CC670F5593B8}" name="ImitaciónBAK" dataDxfId="104"/>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300A78DD-9219-4A2F-A2DA-93669B9B6AF3}" name="Tabla3069" displayName="Tabla3069" ref="Z3:Z40" totalsRowShown="0" headerRowDxfId="103" dataDxfId="102">
  <autoFilter ref="Z3:Z40" xr:uid="{300A78DD-9219-4A2F-A2DA-93669B9B6AF3}"/>
  <tableColumns count="1">
    <tableColumn id="1" xr3:uid="{3C407CCE-B486-4656-BA81-116BE1090143}" name="ManipulaciónBAK" dataDxfId="101"/>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6877FA86-1F49-4E2D-9448-AFF0346B8BB8}" name="Tabla4170" displayName="Tabla4170" ref="AA3:AA70" totalsRowShown="0" headerRowDxfId="100" dataDxfId="99">
  <autoFilter ref="AA3:AA70" xr:uid="{6877FA86-1F49-4E2D-9448-AFF0346B8BB8}"/>
  <tableColumns count="1">
    <tableColumn id="1" xr3:uid="{D21AF291-1BAF-43EA-AFD3-DAFB2D955E09}" name="PrecisiónBAK" dataDxfId="98"/>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FD38FA61-1361-4EA5-A764-8E58B96581E9}" name="Tabla4271" displayName="Tabla4271" ref="AB3:AB62" totalsRowShown="0" headerRowDxfId="97" dataDxfId="96">
  <autoFilter ref="AB3:AB62" xr:uid="{FD38FA61-1361-4EA5-A764-8E58B96581E9}"/>
  <tableColumns count="1">
    <tableColumn id="1" xr3:uid="{982D722A-3D7A-4AAD-A2DF-5EE8DF5E4D9D}" name="ControlBAK" dataDxfId="95"/>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503448E5-D0D5-4B82-B461-0CD544CE9D23}" name="Tabla4372" displayName="Tabla4372" ref="AC3:AC43" totalsRowShown="0" headerRowDxfId="94" dataDxfId="93">
  <autoFilter ref="AC3:AC43" xr:uid="{503448E5-D0D5-4B82-B461-0CD544CE9D23}"/>
  <tableColumns count="1">
    <tableColumn id="1" xr3:uid="{03441D59-E383-407F-99E2-74596636CEF0}" name="PercepciónBAK" dataDxfId="92"/>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8B46976-D2F4-4AEA-B0BA-6ECF06521BA8}" name="Tabla4473" displayName="Tabla4473" ref="AD3:AD34" totalsRowShown="0" headerRowDxfId="91" dataDxfId="90">
  <autoFilter ref="AD3:AD34" xr:uid="{08B46976-D2F4-4AEA-B0BA-6ECF06521BA8}"/>
  <tableColumns count="1">
    <tableColumn id="1" xr3:uid="{0C49A45E-6C59-4AAB-BD6C-F53324766649}" name="ResponderBAK" dataDxfId="89"/>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49448539-0C4F-43C9-9924-5A219B16757C}" name="Tabla4574" displayName="Tabla4574" ref="AE3:AE38" totalsRowShown="0" headerRowDxfId="88" dataDxfId="87">
  <autoFilter ref="AE3:AE38" xr:uid="{49448539-0C4F-43C9-9924-5A219B16757C}"/>
  <tableColumns count="1">
    <tableColumn id="1" xr3:uid="{E2890547-6570-4474-811E-70109D5F5465}" name="ValorarBAK" dataDxfId="86"/>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21E76DB2-0E8B-466D-A413-2ABD524DDEEA}" name="Tabla4675" displayName="Tabla4675" ref="AF3:AF29" totalsRowShown="0" headerRowDxfId="85" dataDxfId="84">
  <autoFilter ref="AF3:AF29" xr:uid="{21E76DB2-0E8B-466D-A413-2ABD524DDEEA}"/>
  <tableColumns count="1">
    <tableColumn id="1" xr3:uid="{674DA899-A4D0-4618-B839-C8613BA61338}" name="OrganizarBAK" dataDxfId="83"/>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835318B2-CEAD-4A84-8E6B-21115489F3F9}" name="Tabla4776" displayName="Tabla4776" ref="AG3:AG29" totalsRowShown="0" headerRowDxfId="82" dataDxfId="81">
  <autoFilter ref="AG3:AG29" xr:uid="{835318B2-CEAD-4A84-8E6B-21115489F3F9}"/>
  <tableColumns count="1">
    <tableColumn id="1" xr3:uid="{C98AB4FD-C9CE-4966-B509-E36C390C09C7}" name="CaracterizarBAK" dataDxfId="80"/>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9E4643CC-87B6-4485-9E83-A8ED35E11905}" name="Tabla354977" displayName="Tabla354977" ref="L3:L45" totalsRowShown="0" headerRowDxfId="79" dataDxfId="78">
  <autoFilter ref="L3:L45" xr:uid="{9E4643CC-87B6-4485-9E83-A8ED35E11905}"/>
  <sortState xmlns:xlrd2="http://schemas.microsoft.com/office/spreadsheetml/2017/richdata2" ref="L4:L45">
    <sortCondition ref="L4:L45"/>
  </sortState>
  <tableColumns count="1">
    <tableColumn id="1" xr3:uid="{29725637-71B1-4F7E-96A8-CB90D5C646B2}" name="ConocimientoB" dataDxfId="77"/>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C726BD4C-A167-44A9-8F1B-6936952A7A59}" name="Tabla365078" displayName="Tabla365078" ref="M3:M42" totalsRowShown="0" headerRowDxfId="76" dataDxfId="75">
  <autoFilter ref="M3:M42" xr:uid="{C726BD4C-A167-44A9-8F1B-6936952A7A59}"/>
  <sortState xmlns:xlrd2="http://schemas.microsoft.com/office/spreadsheetml/2017/richdata2" ref="M4:M42">
    <sortCondition ref="M4:M42"/>
  </sortState>
  <tableColumns count="1">
    <tableColumn id="1" xr3:uid="{302CEF3F-D9B7-44E2-B341-CAA4B0E1BEB1}" name="ComprensiónB" dataDxfId="74"/>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85965F80-D722-4217-9624-BAE055366227}" name="Tabla375179" displayName="Tabla375179" ref="N3:N43" totalsRowShown="0" headerRowDxfId="73" dataDxfId="72">
  <autoFilter ref="N3:N43" xr:uid="{85965F80-D722-4217-9624-BAE055366227}"/>
  <sortState xmlns:xlrd2="http://schemas.microsoft.com/office/spreadsheetml/2017/richdata2" ref="N4:N43">
    <sortCondition ref="N4:N43"/>
  </sortState>
  <tableColumns count="1">
    <tableColumn id="1" xr3:uid="{8CDFD0B2-187A-490F-B898-52C789C626A8}" name="AplicaciónB" dataDxfId="71"/>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4F44782F-9CE2-445E-8EAA-F5D6BC4CE9FF}" name="Tabla385280" displayName="Tabla385280" ref="O3:O36" totalsRowShown="0" headerRowDxfId="70" dataDxfId="69">
  <autoFilter ref="O3:O36" xr:uid="{4F44782F-9CE2-445E-8EAA-F5D6BC4CE9FF}"/>
  <sortState xmlns:xlrd2="http://schemas.microsoft.com/office/spreadsheetml/2017/richdata2" ref="O4:O36">
    <sortCondition ref="O4:O36"/>
  </sortState>
  <tableColumns count="1">
    <tableColumn id="1" xr3:uid="{7941CE9F-DC23-4AFF-A5EC-374F0F21BBEB}" name="AnálisisB" dataDxfId="68"/>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8357A631-F2AC-40DB-8ACA-80F00DED06A3}" name="Tabla395381" displayName="Tabla395381" ref="P3:P63" totalsRowShown="0" headerRowDxfId="67" dataDxfId="66">
  <autoFilter ref="P3:P63" xr:uid="{8357A631-F2AC-40DB-8ACA-80F00DED06A3}"/>
  <sortState xmlns:xlrd2="http://schemas.microsoft.com/office/spreadsheetml/2017/richdata2" ref="P4:P63">
    <sortCondition ref="P4:P63"/>
  </sortState>
  <tableColumns count="1">
    <tableColumn id="1" xr3:uid="{E9C49887-DB96-4751-9494-F1CFAE7E02AD}" name="SíntesisB" dataDxfId="65"/>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41F631B-4F40-430C-9880-8A1F264F50D0}" name="Tabla405482" displayName="Tabla405482" ref="Q3:Q66" totalsRowShown="0" headerRowDxfId="64" dataDxfId="63">
  <autoFilter ref="Q3:Q66" xr:uid="{141F631B-4F40-430C-9880-8A1F264F50D0}"/>
  <sortState xmlns:xlrd2="http://schemas.microsoft.com/office/spreadsheetml/2017/richdata2" ref="Q4:Q66">
    <sortCondition ref="Q4:Q66"/>
  </sortState>
  <tableColumns count="1">
    <tableColumn id="1" xr3:uid="{42FB5979-4CFB-474A-948A-4C9E2A15A2FA}" name="EvaluaciónB" dataDxfId="62"/>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284779C2-7F70-4C90-85C0-9E3404733D87}" name="Tabla6088" displayName="Tabla6088" ref="E3:E6" totalsRowShown="0" headerRowDxfId="61" dataDxfId="60">
  <autoFilter ref="E3:E6" xr:uid="{284779C2-7F70-4C90-85C0-9E3404733D87}"/>
  <tableColumns count="1">
    <tableColumn id="1" xr3:uid="{CE47A420-A4CC-4416-8E2B-4A40C2078194}" name="AK" dataDxfId="59"/>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0359C141-9677-47C3-845D-242D3C20A7BD}" name="Tabla5987" displayName="Tabla5987" ref="D3:D7" totalsRowShown="0" headerRowDxfId="58" dataDxfId="57">
  <autoFilter ref="D3:D7" xr:uid="{0359C141-9677-47C3-845D-242D3C20A7BD}"/>
  <tableColumns count="1">
    <tableColumn id="1" xr3:uid="{027F3234-EBF7-434A-A95C-3D90248F7600}" name="LK" dataDxfId="56"/>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60F5C8CF-3F5B-45A8-90A3-91960BC0CC3F}" name="Tabla5886" displayName="Tabla5886" ref="C3:C6" totalsRowShown="0" headerRowDxfId="55" dataDxfId="54">
  <autoFilter ref="C3:C6" xr:uid="{60F5C8CF-3F5B-45A8-90A3-91960BC0CC3F}"/>
  <tableColumns count="1">
    <tableColumn id="1" xr3:uid="{7261A279-5B41-48E2-A232-E66D4B2C997C}" name="BAK" dataDxfId="53"/>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6409B6B-E133-4AC9-A20A-4A73C6DBD813}" name="Tabla5785" displayName="Tabla5785" ref="I3:I9" totalsRowShown="0" headerRowDxfId="52" dataDxfId="51">
  <autoFilter ref="I3:I9" xr:uid="{46409B6B-E133-4AC9-A20A-4A73C6DBD813}"/>
  <tableColumns count="1">
    <tableColumn id="1" xr3:uid="{12B3014A-6B1D-4C6D-9FA4-0161E9656EA6}" name="ActitudinalB" dataDxfId="50"/>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4FBECC47-261F-41D0-B554-ADEA02FBDD3E}" name="Tabla5684" displayName="Tabla5684" ref="H3:H9" totalsRowShown="0" headerRowDxfId="49" dataDxfId="48">
  <autoFilter ref="H3:H9" xr:uid="{4FBECC47-261F-41D0-B554-ADEA02FBDD3E}"/>
  <tableColumns count="1">
    <tableColumn id="1" xr3:uid="{D263AD73-E936-424B-80A9-E791CCE4D60C}" name="ProcedimentalB" dataDxfId="47"/>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E7A59938-F7EA-457A-87F1-AA0873A8FDA8}" name="Tabla5583" displayName="Tabla5583" ref="G3:G9" totalsRowShown="0" headerRowDxfId="46" dataDxfId="45">
  <autoFilter ref="G3:G9" xr:uid="{E7A59938-F7EA-457A-87F1-AA0873A8FDA8}"/>
  <tableColumns count="1">
    <tableColumn id="1" xr3:uid="{9BE87125-AAAE-4780-B69A-FA583B2B341A}" name="CognitivoB" dataDxfId="44"/>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FB5563E9-3423-496B-A7C6-740A8638246F}" name="Tabla90" displayName="Tabla90" ref="G11:G17" totalsRowShown="0" headerRowDxfId="43" dataDxfId="42">
  <autoFilter ref="G11:G17" xr:uid="{FB5563E9-3423-496B-A7C6-740A8638246F}"/>
  <tableColumns count="1">
    <tableColumn id="1" xr3:uid="{D2F8054E-C594-43A9-96F5-5294D078E620}" name="HechosLK" dataDxfId="41"/>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235961D-4B2F-4CB8-AC75-46CF8A859099}" name="Tabla91" displayName="Tabla91" ref="H11:H17" totalsRowShown="0" headerRowDxfId="40" dataDxfId="39">
  <autoFilter ref="H11:H17" xr:uid="{5235961D-4B2F-4CB8-AC75-46CF8A859099}"/>
  <tableColumns count="1">
    <tableColumn id="1" xr3:uid="{DF3A0232-2B49-4FF7-B62E-7F56B2A16095}" name="ConceptosLK" dataDxfId="38"/>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74EFBE03-70FE-4E61-AF1A-7CAE74394FB0}" name="Tabla92" displayName="Tabla92" ref="I11:I17" totalsRowShown="0" headerRowDxfId="37" dataDxfId="36">
  <autoFilter ref="I11:I17" xr:uid="{74EFBE03-70FE-4E61-AF1A-7CAE74394FB0}"/>
  <tableColumns count="1">
    <tableColumn id="1" xr3:uid="{02D20833-4DB8-415C-A919-A0178DA3CC95}" name="ProcedimientosLK" dataDxfId="35"/>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01D445B2-006B-45B1-9326-AB65B144ABD8}" name="Tabla93" displayName="Tabla93" ref="J11:J17" totalsRowShown="0" headerRowDxfId="34" dataDxfId="33">
  <autoFilter ref="J11:J17" xr:uid="{01D445B2-006B-45B1-9326-AB65B144ABD8}"/>
  <tableColumns count="1">
    <tableColumn id="1" xr3:uid="{B548BB39-2B40-4E98-AE24-D564B24A0831}" name="MetacogniciónLK" dataDxfId="32"/>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8F99EDF7-BECB-4CB8-94CB-15DEF8DBE8E0}" name="Tabla94" displayName="Tabla94" ref="G19:G25" totalsRowShown="0" headerRowDxfId="31" dataDxfId="30">
  <autoFilter ref="G19:G25" xr:uid="{8F99EDF7-BECB-4CB8-94CB-15DEF8DBE8E0}"/>
  <tableColumns count="1">
    <tableColumn id="1" xr3:uid="{995D4B7F-2557-48EF-AE97-D4FE09E63D59}" name="InformaciónAK" dataDxfId="29"/>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DFB0C1EA-F7F7-4443-9626-BCD7D06ACAA7}" name="Tabla95" displayName="Tabla95" ref="H19:H25" totalsRowShown="0" headerRowDxfId="28" dataDxfId="27">
  <autoFilter ref="H19:H25" xr:uid="{DFB0C1EA-F7F7-4443-9626-BCD7D06ACAA7}"/>
  <tableColumns count="1">
    <tableColumn id="1" xr3:uid="{977268A2-A618-4E2F-BE67-44E018AA2B3D}" name="ProcesosAK" dataDxfId="26"/>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AC2042AB-A078-4FDF-91CA-322668C40EBE}" name="Tabla96" displayName="Tabla96" ref="I19:I25" totalsRowShown="0" headerRowDxfId="25" dataDxfId="24">
  <autoFilter ref="I19:I25" xr:uid="{AC2042AB-A078-4FDF-91CA-322668C40EBE}"/>
  <tableColumns count="1">
    <tableColumn id="1" xr3:uid="{AAE35896-9168-4715-8D56-25997B0AB9C8}" name="PsicomotorAK" dataDxfId="23"/>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538ED7E5-6B58-402B-94DF-D07C13DE2D9E}" name="Tabla97" displayName="Tabla97" ref="AT4:AT28" totalsRowShown="0" headerRowDxfId="22" dataDxfId="21" tableBorderDxfId="20">
  <autoFilter ref="AT4:AT28" xr:uid="{538ED7E5-6B58-402B-94DF-D07C13DE2D9E}"/>
  <sortState xmlns:xlrd2="http://schemas.microsoft.com/office/spreadsheetml/2017/richdata2" ref="AT5:AT28">
    <sortCondition ref="AT5:AT28"/>
  </sortState>
  <tableColumns count="1">
    <tableColumn id="1" xr3:uid="{BBBA71C3-D37D-42D2-B57F-3792E560AED8}" name="RecuperaciónAK" dataDxfId="19"/>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0217E0C4-2DD9-4417-BE26-3FF0FF3F395D}" name="Tabla98" displayName="Tabla98" ref="AU4:AU56" totalsRowShown="0" headerRowDxfId="18" dataDxfId="17">
  <autoFilter ref="AU4:AU56" xr:uid="{0217E0C4-2DD9-4417-BE26-3FF0FF3F395D}"/>
  <sortState xmlns:xlrd2="http://schemas.microsoft.com/office/spreadsheetml/2017/richdata2" ref="AU5:AU56">
    <sortCondition ref="AU5:AU56"/>
  </sortState>
  <tableColumns count="1">
    <tableColumn id="1" xr3:uid="{EEF7A2C9-904A-475E-B946-D75F88E5CF1A}" name="ComprensiónAK" dataDxfId="16"/>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522023D2-447B-4863-8827-33272C577B77}" name="Tabla99" displayName="Tabla99" ref="AV4:AV108" totalsRowShown="0" headerRowDxfId="15" dataDxfId="14" tableBorderDxfId="13">
  <autoFilter ref="AV4:AV108" xr:uid="{522023D2-447B-4863-8827-33272C577B77}"/>
  <sortState xmlns:xlrd2="http://schemas.microsoft.com/office/spreadsheetml/2017/richdata2" ref="AV5:AV108">
    <sortCondition ref="AV5:AV108"/>
  </sortState>
  <tableColumns count="1">
    <tableColumn id="1" xr3:uid="{9344A526-D889-455B-8393-6E992E4F8707}" name="AnálisisAK" dataDxfId="12"/>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6AB46F11-6BD0-4EBD-B99F-F1D1FC283558}" name="Tabla100" displayName="Tabla100" ref="AW4:AW70" totalsRowShown="0" headerRowDxfId="11" dataDxfId="10" tableBorderDxfId="9">
  <autoFilter ref="AW4:AW70" xr:uid="{6AB46F11-6BD0-4EBD-B99F-F1D1FC283558}"/>
  <sortState xmlns:xlrd2="http://schemas.microsoft.com/office/spreadsheetml/2017/richdata2" ref="AW5:AW70">
    <sortCondition ref="AW5:AW70"/>
  </sortState>
  <tableColumns count="1">
    <tableColumn id="1" xr3:uid="{9B864D54-9851-4B93-B3C8-06FA6FD5E1D3}" name="UsoConocimientoAK" dataDxfId="8"/>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5C094C7C-8551-4EC0-B36D-BC7DA6369C48}" name="Tabla101" displayName="Tabla101" ref="AX4:AX92" totalsRowShown="0" headerRowDxfId="7" dataDxfId="6" tableBorderDxfId="5">
  <autoFilter ref="AX4:AX92" xr:uid="{5C094C7C-8551-4EC0-B36D-BC7DA6369C48}"/>
  <sortState xmlns:xlrd2="http://schemas.microsoft.com/office/spreadsheetml/2017/richdata2" ref="AX5:AX92">
    <sortCondition ref="AX5:AX92"/>
  </sortState>
  <tableColumns count="1">
    <tableColumn id="1" xr3:uid="{02A922E1-8BFE-426F-8C44-897F7B4F7498}" name="MetacogniciónAK" dataDxfId="4"/>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028CBBA-0913-46A4-9A7A-1484F73BB293}" name="Tabla11" displayName="Tabla11" ref="AY4:AY87" totalsRowShown="0" headerRowDxfId="3" dataDxfId="2" tableBorderDxfId="1">
  <autoFilter ref="AY4:AY87" xr:uid="{E028CBBA-0913-46A4-9A7A-1484F73BB293}"/>
  <tableColumns count="1">
    <tableColumn id="1" xr3:uid="{0478638C-EFB5-452E-960C-8B4E2E4D8F5A}" name="SistemadelYoAK"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comments" Target="../comments6.xml"/><Relationship Id="rId10" Type="http://schemas.openxmlformats.org/officeDocument/2006/relationships/table" Target="../tables/table10.xml"/><Relationship Id="rId19" Type="http://schemas.openxmlformats.org/officeDocument/2006/relationships/table" Target="../tables/table19.xml"/><Relationship Id="rId31" Type="http://schemas.openxmlformats.org/officeDocument/2006/relationships/table" Target="../tables/table31.xml"/><Relationship Id="rId44" Type="http://schemas.openxmlformats.org/officeDocument/2006/relationships/table" Target="../tables/table44.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8" Type="http://schemas.openxmlformats.org/officeDocument/2006/relationships/table" Target="../tables/table8.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1" Type="http://schemas.openxmlformats.org/officeDocument/2006/relationships/vmlDrawing" Target="../drawings/vmlDrawing6.vml"/><Relationship Id="rId6"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14"/>
  <sheetViews>
    <sheetView zoomScale="110" zoomScaleNormal="110" workbookViewId="0"/>
  </sheetViews>
  <sheetFormatPr baseColWidth="10" defaultColWidth="76.26953125" defaultRowHeight="16.5" x14ac:dyDescent="0.35"/>
  <cols>
    <col min="1" max="1" width="23.1796875" style="21" customWidth="1"/>
    <col min="2" max="2" width="17.1796875" style="21" customWidth="1"/>
    <col min="3" max="3" width="53.54296875" style="21" customWidth="1"/>
    <col min="4" max="4" width="42.7265625" style="21" customWidth="1"/>
    <col min="5" max="5" width="32.1796875" style="21" customWidth="1"/>
    <col min="6" max="6" width="34" style="12" customWidth="1"/>
    <col min="7" max="7" width="51" style="21" customWidth="1"/>
    <col min="8" max="8" width="23.54296875" style="21" customWidth="1"/>
    <col min="9" max="9" width="30.26953125" style="21" customWidth="1"/>
    <col min="10" max="10" width="52.453125" style="21" customWidth="1"/>
    <col min="11" max="16384" width="76.26953125" style="21"/>
  </cols>
  <sheetData>
    <row r="1" spans="1:11" s="19" customFormat="1" ht="42.5" x14ac:dyDescent="0.35">
      <c r="A1" s="132" t="s">
        <v>0</v>
      </c>
      <c r="B1" s="132" t="s">
        <v>1</v>
      </c>
      <c r="C1" s="132" t="s">
        <v>2</v>
      </c>
      <c r="D1" s="132" t="s">
        <v>3</v>
      </c>
      <c r="E1" s="160" t="s">
        <v>4</v>
      </c>
      <c r="F1" s="160"/>
      <c r="G1" s="160"/>
      <c r="H1" s="160" t="s">
        <v>5</v>
      </c>
      <c r="I1" s="160"/>
      <c r="J1" s="160"/>
      <c r="K1" s="133" t="s">
        <v>6</v>
      </c>
    </row>
    <row r="2" spans="1:11" s="19" customFormat="1" x14ac:dyDescent="0.35">
      <c r="A2" s="134" t="s">
        <v>7</v>
      </c>
      <c r="B2" s="134" t="s">
        <v>8</v>
      </c>
      <c r="C2" s="134" t="s">
        <v>9</v>
      </c>
      <c r="D2" s="134" t="s">
        <v>10</v>
      </c>
      <c r="E2" s="135" t="s">
        <v>11</v>
      </c>
      <c r="F2" s="135" t="s">
        <v>12</v>
      </c>
      <c r="G2" s="135" t="s">
        <v>13</v>
      </c>
      <c r="H2" s="135" t="s">
        <v>14</v>
      </c>
      <c r="I2" s="135" t="s">
        <v>15</v>
      </c>
      <c r="J2" s="135" t="s">
        <v>16</v>
      </c>
      <c r="K2" s="135" t="s">
        <v>17</v>
      </c>
    </row>
    <row r="3" spans="1:11" ht="43" customHeight="1" x14ac:dyDescent="0.35">
      <c r="A3" s="140" t="s">
        <v>18</v>
      </c>
      <c r="B3" s="140" t="s">
        <v>19</v>
      </c>
      <c r="C3" s="140" t="s">
        <v>20</v>
      </c>
      <c r="D3" s="140" t="s">
        <v>21</v>
      </c>
      <c r="E3" s="16" t="s">
        <v>22</v>
      </c>
      <c r="F3" s="20" t="s">
        <v>23</v>
      </c>
      <c r="G3" s="20" t="s">
        <v>24</v>
      </c>
      <c r="H3" s="155" t="s">
        <v>25</v>
      </c>
      <c r="I3" s="155" t="s">
        <v>26</v>
      </c>
      <c r="J3" s="161" t="s">
        <v>27</v>
      </c>
      <c r="K3" s="159" t="s">
        <v>28</v>
      </c>
    </row>
    <row r="4" spans="1:11" ht="58" customHeight="1" x14ac:dyDescent="0.35">
      <c r="A4" s="140"/>
      <c r="B4" s="140"/>
      <c r="C4" s="140"/>
      <c r="D4" s="140"/>
      <c r="E4" s="22" t="s">
        <v>29</v>
      </c>
      <c r="F4" s="22" t="s">
        <v>30</v>
      </c>
      <c r="G4" s="22" t="s">
        <v>31</v>
      </c>
      <c r="H4" s="155"/>
      <c r="I4" s="155"/>
      <c r="J4" s="161"/>
      <c r="K4" s="159"/>
    </row>
    <row r="5" spans="1:11" ht="52" customHeight="1" x14ac:dyDescent="0.35">
      <c r="A5" s="140"/>
      <c r="B5" s="140"/>
      <c r="C5" s="140"/>
      <c r="D5" s="140"/>
      <c r="E5" s="99" t="s">
        <v>32</v>
      </c>
      <c r="F5" s="99" t="s">
        <v>33</v>
      </c>
      <c r="G5" s="99" t="s">
        <v>34</v>
      </c>
      <c r="H5" s="155"/>
      <c r="I5" s="155"/>
      <c r="J5" s="161"/>
      <c r="K5" s="159"/>
    </row>
    <row r="6" spans="1:11" ht="74.150000000000006" customHeight="1" x14ac:dyDescent="0.35">
      <c r="A6" s="140"/>
      <c r="B6" s="140"/>
      <c r="C6" s="140"/>
      <c r="D6" s="140"/>
      <c r="E6" s="21" t="s">
        <v>35</v>
      </c>
      <c r="F6" s="21" t="s">
        <v>36</v>
      </c>
      <c r="G6" s="20" t="s">
        <v>37</v>
      </c>
      <c r="H6" s="155"/>
      <c r="I6" s="155"/>
      <c r="J6" s="161"/>
      <c r="K6" s="159"/>
    </row>
    <row r="7" spans="1:11" x14ac:dyDescent="0.35">
      <c r="C7" s="20"/>
      <c r="H7" s="16"/>
      <c r="K7" s="96"/>
    </row>
    <row r="8" spans="1:11" x14ac:dyDescent="0.35">
      <c r="E8" s="22"/>
      <c r="F8" s="16"/>
      <c r="G8" s="22"/>
      <c r="H8" s="16"/>
    </row>
    <row r="9" spans="1:11" x14ac:dyDescent="0.35">
      <c r="E9" s="16"/>
      <c r="F9" s="16"/>
      <c r="G9" s="16"/>
      <c r="H9" s="16"/>
    </row>
    <row r="10" spans="1:11" x14ac:dyDescent="0.35">
      <c r="E10" s="22"/>
      <c r="F10" s="22"/>
      <c r="G10" s="22"/>
      <c r="H10" s="16"/>
    </row>
    <row r="11" spans="1:11" x14ac:dyDescent="0.35">
      <c r="E11" s="22"/>
      <c r="F11" s="22"/>
      <c r="G11" s="22"/>
      <c r="H11" s="16"/>
    </row>
    <row r="12" spans="1:11" x14ac:dyDescent="0.35">
      <c r="E12" s="16"/>
      <c r="F12" s="16"/>
      <c r="H12" s="16"/>
    </row>
    <row r="13" spans="1:11" x14ac:dyDescent="0.35">
      <c r="E13" s="16"/>
      <c r="F13" s="16"/>
      <c r="H13" s="16"/>
      <c r="I13" s="20"/>
    </row>
    <row r="14" spans="1:11" x14ac:dyDescent="0.35">
      <c r="E14" s="16"/>
      <c r="F14" s="16"/>
    </row>
  </sheetData>
  <mergeCells count="10">
    <mergeCell ref="K3:K6"/>
    <mergeCell ref="E1:G1"/>
    <mergeCell ref="H1:J1"/>
    <mergeCell ref="A3:A6"/>
    <mergeCell ref="B3:B6"/>
    <mergeCell ref="C3:C6"/>
    <mergeCell ref="D3:D6"/>
    <mergeCell ref="J3:J6"/>
    <mergeCell ref="I3:I6"/>
    <mergeCell ref="H3:H6"/>
  </mergeCells>
  <dataValidations count="1">
    <dataValidation allowBlank="1" showInputMessage="1" showErrorMessage="1" sqref="E8:E10 E3:E6" xr:uid="{27C591BA-C3BF-4762-98CA-55FF4063ED86}"/>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12"/>
  <sheetViews>
    <sheetView zoomScaleNormal="100" workbookViewId="0">
      <selection sqref="A1:G1"/>
    </sheetView>
  </sheetViews>
  <sheetFormatPr baseColWidth="10" defaultColWidth="11.453125" defaultRowHeight="16.5" x14ac:dyDescent="0.35"/>
  <cols>
    <col min="1" max="1" width="19" style="21" customWidth="1"/>
    <col min="2" max="2" width="18" style="21" customWidth="1"/>
    <col min="3" max="3" width="30.453125" style="21" customWidth="1"/>
    <col min="4" max="4" width="34" style="21" customWidth="1"/>
    <col min="5" max="5" width="56.7265625" style="21" customWidth="1"/>
    <col min="6" max="6" width="90.453125" style="21" customWidth="1"/>
    <col min="7" max="7" width="32.453125" style="21" customWidth="1"/>
    <col min="8" max="16384" width="11.453125" style="21"/>
  </cols>
  <sheetData>
    <row r="1" spans="1:7" x14ac:dyDescent="0.35">
      <c r="A1" s="162" t="s">
        <v>38</v>
      </c>
      <c r="B1" s="163"/>
      <c r="C1" s="163"/>
      <c r="D1" s="163"/>
      <c r="E1" s="163"/>
      <c r="F1" s="163"/>
      <c r="G1" s="163"/>
    </row>
    <row r="2" spans="1:7" s="30" customFormat="1" ht="52" x14ac:dyDescent="0.35">
      <c r="A2" s="115" t="s">
        <v>39</v>
      </c>
      <c r="B2" s="116" t="s">
        <v>40</v>
      </c>
      <c r="C2" s="116" t="s">
        <v>41</v>
      </c>
      <c r="D2" s="116" t="s">
        <v>42</v>
      </c>
      <c r="E2" s="116" t="s">
        <v>43</v>
      </c>
      <c r="F2" s="117" t="s">
        <v>44</v>
      </c>
      <c r="G2" s="117" t="s">
        <v>45</v>
      </c>
    </row>
    <row r="3" spans="1:7" s="33" customFormat="1" ht="33" x14ac:dyDescent="0.35">
      <c r="A3" s="118" t="s">
        <v>46</v>
      </c>
      <c r="B3" s="119" t="s">
        <v>47</v>
      </c>
      <c r="C3" s="119" t="s">
        <v>48</v>
      </c>
      <c r="D3" s="119" t="s">
        <v>49</v>
      </c>
      <c r="E3" s="119" t="s">
        <v>50</v>
      </c>
      <c r="F3" s="120" t="s">
        <v>51</v>
      </c>
      <c r="G3" s="120" t="s">
        <v>52</v>
      </c>
    </row>
    <row r="4" spans="1:7" ht="33" x14ac:dyDescent="0.35">
      <c r="A4" s="19">
        <v>1</v>
      </c>
      <c r="B4" s="12" t="s">
        <v>53</v>
      </c>
      <c r="C4" s="21" t="s">
        <v>22</v>
      </c>
      <c r="D4" s="20" t="s">
        <v>23</v>
      </c>
      <c r="E4" s="20" t="s">
        <v>24</v>
      </c>
      <c r="F4" s="17" t="s">
        <v>54</v>
      </c>
      <c r="G4" s="17" t="s">
        <v>55</v>
      </c>
    </row>
    <row r="5" spans="1:7" s="20" customFormat="1" ht="33" x14ac:dyDescent="0.35">
      <c r="A5" s="38">
        <v>2</v>
      </c>
      <c r="B5" s="20" t="s">
        <v>56</v>
      </c>
      <c r="C5" s="20" t="s">
        <v>29</v>
      </c>
      <c r="D5" s="20" t="s">
        <v>30</v>
      </c>
      <c r="E5" s="20" t="s">
        <v>31</v>
      </c>
      <c r="F5" s="20" t="s">
        <v>57</v>
      </c>
      <c r="G5" s="20" t="s">
        <v>55</v>
      </c>
    </row>
    <row r="6" spans="1:7" ht="33" x14ac:dyDescent="0.35">
      <c r="A6" s="124">
        <v>3</v>
      </c>
      <c r="B6" s="110" t="s">
        <v>58</v>
      </c>
      <c r="C6" s="109" t="s">
        <v>32</v>
      </c>
      <c r="D6" s="109" t="s">
        <v>33</v>
      </c>
      <c r="E6" s="109" t="s">
        <v>24</v>
      </c>
      <c r="F6" s="109" t="s">
        <v>59</v>
      </c>
      <c r="G6" s="21" t="s">
        <v>55</v>
      </c>
    </row>
    <row r="7" spans="1:7" ht="66" x14ac:dyDescent="0.35">
      <c r="A7" s="19">
        <v>4</v>
      </c>
      <c r="B7" s="22" t="s">
        <v>60</v>
      </c>
      <c r="C7" s="21" t="s">
        <v>35</v>
      </c>
      <c r="D7" s="21" t="s">
        <v>36</v>
      </c>
      <c r="E7" s="20" t="s">
        <v>37</v>
      </c>
      <c r="F7" s="20" t="s">
        <v>61</v>
      </c>
      <c r="G7" s="28" t="s">
        <v>62</v>
      </c>
    </row>
    <row r="8" spans="1:7" x14ac:dyDescent="0.35">
      <c r="A8" s="19"/>
      <c r="C8" s="22"/>
      <c r="D8" s="22"/>
      <c r="E8" s="22"/>
      <c r="F8" s="20"/>
    </row>
    <row r="9" spans="1:7" x14ac:dyDescent="0.35">
      <c r="A9" s="19"/>
      <c r="C9" s="22"/>
      <c r="D9" s="22"/>
      <c r="E9" s="22"/>
      <c r="F9" s="20"/>
    </row>
    <row r="10" spans="1:7" x14ac:dyDescent="0.35">
      <c r="A10" s="19"/>
      <c r="C10" s="22"/>
      <c r="D10" s="22"/>
      <c r="E10" s="22"/>
      <c r="F10" s="20"/>
    </row>
    <row r="11" spans="1:7" x14ac:dyDescent="0.35">
      <c r="A11" s="19"/>
      <c r="C11" s="22"/>
      <c r="D11" s="22"/>
      <c r="E11" s="22"/>
      <c r="F11" s="20"/>
    </row>
    <row r="12" spans="1:7" x14ac:dyDescent="0.35">
      <c r="A12" s="19"/>
      <c r="C12" s="22"/>
      <c r="D12" s="22"/>
      <c r="E12" s="22"/>
      <c r="F12" s="20"/>
    </row>
  </sheetData>
  <mergeCells count="1">
    <mergeCell ref="A1:G1"/>
  </mergeCells>
  <dataValidations count="2">
    <dataValidation type="list" allowBlank="1" showInputMessage="1" showErrorMessage="1" sqref="F5 C4:C7" xr:uid="{296160A6-FB03-49EA-93B2-DD1CAF2E1EB2}">
      <formula1>Conocimientos</formula1>
    </dataValidation>
    <dataValidation type="list" allowBlank="1" showInputMessage="1" showErrorMessage="1" sqref="B4:B7" xr:uid="{7FF6EE86-2F70-4AF5-821E-634C08680A10}">
      <formula1>VerbosCompetencias</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A220B9CE-1396-4DA7-80A3-45F6B150EC3C}">
          <x14:formula1>
            <xm:f>'Paso1 Analisis perfil egreso'!$F$3:$F$6</xm:f>
          </x14:formula1>
          <xm:sqref>D4:D7</xm:sqref>
        </x14:dataValidation>
        <x14:dataValidation type="list" allowBlank="1" showInputMessage="1" showErrorMessage="1" xr:uid="{4F8201DA-7213-4189-A471-6A1EAE3DD9E1}">
          <x14:formula1>
            <xm:f>'Paso1 Analisis perfil egreso'!$G$3:$G$6</xm:f>
          </x14:formula1>
          <xm:sqref>E4:E7</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dimension ref="A1:K21"/>
  <sheetViews>
    <sheetView topLeftCell="B1" zoomScaleNormal="100" workbookViewId="0">
      <pane ySplit="2" topLeftCell="A3" activePane="bottomLeft" state="frozen"/>
      <selection pane="bottomLeft"/>
    </sheetView>
  </sheetViews>
  <sheetFormatPr baseColWidth="10" defaultColWidth="11.453125" defaultRowHeight="16.5" x14ac:dyDescent="0.35"/>
  <cols>
    <col min="1" max="1" width="77.453125" style="16" customWidth="1"/>
    <col min="2" max="2" width="23.1796875" style="19" customWidth="1"/>
    <col min="3" max="3" width="23" style="21" customWidth="1"/>
    <col min="4" max="4" width="30.7265625" style="21" customWidth="1"/>
    <col min="5" max="5" width="25.54296875" style="21" hidden="1" customWidth="1"/>
    <col min="6" max="6" width="21.81640625" style="21" hidden="1" customWidth="1"/>
    <col min="7" max="7" width="27.453125" style="12" customWidth="1"/>
    <col min="8" max="8" width="20" style="12" customWidth="1"/>
    <col min="9" max="9" width="72" style="39" customWidth="1"/>
    <col min="10" max="16384" width="11.453125" style="16"/>
  </cols>
  <sheetData>
    <row r="1" spans="1:11" s="35" customFormat="1" ht="52" x14ac:dyDescent="0.35">
      <c r="A1" s="15" t="s">
        <v>63</v>
      </c>
      <c r="B1" s="15" t="s">
        <v>64</v>
      </c>
      <c r="C1" s="29" t="s">
        <v>65</v>
      </c>
      <c r="D1" s="113" t="s">
        <v>66</v>
      </c>
      <c r="E1" s="113" t="s">
        <v>67</v>
      </c>
      <c r="F1" s="29" t="s">
        <v>68</v>
      </c>
      <c r="G1" s="29" t="s">
        <v>69</v>
      </c>
      <c r="H1" s="29" t="s">
        <v>70</v>
      </c>
      <c r="I1" s="15" t="s">
        <v>71</v>
      </c>
    </row>
    <row r="2" spans="1:11" s="37" customFormat="1" x14ac:dyDescent="0.35">
      <c r="A2" s="34" t="s">
        <v>72</v>
      </c>
      <c r="B2" s="34" t="s">
        <v>73</v>
      </c>
      <c r="C2" s="31" t="s">
        <v>74</v>
      </c>
      <c r="D2" s="114" t="s">
        <v>75</v>
      </c>
      <c r="E2" s="114" t="s">
        <v>76</v>
      </c>
      <c r="F2" s="31" t="s">
        <v>77</v>
      </c>
      <c r="G2" s="31" t="s">
        <v>78</v>
      </c>
      <c r="H2" s="31" t="s">
        <v>79</v>
      </c>
      <c r="I2" s="34" t="s">
        <v>80</v>
      </c>
    </row>
    <row r="3" spans="1:11" ht="33" x14ac:dyDescent="0.35">
      <c r="A3" s="21" t="s">
        <v>54</v>
      </c>
      <c r="B3" s="19">
        <v>1</v>
      </c>
      <c r="C3" s="21" t="s">
        <v>11</v>
      </c>
      <c r="D3" s="21" t="s">
        <v>22</v>
      </c>
      <c r="E3" s="21" t="s">
        <v>81</v>
      </c>
      <c r="F3" s="12" t="s">
        <v>82</v>
      </c>
      <c r="G3" s="12" t="s">
        <v>83</v>
      </c>
      <c r="H3" s="12" t="s">
        <v>84</v>
      </c>
      <c r="I3" s="16" t="s">
        <v>85</v>
      </c>
    </row>
    <row r="4" spans="1:11" ht="33" x14ac:dyDescent="0.5">
      <c r="A4" s="21" t="s">
        <v>54</v>
      </c>
      <c r="B4" s="19">
        <v>3</v>
      </c>
      <c r="C4" s="21" t="s">
        <v>12</v>
      </c>
      <c r="D4" s="21" t="s">
        <v>23</v>
      </c>
      <c r="E4" s="21" t="s">
        <v>81</v>
      </c>
      <c r="F4" s="12" t="s">
        <v>86</v>
      </c>
      <c r="G4" s="12" t="s">
        <v>87</v>
      </c>
      <c r="H4" s="12" t="s">
        <v>88</v>
      </c>
      <c r="I4" s="20" t="s">
        <v>89</v>
      </c>
      <c r="K4" s="68"/>
    </row>
    <row r="5" spans="1:11" ht="50" thickBot="1" x14ac:dyDescent="0.4">
      <c r="A5" s="40" t="s">
        <v>54</v>
      </c>
      <c r="B5" s="26">
        <v>4</v>
      </c>
      <c r="C5" s="40" t="s">
        <v>13</v>
      </c>
      <c r="D5" s="40" t="s">
        <v>24</v>
      </c>
      <c r="E5" s="40" t="s">
        <v>81</v>
      </c>
      <c r="F5" s="41" t="s">
        <v>90</v>
      </c>
      <c r="G5" s="41" t="s">
        <v>91</v>
      </c>
      <c r="H5" s="41" t="s">
        <v>92</v>
      </c>
      <c r="I5" s="27" t="s">
        <v>93</v>
      </c>
    </row>
    <row r="6" spans="1:11" s="22" customFormat="1" ht="33" x14ac:dyDescent="0.35">
      <c r="A6" s="20" t="s">
        <v>57</v>
      </c>
      <c r="B6" s="38">
        <v>5</v>
      </c>
      <c r="C6" s="20" t="s">
        <v>11</v>
      </c>
      <c r="D6" s="20" t="s">
        <v>29</v>
      </c>
      <c r="E6" s="21" t="s">
        <v>81</v>
      </c>
      <c r="F6" s="12" t="s">
        <v>82</v>
      </c>
      <c r="G6" s="2" t="s">
        <v>94</v>
      </c>
      <c r="H6" s="2" t="s">
        <v>60</v>
      </c>
      <c r="I6" s="22" t="s">
        <v>95</v>
      </c>
    </row>
    <row r="7" spans="1:11" s="22" customFormat="1" ht="49.5" x14ac:dyDescent="0.35">
      <c r="A7" s="20" t="s">
        <v>57</v>
      </c>
      <c r="B7" s="38">
        <v>6</v>
      </c>
      <c r="C7" s="20" t="s">
        <v>12</v>
      </c>
      <c r="D7" s="20" t="s">
        <v>30</v>
      </c>
      <c r="E7" s="21" t="s">
        <v>81</v>
      </c>
      <c r="F7" s="12" t="s">
        <v>86</v>
      </c>
      <c r="G7" s="2" t="s">
        <v>87</v>
      </c>
      <c r="H7" s="2" t="s">
        <v>96</v>
      </c>
      <c r="I7" s="20" t="s">
        <v>97</v>
      </c>
    </row>
    <row r="8" spans="1:11" s="22" customFormat="1" ht="49.5" x14ac:dyDescent="0.35">
      <c r="A8" s="42" t="s">
        <v>57</v>
      </c>
      <c r="B8" s="43">
        <v>4</v>
      </c>
      <c r="C8" s="42" t="s">
        <v>13</v>
      </c>
      <c r="D8" s="42" t="s">
        <v>31</v>
      </c>
      <c r="E8" s="40" t="s">
        <v>81</v>
      </c>
      <c r="F8" s="41" t="s">
        <v>90</v>
      </c>
      <c r="G8" s="108" t="s">
        <v>91</v>
      </c>
      <c r="H8" s="108" t="s">
        <v>92</v>
      </c>
      <c r="I8" s="27" t="s">
        <v>93</v>
      </c>
    </row>
    <row r="9" spans="1:11" s="25" customFormat="1" ht="49.5" x14ac:dyDescent="0.35">
      <c r="A9" s="20" t="s">
        <v>59</v>
      </c>
      <c r="B9" s="38">
        <v>7</v>
      </c>
      <c r="C9" s="20" t="s">
        <v>11</v>
      </c>
      <c r="D9" s="20" t="s">
        <v>32</v>
      </c>
      <c r="E9" s="21" t="s">
        <v>81</v>
      </c>
      <c r="F9" s="12" t="s">
        <v>82</v>
      </c>
      <c r="G9" s="12" t="s">
        <v>94</v>
      </c>
      <c r="H9" s="12" t="s">
        <v>60</v>
      </c>
      <c r="I9" s="16" t="s">
        <v>98</v>
      </c>
    </row>
    <row r="10" spans="1:11" s="25" customFormat="1" ht="49.5" x14ac:dyDescent="0.35">
      <c r="A10" s="20" t="s">
        <v>59</v>
      </c>
      <c r="B10" s="38">
        <v>3</v>
      </c>
      <c r="C10" s="20" t="s">
        <v>12</v>
      </c>
      <c r="D10" s="20" t="s">
        <v>33</v>
      </c>
      <c r="E10" s="21" t="s">
        <v>81</v>
      </c>
      <c r="F10" s="12" t="s">
        <v>86</v>
      </c>
      <c r="G10" s="12" t="s">
        <v>87</v>
      </c>
      <c r="H10" s="12" t="s">
        <v>88</v>
      </c>
      <c r="I10" s="20" t="s">
        <v>89</v>
      </c>
    </row>
    <row r="11" spans="1:11" s="25" customFormat="1" ht="66.5" thickBot="1" x14ac:dyDescent="0.4">
      <c r="A11" s="42" t="s">
        <v>59</v>
      </c>
      <c r="B11" s="43">
        <v>4</v>
      </c>
      <c r="C11" s="42" t="s">
        <v>13</v>
      </c>
      <c r="D11" s="42" t="s">
        <v>34</v>
      </c>
      <c r="E11" s="40" t="s">
        <v>81</v>
      </c>
      <c r="F11" s="41" t="s">
        <v>90</v>
      </c>
      <c r="G11" s="41" t="s">
        <v>91</v>
      </c>
      <c r="H11" s="41" t="s">
        <v>92</v>
      </c>
      <c r="I11" s="27" t="s">
        <v>93</v>
      </c>
    </row>
    <row r="12" spans="1:11" ht="49.5" x14ac:dyDescent="0.35">
      <c r="A12" s="20" t="s">
        <v>61</v>
      </c>
      <c r="B12" s="49">
        <v>2</v>
      </c>
      <c r="C12" s="20" t="s">
        <v>11</v>
      </c>
      <c r="D12" s="28" t="s">
        <v>35</v>
      </c>
      <c r="E12" s="48" t="s">
        <v>99</v>
      </c>
      <c r="F12" s="97" t="s">
        <v>100</v>
      </c>
      <c r="G12" s="97" t="s">
        <v>101</v>
      </c>
      <c r="H12" s="24" t="s">
        <v>102</v>
      </c>
      <c r="I12" s="16" t="s">
        <v>103</v>
      </c>
    </row>
    <row r="13" spans="1:11" x14ac:dyDescent="0.35">
      <c r="A13" s="20"/>
      <c r="C13" s="20"/>
      <c r="D13" s="20"/>
      <c r="E13" s="20"/>
      <c r="F13" s="20"/>
      <c r="G13" s="2"/>
      <c r="H13" s="2"/>
      <c r="I13" s="16"/>
    </row>
    <row r="14" spans="1:11" x14ac:dyDescent="0.35">
      <c r="A14" s="20"/>
      <c r="C14" s="20"/>
      <c r="D14" s="20"/>
      <c r="E14" s="20"/>
      <c r="F14" s="20"/>
      <c r="G14" s="2"/>
      <c r="H14" s="2"/>
      <c r="I14" s="16"/>
    </row>
    <row r="15" spans="1:11" x14ac:dyDescent="0.35">
      <c r="A15" s="20"/>
      <c r="C15" s="20"/>
      <c r="D15" s="20"/>
      <c r="E15" s="20"/>
      <c r="F15" s="20"/>
      <c r="G15" s="2"/>
      <c r="H15" s="2"/>
      <c r="I15" s="16"/>
    </row>
    <row r="16" spans="1:11" x14ac:dyDescent="0.35">
      <c r="A16" s="20"/>
      <c r="C16" s="20"/>
      <c r="D16" s="20"/>
      <c r="E16" s="20"/>
      <c r="F16" s="20"/>
      <c r="G16" s="2"/>
      <c r="H16" s="2"/>
      <c r="I16" s="20"/>
    </row>
    <row r="17" spans="1:9" x14ac:dyDescent="0.35">
      <c r="A17" s="20"/>
      <c r="C17" s="20"/>
      <c r="D17" s="20"/>
      <c r="E17" s="20"/>
      <c r="F17" s="20"/>
      <c r="G17" s="2"/>
      <c r="H17" s="2"/>
      <c r="I17" s="16"/>
    </row>
    <row r="18" spans="1:9" x14ac:dyDescent="0.35">
      <c r="A18" s="20"/>
      <c r="C18" s="20"/>
      <c r="D18" s="20"/>
      <c r="E18" s="20"/>
      <c r="F18" s="20"/>
      <c r="G18" s="2"/>
      <c r="H18" s="2"/>
      <c r="I18" s="20"/>
    </row>
    <row r="19" spans="1:9" x14ac:dyDescent="0.35">
      <c r="A19" s="20"/>
      <c r="C19" s="20"/>
      <c r="D19" s="20"/>
      <c r="E19" s="20"/>
      <c r="F19" s="20"/>
      <c r="G19" s="2"/>
      <c r="H19" s="2"/>
      <c r="I19" s="16"/>
    </row>
    <row r="21" spans="1:9" x14ac:dyDescent="0.5">
      <c r="A21" s="23"/>
    </row>
  </sheetData>
  <autoFilter ref="A2:I12" xr:uid="{94AAF649-42F4-466A-BE11-44357078F961}"/>
  <dataValidations count="7">
    <dataValidation type="list" allowBlank="1" showInputMessage="1" showErrorMessage="1" sqref="C3:C12" xr:uid="{3B0FAE21-4414-4928-BE47-40DBF73D85A6}">
      <formula1>dominios</formula1>
    </dataValidation>
    <dataValidation type="list" allowBlank="1" showInputMessage="1" showErrorMessage="1" sqref="H3:H12" xr:uid="{5DC517A5-FC6B-4375-B3E1-04A2C1D437C5}">
      <formula1>INDIRECT($G3)</formula1>
    </dataValidation>
    <dataValidation type="list" allowBlank="1" showInputMessage="1" showErrorMessage="1" sqref="A3:A19" xr:uid="{1BC8411C-0029-4475-BC4D-F429B66D863D}">
      <formula1>competencias</formula1>
    </dataValidation>
    <dataValidation type="list" allowBlank="1" showInputMessage="1" showErrorMessage="1" sqref="F3:F12" xr:uid="{EDC32C5E-443E-464B-B420-6F6CD6A8E099}">
      <formula1>INDIRECT($E3)</formula1>
    </dataValidation>
    <dataValidation type="list" allowBlank="1" showInputMessage="1" showErrorMessage="1" sqref="D3:D12" xr:uid="{D2786A4C-D4BE-47D1-BDF5-271CFB539CAE}">
      <formula1>INDIRECT($C3)</formula1>
    </dataValidation>
    <dataValidation type="list" allowBlank="1" showInputMessage="1" showErrorMessage="1" sqref="G3:G12" xr:uid="{DF3498F9-E1A3-4395-90A6-D9BF5E92F1D0}">
      <formula1>INDIRECT($F3)</formula1>
    </dataValidation>
    <dataValidation type="list" allowBlank="1" showInputMessage="1" showErrorMessage="1" promptTitle="Taxonomías" prompt="De la lista elija la taxonomía que considere pertinente para establecer los verbos de los resultados de aprendizaje._x000a_B: Taxonomía de Bloom_x000a_BAK: Taxonomía según Anderson y Krathwohl_x000a_LK: Taxonomía según Lors y Krathwohl_x000a_AK: Taxonomía según Anderson y Kendal" sqref="E3:E12" xr:uid="{91AF69DB-29AC-4636-A60A-F864E6B2F972}">
      <formula1>taxonomiasra</formula1>
    </dataValidation>
  </dataValidation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26B80-E6B4-4ED4-A764-E59AF4E18393}">
  <dimension ref="A1:F24"/>
  <sheetViews>
    <sheetView zoomScaleNormal="100" workbookViewId="0"/>
  </sheetViews>
  <sheetFormatPr baseColWidth="10" defaultColWidth="11.453125" defaultRowHeight="16.5" x14ac:dyDescent="0.35"/>
  <cols>
    <col min="1" max="1" width="98.81640625" style="12" customWidth="1"/>
    <col min="2" max="2" width="55" style="50" customWidth="1"/>
    <col min="3" max="3" width="44.54296875" style="12" customWidth="1"/>
    <col min="4" max="4" width="61.54296875" style="12" customWidth="1"/>
    <col min="5" max="5" width="39.1796875" style="12" customWidth="1"/>
    <col min="6" max="6" width="47.7265625" style="12" customWidth="1"/>
    <col min="7" max="16384" width="11.453125" style="12"/>
  </cols>
  <sheetData>
    <row r="1" spans="1:6" ht="52" x14ac:dyDescent="0.35">
      <c r="A1" s="15" t="s">
        <v>104</v>
      </c>
      <c r="B1" s="15" t="s">
        <v>105</v>
      </c>
      <c r="C1" s="15" t="s">
        <v>106</v>
      </c>
      <c r="D1" s="15" t="s">
        <v>107</v>
      </c>
      <c r="E1" s="15" t="s">
        <v>108</v>
      </c>
      <c r="F1" s="15" t="s">
        <v>109</v>
      </c>
    </row>
    <row r="2" spans="1:6" ht="33" x14ac:dyDescent="0.35">
      <c r="A2" s="34" t="s">
        <v>110</v>
      </c>
      <c r="B2" s="34" t="s">
        <v>111</v>
      </c>
      <c r="C2" s="34" t="s">
        <v>112</v>
      </c>
      <c r="D2" s="34" t="s">
        <v>113</v>
      </c>
      <c r="E2" s="34" t="s">
        <v>114</v>
      </c>
      <c r="F2" s="34" t="s">
        <v>115</v>
      </c>
    </row>
    <row r="3" spans="1:6" ht="33" x14ac:dyDescent="0.35">
      <c r="A3" s="17" t="s">
        <v>89</v>
      </c>
      <c r="B3" s="168" t="s">
        <v>116</v>
      </c>
      <c r="C3" s="168" t="s">
        <v>117</v>
      </c>
      <c r="D3" s="45" t="s">
        <v>118</v>
      </c>
      <c r="E3" s="164" t="s">
        <v>119</v>
      </c>
      <c r="F3" s="17" t="s">
        <v>120</v>
      </c>
    </row>
    <row r="4" spans="1:6" ht="33" x14ac:dyDescent="0.35">
      <c r="A4" s="21" t="s">
        <v>98</v>
      </c>
      <c r="B4" s="169"/>
      <c r="C4" s="169"/>
      <c r="D4" s="44" t="s">
        <v>121</v>
      </c>
      <c r="E4" s="165"/>
      <c r="F4" s="21" t="s">
        <v>122</v>
      </c>
    </row>
    <row r="5" spans="1:6" ht="33.5" thickBot="1" x14ac:dyDescent="0.4">
      <c r="A5" s="40" t="s">
        <v>93</v>
      </c>
      <c r="B5" s="170"/>
      <c r="C5" s="170"/>
      <c r="D5" s="46" t="s">
        <v>123</v>
      </c>
      <c r="E5" s="166"/>
      <c r="F5" s="40" t="s">
        <v>124</v>
      </c>
    </row>
    <row r="6" spans="1:6" ht="33" x14ac:dyDescent="0.35">
      <c r="A6" s="48" t="s">
        <v>125</v>
      </c>
      <c r="B6" s="168" t="s">
        <v>126</v>
      </c>
      <c r="C6" s="168" t="s">
        <v>127</v>
      </c>
      <c r="D6" s="47" t="s">
        <v>118</v>
      </c>
      <c r="E6" s="167" t="s">
        <v>128</v>
      </c>
      <c r="F6" s="17" t="s">
        <v>120</v>
      </c>
    </row>
    <row r="7" spans="1:6" ht="33" x14ac:dyDescent="0.35">
      <c r="A7" s="21" t="s">
        <v>95</v>
      </c>
      <c r="B7" s="169"/>
      <c r="C7" s="169"/>
      <c r="D7" s="44" t="s">
        <v>121</v>
      </c>
      <c r="E7" s="165"/>
      <c r="F7" s="21" t="s">
        <v>122</v>
      </c>
    </row>
    <row r="8" spans="1:6" ht="33.5" thickBot="1" x14ac:dyDescent="0.4">
      <c r="A8" s="40" t="s">
        <v>93</v>
      </c>
      <c r="B8" s="170"/>
      <c r="C8" s="170"/>
      <c r="D8" s="46" t="s">
        <v>123</v>
      </c>
      <c r="E8" s="166"/>
      <c r="F8" s="40" t="s">
        <v>124</v>
      </c>
    </row>
    <row r="9" spans="1:6" ht="33" x14ac:dyDescent="0.35">
      <c r="A9" s="48" t="s">
        <v>125</v>
      </c>
      <c r="B9" s="168" t="s">
        <v>129</v>
      </c>
      <c r="C9" s="168" t="s">
        <v>130</v>
      </c>
      <c r="D9" s="47" t="s">
        <v>118</v>
      </c>
      <c r="E9" s="167" t="s">
        <v>131</v>
      </c>
      <c r="F9" s="17" t="s">
        <v>120</v>
      </c>
    </row>
    <row r="10" spans="1:6" x14ac:dyDescent="0.35">
      <c r="A10" s="21" t="s">
        <v>89</v>
      </c>
      <c r="B10" s="169"/>
      <c r="C10" s="169"/>
      <c r="D10" s="44" t="s">
        <v>121</v>
      </c>
      <c r="E10" s="165"/>
      <c r="F10" s="21" t="s">
        <v>122</v>
      </c>
    </row>
    <row r="11" spans="1:6" ht="33.5" thickBot="1" x14ac:dyDescent="0.4">
      <c r="A11" s="40" t="s">
        <v>93</v>
      </c>
      <c r="B11" s="170"/>
      <c r="C11" s="170"/>
      <c r="D11" s="46" t="s">
        <v>123</v>
      </c>
      <c r="E11" s="166"/>
      <c r="F11" s="40" t="s">
        <v>124</v>
      </c>
    </row>
    <row r="12" spans="1:6" ht="33" x14ac:dyDescent="0.35">
      <c r="A12" s="21" t="s">
        <v>93</v>
      </c>
      <c r="B12" s="168" t="s">
        <v>132</v>
      </c>
      <c r="C12" s="168" t="s">
        <v>133</v>
      </c>
      <c r="D12" s="44" t="s">
        <v>118</v>
      </c>
      <c r="E12" s="167" t="s">
        <v>134</v>
      </c>
      <c r="F12" s="17" t="s">
        <v>120</v>
      </c>
    </row>
    <row r="13" spans="1:6" ht="33" x14ac:dyDescent="0.35">
      <c r="A13" s="21" t="s">
        <v>97</v>
      </c>
      <c r="B13" s="169"/>
      <c r="C13" s="169"/>
      <c r="D13" s="12" t="s">
        <v>121</v>
      </c>
      <c r="E13" s="165"/>
      <c r="F13" s="21" t="s">
        <v>122</v>
      </c>
    </row>
    <row r="14" spans="1:6" ht="33.5" thickBot="1" x14ac:dyDescent="0.4">
      <c r="A14" s="40" t="s">
        <v>98</v>
      </c>
      <c r="B14" s="170"/>
      <c r="C14" s="170"/>
      <c r="D14" s="41" t="s">
        <v>123</v>
      </c>
      <c r="E14" s="166"/>
      <c r="F14" s="40" t="s">
        <v>124</v>
      </c>
    </row>
    <row r="15" spans="1:6" ht="82.5" x14ac:dyDescent="0.35">
      <c r="A15" s="48" t="s">
        <v>125</v>
      </c>
      <c r="B15" s="139" t="s">
        <v>135</v>
      </c>
      <c r="C15" s="44" t="s">
        <v>136</v>
      </c>
      <c r="D15" s="167" t="s">
        <v>118</v>
      </c>
      <c r="E15" s="172" t="s">
        <v>137</v>
      </c>
      <c r="F15" s="154" t="s">
        <v>138</v>
      </c>
    </row>
    <row r="16" spans="1:6" ht="99" x14ac:dyDescent="0.35">
      <c r="A16" s="21" t="s">
        <v>89</v>
      </c>
      <c r="B16" s="140"/>
      <c r="C16" s="44" t="s">
        <v>139</v>
      </c>
      <c r="D16" s="165"/>
      <c r="E16" s="172"/>
      <c r="F16" s="155"/>
    </row>
    <row r="17" spans="1:6" ht="66" x14ac:dyDescent="0.35">
      <c r="A17" s="16" t="s">
        <v>93</v>
      </c>
      <c r="B17" s="140"/>
      <c r="C17" s="44" t="s">
        <v>140</v>
      </c>
      <c r="D17" s="171" t="s">
        <v>121</v>
      </c>
      <c r="E17" s="172"/>
      <c r="F17" s="171" t="s">
        <v>122</v>
      </c>
    </row>
    <row r="18" spans="1:6" ht="66" x14ac:dyDescent="0.35">
      <c r="A18" s="16" t="s">
        <v>97</v>
      </c>
      <c r="B18" s="140"/>
      <c r="C18" s="20" t="s">
        <v>141</v>
      </c>
      <c r="D18" s="171"/>
      <c r="E18" s="172"/>
      <c r="F18" s="171"/>
    </row>
    <row r="19" spans="1:6" ht="66.5" thickBot="1" x14ac:dyDescent="0.4">
      <c r="A19" s="109"/>
      <c r="B19" s="142"/>
      <c r="C19" s="123" t="s">
        <v>142</v>
      </c>
      <c r="D19" s="110" t="s">
        <v>123</v>
      </c>
      <c r="E19" s="173"/>
      <c r="F19" s="110" t="s">
        <v>124</v>
      </c>
    </row>
    <row r="20" spans="1:6" x14ac:dyDescent="0.35">
      <c r="A20" s="21"/>
    </row>
    <row r="21" spans="1:6" x14ac:dyDescent="0.35">
      <c r="A21" s="21"/>
    </row>
    <row r="22" spans="1:6" x14ac:dyDescent="0.35">
      <c r="A22" s="21"/>
    </row>
    <row r="23" spans="1:6" x14ac:dyDescent="0.35">
      <c r="A23" s="21"/>
    </row>
    <row r="24" spans="1:6" x14ac:dyDescent="0.35">
      <c r="A24" s="21"/>
    </row>
  </sheetData>
  <mergeCells count="18">
    <mergeCell ref="F15:F16"/>
    <mergeCell ref="F17:F18"/>
    <mergeCell ref="E15:E19"/>
    <mergeCell ref="B15:B19"/>
    <mergeCell ref="E12:E14"/>
    <mergeCell ref="B12:B14"/>
    <mergeCell ref="C12:C14"/>
    <mergeCell ref="D15:D16"/>
    <mergeCell ref="D17:D18"/>
    <mergeCell ref="E3:E5"/>
    <mergeCell ref="E9:E11"/>
    <mergeCell ref="E6:E8"/>
    <mergeCell ref="B3:B5"/>
    <mergeCell ref="C3:C5"/>
    <mergeCell ref="B6:B8"/>
    <mergeCell ref="C6:C8"/>
    <mergeCell ref="B9:B11"/>
    <mergeCell ref="C9:C11"/>
  </mergeCells>
  <dataValidations count="1">
    <dataValidation type="list" allowBlank="1" showInputMessage="1" showErrorMessage="1" sqref="A3:A18 A20:A24" xr:uid="{D048ED25-334D-4F32-B2A7-D11385F03FF6}">
      <formula1>resultadoaprendizaje</formula1>
    </dataValidation>
  </dataValidation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B1331-AF3E-489A-B433-09E21B4DF482}">
  <dimension ref="A1:Q202"/>
  <sheetViews>
    <sheetView tabSelected="1" zoomScale="70" zoomScaleNormal="70" workbookViewId="0">
      <pane ySplit="1" topLeftCell="A2" activePane="bottomLeft" state="frozen"/>
      <selection activeCell="B1" sqref="B1"/>
      <selection pane="bottomLeft" activeCell="B3" sqref="B3"/>
    </sheetView>
  </sheetViews>
  <sheetFormatPr baseColWidth="10" defaultColWidth="58.7265625" defaultRowHeight="16" x14ac:dyDescent="0.35"/>
  <cols>
    <col min="1" max="1" width="14.453125" style="65" customWidth="1"/>
    <col min="2" max="2" width="73.453125" style="57" customWidth="1"/>
    <col min="3" max="3" width="14.26953125" style="51" customWidth="1"/>
    <col min="4" max="4" width="24.54296875" style="52" customWidth="1"/>
    <col min="5" max="5" width="66.7265625" style="65" customWidth="1"/>
    <col min="6" max="6" width="18.81640625" style="51" customWidth="1"/>
    <col min="7" max="7" width="15.453125" style="51" customWidth="1"/>
    <col min="8" max="10" width="14.26953125" style="51" customWidth="1"/>
    <col min="11" max="13" width="16.7265625" style="51" customWidth="1"/>
    <col min="14" max="14" width="36" style="65" customWidth="1"/>
    <col min="15" max="15" width="40.453125" style="65" customWidth="1"/>
    <col min="16" max="16" width="45.81640625" style="65" customWidth="1"/>
    <col min="17" max="17" width="58.7265625" style="65"/>
    <col min="18" max="16384" width="58.7265625" style="51"/>
  </cols>
  <sheetData>
    <row r="1" spans="1:17" s="12" customFormat="1" ht="78" x14ac:dyDescent="0.35">
      <c r="A1" s="18" t="s">
        <v>143</v>
      </c>
      <c r="B1" s="18" t="s">
        <v>144</v>
      </c>
      <c r="C1" s="18" t="s">
        <v>145</v>
      </c>
      <c r="D1" s="18" t="s">
        <v>146</v>
      </c>
      <c r="E1" s="18" t="s">
        <v>147</v>
      </c>
      <c r="F1" s="18" t="s">
        <v>148</v>
      </c>
      <c r="G1" s="157" t="s">
        <v>149</v>
      </c>
      <c r="H1" s="157"/>
      <c r="I1" s="157"/>
      <c r="J1" s="18" t="s">
        <v>150</v>
      </c>
      <c r="K1" s="18" t="s">
        <v>151</v>
      </c>
      <c r="L1" s="18" t="s">
        <v>152</v>
      </c>
      <c r="M1" s="18" t="s">
        <v>153</v>
      </c>
      <c r="N1" s="18" t="s">
        <v>154</v>
      </c>
      <c r="O1" s="18" t="s">
        <v>155</v>
      </c>
      <c r="P1" s="18" t="s">
        <v>156</v>
      </c>
      <c r="Q1" s="18" t="s">
        <v>157</v>
      </c>
    </row>
    <row r="2" spans="1:17" s="12" customFormat="1" ht="49.5" x14ac:dyDescent="0.35">
      <c r="A2" s="131" t="s">
        <v>158</v>
      </c>
      <c r="B2" s="36" t="s">
        <v>110</v>
      </c>
      <c r="C2" s="36" t="s">
        <v>159</v>
      </c>
      <c r="D2" s="36" t="s">
        <v>160</v>
      </c>
      <c r="E2" s="36" t="s">
        <v>161</v>
      </c>
      <c r="F2" s="36" t="s">
        <v>162</v>
      </c>
      <c r="G2" s="36" t="s">
        <v>163</v>
      </c>
      <c r="H2" s="36" t="s">
        <v>164</v>
      </c>
      <c r="I2" s="36" t="s">
        <v>165</v>
      </c>
      <c r="J2" s="36" t="s">
        <v>166</v>
      </c>
      <c r="K2" s="36" t="s">
        <v>167</v>
      </c>
      <c r="L2" s="36" t="s">
        <v>168</v>
      </c>
      <c r="M2" s="36" t="s">
        <v>169</v>
      </c>
      <c r="N2" s="36" t="s">
        <v>170</v>
      </c>
      <c r="O2" s="36" t="s">
        <v>171</v>
      </c>
      <c r="P2" s="36" t="s">
        <v>172</v>
      </c>
      <c r="Q2" s="66" t="s">
        <v>173</v>
      </c>
    </row>
    <row r="3" spans="1:17" s="50" customFormat="1" ht="409.5" x14ac:dyDescent="0.35">
      <c r="A3" s="107" t="str">
        <f>_xlfn.XLOOKUP(B3,'Paso 3 Redacción RA '!I$3:I$12,'Paso 3 Redacción RA '!C$3:C$12,,0,1)</f>
        <v>Saber</v>
      </c>
      <c r="B3" s="95" t="s">
        <v>103</v>
      </c>
      <c r="C3" s="74">
        <v>1</v>
      </c>
      <c r="D3" s="75" t="s">
        <v>174</v>
      </c>
      <c r="E3" s="73" t="s">
        <v>175</v>
      </c>
      <c r="F3" s="74" t="s">
        <v>176</v>
      </c>
      <c r="G3" s="74" t="s">
        <v>177</v>
      </c>
      <c r="H3" s="74"/>
      <c r="I3" s="74"/>
      <c r="J3" s="74">
        <v>3</v>
      </c>
      <c r="K3" s="74">
        <f>12*J3</f>
        <v>36</v>
      </c>
      <c r="L3" s="74">
        <f>36*J3</f>
        <v>108</v>
      </c>
      <c r="M3" s="74">
        <f>SUM(K3:L3)</f>
        <v>144</v>
      </c>
      <c r="N3" s="77" t="s">
        <v>178</v>
      </c>
      <c r="O3" s="95" t="s">
        <v>179</v>
      </c>
      <c r="P3" s="100" t="s">
        <v>180</v>
      </c>
      <c r="Q3" s="73" t="s">
        <v>181</v>
      </c>
    </row>
    <row r="4" spans="1:17" s="50" customFormat="1" ht="409.6" thickBot="1" x14ac:dyDescent="0.4">
      <c r="A4" s="107" t="str">
        <f>_xlfn.XLOOKUP(B4,'Paso 3 Redacción RA '!I$3:I$12,'Paso 3 Redacción RA '!C$3:C$12,,0,1)</f>
        <v>Saber</v>
      </c>
      <c r="B4" s="95" t="s">
        <v>103</v>
      </c>
      <c r="C4" s="111">
        <v>1</v>
      </c>
      <c r="D4" s="112" t="s">
        <v>182</v>
      </c>
      <c r="E4" s="100" t="s">
        <v>183</v>
      </c>
      <c r="F4" s="112" t="s">
        <v>176</v>
      </c>
      <c r="G4" s="111" t="s">
        <v>177</v>
      </c>
      <c r="H4" s="111"/>
      <c r="I4" s="111"/>
      <c r="J4" s="111">
        <v>3</v>
      </c>
      <c r="K4" s="121">
        <f>12*J4</f>
        <v>36</v>
      </c>
      <c r="L4" s="121">
        <f>36*J4</f>
        <v>108</v>
      </c>
      <c r="M4" s="111">
        <f>SUM(K4:L4)</f>
        <v>144</v>
      </c>
      <c r="N4" s="95" t="s">
        <v>184</v>
      </c>
      <c r="O4" s="95" t="s">
        <v>179</v>
      </c>
      <c r="P4" s="95" t="s">
        <v>185</v>
      </c>
      <c r="Q4" s="95" t="s">
        <v>186</v>
      </c>
    </row>
    <row r="5" spans="1:17" s="50" customFormat="1" ht="33" x14ac:dyDescent="0.35">
      <c r="A5" s="24" t="str">
        <f>_xlfn.XLOOKUP(B5,'Paso 3 Redacción RA '!I$3:I$12,'Paso 3 Redacción RA '!C$3:C$12,,0,1)</f>
        <v>Saber</v>
      </c>
      <c r="B5" s="16" t="s">
        <v>85</v>
      </c>
      <c r="C5" s="152">
        <v>1</v>
      </c>
      <c r="D5" s="152" t="s">
        <v>187</v>
      </c>
      <c r="E5" s="144" t="s">
        <v>188</v>
      </c>
      <c r="F5" s="152" t="s">
        <v>189</v>
      </c>
      <c r="G5" s="152"/>
      <c r="H5" s="152" t="s">
        <v>177</v>
      </c>
      <c r="I5" s="152"/>
      <c r="J5" s="152">
        <v>2</v>
      </c>
      <c r="K5" s="152">
        <f>J5*12</f>
        <v>24</v>
      </c>
      <c r="L5" s="152">
        <f>36*J5</f>
        <v>72</v>
      </c>
      <c r="M5" s="152">
        <f>SUM(K5:L5)</f>
        <v>96</v>
      </c>
      <c r="N5" s="144" t="s">
        <v>190</v>
      </c>
      <c r="O5" s="144" t="s">
        <v>179</v>
      </c>
      <c r="P5" s="144" t="s">
        <v>191</v>
      </c>
      <c r="Q5" s="144" t="s">
        <v>186</v>
      </c>
    </row>
    <row r="6" spans="1:17" s="50" customFormat="1" ht="33" x14ac:dyDescent="0.35">
      <c r="A6" s="24" t="str">
        <f>_xlfn.XLOOKUP(B6,'Paso 3 Redacción RA '!I$3:I$12,'Paso 3 Redacción RA '!C$3:C$12,,0,1)</f>
        <v>Saberhacer</v>
      </c>
      <c r="B6" s="16" t="s">
        <v>89</v>
      </c>
      <c r="C6" s="152"/>
      <c r="D6" s="152"/>
      <c r="E6" s="144"/>
      <c r="F6" s="152"/>
      <c r="G6" s="152"/>
      <c r="H6" s="152"/>
      <c r="I6" s="152"/>
      <c r="J6" s="152"/>
      <c r="K6" s="152"/>
      <c r="L6" s="152"/>
      <c r="M6" s="152"/>
      <c r="N6" s="144"/>
      <c r="O6" s="144"/>
      <c r="P6" s="144"/>
      <c r="Q6" s="144"/>
    </row>
    <row r="7" spans="1:17" s="50" customFormat="1" ht="33" x14ac:dyDescent="0.35">
      <c r="A7" s="98" t="str">
        <f>_xlfn.XLOOKUP(B7,'Paso 3 Redacción RA '!I$3:I$12,'Paso 3 Redacción RA '!C$3:C$12,,0,1)</f>
        <v>Saber</v>
      </c>
      <c r="B7" s="27" t="s">
        <v>98</v>
      </c>
      <c r="C7" s="153"/>
      <c r="D7" s="158"/>
      <c r="E7" s="146"/>
      <c r="F7" s="153"/>
      <c r="G7" s="153"/>
      <c r="H7" s="153"/>
      <c r="I7" s="153"/>
      <c r="J7" s="153"/>
      <c r="K7" s="153"/>
      <c r="L7" s="153"/>
      <c r="M7" s="153"/>
      <c r="N7" s="146"/>
      <c r="O7" s="146"/>
      <c r="P7" s="146"/>
      <c r="Q7" s="146"/>
    </row>
    <row r="8" spans="1:17" s="50" customFormat="1" ht="34.5" customHeight="1" x14ac:dyDescent="0.35">
      <c r="A8" s="24" t="str">
        <f>_xlfn.XLOOKUP(B8,'Paso 3 Redacción RA '!I$3:I$12,'Paso 3 Redacción RA '!C$3:C$12,,0,1)</f>
        <v>Saber</v>
      </c>
      <c r="B8" s="16" t="s">
        <v>98</v>
      </c>
      <c r="C8" s="151">
        <v>1</v>
      </c>
      <c r="D8" s="140" t="s">
        <v>192</v>
      </c>
      <c r="E8" s="154" t="s">
        <v>193</v>
      </c>
      <c r="F8" s="139" t="s">
        <v>176</v>
      </c>
      <c r="G8" s="139"/>
      <c r="H8" s="139" t="s">
        <v>177</v>
      </c>
      <c r="I8" s="139"/>
      <c r="J8" s="139">
        <v>3</v>
      </c>
      <c r="K8" s="139">
        <f>J8*12</f>
        <v>36</v>
      </c>
      <c r="L8" s="139">
        <f>36*J8</f>
        <v>108</v>
      </c>
      <c r="M8" s="139">
        <f>SUM(K8:L8)</f>
        <v>144</v>
      </c>
      <c r="N8" s="154" t="s">
        <v>194</v>
      </c>
      <c r="O8" s="144" t="s">
        <v>179</v>
      </c>
      <c r="P8" s="144" t="s">
        <v>195</v>
      </c>
      <c r="Q8" s="154" t="s">
        <v>186</v>
      </c>
    </row>
    <row r="9" spans="1:17" s="50" customFormat="1" ht="33" x14ac:dyDescent="0.35">
      <c r="A9" s="24" t="str">
        <f>_xlfn.XLOOKUP(B9,'Paso 3 Redacción RA '!I$3:I$12,'Paso 3 Redacción RA '!C$3:C$12,,0,1)</f>
        <v>Saberhacer</v>
      </c>
      <c r="B9" s="16" t="s">
        <v>89</v>
      </c>
      <c r="C9" s="152"/>
      <c r="D9" s="140"/>
      <c r="E9" s="155"/>
      <c r="F9" s="140"/>
      <c r="G9" s="140"/>
      <c r="H9" s="140"/>
      <c r="I9" s="140"/>
      <c r="J9" s="140"/>
      <c r="K9" s="140"/>
      <c r="L9" s="140"/>
      <c r="M9" s="140"/>
      <c r="N9" s="155"/>
      <c r="O9" s="144"/>
      <c r="P9" s="144"/>
      <c r="Q9" s="155"/>
    </row>
    <row r="10" spans="1:17" s="50" customFormat="1" ht="33.5" thickBot="1" x14ac:dyDescent="0.4">
      <c r="A10" s="98" t="str">
        <f>_xlfn.XLOOKUP(B10,'Paso 3 Redacción RA '!I$3:I$12,'Paso 3 Redacción RA '!C$3:C$12,,0,1)</f>
        <v>Saber</v>
      </c>
      <c r="B10" s="27" t="s">
        <v>85</v>
      </c>
      <c r="C10" s="153"/>
      <c r="D10" s="141"/>
      <c r="E10" s="156"/>
      <c r="F10" s="141"/>
      <c r="G10" s="141"/>
      <c r="H10" s="141"/>
      <c r="I10" s="141"/>
      <c r="J10" s="141"/>
      <c r="K10" s="141"/>
      <c r="L10" s="141"/>
      <c r="M10" s="141"/>
      <c r="N10" s="156"/>
      <c r="O10" s="146"/>
      <c r="P10" s="146"/>
      <c r="Q10" s="156"/>
    </row>
    <row r="11" spans="1:17" s="50" customFormat="1" ht="34.5" customHeight="1" x14ac:dyDescent="0.35">
      <c r="A11" s="24" t="str">
        <f>_xlfn.XLOOKUP(B11,'Paso 3 Redacción RA '!I$3:I$12,'Paso 3 Redacción RA '!C$3:C$12,,0,1)</f>
        <v>Saberhacer</v>
      </c>
      <c r="B11" s="16" t="s">
        <v>89</v>
      </c>
      <c r="C11" s="151">
        <v>1</v>
      </c>
      <c r="D11" s="151" t="s">
        <v>196</v>
      </c>
      <c r="E11" s="136" t="s">
        <v>197</v>
      </c>
      <c r="F11" s="139" t="s">
        <v>176</v>
      </c>
      <c r="G11" s="151"/>
      <c r="H11" s="151" t="s">
        <v>177</v>
      </c>
      <c r="I11" s="151"/>
      <c r="J11" s="151">
        <v>3</v>
      </c>
      <c r="K11" s="151">
        <f>J11*12</f>
        <v>36</v>
      </c>
      <c r="L11" s="151">
        <f>36*J11</f>
        <v>108</v>
      </c>
      <c r="M11" s="151">
        <f>SUM(K11:L11)</f>
        <v>144</v>
      </c>
      <c r="N11" s="136" t="s">
        <v>198</v>
      </c>
      <c r="O11" s="144" t="s">
        <v>179</v>
      </c>
      <c r="P11" s="144" t="s">
        <v>195</v>
      </c>
      <c r="Q11" s="136" t="s">
        <v>186</v>
      </c>
    </row>
    <row r="12" spans="1:17" s="50" customFormat="1" ht="33" x14ac:dyDescent="0.35">
      <c r="A12" s="24" t="str">
        <f>_xlfn.XLOOKUP(B12,'Paso 3 Redacción RA '!I$3:I$12,'Paso 3 Redacción RA '!C$3:C$12,,0,1)</f>
        <v>Saber</v>
      </c>
      <c r="B12" s="16" t="s">
        <v>98</v>
      </c>
      <c r="C12" s="152"/>
      <c r="D12" s="152"/>
      <c r="E12" s="137"/>
      <c r="F12" s="140"/>
      <c r="G12" s="152"/>
      <c r="H12" s="152"/>
      <c r="I12" s="152"/>
      <c r="J12" s="152"/>
      <c r="K12" s="152"/>
      <c r="L12" s="152"/>
      <c r="M12" s="152"/>
      <c r="N12" s="137"/>
      <c r="O12" s="144"/>
      <c r="P12" s="144"/>
      <c r="Q12" s="137"/>
    </row>
    <row r="13" spans="1:17" s="50" customFormat="1" ht="33.5" thickBot="1" x14ac:dyDescent="0.4">
      <c r="A13" s="98" t="str">
        <f>_xlfn.XLOOKUP(B13,'Paso 3 Redacción RA '!I$3:I$12,'Paso 3 Redacción RA '!C$3:C$12,,0,1)</f>
        <v>Saber</v>
      </c>
      <c r="B13" s="27" t="s">
        <v>85</v>
      </c>
      <c r="C13" s="153"/>
      <c r="D13" s="153"/>
      <c r="E13" s="138"/>
      <c r="F13" s="141"/>
      <c r="G13" s="153"/>
      <c r="H13" s="153"/>
      <c r="I13" s="153"/>
      <c r="J13" s="153"/>
      <c r="K13" s="153"/>
      <c r="L13" s="153"/>
      <c r="M13" s="153"/>
      <c r="N13" s="138"/>
      <c r="O13" s="146"/>
      <c r="P13" s="146"/>
      <c r="Q13" s="138"/>
    </row>
    <row r="14" spans="1:17" s="50" customFormat="1" ht="33" x14ac:dyDescent="0.35">
      <c r="A14" s="24" t="str">
        <f>_xlfn.XLOOKUP(B14,'Paso 3 Redacción RA '!I$3:I$12,'Paso 3 Redacción RA '!C$3:C$12,,0,1)</f>
        <v>Saberhacer</v>
      </c>
      <c r="B14" s="16" t="s">
        <v>89</v>
      </c>
      <c r="C14" s="139">
        <v>1</v>
      </c>
      <c r="D14" s="139" t="s">
        <v>199</v>
      </c>
      <c r="E14" s="136" t="s">
        <v>200</v>
      </c>
      <c r="F14" s="139" t="s">
        <v>176</v>
      </c>
      <c r="G14" s="139"/>
      <c r="H14" s="139" t="s">
        <v>177</v>
      </c>
      <c r="I14" s="139"/>
      <c r="J14" s="139">
        <v>3</v>
      </c>
      <c r="K14" s="139">
        <f>J14*12</f>
        <v>36</v>
      </c>
      <c r="L14" s="139">
        <f>36*J14</f>
        <v>108</v>
      </c>
      <c r="M14" s="139">
        <f>SUM(K14:L14)</f>
        <v>144</v>
      </c>
      <c r="N14" s="136" t="s">
        <v>201</v>
      </c>
      <c r="O14" s="144" t="s">
        <v>179</v>
      </c>
      <c r="P14" s="144" t="s">
        <v>202</v>
      </c>
      <c r="Q14" s="136" t="s">
        <v>186</v>
      </c>
    </row>
    <row r="15" spans="1:17" s="50" customFormat="1" ht="33" x14ac:dyDescent="0.35">
      <c r="A15" s="24" t="str">
        <f>_xlfn.XLOOKUP(B15,'Paso 3 Redacción RA '!I$3:I$12,'Paso 3 Redacción RA '!C$3:C$12,,0,1)</f>
        <v>Saber</v>
      </c>
      <c r="B15" s="16" t="s">
        <v>95</v>
      </c>
      <c r="C15" s="140"/>
      <c r="D15" s="140"/>
      <c r="E15" s="137"/>
      <c r="F15" s="140"/>
      <c r="G15" s="140"/>
      <c r="H15" s="140"/>
      <c r="I15" s="140"/>
      <c r="J15" s="140"/>
      <c r="K15" s="140"/>
      <c r="L15" s="140"/>
      <c r="M15" s="140"/>
      <c r="N15" s="137"/>
      <c r="O15" s="144"/>
      <c r="P15" s="144"/>
      <c r="Q15" s="137"/>
    </row>
    <row r="16" spans="1:17" s="50" customFormat="1" ht="49.5" x14ac:dyDescent="0.35">
      <c r="A16" s="98" t="str">
        <f>_xlfn.XLOOKUP(B16,'Paso 3 Redacción RA '!I$3:I$12,'Paso 3 Redacción RA '!C$3:C$12,,0,1)</f>
        <v>Saberhacer</v>
      </c>
      <c r="B16" s="27" t="s">
        <v>97</v>
      </c>
      <c r="C16" s="141"/>
      <c r="D16" s="141"/>
      <c r="E16" s="147"/>
      <c r="F16" s="141"/>
      <c r="G16" s="141"/>
      <c r="H16" s="141"/>
      <c r="I16" s="141"/>
      <c r="J16" s="141"/>
      <c r="K16" s="141"/>
      <c r="L16" s="141"/>
      <c r="M16" s="141"/>
      <c r="N16" s="138"/>
      <c r="O16" s="146"/>
      <c r="P16" s="146"/>
      <c r="Q16" s="138"/>
    </row>
    <row r="17" spans="1:17" s="50" customFormat="1" ht="409.5" x14ac:dyDescent="0.35">
      <c r="A17" s="107" t="str">
        <f>_xlfn.XLOOKUP(B17,'Paso 3 Redacción RA '!I$3:I$12,'Paso 3 Redacción RA '!C$3:C$12,,0,1)</f>
        <v>Saber</v>
      </c>
      <c r="B17" s="95" t="s">
        <v>103</v>
      </c>
      <c r="C17" s="74">
        <v>2</v>
      </c>
      <c r="D17" s="75" t="s">
        <v>203</v>
      </c>
      <c r="E17" s="129" t="s">
        <v>204</v>
      </c>
      <c r="F17" s="74" t="s">
        <v>176</v>
      </c>
      <c r="G17" s="75" t="s">
        <v>177</v>
      </c>
      <c r="H17" s="75"/>
      <c r="I17" s="75"/>
      <c r="J17" s="74">
        <v>3</v>
      </c>
      <c r="K17" s="74">
        <f>12*J17</f>
        <v>36</v>
      </c>
      <c r="L17" s="74">
        <f>36*J17</f>
        <v>108</v>
      </c>
      <c r="M17" s="74">
        <f>SUM(K17:L17)</f>
        <v>144</v>
      </c>
      <c r="N17" s="76" t="s">
        <v>205</v>
      </c>
      <c r="O17" s="100" t="s">
        <v>179</v>
      </c>
      <c r="P17" s="100" t="s">
        <v>185</v>
      </c>
      <c r="Q17" s="73" t="s">
        <v>186</v>
      </c>
    </row>
    <row r="18" spans="1:17" s="50" customFormat="1" ht="33" x14ac:dyDescent="0.35">
      <c r="A18" s="24" t="str">
        <f>_xlfn.XLOOKUP(B18,'Paso 3 Redacción RA '!I$3:I$12,'Paso 3 Redacción RA '!C$3:C$12,,0,1)</f>
        <v>Saberhacer</v>
      </c>
      <c r="B18" s="16" t="s">
        <v>89</v>
      </c>
      <c r="C18" s="139">
        <v>2</v>
      </c>
      <c r="D18" s="139" t="s">
        <v>206</v>
      </c>
      <c r="E18" s="136" t="s">
        <v>207</v>
      </c>
      <c r="F18" s="139" t="s">
        <v>176</v>
      </c>
      <c r="G18" s="139"/>
      <c r="H18" s="139" t="s">
        <v>177</v>
      </c>
      <c r="I18" s="139"/>
      <c r="J18" s="139">
        <v>3</v>
      </c>
      <c r="K18" s="139">
        <f>J18*12</f>
        <v>36</v>
      </c>
      <c r="L18" s="139">
        <f>36*J18</f>
        <v>108</v>
      </c>
      <c r="M18" s="139">
        <f>SUM(K18:L18)</f>
        <v>144</v>
      </c>
      <c r="N18" s="136" t="s">
        <v>208</v>
      </c>
      <c r="O18" s="136" t="s">
        <v>179</v>
      </c>
      <c r="P18" s="136" t="s">
        <v>195</v>
      </c>
      <c r="Q18" s="136" t="s">
        <v>186</v>
      </c>
    </row>
    <row r="19" spans="1:17" s="50" customFormat="1" ht="49.5" x14ac:dyDescent="0.35">
      <c r="A19" s="24" t="str">
        <f>_xlfn.XLOOKUP(B19,'Paso 3 Redacción RA '!I$3:I$12,'Paso 3 Redacción RA '!C$3:C$12,,0,1)</f>
        <v>Saberser</v>
      </c>
      <c r="B19" s="16" t="s">
        <v>93</v>
      </c>
      <c r="C19" s="140"/>
      <c r="D19" s="140"/>
      <c r="E19" s="137"/>
      <c r="F19" s="140"/>
      <c r="G19" s="140"/>
      <c r="H19" s="140"/>
      <c r="I19" s="140"/>
      <c r="J19" s="140"/>
      <c r="K19" s="140"/>
      <c r="L19" s="140"/>
      <c r="M19" s="140"/>
      <c r="N19" s="137"/>
      <c r="O19" s="137"/>
      <c r="P19" s="137"/>
      <c r="Q19" s="137"/>
    </row>
    <row r="20" spans="1:17" s="50" customFormat="1" ht="33.5" thickBot="1" x14ac:dyDescent="0.4">
      <c r="A20" s="98" t="str">
        <f>_xlfn.XLOOKUP(B20,'Paso 3 Redacción RA '!I$3:I$12,'Paso 3 Redacción RA '!C$3:C$12,,0,1)</f>
        <v>Saber</v>
      </c>
      <c r="B20" s="27" t="s">
        <v>98</v>
      </c>
      <c r="C20" s="141"/>
      <c r="D20" s="141"/>
      <c r="E20" s="138"/>
      <c r="F20" s="141"/>
      <c r="G20" s="141"/>
      <c r="H20" s="141"/>
      <c r="I20" s="141"/>
      <c r="J20" s="141"/>
      <c r="K20" s="141"/>
      <c r="L20" s="141"/>
      <c r="M20" s="141"/>
      <c r="N20" s="138"/>
      <c r="O20" s="138"/>
      <c r="P20" s="138"/>
      <c r="Q20" s="138"/>
    </row>
    <row r="21" spans="1:17" s="50" customFormat="1" ht="34.5" customHeight="1" x14ac:dyDescent="0.35">
      <c r="A21" s="24" t="str">
        <f>_xlfn.XLOOKUP(B21,'Paso 3 Redacción RA '!I$3:I$12,'Paso 3 Redacción RA '!C$3:C$12,,0,1)</f>
        <v>Saber</v>
      </c>
      <c r="B21" s="16" t="s">
        <v>85</v>
      </c>
      <c r="C21" s="139">
        <v>2</v>
      </c>
      <c r="D21" s="139" t="s">
        <v>209</v>
      </c>
      <c r="E21" s="136" t="s">
        <v>210</v>
      </c>
      <c r="F21" s="139" t="s">
        <v>176</v>
      </c>
      <c r="G21" s="139"/>
      <c r="H21" s="139" t="s">
        <v>177</v>
      </c>
      <c r="I21" s="139"/>
      <c r="J21" s="139">
        <v>3</v>
      </c>
      <c r="K21" s="139">
        <f>J21*12</f>
        <v>36</v>
      </c>
      <c r="L21" s="139">
        <f>36*J21</f>
        <v>108</v>
      </c>
      <c r="M21" s="139">
        <f>SUM(K21:L21)</f>
        <v>144</v>
      </c>
      <c r="N21" s="136" t="s">
        <v>211</v>
      </c>
      <c r="O21" s="136" t="s">
        <v>179</v>
      </c>
      <c r="P21" s="136" t="s">
        <v>195</v>
      </c>
      <c r="Q21" s="136" t="s">
        <v>186</v>
      </c>
    </row>
    <row r="22" spans="1:17" s="50" customFormat="1" ht="33" x14ac:dyDescent="0.35">
      <c r="A22" s="24" t="str">
        <f>_xlfn.XLOOKUP(B22,'Paso 3 Redacción RA '!I$3:I$12,'Paso 3 Redacción RA '!C$3:C$12,,0,1)</f>
        <v>Saberhacer</v>
      </c>
      <c r="B22" s="16" t="s">
        <v>89</v>
      </c>
      <c r="C22" s="140"/>
      <c r="D22" s="140"/>
      <c r="E22" s="137"/>
      <c r="F22" s="140"/>
      <c r="G22" s="140"/>
      <c r="H22" s="140"/>
      <c r="I22" s="140"/>
      <c r="J22" s="140"/>
      <c r="K22" s="140"/>
      <c r="L22" s="140"/>
      <c r="M22" s="140"/>
      <c r="N22" s="137"/>
      <c r="O22" s="137"/>
      <c r="P22" s="137"/>
      <c r="Q22" s="137"/>
    </row>
    <row r="23" spans="1:17" s="50" customFormat="1" ht="33.5" thickBot="1" x14ac:dyDescent="0.4">
      <c r="A23" s="98" t="str">
        <f>_xlfn.XLOOKUP(B23,'Paso 3 Redacción RA '!I$3:I$12,'Paso 3 Redacción RA '!C$3:C$12,,0,1)</f>
        <v>Saber</v>
      </c>
      <c r="B23" s="27" t="s">
        <v>98</v>
      </c>
      <c r="C23" s="141"/>
      <c r="D23" s="141"/>
      <c r="E23" s="138"/>
      <c r="F23" s="141"/>
      <c r="G23" s="141"/>
      <c r="H23" s="141"/>
      <c r="I23" s="141"/>
      <c r="J23" s="141"/>
      <c r="K23" s="141"/>
      <c r="L23" s="141"/>
      <c r="M23" s="141"/>
      <c r="N23" s="138"/>
      <c r="O23" s="138"/>
      <c r="P23" s="138"/>
      <c r="Q23" s="138"/>
    </row>
    <row r="24" spans="1:17" s="50" customFormat="1" ht="34.5" customHeight="1" x14ac:dyDescent="0.35">
      <c r="A24" s="24" t="str">
        <f>_xlfn.XLOOKUP(B24,'Paso 3 Redacción RA '!I$3:I$12,'Paso 3 Redacción RA '!C$3:C$12,,0,1)</f>
        <v>Saber</v>
      </c>
      <c r="B24" s="16" t="s">
        <v>85</v>
      </c>
      <c r="C24" s="139">
        <v>2</v>
      </c>
      <c r="D24" s="139" t="s">
        <v>212</v>
      </c>
      <c r="E24" s="136" t="s">
        <v>213</v>
      </c>
      <c r="F24" s="139" t="s">
        <v>176</v>
      </c>
      <c r="G24" s="139"/>
      <c r="H24" s="139" t="s">
        <v>177</v>
      </c>
      <c r="I24" s="139"/>
      <c r="J24" s="139">
        <v>3</v>
      </c>
      <c r="K24" s="139">
        <f>J24*12</f>
        <v>36</v>
      </c>
      <c r="L24" s="139">
        <f>36*J24</f>
        <v>108</v>
      </c>
      <c r="M24" s="139">
        <f>SUM(K24:L24)</f>
        <v>144</v>
      </c>
      <c r="N24" s="136" t="s">
        <v>214</v>
      </c>
      <c r="O24" s="136" t="s">
        <v>179</v>
      </c>
      <c r="P24" s="136" t="s">
        <v>195</v>
      </c>
      <c r="Q24" s="136" t="s">
        <v>186</v>
      </c>
    </row>
    <row r="25" spans="1:17" s="50" customFormat="1" ht="33" x14ac:dyDescent="0.35">
      <c r="A25" s="24" t="str">
        <f>_xlfn.XLOOKUP(B25,'Paso 3 Redacción RA '!I$3:I$12,'Paso 3 Redacción RA '!C$3:C$12,,0,1)</f>
        <v>Saber</v>
      </c>
      <c r="B25" s="16" t="s">
        <v>98</v>
      </c>
      <c r="C25" s="140"/>
      <c r="D25" s="140"/>
      <c r="E25" s="137"/>
      <c r="F25" s="140"/>
      <c r="G25" s="140"/>
      <c r="H25" s="140"/>
      <c r="I25" s="140"/>
      <c r="J25" s="140"/>
      <c r="K25" s="140"/>
      <c r="L25" s="140"/>
      <c r="M25" s="140"/>
      <c r="N25" s="137"/>
      <c r="O25" s="137"/>
      <c r="P25" s="137"/>
      <c r="Q25" s="137"/>
    </row>
    <row r="26" spans="1:17" s="50" customFormat="1" ht="33.5" thickBot="1" x14ac:dyDescent="0.4">
      <c r="A26" s="98" t="str">
        <f>_xlfn.XLOOKUP(B26,'Paso 3 Redacción RA '!I$3:I$12,'Paso 3 Redacción RA '!C$3:C$12,,0,1)</f>
        <v>Saberhacer</v>
      </c>
      <c r="B26" s="27" t="s">
        <v>89</v>
      </c>
      <c r="C26" s="141"/>
      <c r="D26" s="141"/>
      <c r="E26" s="138"/>
      <c r="F26" s="141"/>
      <c r="G26" s="141"/>
      <c r="H26" s="141"/>
      <c r="I26" s="141"/>
      <c r="J26" s="141"/>
      <c r="K26" s="141"/>
      <c r="L26" s="141"/>
      <c r="M26" s="141"/>
      <c r="N26" s="138"/>
      <c r="O26" s="138"/>
      <c r="P26" s="138"/>
      <c r="Q26" s="138"/>
    </row>
    <row r="27" spans="1:17" s="50" customFormat="1" ht="34.5" customHeight="1" x14ac:dyDescent="0.35">
      <c r="A27" s="24" t="str">
        <f>_xlfn.XLOOKUP(B27,'Paso 3 Redacción RA '!I$3:I$12,'Paso 3 Redacción RA '!C$3:C$12,,0,1)</f>
        <v>Saber</v>
      </c>
      <c r="B27" s="16" t="s">
        <v>85</v>
      </c>
      <c r="C27" s="139">
        <v>2</v>
      </c>
      <c r="D27" s="139" t="s">
        <v>215</v>
      </c>
      <c r="E27" s="136" t="s">
        <v>216</v>
      </c>
      <c r="F27" s="139" t="s">
        <v>176</v>
      </c>
      <c r="G27" s="139"/>
      <c r="H27" s="139" t="s">
        <v>177</v>
      </c>
      <c r="I27" s="139"/>
      <c r="J27" s="139">
        <v>3</v>
      </c>
      <c r="K27" s="139">
        <f>J27*12</f>
        <v>36</v>
      </c>
      <c r="L27" s="139">
        <f>36*J27</f>
        <v>108</v>
      </c>
      <c r="M27" s="139">
        <f>SUM(K27:L27)</f>
        <v>144</v>
      </c>
      <c r="N27" s="136" t="s">
        <v>217</v>
      </c>
      <c r="O27" s="136" t="s">
        <v>179</v>
      </c>
      <c r="P27" s="136" t="s">
        <v>195</v>
      </c>
      <c r="Q27" s="136" t="s">
        <v>186</v>
      </c>
    </row>
    <row r="28" spans="1:17" s="50" customFormat="1" ht="33" x14ac:dyDescent="0.35">
      <c r="A28" s="24" t="str">
        <f>_xlfn.XLOOKUP(B28,'Paso 3 Redacción RA '!I$3:I$12,'Paso 3 Redacción RA '!C$3:C$12,,0,1)</f>
        <v>Saberhacer</v>
      </c>
      <c r="B28" s="16" t="s">
        <v>89</v>
      </c>
      <c r="C28" s="140"/>
      <c r="D28" s="140"/>
      <c r="E28" s="137"/>
      <c r="F28" s="140"/>
      <c r="G28" s="140"/>
      <c r="H28" s="140"/>
      <c r="I28" s="140"/>
      <c r="J28" s="140"/>
      <c r="K28" s="140"/>
      <c r="L28" s="140"/>
      <c r="M28" s="140"/>
      <c r="N28" s="137"/>
      <c r="O28" s="137"/>
      <c r="P28" s="137"/>
      <c r="Q28" s="137"/>
    </row>
    <row r="29" spans="1:17" s="50" customFormat="1" ht="33.5" thickBot="1" x14ac:dyDescent="0.4">
      <c r="A29" s="98" t="str">
        <f>_xlfn.XLOOKUP(B29,'Paso 3 Redacción RA '!I$3:I$12,'Paso 3 Redacción RA '!C$3:C$12,,0,1)</f>
        <v>Saber</v>
      </c>
      <c r="B29" s="27" t="s">
        <v>98</v>
      </c>
      <c r="C29" s="141"/>
      <c r="D29" s="141"/>
      <c r="E29" s="138"/>
      <c r="F29" s="141"/>
      <c r="G29" s="141"/>
      <c r="H29" s="141"/>
      <c r="I29" s="141"/>
      <c r="J29" s="141"/>
      <c r="K29" s="141"/>
      <c r="L29" s="141"/>
      <c r="M29" s="141"/>
      <c r="N29" s="138"/>
      <c r="O29" s="138"/>
      <c r="P29" s="138"/>
      <c r="Q29" s="138"/>
    </row>
    <row r="30" spans="1:17" s="50" customFormat="1" ht="33" x14ac:dyDescent="0.35">
      <c r="A30" s="24" t="str">
        <f>_xlfn.XLOOKUP(B30,'Paso 3 Redacción RA '!I$3:I$12,'Paso 3 Redacción RA '!C$3:C$12,,0,1)</f>
        <v>Saberhacer</v>
      </c>
      <c r="B30" s="16" t="s">
        <v>89</v>
      </c>
      <c r="C30" s="139">
        <v>2</v>
      </c>
      <c r="D30" s="139" t="s">
        <v>218</v>
      </c>
      <c r="E30" s="143" t="s">
        <v>219</v>
      </c>
      <c r="F30" s="139" t="s">
        <v>176</v>
      </c>
      <c r="G30" s="139"/>
      <c r="H30" s="139" t="s">
        <v>177</v>
      </c>
      <c r="I30" s="139"/>
      <c r="J30" s="139">
        <v>2</v>
      </c>
      <c r="K30" s="139">
        <f>J30*12</f>
        <v>24</v>
      </c>
      <c r="L30" s="139">
        <f>36*J30</f>
        <v>72</v>
      </c>
      <c r="M30" s="139">
        <f>SUM(K30:L30)</f>
        <v>96</v>
      </c>
      <c r="N30" s="136" t="s">
        <v>220</v>
      </c>
      <c r="O30" s="136" t="s">
        <v>179</v>
      </c>
      <c r="P30" s="136" t="s">
        <v>202</v>
      </c>
      <c r="Q30" s="136" t="s">
        <v>186</v>
      </c>
    </row>
    <row r="31" spans="1:17" s="50" customFormat="1" ht="33" x14ac:dyDescent="0.35">
      <c r="A31" s="24" t="str">
        <f>_xlfn.XLOOKUP(B31,'Paso 3 Redacción RA '!I$3:I$12,'Paso 3 Redacción RA '!C$3:C$12,,0,1)</f>
        <v>Saber</v>
      </c>
      <c r="B31" s="16" t="s">
        <v>95</v>
      </c>
      <c r="C31" s="140"/>
      <c r="D31" s="140"/>
      <c r="E31" s="144"/>
      <c r="F31" s="140"/>
      <c r="G31" s="140"/>
      <c r="H31" s="140"/>
      <c r="I31" s="140"/>
      <c r="J31" s="140"/>
      <c r="K31" s="140"/>
      <c r="L31" s="140"/>
      <c r="M31" s="140"/>
      <c r="N31" s="137"/>
      <c r="O31" s="137"/>
      <c r="P31" s="137"/>
      <c r="Q31" s="137"/>
    </row>
    <row r="32" spans="1:17" s="50" customFormat="1" ht="50" thickBot="1" x14ac:dyDescent="0.4">
      <c r="A32" s="98" t="str">
        <f>_xlfn.XLOOKUP(B32,'Paso 3 Redacción RA '!I$3:I$12,'Paso 3 Redacción RA '!C$3:C$12,,0,1)</f>
        <v>Saberhacer</v>
      </c>
      <c r="B32" s="99" t="s">
        <v>97</v>
      </c>
      <c r="C32" s="141"/>
      <c r="D32" s="141"/>
      <c r="E32" s="146"/>
      <c r="F32" s="141"/>
      <c r="G32" s="141"/>
      <c r="H32" s="141"/>
      <c r="I32" s="141"/>
      <c r="J32" s="141"/>
      <c r="K32" s="141"/>
      <c r="L32" s="141"/>
      <c r="M32" s="141"/>
      <c r="N32" s="138"/>
      <c r="O32" s="138"/>
      <c r="P32" s="138"/>
      <c r="Q32" s="138"/>
    </row>
    <row r="33" spans="1:17" s="50" customFormat="1" ht="363.5" thickBot="1" x14ac:dyDescent="0.4">
      <c r="A33" s="107" t="str">
        <f>_xlfn.XLOOKUP(B33,'Paso 3 Redacción RA '!I$3:I$12,'Paso 3 Redacción RA '!C$3:C$12,,0,1)</f>
        <v>Saber</v>
      </c>
      <c r="B33" s="95" t="s">
        <v>103</v>
      </c>
      <c r="C33" s="74">
        <v>3</v>
      </c>
      <c r="D33" s="75" t="s">
        <v>221</v>
      </c>
      <c r="E33" s="73" t="s">
        <v>222</v>
      </c>
      <c r="F33" s="74" t="s">
        <v>176</v>
      </c>
      <c r="G33" s="75" t="s">
        <v>177</v>
      </c>
      <c r="H33" s="75"/>
      <c r="I33" s="75"/>
      <c r="J33" s="74">
        <v>3</v>
      </c>
      <c r="K33" s="74">
        <f>12*J33</f>
        <v>36</v>
      </c>
      <c r="L33" s="74">
        <f>36*J33</f>
        <v>108</v>
      </c>
      <c r="M33" s="74">
        <f>SUM(K33:L33)</f>
        <v>144</v>
      </c>
      <c r="N33" s="73" t="s">
        <v>223</v>
      </c>
      <c r="O33" s="100" t="s">
        <v>179</v>
      </c>
      <c r="P33" s="100" t="s">
        <v>224</v>
      </c>
      <c r="Q33" s="73" t="s">
        <v>186</v>
      </c>
    </row>
    <row r="34" spans="1:17" s="12" customFormat="1" ht="297.5" thickBot="1" x14ac:dyDescent="0.4">
      <c r="A34" s="107" t="str">
        <f>_xlfn.XLOOKUP(B34,'Paso 3 Redacción RA '!I$3:I$12,'Paso 3 Redacción RA '!C$3:C$12,,0,1)</f>
        <v>Saber</v>
      </c>
      <c r="B34" s="95" t="s">
        <v>103</v>
      </c>
      <c r="C34" s="78">
        <v>3</v>
      </c>
      <c r="D34" s="75" t="s">
        <v>225</v>
      </c>
      <c r="E34" s="73" t="s">
        <v>226</v>
      </c>
      <c r="F34" s="74" t="s">
        <v>176</v>
      </c>
      <c r="G34" s="74" t="s">
        <v>177</v>
      </c>
      <c r="H34" s="74"/>
      <c r="I34" s="74"/>
      <c r="J34" s="78">
        <v>3</v>
      </c>
      <c r="K34" s="74">
        <f>12*J34</f>
        <v>36</v>
      </c>
      <c r="L34" s="74">
        <f>36*J34</f>
        <v>108</v>
      </c>
      <c r="M34" s="74">
        <f>SUM(K34:L34)</f>
        <v>144</v>
      </c>
      <c r="N34" s="73" t="s">
        <v>227</v>
      </c>
      <c r="O34" s="95" t="s">
        <v>179</v>
      </c>
      <c r="P34" s="95" t="s">
        <v>228</v>
      </c>
      <c r="Q34" s="73" t="s">
        <v>186</v>
      </c>
    </row>
    <row r="35" spans="1:17" s="50" customFormat="1" ht="33" x14ac:dyDescent="0.35">
      <c r="A35" s="24" t="str">
        <f>_xlfn.XLOOKUP(B35,'Paso 3 Redacción RA '!I$3:I$12,'Paso 3 Redacción RA '!C$3:C$12,,0,1)</f>
        <v>Saberhacer</v>
      </c>
      <c r="B35" s="16" t="s">
        <v>89</v>
      </c>
      <c r="C35" s="139">
        <v>3</v>
      </c>
      <c r="D35" s="139" t="s">
        <v>229</v>
      </c>
      <c r="E35" s="136" t="s">
        <v>230</v>
      </c>
      <c r="F35" s="139" t="s">
        <v>176</v>
      </c>
      <c r="G35" s="139"/>
      <c r="H35" s="139" t="s">
        <v>177</v>
      </c>
      <c r="I35" s="139"/>
      <c r="J35" s="139">
        <v>3</v>
      </c>
      <c r="K35" s="139">
        <f>J35*12</f>
        <v>36</v>
      </c>
      <c r="L35" s="139">
        <f>36*J35</f>
        <v>108</v>
      </c>
      <c r="M35" s="139">
        <f>SUM(K35:L35)</f>
        <v>144</v>
      </c>
      <c r="N35" s="136" t="s">
        <v>231</v>
      </c>
      <c r="O35" s="136" t="s">
        <v>179</v>
      </c>
      <c r="P35" s="136" t="s">
        <v>202</v>
      </c>
      <c r="Q35" s="136" t="s">
        <v>186</v>
      </c>
    </row>
    <row r="36" spans="1:17" s="50" customFormat="1" ht="49.5" x14ac:dyDescent="0.35">
      <c r="A36" s="24" t="str">
        <f>_xlfn.XLOOKUP(B36,'Paso 3 Redacción RA '!I$3:I$12,'Paso 3 Redacción RA '!C$3:C$12,,0,1)</f>
        <v>Saberser</v>
      </c>
      <c r="B36" s="16" t="s">
        <v>93</v>
      </c>
      <c r="C36" s="140"/>
      <c r="D36" s="140"/>
      <c r="E36" s="137"/>
      <c r="F36" s="140"/>
      <c r="G36" s="140"/>
      <c r="H36" s="140"/>
      <c r="I36" s="140"/>
      <c r="J36" s="140"/>
      <c r="K36" s="140"/>
      <c r="L36" s="140"/>
      <c r="M36" s="140"/>
      <c r="N36" s="137"/>
      <c r="O36" s="137"/>
      <c r="P36" s="137"/>
      <c r="Q36" s="137"/>
    </row>
    <row r="37" spans="1:17" s="50" customFormat="1" ht="33.5" thickBot="1" x14ac:dyDescent="0.4">
      <c r="A37" s="98" t="str">
        <f>_xlfn.XLOOKUP(B37,'Paso 3 Redacción RA '!I$3:I$12,'Paso 3 Redacción RA '!C$3:C$12,,0,1)</f>
        <v>Saber</v>
      </c>
      <c r="B37" s="27" t="s">
        <v>98</v>
      </c>
      <c r="C37" s="141"/>
      <c r="D37" s="141"/>
      <c r="E37" s="138"/>
      <c r="F37" s="141"/>
      <c r="G37" s="141"/>
      <c r="H37" s="141"/>
      <c r="I37" s="141"/>
      <c r="J37" s="141"/>
      <c r="K37" s="141"/>
      <c r="L37" s="141"/>
      <c r="M37" s="141"/>
      <c r="N37" s="138"/>
      <c r="O37" s="138"/>
      <c r="P37" s="138"/>
      <c r="Q37" s="138"/>
    </row>
    <row r="38" spans="1:17" s="50" customFormat="1" ht="33" x14ac:dyDescent="0.35">
      <c r="A38" s="24" t="str">
        <f>_xlfn.XLOOKUP(B38,'Paso 3 Redacción RA '!I$3:I$12,'Paso 3 Redacción RA '!C$3:C$12,,0,1)</f>
        <v>Saber</v>
      </c>
      <c r="B38" s="16" t="s">
        <v>85</v>
      </c>
      <c r="C38" s="139">
        <v>3</v>
      </c>
      <c r="D38" s="139" t="s">
        <v>232</v>
      </c>
      <c r="E38" s="136" t="s">
        <v>233</v>
      </c>
      <c r="F38" s="139" t="s">
        <v>176</v>
      </c>
      <c r="G38" s="139"/>
      <c r="H38" s="139" t="s">
        <v>177</v>
      </c>
      <c r="I38" s="139"/>
      <c r="J38" s="139">
        <v>3</v>
      </c>
      <c r="K38" s="139">
        <f>J38*12</f>
        <v>36</v>
      </c>
      <c r="L38" s="139">
        <f>36*J38</f>
        <v>108</v>
      </c>
      <c r="M38" s="139">
        <f>SUM(K38:L38)</f>
        <v>144</v>
      </c>
      <c r="N38" s="136" t="s">
        <v>234</v>
      </c>
      <c r="O38" s="136" t="s">
        <v>179</v>
      </c>
      <c r="P38" s="136" t="s">
        <v>202</v>
      </c>
      <c r="Q38" s="136" t="s">
        <v>186</v>
      </c>
    </row>
    <row r="39" spans="1:17" s="50" customFormat="1" ht="49.5" x14ac:dyDescent="0.35">
      <c r="A39" s="24" t="str">
        <f>_xlfn.XLOOKUP(B39,'Paso 3 Redacción RA '!I$3:I$12,'Paso 3 Redacción RA '!C$3:C$12,,0,1)</f>
        <v>Saberser</v>
      </c>
      <c r="B39" s="16" t="s">
        <v>93</v>
      </c>
      <c r="C39" s="140"/>
      <c r="D39" s="140"/>
      <c r="E39" s="137"/>
      <c r="F39" s="140"/>
      <c r="G39" s="140"/>
      <c r="H39" s="140"/>
      <c r="I39" s="140"/>
      <c r="J39" s="140"/>
      <c r="K39" s="140"/>
      <c r="L39" s="140"/>
      <c r="M39" s="140"/>
      <c r="N39" s="137"/>
      <c r="O39" s="137"/>
      <c r="P39" s="137"/>
      <c r="Q39" s="137"/>
    </row>
    <row r="40" spans="1:17" s="50" customFormat="1" ht="33.5" thickBot="1" x14ac:dyDescent="0.4">
      <c r="A40" s="98" t="str">
        <f>_xlfn.XLOOKUP(B40,'Paso 3 Redacción RA '!I$3:I$12,'Paso 3 Redacción RA '!C$3:C$12,,0,1)</f>
        <v>Saber</v>
      </c>
      <c r="B40" s="27" t="s">
        <v>98</v>
      </c>
      <c r="C40" s="141"/>
      <c r="D40" s="141"/>
      <c r="E40" s="138"/>
      <c r="F40" s="141"/>
      <c r="G40" s="141"/>
      <c r="H40" s="141"/>
      <c r="I40" s="141"/>
      <c r="J40" s="141"/>
      <c r="K40" s="141"/>
      <c r="L40" s="141"/>
      <c r="M40" s="141"/>
      <c r="N40" s="138"/>
      <c r="O40" s="138"/>
      <c r="P40" s="138"/>
      <c r="Q40" s="138"/>
    </row>
    <row r="41" spans="1:17" s="50" customFormat="1" ht="33" x14ac:dyDescent="0.35">
      <c r="A41" s="24" t="str">
        <f>_xlfn.XLOOKUP(B41,'Paso 3 Redacción RA '!I$3:I$12,'Paso 3 Redacción RA '!C$3:C$12,,0,1)</f>
        <v>Saber</v>
      </c>
      <c r="B41" s="16" t="s">
        <v>85</v>
      </c>
      <c r="C41" s="139">
        <v>3</v>
      </c>
      <c r="D41" s="139" t="s">
        <v>235</v>
      </c>
      <c r="E41" s="136" t="s">
        <v>236</v>
      </c>
      <c r="F41" s="139" t="s">
        <v>176</v>
      </c>
      <c r="G41" s="139"/>
      <c r="H41" s="139" t="s">
        <v>177</v>
      </c>
      <c r="I41" s="139"/>
      <c r="J41" s="139">
        <v>3</v>
      </c>
      <c r="K41" s="139">
        <f>J41*12</f>
        <v>36</v>
      </c>
      <c r="L41" s="139">
        <f>36*J41</f>
        <v>108</v>
      </c>
      <c r="M41" s="139">
        <f>SUM(K41:L41)</f>
        <v>144</v>
      </c>
      <c r="N41" s="136" t="s">
        <v>237</v>
      </c>
      <c r="O41" s="136" t="s">
        <v>179</v>
      </c>
      <c r="P41" s="136" t="s">
        <v>202</v>
      </c>
      <c r="Q41" s="136" t="s">
        <v>186</v>
      </c>
    </row>
    <row r="42" spans="1:17" s="50" customFormat="1" ht="33" x14ac:dyDescent="0.35">
      <c r="A42" s="24" t="str">
        <f>_xlfn.XLOOKUP(B42,'Paso 3 Redacción RA '!I$3:I$12,'Paso 3 Redacción RA '!C$3:C$12,,0,1)</f>
        <v>Saber</v>
      </c>
      <c r="B42" s="16" t="s">
        <v>95</v>
      </c>
      <c r="C42" s="140"/>
      <c r="D42" s="140"/>
      <c r="E42" s="137"/>
      <c r="F42" s="140"/>
      <c r="G42" s="140"/>
      <c r="H42" s="140"/>
      <c r="I42" s="140"/>
      <c r="J42" s="140"/>
      <c r="K42" s="140"/>
      <c r="L42" s="140"/>
      <c r="M42" s="140"/>
      <c r="N42" s="137"/>
      <c r="O42" s="137"/>
      <c r="P42" s="137"/>
      <c r="Q42" s="137"/>
    </row>
    <row r="43" spans="1:17" s="50" customFormat="1" ht="50" thickBot="1" x14ac:dyDescent="0.4">
      <c r="A43" s="98" t="str">
        <f>_xlfn.XLOOKUP(B43,'Paso 3 Redacción RA '!I$3:I$12,'Paso 3 Redacción RA '!C$3:C$12,,0,1)</f>
        <v>Saberhacer</v>
      </c>
      <c r="B43" s="27" t="s">
        <v>97</v>
      </c>
      <c r="C43" s="141"/>
      <c r="D43" s="141"/>
      <c r="E43" s="138"/>
      <c r="F43" s="141"/>
      <c r="G43" s="141"/>
      <c r="H43" s="141"/>
      <c r="I43" s="141"/>
      <c r="J43" s="141"/>
      <c r="K43" s="141"/>
      <c r="L43" s="141"/>
      <c r="M43" s="141"/>
      <c r="N43" s="138"/>
      <c r="O43" s="138"/>
      <c r="P43" s="138"/>
      <c r="Q43" s="138"/>
    </row>
    <row r="44" spans="1:17" s="50" customFormat="1" ht="33" x14ac:dyDescent="0.35">
      <c r="A44" s="24" t="str">
        <f>_xlfn.XLOOKUP(B44,'Paso 3 Redacción RA '!I$3:I$12,'Paso 3 Redacción RA '!C$3:C$12,,0,1)</f>
        <v>Saber</v>
      </c>
      <c r="B44" s="16" t="s">
        <v>85</v>
      </c>
      <c r="C44" s="139">
        <v>3</v>
      </c>
      <c r="D44" s="139" t="s">
        <v>238</v>
      </c>
      <c r="E44" s="136" t="s">
        <v>239</v>
      </c>
      <c r="F44" s="139" t="s">
        <v>176</v>
      </c>
      <c r="G44" s="139"/>
      <c r="H44" s="139" t="s">
        <v>177</v>
      </c>
      <c r="I44" s="139"/>
      <c r="J44" s="139">
        <v>3</v>
      </c>
      <c r="K44" s="139">
        <f>J44*12</f>
        <v>36</v>
      </c>
      <c r="L44" s="139">
        <f>36*J44</f>
        <v>108</v>
      </c>
      <c r="M44" s="139">
        <f>SUM(K44:L44)</f>
        <v>144</v>
      </c>
      <c r="N44" s="136" t="s">
        <v>240</v>
      </c>
      <c r="O44" s="136" t="s">
        <v>179</v>
      </c>
      <c r="P44" s="136" t="s">
        <v>195</v>
      </c>
      <c r="Q44" s="136" t="s">
        <v>186</v>
      </c>
    </row>
    <row r="45" spans="1:17" s="50" customFormat="1" ht="33" x14ac:dyDescent="0.35">
      <c r="A45" s="24" t="str">
        <f>_xlfn.XLOOKUP(B45,'Paso 3 Redacción RA '!I$3:I$12,'Paso 3 Redacción RA '!C$3:C$12,,0,1)</f>
        <v>Saberhacer</v>
      </c>
      <c r="B45" s="16" t="s">
        <v>89</v>
      </c>
      <c r="C45" s="140"/>
      <c r="D45" s="140"/>
      <c r="E45" s="137"/>
      <c r="F45" s="140"/>
      <c r="G45" s="140"/>
      <c r="H45" s="140"/>
      <c r="I45" s="140"/>
      <c r="J45" s="140"/>
      <c r="K45" s="140"/>
      <c r="L45" s="140"/>
      <c r="M45" s="140"/>
      <c r="N45" s="137"/>
      <c r="O45" s="137"/>
      <c r="P45" s="137"/>
      <c r="Q45" s="137"/>
    </row>
    <row r="46" spans="1:17" s="50" customFormat="1" ht="33.5" thickBot="1" x14ac:dyDescent="0.4">
      <c r="A46" s="98" t="str">
        <f>_xlfn.XLOOKUP(B46,'Paso 3 Redacción RA '!I$3:I$12,'Paso 3 Redacción RA '!C$3:C$12,,0,1)</f>
        <v>Saber</v>
      </c>
      <c r="B46" s="27" t="s">
        <v>98</v>
      </c>
      <c r="C46" s="141"/>
      <c r="D46" s="141"/>
      <c r="E46" s="138"/>
      <c r="F46" s="141"/>
      <c r="G46" s="141"/>
      <c r="H46" s="141"/>
      <c r="I46" s="141"/>
      <c r="J46" s="141"/>
      <c r="K46" s="141"/>
      <c r="L46" s="141"/>
      <c r="M46" s="141"/>
      <c r="N46" s="138"/>
      <c r="O46" s="138"/>
      <c r="P46" s="138"/>
      <c r="Q46" s="138"/>
    </row>
    <row r="47" spans="1:17" s="50" customFormat="1" ht="347" thickBot="1" x14ac:dyDescent="0.4">
      <c r="A47" s="107" t="str">
        <f>_xlfn.XLOOKUP(B47,'Paso 3 Redacción RA '!I$3:I$12,'Paso 3 Redacción RA '!C$3:C$12,,0,1)</f>
        <v>Saber</v>
      </c>
      <c r="B47" s="95" t="s">
        <v>103</v>
      </c>
      <c r="C47" s="78">
        <v>4</v>
      </c>
      <c r="D47" s="74" t="s">
        <v>241</v>
      </c>
      <c r="E47" s="73" t="s">
        <v>242</v>
      </c>
      <c r="F47" s="74" t="s">
        <v>176</v>
      </c>
      <c r="G47" s="79" t="s">
        <v>177</v>
      </c>
      <c r="H47" s="79"/>
      <c r="I47" s="79"/>
      <c r="J47" s="75">
        <v>3</v>
      </c>
      <c r="K47" s="74">
        <f>12*J47</f>
        <v>36</v>
      </c>
      <c r="L47" s="74">
        <f>36*J47</f>
        <v>108</v>
      </c>
      <c r="M47" s="79">
        <f>SUM(K47:L47)</f>
        <v>144</v>
      </c>
      <c r="N47" s="80" t="s">
        <v>243</v>
      </c>
      <c r="O47" s="101" t="s">
        <v>179</v>
      </c>
      <c r="P47" s="101" t="s">
        <v>244</v>
      </c>
      <c r="Q47" s="81" t="s">
        <v>186</v>
      </c>
    </row>
    <row r="48" spans="1:17" s="50" customFormat="1" ht="49.5" x14ac:dyDescent="0.35">
      <c r="A48" s="24" t="str">
        <f>_xlfn.XLOOKUP(B48,'Paso 3 Redacción RA '!I$3:I$12,'Paso 3 Redacción RA '!C$3:C$12,,0,1)</f>
        <v>Saberser</v>
      </c>
      <c r="B48" s="16" t="s">
        <v>93</v>
      </c>
      <c r="C48" s="139">
        <v>4</v>
      </c>
      <c r="D48" s="139" t="s">
        <v>245</v>
      </c>
      <c r="E48" s="136" t="s">
        <v>246</v>
      </c>
      <c r="F48" s="139" t="s">
        <v>176</v>
      </c>
      <c r="G48" s="139"/>
      <c r="H48" s="139" t="s">
        <v>177</v>
      </c>
      <c r="I48" s="139"/>
      <c r="J48" s="139">
        <v>3</v>
      </c>
      <c r="K48" s="139">
        <f>J48*12</f>
        <v>36</v>
      </c>
      <c r="L48" s="139">
        <f>36*J48</f>
        <v>108</v>
      </c>
      <c r="M48" s="139">
        <f>SUM(K48:L48)</f>
        <v>144</v>
      </c>
      <c r="N48" s="136" t="s">
        <v>247</v>
      </c>
      <c r="O48" s="136" t="s">
        <v>179</v>
      </c>
      <c r="P48" s="136" t="s">
        <v>195</v>
      </c>
      <c r="Q48" s="136" t="s">
        <v>186</v>
      </c>
    </row>
    <row r="49" spans="1:17" s="50" customFormat="1" ht="49.5" x14ac:dyDescent="0.35">
      <c r="A49" s="24" t="str">
        <f>_xlfn.XLOOKUP(B49,'Paso 3 Redacción RA '!I$3:I$12,'Paso 3 Redacción RA '!C$3:C$12,,0,1)</f>
        <v>Saberhacer</v>
      </c>
      <c r="B49" s="16" t="s">
        <v>97</v>
      </c>
      <c r="C49" s="140"/>
      <c r="D49" s="140"/>
      <c r="E49" s="137"/>
      <c r="F49" s="140"/>
      <c r="G49" s="140"/>
      <c r="H49" s="140"/>
      <c r="I49" s="140"/>
      <c r="J49" s="140"/>
      <c r="K49" s="140"/>
      <c r="L49" s="140"/>
      <c r="M49" s="140"/>
      <c r="N49" s="137"/>
      <c r="O49" s="137"/>
      <c r="P49" s="137"/>
      <c r="Q49" s="137"/>
    </row>
    <row r="50" spans="1:17" s="50" customFormat="1" ht="33.5" thickBot="1" x14ac:dyDescent="0.4">
      <c r="A50" s="98" t="str">
        <f>_xlfn.XLOOKUP(B50,'Paso 3 Redacción RA '!I$3:I$12,'Paso 3 Redacción RA '!C$3:C$12,,0,1)</f>
        <v>Saber</v>
      </c>
      <c r="B50" s="27" t="s">
        <v>98</v>
      </c>
      <c r="C50" s="141"/>
      <c r="D50" s="141"/>
      <c r="E50" s="138"/>
      <c r="F50" s="141"/>
      <c r="G50" s="141"/>
      <c r="H50" s="141"/>
      <c r="I50" s="141"/>
      <c r="J50" s="141"/>
      <c r="K50" s="141"/>
      <c r="L50" s="141"/>
      <c r="M50" s="141"/>
      <c r="N50" s="138"/>
      <c r="O50" s="138"/>
      <c r="P50" s="138"/>
      <c r="Q50" s="138"/>
    </row>
    <row r="51" spans="1:17" s="50" customFormat="1" ht="34.5" customHeight="1" x14ac:dyDescent="0.35">
      <c r="A51" s="24" t="str">
        <f>_xlfn.XLOOKUP(B51,'Paso 3 Redacción RA '!I$3:I$12,'Paso 3 Redacción RA '!C$3:C$12,,0,1)</f>
        <v>Saber</v>
      </c>
      <c r="B51" s="16" t="s">
        <v>85</v>
      </c>
      <c r="C51" s="139">
        <v>4</v>
      </c>
      <c r="D51" s="139" t="s">
        <v>248</v>
      </c>
      <c r="E51" s="148" t="s">
        <v>249</v>
      </c>
      <c r="F51" s="139" t="s">
        <v>176</v>
      </c>
      <c r="G51" s="139"/>
      <c r="H51" s="139" t="s">
        <v>177</v>
      </c>
      <c r="I51" s="139"/>
      <c r="J51" s="139">
        <v>3</v>
      </c>
      <c r="K51" s="139">
        <f>J51*12</f>
        <v>36</v>
      </c>
      <c r="L51" s="139">
        <f>36*J51</f>
        <v>108</v>
      </c>
      <c r="M51" s="139">
        <f>SUM(K51:L51)</f>
        <v>144</v>
      </c>
      <c r="N51" s="136" t="s">
        <v>250</v>
      </c>
      <c r="O51" s="136" t="s">
        <v>179</v>
      </c>
      <c r="P51" s="136" t="s">
        <v>195</v>
      </c>
      <c r="Q51" s="136" t="s">
        <v>186</v>
      </c>
    </row>
    <row r="52" spans="1:17" s="50" customFormat="1" ht="33" x14ac:dyDescent="0.35">
      <c r="A52" s="24" t="str">
        <f>_xlfn.XLOOKUP(B52,'Paso 3 Redacción RA '!I$3:I$12,'Paso 3 Redacción RA '!C$3:C$12,,0,1)</f>
        <v>Saberhacer</v>
      </c>
      <c r="B52" s="16" t="s">
        <v>89</v>
      </c>
      <c r="C52" s="140"/>
      <c r="D52" s="140"/>
      <c r="E52" s="149"/>
      <c r="F52" s="140"/>
      <c r="G52" s="140"/>
      <c r="H52" s="140"/>
      <c r="I52" s="140"/>
      <c r="J52" s="140"/>
      <c r="K52" s="140"/>
      <c r="L52" s="140"/>
      <c r="M52" s="140"/>
      <c r="N52" s="137"/>
      <c r="O52" s="137"/>
      <c r="P52" s="137"/>
      <c r="Q52" s="137"/>
    </row>
    <row r="53" spans="1:17" s="50" customFormat="1" ht="82.5" customHeight="1" thickBot="1" x14ac:dyDescent="0.4">
      <c r="A53" s="98" t="str">
        <f>_xlfn.XLOOKUP(B53,'Paso 3 Redacción RA '!I$3:I$12,'Paso 3 Redacción RA '!C$3:C$12,,0,1)</f>
        <v>Saber</v>
      </c>
      <c r="B53" s="27" t="s">
        <v>98</v>
      </c>
      <c r="C53" s="141"/>
      <c r="D53" s="141"/>
      <c r="E53" s="150"/>
      <c r="F53" s="141"/>
      <c r="G53" s="141"/>
      <c r="H53" s="141"/>
      <c r="I53" s="141"/>
      <c r="J53" s="141"/>
      <c r="K53" s="141"/>
      <c r="L53" s="141"/>
      <c r="M53" s="141"/>
      <c r="N53" s="138"/>
      <c r="O53" s="138"/>
      <c r="P53" s="138"/>
      <c r="Q53" s="138"/>
    </row>
    <row r="54" spans="1:17" s="50" customFormat="1" ht="33" x14ac:dyDescent="0.35">
      <c r="A54" s="24" t="str">
        <f>_xlfn.XLOOKUP(B54,'Paso 3 Redacción RA '!I$3:I$12,'Paso 3 Redacción RA '!C$3:C$12,,0,1)</f>
        <v>Saberhacer</v>
      </c>
      <c r="B54" s="16" t="s">
        <v>89</v>
      </c>
      <c r="C54" s="139">
        <v>4</v>
      </c>
      <c r="D54" s="139" t="s">
        <v>251</v>
      </c>
      <c r="E54" s="136" t="s">
        <v>252</v>
      </c>
      <c r="F54" s="139" t="s">
        <v>176</v>
      </c>
      <c r="G54" s="139"/>
      <c r="H54" s="139" t="s">
        <v>177</v>
      </c>
      <c r="I54" s="139"/>
      <c r="J54" s="139">
        <v>3</v>
      </c>
      <c r="K54" s="139">
        <f>J54*12</f>
        <v>36</v>
      </c>
      <c r="L54" s="139">
        <f>36*J54</f>
        <v>108</v>
      </c>
      <c r="M54" s="139">
        <f>SUM(K54:L54)</f>
        <v>144</v>
      </c>
      <c r="N54" s="136" t="s">
        <v>253</v>
      </c>
      <c r="O54" s="136" t="s">
        <v>179</v>
      </c>
      <c r="P54" s="136" t="s">
        <v>202</v>
      </c>
      <c r="Q54" s="136" t="s">
        <v>186</v>
      </c>
    </row>
    <row r="55" spans="1:17" s="50" customFormat="1" ht="33" x14ac:dyDescent="0.35">
      <c r="A55" s="24" t="str">
        <f>_xlfn.XLOOKUP(B55,'Paso 3 Redacción RA '!I$3:I$12,'Paso 3 Redacción RA '!C$3:C$12,,0,1)</f>
        <v>Saber</v>
      </c>
      <c r="B55" s="16" t="s">
        <v>95</v>
      </c>
      <c r="C55" s="140"/>
      <c r="D55" s="140"/>
      <c r="E55" s="137"/>
      <c r="F55" s="140"/>
      <c r="G55" s="140"/>
      <c r="H55" s="140"/>
      <c r="I55" s="140"/>
      <c r="J55" s="140"/>
      <c r="K55" s="140"/>
      <c r="L55" s="140"/>
      <c r="M55" s="140"/>
      <c r="N55" s="137"/>
      <c r="O55" s="137"/>
      <c r="P55" s="137"/>
      <c r="Q55" s="137"/>
    </row>
    <row r="56" spans="1:17" s="50" customFormat="1" ht="50" thickBot="1" x14ac:dyDescent="0.4">
      <c r="A56" s="98" t="str">
        <f>_xlfn.XLOOKUP(B56,'Paso 3 Redacción RA '!I$3:I$12,'Paso 3 Redacción RA '!C$3:C$12,,0,1)</f>
        <v>Saberhacer</v>
      </c>
      <c r="B56" s="27" t="s">
        <v>97</v>
      </c>
      <c r="C56" s="141"/>
      <c r="D56" s="141"/>
      <c r="E56" s="138"/>
      <c r="F56" s="141"/>
      <c r="G56" s="141"/>
      <c r="H56" s="141"/>
      <c r="I56" s="141"/>
      <c r="J56" s="141"/>
      <c r="K56" s="141"/>
      <c r="L56" s="141"/>
      <c r="M56" s="141"/>
      <c r="N56" s="138"/>
      <c r="O56" s="138"/>
      <c r="P56" s="138"/>
      <c r="Q56" s="138"/>
    </row>
    <row r="57" spans="1:17" s="50" customFormat="1" ht="33" x14ac:dyDescent="0.35">
      <c r="A57" s="24" t="str">
        <f>_xlfn.XLOOKUP(B57,'Paso 3 Redacción RA '!I$3:I$12,'Paso 3 Redacción RA '!C$3:C$12,,0,1)</f>
        <v>Saber</v>
      </c>
      <c r="B57" s="16" t="s">
        <v>85</v>
      </c>
      <c r="C57" s="139">
        <v>4</v>
      </c>
      <c r="D57" s="139" t="s">
        <v>254</v>
      </c>
      <c r="E57" s="136" t="s">
        <v>255</v>
      </c>
      <c r="F57" s="139" t="s">
        <v>176</v>
      </c>
      <c r="G57" s="139"/>
      <c r="H57" s="139" t="s">
        <v>177</v>
      </c>
      <c r="I57" s="139"/>
      <c r="J57" s="139">
        <v>3</v>
      </c>
      <c r="K57" s="139">
        <f>J57*12</f>
        <v>36</v>
      </c>
      <c r="L57" s="139">
        <f>36*J57</f>
        <v>108</v>
      </c>
      <c r="M57" s="139">
        <f>SUM(K57:L57)</f>
        <v>144</v>
      </c>
      <c r="N57" s="136" t="s">
        <v>256</v>
      </c>
      <c r="O57" s="136" t="s">
        <v>179</v>
      </c>
      <c r="P57" s="136" t="s">
        <v>195</v>
      </c>
      <c r="Q57" s="136" t="s">
        <v>186</v>
      </c>
    </row>
    <row r="58" spans="1:17" s="50" customFormat="1" ht="49.5" x14ac:dyDescent="0.35">
      <c r="A58" s="24" t="str">
        <f>_xlfn.XLOOKUP(B58,'Paso 3 Redacción RA '!I$3:I$12,'Paso 3 Redacción RA '!C$3:C$12,,0,1)</f>
        <v>Saberser</v>
      </c>
      <c r="B58" s="16" t="s">
        <v>93</v>
      </c>
      <c r="C58" s="140"/>
      <c r="D58" s="140"/>
      <c r="E58" s="137"/>
      <c r="F58" s="140"/>
      <c r="G58" s="140"/>
      <c r="H58" s="140"/>
      <c r="I58" s="140"/>
      <c r="J58" s="140"/>
      <c r="K58" s="140"/>
      <c r="L58" s="140"/>
      <c r="M58" s="140"/>
      <c r="N58" s="137"/>
      <c r="O58" s="137"/>
      <c r="P58" s="137"/>
      <c r="Q58" s="137"/>
    </row>
    <row r="59" spans="1:17" s="50" customFormat="1" ht="33.5" thickBot="1" x14ac:dyDescent="0.4">
      <c r="A59" s="98" t="str">
        <f>_xlfn.XLOOKUP(B59,'Paso 3 Redacción RA '!I$3:I$12,'Paso 3 Redacción RA '!C$3:C$12,,0,1)</f>
        <v>Saber</v>
      </c>
      <c r="B59" s="27" t="s">
        <v>98</v>
      </c>
      <c r="C59" s="141"/>
      <c r="D59" s="141"/>
      <c r="E59" s="138"/>
      <c r="F59" s="141"/>
      <c r="G59" s="141"/>
      <c r="H59" s="141"/>
      <c r="I59" s="141"/>
      <c r="J59" s="141"/>
      <c r="K59" s="141"/>
      <c r="L59" s="141"/>
      <c r="M59" s="141"/>
      <c r="N59" s="138"/>
      <c r="O59" s="138"/>
      <c r="P59" s="138"/>
      <c r="Q59" s="138"/>
    </row>
    <row r="60" spans="1:17" s="50" customFormat="1" ht="33" x14ac:dyDescent="0.35">
      <c r="A60" s="24" t="str">
        <f>_xlfn.XLOOKUP(B60,'Paso 3 Redacción RA '!I$3:I$12,'Paso 3 Redacción RA '!C$3:C$12,,0,1)</f>
        <v>Saber</v>
      </c>
      <c r="B60" s="16" t="s">
        <v>85</v>
      </c>
      <c r="C60" s="139">
        <v>4</v>
      </c>
      <c r="D60" s="139" t="s">
        <v>257</v>
      </c>
      <c r="E60" s="136" t="s">
        <v>258</v>
      </c>
      <c r="F60" s="139" t="s">
        <v>176</v>
      </c>
      <c r="G60" s="139"/>
      <c r="H60" s="139" t="s">
        <v>177</v>
      </c>
      <c r="I60" s="139"/>
      <c r="J60" s="139">
        <v>3</v>
      </c>
      <c r="K60" s="139">
        <f>J60*12</f>
        <v>36</v>
      </c>
      <c r="L60" s="139">
        <f>36*J60</f>
        <v>108</v>
      </c>
      <c r="M60" s="139">
        <f>SUM(K60:L60)</f>
        <v>144</v>
      </c>
      <c r="N60" s="136" t="s">
        <v>259</v>
      </c>
      <c r="O60" s="136" t="s">
        <v>179</v>
      </c>
      <c r="P60" s="136" t="s">
        <v>202</v>
      </c>
      <c r="Q60" s="136" t="s">
        <v>186</v>
      </c>
    </row>
    <row r="61" spans="1:17" s="50" customFormat="1" ht="33" x14ac:dyDescent="0.35">
      <c r="A61" s="24" t="str">
        <f>_xlfn.XLOOKUP(B61,'Paso 3 Redacción RA '!I$3:I$12,'Paso 3 Redacción RA '!C$3:C$12,,0,1)</f>
        <v>Saberhacer</v>
      </c>
      <c r="B61" s="16" t="s">
        <v>89</v>
      </c>
      <c r="C61" s="140"/>
      <c r="D61" s="140"/>
      <c r="E61" s="137"/>
      <c r="F61" s="140"/>
      <c r="G61" s="140"/>
      <c r="H61" s="140"/>
      <c r="I61" s="140"/>
      <c r="J61" s="140"/>
      <c r="K61" s="140"/>
      <c r="L61" s="140"/>
      <c r="M61" s="140"/>
      <c r="N61" s="137"/>
      <c r="O61" s="137"/>
      <c r="P61" s="137"/>
      <c r="Q61" s="137"/>
    </row>
    <row r="62" spans="1:17" s="50" customFormat="1" ht="33.5" thickBot="1" x14ac:dyDescent="0.4">
      <c r="A62" s="98" t="str">
        <f>_xlfn.XLOOKUP(B62,'Paso 3 Redacción RA '!I$3:I$12,'Paso 3 Redacción RA '!C$3:C$12,,0,1)</f>
        <v>Saber</v>
      </c>
      <c r="B62" s="27" t="s">
        <v>98</v>
      </c>
      <c r="C62" s="141"/>
      <c r="D62" s="141"/>
      <c r="E62" s="138"/>
      <c r="F62" s="141"/>
      <c r="G62" s="141"/>
      <c r="H62" s="141"/>
      <c r="I62" s="141"/>
      <c r="J62" s="141"/>
      <c r="K62" s="141"/>
      <c r="L62" s="141"/>
      <c r="M62" s="141"/>
      <c r="N62" s="138"/>
      <c r="O62" s="138"/>
      <c r="P62" s="138"/>
      <c r="Q62" s="138"/>
    </row>
    <row r="63" spans="1:17" s="50" customFormat="1" ht="33" x14ac:dyDescent="0.35">
      <c r="A63" s="24" t="str">
        <f>_xlfn.XLOOKUP(B63,'Paso 3 Redacción RA '!I$3:I$12,'Paso 3 Redacción RA '!C$3:C$12,,0,1)</f>
        <v>Saber</v>
      </c>
      <c r="B63" s="16" t="s">
        <v>85</v>
      </c>
      <c r="C63" s="139">
        <v>5</v>
      </c>
      <c r="D63" s="139" t="s">
        <v>260</v>
      </c>
      <c r="E63" s="136" t="s">
        <v>239</v>
      </c>
      <c r="F63" s="139" t="s">
        <v>176</v>
      </c>
      <c r="G63" s="139"/>
      <c r="H63" s="139" t="s">
        <v>177</v>
      </c>
      <c r="I63" s="139"/>
      <c r="J63" s="139">
        <v>3</v>
      </c>
      <c r="K63" s="139">
        <f>J63*12</f>
        <v>36</v>
      </c>
      <c r="L63" s="139">
        <f>36*J63</f>
        <v>108</v>
      </c>
      <c r="M63" s="139">
        <f>SUM(K63:L63)</f>
        <v>144</v>
      </c>
      <c r="N63" s="136" t="s">
        <v>261</v>
      </c>
      <c r="O63" s="136" t="s">
        <v>179</v>
      </c>
      <c r="P63" s="136" t="s">
        <v>195</v>
      </c>
      <c r="Q63" s="136" t="s">
        <v>186</v>
      </c>
    </row>
    <row r="64" spans="1:17" s="50" customFormat="1" ht="49.5" x14ac:dyDescent="0.35">
      <c r="A64" s="24" t="str">
        <f>_xlfn.XLOOKUP(B64,'Paso 3 Redacción RA '!I$3:I$12,'Paso 3 Redacción RA '!C$3:C$12,,0,1)</f>
        <v>Saberser</v>
      </c>
      <c r="B64" s="16" t="s">
        <v>93</v>
      </c>
      <c r="C64" s="140"/>
      <c r="D64" s="140"/>
      <c r="E64" s="137"/>
      <c r="F64" s="140"/>
      <c r="G64" s="140"/>
      <c r="H64" s="140"/>
      <c r="I64" s="140"/>
      <c r="J64" s="140"/>
      <c r="K64" s="140"/>
      <c r="L64" s="140"/>
      <c r="M64" s="140"/>
      <c r="N64" s="137"/>
      <c r="O64" s="137"/>
      <c r="P64" s="137"/>
      <c r="Q64" s="137"/>
    </row>
    <row r="65" spans="1:17" s="50" customFormat="1" ht="33" x14ac:dyDescent="0.35">
      <c r="A65" s="98" t="str">
        <f>_xlfn.XLOOKUP(B65,'Paso 3 Redacción RA '!I$3:I$12,'Paso 3 Redacción RA '!C$3:C$12,,0,1)</f>
        <v>Saberhacer</v>
      </c>
      <c r="B65" s="27" t="s">
        <v>89</v>
      </c>
      <c r="C65" s="141"/>
      <c r="D65" s="141"/>
      <c r="E65" s="138"/>
      <c r="F65" s="141"/>
      <c r="G65" s="141"/>
      <c r="H65" s="141"/>
      <c r="I65" s="141"/>
      <c r="J65" s="141"/>
      <c r="K65" s="141"/>
      <c r="L65" s="141"/>
      <c r="M65" s="142"/>
      <c r="N65" s="138"/>
      <c r="O65" s="138"/>
      <c r="P65" s="138"/>
      <c r="Q65" s="138"/>
    </row>
    <row r="66" spans="1:17" s="50" customFormat="1" ht="34.5" customHeight="1" x14ac:dyDescent="0.35">
      <c r="A66" s="24" t="str">
        <f>_xlfn.XLOOKUP(B66,'Paso 3 Redacción RA '!I$3:I$12,'Paso 3 Redacción RA '!C$3:C$12,,0,1)</f>
        <v>Saber</v>
      </c>
      <c r="B66" s="16" t="s">
        <v>85</v>
      </c>
      <c r="C66" s="139">
        <v>5</v>
      </c>
      <c r="D66" s="139" t="s">
        <v>262</v>
      </c>
      <c r="E66" s="136" t="s">
        <v>263</v>
      </c>
      <c r="F66" s="139" t="s">
        <v>176</v>
      </c>
      <c r="G66" s="139"/>
      <c r="H66" s="139" t="s">
        <v>177</v>
      </c>
      <c r="I66" s="139"/>
      <c r="J66" s="139">
        <v>4</v>
      </c>
      <c r="K66" s="139">
        <f>J66*12</f>
        <v>48</v>
      </c>
      <c r="L66" s="139">
        <f>36*J66</f>
        <v>144</v>
      </c>
      <c r="M66" s="140">
        <f>SUM(K66:L66)</f>
        <v>192</v>
      </c>
      <c r="N66" s="136" t="s">
        <v>264</v>
      </c>
      <c r="O66" s="136" t="s">
        <v>179</v>
      </c>
      <c r="P66" s="136" t="s">
        <v>195</v>
      </c>
      <c r="Q66" s="136" t="s">
        <v>186</v>
      </c>
    </row>
    <row r="67" spans="1:17" s="50" customFormat="1" ht="33" x14ac:dyDescent="0.35">
      <c r="A67" s="24" t="str">
        <f>_xlfn.XLOOKUP(B67,'Paso 3 Redacción RA '!I$3:I$12,'Paso 3 Redacción RA '!C$3:C$12,,0,1)</f>
        <v>Saberhacer</v>
      </c>
      <c r="B67" s="16" t="s">
        <v>89</v>
      </c>
      <c r="C67" s="140"/>
      <c r="D67" s="140"/>
      <c r="E67" s="137"/>
      <c r="F67" s="140"/>
      <c r="G67" s="140"/>
      <c r="H67" s="140"/>
      <c r="I67" s="140"/>
      <c r="J67" s="140"/>
      <c r="K67" s="140"/>
      <c r="L67" s="140"/>
      <c r="M67" s="140"/>
      <c r="N67" s="137"/>
      <c r="O67" s="137"/>
      <c r="P67" s="137"/>
      <c r="Q67" s="137"/>
    </row>
    <row r="68" spans="1:17" s="50" customFormat="1" ht="33.5" thickBot="1" x14ac:dyDescent="0.4">
      <c r="A68" s="98" t="str">
        <f>_xlfn.XLOOKUP(B68,'Paso 3 Redacción RA '!I$3:I$12,'Paso 3 Redacción RA '!C$3:C$12,,0,1)</f>
        <v>Saber</v>
      </c>
      <c r="B68" s="27" t="s">
        <v>95</v>
      </c>
      <c r="C68" s="141"/>
      <c r="D68" s="141"/>
      <c r="E68" s="138"/>
      <c r="F68" s="141"/>
      <c r="G68" s="141"/>
      <c r="H68" s="141"/>
      <c r="I68" s="141"/>
      <c r="J68" s="141"/>
      <c r="K68" s="141"/>
      <c r="L68" s="141"/>
      <c r="M68" s="141"/>
      <c r="N68" s="138"/>
      <c r="O68" s="138"/>
      <c r="P68" s="138"/>
      <c r="Q68" s="138"/>
    </row>
    <row r="69" spans="1:17" s="50" customFormat="1" ht="33" x14ac:dyDescent="0.35">
      <c r="A69" s="24" t="str">
        <f>_xlfn.XLOOKUP(B69,'Paso 3 Redacción RA '!I$3:I$12,'Paso 3 Redacción RA '!C$3:C$12,,0,1)</f>
        <v>Saberhacer</v>
      </c>
      <c r="B69" s="16" t="s">
        <v>89</v>
      </c>
      <c r="C69" s="139">
        <v>5</v>
      </c>
      <c r="D69" s="139" t="s">
        <v>265</v>
      </c>
      <c r="E69" s="136" t="s">
        <v>266</v>
      </c>
      <c r="F69" s="139" t="s">
        <v>176</v>
      </c>
      <c r="G69" s="139"/>
      <c r="H69" s="139" t="s">
        <v>177</v>
      </c>
      <c r="I69" s="139"/>
      <c r="J69" s="139">
        <v>3</v>
      </c>
      <c r="K69" s="139">
        <f>J69*12</f>
        <v>36</v>
      </c>
      <c r="L69" s="139">
        <f>36*J69</f>
        <v>108</v>
      </c>
      <c r="M69" s="139">
        <f>SUM(K69:L69)</f>
        <v>144</v>
      </c>
      <c r="N69" s="136" t="s">
        <v>267</v>
      </c>
      <c r="O69" s="136" t="s">
        <v>179</v>
      </c>
      <c r="P69" s="136" t="s">
        <v>202</v>
      </c>
      <c r="Q69" s="136" t="s">
        <v>186</v>
      </c>
    </row>
    <row r="70" spans="1:17" s="50" customFormat="1" ht="49.5" x14ac:dyDescent="0.35">
      <c r="A70" s="24" t="str">
        <f>_xlfn.XLOOKUP(B70,'Paso 3 Redacción RA '!I$3:I$12,'Paso 3 Redacción RA '!C$3:C$12,,0,1)</f>
        <v>Saberser</v>
      </c>
      <c r="B70" s="16" t="s">
        <v>93</v>
      </c>
      <c r="C70" s="140"/>
      <c r="D70" s="140"/>
      <c r="E70" s="137"/>
      <c r="F70" s="140"/>
      <c r="G70" s="140"/>
      <c r="H70" s="140"/>
      <c r="I70" s="140"/>
      <c r="J70" s="140"/>
      <c r="K70" s="140"/>
      <c r="L70" s="140"/>
      <c r="M70" s="140"/>
      <c r="N70" s="137"/>
      <c r="O70" s="137"/>
      <c r="P70" s="137"/>
      <c r="Q70" s="137"/>
    </row>
    <row r="71" spans="1:17" s="50" customFormat="1" ht="50" thickBot="1" x14ac:dyDescent="0.4">
      <c r="A71" s="98" t="str">
        <f>_xlfn.XLOOKUP(B71,'Paso 3 Redacción RA '!I$3:I$12,'Paso 3 Redacción RA '!C$3:C$12,,0,1)</f>
        <v>Saberhacer</v>
      </c>
      <c r="B71" s="27" t="s">
        <v>97</v>
      </c>
      <c r="C71" s="141"/>
      <c r="D71" s="141"/>
      <c r="E71" s="147"/>
      <c r="F71" s="141"/>
      <c r="G71" s="141"/>
      <c r="H71" s="141"/>
      <c r="I71" s="141"/>
      <c r="J71" s="141"/>
      <c r="K71" s="141"/>
      <c r="L71" s="141"/>
      <c r="M71" s="141"/>
      <c r="N71" s="138"/>
      <c r="O71" s="138"/>
      <c r="P71" s="138"/>
      <c r="Q71" s="138"/>
    </row>
    <row r="72" spans="1:17" s="50" customFormat="1" ht="33" x14ac:dyDescent="0.35">
      <c r="A72" s="24" t="str">
        <f>_xlfn.XLOOKUP(B72,'Paso 3 Redacción RA '!I$3:I$12,'Paso 3 Redacción RA '!C$3:C$12,,0,1)</f>
        <v>Saber</v>
      </c>
      <c r="B72" s="16" t="s">
        <v>85</v>
      </c>
      <c r="C72" s="139">
        <v>5</v>
      </c>
      <c r="D72" s="139" t="s">
        <v>268</v>
      </c>
      <c r="E72" s="137" t="s">
        <v>269</v>
      </c>
      <c r="F72" s="139" t="s">
        <v>176</v>
      </c>
      <c r="G72" s="139"/>
      <c r="H72" s="139" t="s">
        <v>177</v>
      </c>
      <c r="I72" s="139"/>
      <c r="J72" s="139">
        <v>3</v>
      </c>
      <c r="K72" s="139">
        <f>J72*12</f>
        <v>36</v>
      </c>
      <c r="L72" s="139">
        <f>36*J72</f>
        <v>108</v>
      </c>
      <c r="M72" s="139">
        <f>SUM(K72:L72)</f>
        <v>144</v>
      </c>
      <c r="N72" s="136" t="s">
        <v>270</v>
      </c>
      <c r="O72" s="136" t="s">
        <v>179</v>
      </c>
      <c r="P72" s="136" t="s">
        <v>202</v>
      </c>
      <c r="Q72" s="136" t="s">
        <v>186</v>
      </c>
    </row>
    <row r="73" spans="1:17" s="50" customFormat="1" ht="49.5" x14ac:dyDescent="0.35">
      <c r="A73" s="24" t="str">
        <f>_xlfn.XLOOKUP(B73,'Paso 3 Redacción RA '!I$3:I$12,'Paso 3 Redacción RA '!C$3:C$12,,0,1)</f>
        <v>Saberser</v>
      </c>
      <c r="B73" s="16" t="s">
        <v>93</v>
      </c>
      <c r="C73" s="140"/>
      <c r="D73" s="140"/>
      <c r="E73" s="137"/>
      <c r="F73" s="140"/>
      <c r="G73" s="140"/>
      <c r="H73" s="140"/>
      <c r="I73" s="140"/>
      <c r="J73" s="140"/>
      <c r="K73" s="140"/>
      <c r="L73" s="140"/>
      <c r="M73" s="140"/>
      <c r="N73" s="137"/>
      <c r="O73" s="137"/>
      <c r="P73" s="137"/>
      <c r="Q73" s="137"/>
    </row>
    <row r="74" spans="1:17" s="50" customFormat="1" ht="33.5" thickBot="1" x14ac:dyDescent="0.4">
      <c r="A74" s="98" t="str">
        <f>_xlfn.XLOOKUP(B74,'Paso 3 Redacción RA '!I$3:I$12,'Paso 3 Redacción RA '!C$3:C$12,,0,1)</f>
        <v>Saber</v>
      </c>
      <c r="B74" s="27" t="s">
        <v>98</v>
      </c>
      <c r="C74" s="141"/>
      <c r="D74" s="141"/>
      <c r="E74" s="147"/>
      <c r="F74" s="141"/>
      <c r="G74" s="142"/>
      <c r="H74" s="142"/>
      <c r="I74" s="142"/>
      <c r="J74" s="142"/>
      <c r="K74" s="141"/>
      <c r="L74" s="141"/>
      <c r="M74" s="142"/>
      <c r="N74" s="147"/>
      <c r="O74" s="138"/>
      <c r="P74" s="138"/>
      <c r="Q74" s="138"/>
    </row>
    <row r="75" spans="1:17" s="50" customFormat="1" ht="33" x14ac:dyDescent="0.35">
      <c r="A75" s="24" t="str">
        <f>_xlfn.XLOOKUP(B75,'Paso 3 Redacción RA '!I$3:I$12,'Paso 3 Redacción RA '!C$3:C$12,,0,1)</f>
        <v>Saberhacer</v>
      </c>
      <c r="B75" s="16" t="s">
        <v>89</v>
      </c>
      <c r="C75" s="139">
        <v>5</v>
      </c>
      <c r="D75" s="139" t="s">
        <v>271</v>
      </c>
      <c r="E75" s="137" t="s">
        <v>272</v>
      </c>
      <c r="F75" s="139" t="s">
        <v>176</v>
      </c>
      <c r="G75" s="140"/>
      <c r="H75" s="140" t="s">
        <v>177</v>
      </c>
      <c r="I75" s="140"/>
      <c r="J75" s="140">
        <v>3</v>
      </c>
      <c r="K75" s="139">
        <f>J75*12</f>
        <v>36</v>
      </c>
      <c r="L75" s="139">
        <f>36*J75</f>
        <v>108</v>
      </c>
      <c r="M75" s="140">
        <f>SUM(K75:L75)</f>
        <v>144</v>
      </c>
      <c r="N75" s="137" t="s">
        <v>273</v>
      </c>
      <c r="O75" s="136" t="s">
        <v>179</v>
      </c>
      <c r="P75" s="136" t="s">
        <v>202</v>
      </c>
      <c r="Q75" s="136" t="s">
        <v>186</v>
      </c>
    </row>
    <row r="76" spans="1:17" s="50" customFormat="1" ht="33" x14ac:dyDescent="0.35">
      <c r="A76" s="24" t="str">
        <f>_xlfn.XLOOKUP(B76,'Paso 3 Redacción RA '!I$3:I$12,'Paso 3 Redacción RA '!C$3:C$12,,0,1)</f>
        <v>Saber</v>
      </c>
      <c r="B76" s="16" t="s">
        <v>95</v>
      </c>
      <c r="C76" s="140"/>
      <c r="D76" s="140"/>
      <c r="E76" s="137"/>
      <c r="F76" s="140"/>
      <c r="G76" s="140"/>
      <c r="H76" s="140"/>
      <c r="I76" s="140"/>
      <c r="J76" s="140"/>
      <c r="K76" s="140"/>
      <c r="L76" s="140"/>
      <c r="M76" s="140"/>
      <c r="N76" s="137"/>
      <c r="O76" s="137"/>
      <c r="P76" s="137"/>
      <c r="Q76" s="137"/>
    </row>
    <row r="77" spans="1:17" s="50" customFormat="1" ht="50" thickBot="1" x14ac:dyDescent="0.4">
      <c r="A77" s="98" t="str">
        <f>_xlfn.XLOOKUP(B77,'Paso 3 Redacción RA '!I$3:I$12,'Paso 3 Redacción RA '!C$3:C$12,,0,1)</f>
        <v>Saberhacer</v>
      </c>
      <c r="B77" s="27" t="s">
        <v>97</v>
      </c>
      <c r="C77" s="141"/>
      <c r="D77" s="141"/>
      <c r="E77" s="138"/>
      <c r="F77" s="141"/>
      <c r="G77" s="141"/>
      <c r="H77" s="141"/>
      <c r="I77" s="141"/>
      <c r="J77" s="141"/>
      <c r="K77" s="141"/>
      <c r="L77" s="141"/>
      <c r="M77" s="141"/>
      <c r="N77" s="138"/>
      <c r="O77" s="138"/>
      <c r="P77" s="138"/>
      <c r="Q77" s="138"/>
    </row>
    <row r="78" spans="1:17" s="50" customFormat="1" ht="33" x14ac:dyDescent="0.35">
      <c r="A78" s="24" t="str">
        <f>_xlfn.XLOOKUP(B78,'Paso 3 Redacción RA '!I$3:I$12,'Paso 3 Redacción RA '!C$3:C$12,,0,1)</f>
        <v>Saber</v>
      </c>
      <c r="B78" s="16" t="s">
        <v>85</v>
      </c>
      <c r="C78" s="139">
        <v>5</v>
      </c>
      <c r="D78" s="139" t="s">
        <v>274</v>
      </c>
      <c r="E78" s="143" t="s">
        <v>275</v>
      </c>
      <c r="F78" s="139" t="s">
        <v>176</v>
      </c>
      <c r="G78" s="139"/>
      <c r="H78" s="139" t="s">
        <v>177</v>
      </c>
      <c r="I78" s="139"/>
      <c r="J78" s="139">
        <v>3</v>
      </c>
      <c r="K78" s="139">
        <f>J78*12</f>
        <v>36</v>
      </c>
      <c r="L78" s="139">
        <f>36*J78</f>
        <v>108</v>
      </c>
      <c r="M78" s="139">
        <f>SUM(K78:L78)</f>
        <v>144</v>
      </c>
      <c r="N78" s="136" t="s">
        <v>276</v>
      </c>
      <c r="O78" s="136" t="s">
        <v>179</v>
      </c>
      <c r="P78" s="136" t="s">
        <v>195</v>
      </c>
      <c r="Q78" s="136" t="s">
        <v>186</v>
      </c>
    </row>
    <row r="79" spans="1:17" s="50" customFormat="1" ht="49.5" x14ac:dyDescent="0.35">
      <c r="A79" s="24" t="str">
        <f>_xlfn.XLOOKUP(B79,'Paso 3 Redacción RA '!I$3:I$12,'Paso 3 Redacción RA '!C$3:C$12,,0,1)</f>
        <v>Saberser</v>
      </c>
      <c r="B79" s="16" t="s">
        <v>93</v>
      </c>
      <c r="C79" s="140"/>
      <c r="D79" s="140"/>
      <c r="E79" s="144"/>
      <c r="F79" s="140"/>
      <c r="G79" s="140"/>
      <c r="H79" s="140"/>
      <c r="I79" s="140"/>
      <c r="J79" s="140"/>
      <c r="K79" s="140"/>
      <c r="L79" s="140"/>
      <c r="M79" s="140"/>
      <c r="N79" s="137"/>
      <c r="O79" s="137"/>
      <c r="P79" s="137"/>
      <c r="Q79" s="137"/>
    </row>
    <row r="80" spans="1:17" s="50" customFormat="1" ht="50" thickBot="1" x14ac:dyDescent="0.4">
      <c r="A80" s="98" t="str">
        <f>_xlfn.XLOOKUP(B80,'Paso 3 Redacción RA '!I$3:I$12,'Paso 3 Redacción RA '!C$3:C$12,,0,1)</f>
        <v>Saberhacer</v>
      </c>
      <c r="B80" s="27" t="s">
        <v>97</v>
      </c>
      <c r="C80" s="141"/>
      <c r="D80" s="141"/>
      <c r="E80" s="146"/>
      <c r="F80" s="141"/>
      <c r="G80" s="141"/>
      <c r="H80" s="141"/>
      <c r="I80" s="141"/>
      <c r="J80" s="141"/>
      <c r="K80" s="141"/>
      <c r="L80" s="141"/>
      <c r="M80" s="141"/>
      <c r="N80" s="138"/>
      <c r="O80" s="138"/>
      <c r="P80" s="138"/>
      <c r="Q80" s="138"/>
    </row>
    <row r="81" spans="1:17" s="50" customFormat="1" ht="49.5" x14ac:dyDescent="0.35">
      <c r="A81" s="24" t="str">
        <f>_xlfn.XLOOKUP(B81,'Paso 3 Redacción RA '!I$3:I$12,'Paso 3 Redacción RA '!C$3:C$12,,0,1)</f>
        <v>Saberhacer</v>
      </c>
      <c r="B81" s="16" t="s">
        <v>97</v>
      </c>
      <c r="C81" s="139">
        <v>6</v>
      </c>
      <c r="D81" s="139" t="s">
        <v>277</v>
      </c>
      <c r="E81" s="136" t="s">
        <v>278</v>
      </c>
      <c r="F81" s="139" t="s">
        <v>176</v>
      </c>
      <c r="G81" s="139"/>
      <c r="H81" s="139" t="s">
        <v>177</v>
      </c>
      <c r="I81" s="139"/>
      <c r="J81" s="139">
        <v>3</v>
      </c>
      <c r="K81" s="139">
        <f>J81*12</f>
        <v>36</v>
      </c>
      <c r="L81" s="139">
        <f>36*J81</f>
        <v>108</v>
      </c>
      <c r="M81" s="139">
        <f>SUM(K81:L81)</f>
        <v>144</v>
      </c>
      <c r="N81" s="136" t="s">
        <v>279</v>
      </c>
      <c r="O81" s="136" t="s">
        <v>179</v>
      </c>
      <c r="P81" s="136" t="s">
        <v>202</v>
      </c>
      <c r="Q81" s="136" t="s">
        <v>186</v>
      </c>
    </row>
    <row r="82" spans="1:17" s="50" customFormat="1" ht="33" x14ac:dyDescent="0.35">
      <c r="A82" s="24" t="str">
        <f>_xlfn.XLOOKUP(B82,'Paso 3 Redacción RA '!I$3:I$12,'Paso 3 Redacción RA '!C$3:C$12,,0,1)</f>
        <v>Saber</v>
      </c>
      <c r="B82" s="16" t="s">
        <v>95</v>
      </c>
      <c r="C82" s="140"/>
      <c r="D82" s="140"/>
      <c r="E82" s="137"/>
      <c r="F82" s="140"/>
      <c r="G82" s="140"/>
      <c r="H82" s="140"/>
      <c r="I82" s="140"/>
      <c r="J82" s="140"/>
      <c r="K82" s="140"/>
      <c r="L82" s="140"/>
      <c r="M82" s="140"/>
      <c r="N82" s="137"/>
      <c r="O82" s="137"/>
      <c r="P82" s="137"/>
      <c r="Q82" s="137"/>
    </row>
    <row r="83" spans="1:17" s="50" customFormat="1" ht="33.5" thickBot="1" x14ac:dyDescent="0.4">
      <c r="A83" s="98" t="str">
        <f>_xlfn.XLOOKUP(B83,'Paso 3 Redacción RA '!I$3:I$12,'Paso 3 Redacción RA '!C$3:C$12,,0,1)</f>
        <v>Saber</v>
      </c>
      <c r="B83" s="27" t="s">
        <v>98</v>
      </c>
      <c r="C83" s="141"/>
      <c r="D83" s="141"/>
      <c r="E83" s="138"/>
      <c r="F83" s="141"/>
      <c r="G83" s="141"/>
      <c r="H83" s="141"/>
      <c r="I83" s="141"/>
      <c r="J83" s="141"/>
      <c r="K83" s="141"/>
      <c r="L83" s="141"/>
      <c r="M83" s="141"/>
      <c r="N83" s="138"/>
      <c r="O83" s="138"/>
      <c r="P83" s="138"/>
      <c r="Q83" s="138"/>
    </row>
    <row r="84" spans="1:17" s="50" customFormat="1" ht="49.5" x14ac:dyDescent="0.35">
      <c r="A84" s="24" t="str">
        <f>_xlfn.XLOOKUP(B84,'Paso 3 Redacción RA '!I$3:I$12,'Paso 3 Redacción RA '!C$3:C$12,,0,1)</f>
        <v>Saberser</v>
      </c>
      <c r="B84" s="16" t="s">
        <v>93</v>
      </c>
      <c r="C84" s="139">
        <v>6</v>
      </c>
      <c r="D84" s="139" t="s">
        <v>280</v>
      </c>
      <c r="E84" s="136" t="s">
        <v>281</v>
      </c>
      <c r="F84" s="139" t="s">
        <v>176</v>
      </c>
      <c r="G84" s="139"/>
      <c r="H84" s="139" t="s">
        <v>177</v>
      </c>
      <c r="I84" s="139"/>
      <c r="J84" s="139">
        <v>3</v>
      </c>
      <c r="K84" s="139">
        <f>J84*12</f>
        <v>36</v>
      </c>
      <c r="L84" s="139">
        <f>36*J84</f>
        <v>108</v>
      </c>
      <c r="M84" s="139">
        <f>SUM(K84:L84)</f>
        <v>144</v>
      </c>
      <c r="N84" s="136" t="s">
        <v>282</v>
      </c>
      <c r="O84" s="136" t="s">
        <v>179</v>
      </c>
      <c r="P84" s="136" t="s">
        <v>195</v>
      </c>
      <c r="Q84" s="136" t="s">
        <v>186</v>
      </c>
    </row>
    <row r="85" spans="1:17" s="50" customFormat="1" ht="33" x14ac:dyDescent="0.35">
      <c r="A85" s="24" t="str">
        <f>_xlfn.XLOOKUP(B85,'Paso 3 Redacción RA '!I$3:I$12,'Paso 3 Redacción RA '!C$3:C$12,,0,1)</f>
        <v>Saber</v>
      </c>
      <c r="B85" s="16" t="s">
        <v>85</v>
      </c>
      <c r="C85" s="140"/>
      <c r="D85" s="140"/>
      <c r="E85" s="137"/>
      <c r="F85" s="140"/>
      <c r="G85" s="140"/>
      <c r="H85" s="140"/>
      <c r="I85" s="140"/>
      <c r="J85" s="140"/>
      <c r="K85" s="140"/>
      <c r="L85" s="140"/>
      <c r="M85" s="140"/>
      <c r="N85" s="137"/>
      <c r="O85" s="137"/>
      <c r="P85" s="137"/>
      <c r="Q85" s="137"/>
    </row>
    <row r="86" spans="1:17" s="50" customFormat="1" ht="50" thickBot="1" x14ac:dyDescent="0.4">
      <c r="A86" s="98" t="str">
        <f>_xlfn.XLOOKUP(B86,'Paso 3 Redacción RA '!I$3:I$12,'Paso 3 Redacción RA '!C$3:C$12,,0,1)</f>
        <v>Saberhacer</v>
      </c>
      <c r="B86" s="27" t="s">
        <v>97</v>
      </c>
      <c r="C86" s="141"/>
      <c r="D86" s="141"/>
      <c r="E86" s="138"/>
      <c r="F86" s="141"/>
      <c r="G86" s="141"/>
      <c r="H86" s="141"/>
      <c r="I86" s="141"/>
      <c r="J86" s="141"/>
      <c r="K86" s="141"/>
      <c r="L86" s="141"/>
      <c r="M86" s="141"/>
      <c r="N86" s="138"/>
      <c r="O86" s="138"/>
      <c r="P86" s="138"/>
      <c r="Q86" s="138"/>
    </row>
    <row r="87" spans="1:17" s="50" customFormat="1" ht="33" x14ac:dyDescent="0.35">
      <c r="A87" s="24" t="str">
        <f>_xlfn.XLOOKUP(B87,'Paso 3 Redacción RA '!I$3:I$12,'Paso 3 Redacción RA '!C$3:C$12,,0,1)</f>
        <v>Saberhacer</v>
      </c>
      <c r="B87" s="16" t="s">
        <v>89</v>
      </c>
      <c r="C87" s="139">
        <v>6</v>
      </c>
      <c r="D87" s="139" t="s">
        <v>283</v>
      </c>
      <c r="E87" s="136" t="s">
        <v>284</v>
      </c>
      <c r="F87" s="139" t="s">
        <v>176</v>
      </c>
      <c r="G87" s="139"/>
      <c r="H87" s="139" t="s">
        <v>177</v>
      </c>
      <c r="I87" s="139"/>
      <c r="J87" s="139">
        <v>3</v>
      </c>
      <c r="K87" s="139">
        <f>J87*12</f>
        <v>36</v>
      </c>
      <c r="L87" s="139">
        <f>36*J87</f>
        <v>108</v>
      </c>
      <c r="M87" s="139">
        <f>SUM(K87:L87)</f>
        <v>144</v>
      </c>
      <c r="N87" s="136" t="s">
        <v>285</v>
      </c>
      <c r="O87" s="136" t="s">
        <v>179</v>
      </c>
      <c r="P87" s="136" t="s">
        <v>195</v>
      </c>
      <c r="Q87" s="136" t="s">
        <v>186</v>
      </c>
    </row>
    <row r="88" spans="1:17" s="50" customFormat="1" ht="33" x14ac:dyDescent="0.35">
      <c r="A88" s="24" t="str">
        <f>_xlfn.XLOOKUP(B88,'Paso 3 Redacción RA '!I$3:I$12,'Paso 3 Redacción RA '!C$3:C$12,,0,1)</f>
        <v>Saber</v>
      </c>
      <c r="B88" s="16" t="s">
        <v>85</v>
      </c>
      <c r="C88" s="140"/>
      <c r="D88" s="140"/>
      <c r="E88" s="137"/>
      <c r="F88" s="140"/>
      <c r="G88" s="140"/>
      <c r="H88" s="140"/>
      <c r="I88" s="140"/>
      <c r="J88" s="140"/>
      <c r="K88" s="140"/>
      <c r="L88" s="140"/>
      <c r="M88" s="140"/>
      <c r="N88" s="137"/>
      <c r="O88" s="137"/>
      <c r="P88" s="137"/>
      <c r="Q88" s="137"/>
    </row>
    <row r="89" spans="1:17" s="50" customFormat="1" ht="50" thickBot="1" x14ac:dyDescent="0.4">
      <c r="A89" s="98" t="str">
        <f>_xlfn.XLOOKUP(B89,'Paso 3 Redacción RA '!I$3:I$12,'Paso 3 Redacción RA '!C$3:C$12,,0,1)</f>
        <v>Saberser</v>
      </c>
      <c r="B89" s="27" t="s">
        <v>93</v>
      </c>
      <c r="C89" s="141"/>
      <c r="D89" s="141"/>
      <c r="E89" s="138"/>
      <c r="F89" s="141"/>
      <c r="G89" s="141"/>
      <c r="H89" s="141"/>
      <c r="I89" s="141"/>
      <c r="J89" s="141"/>
      <c r="K89" s="141"/>
      <c r="L89" s="141"/>
      <c r="M89" s="141"/>
      <c r="N89" s="138"/>
      <c r="O89" s="138"/>
      <c r="P89" s="138"/>
      <c r="Q89" s="138"/>
    </row>
    <row r="90" spans="1:17" s="50" customFormat="1" ht="33" x14ac:dyDescent="0.35">
      <c r="A90" s="24" t="str">
        <f>_xlfn.XLOOKUP(B90,'Paso 3 Redacción RA '!I$3:I$12,'Paso 3 Redacción RA '!C$3:C$12,,0,1)</f>
        <v>Saber</v>
      </c>
      <c r="B90" s="16" t="s">
        <v>85</v>
      </c>
      <c r="C90" s="139">
        <v>6</v>
      </c>
      <c r="D90" s="139" t="s">
        <v>286</v>
      </c>
      <c r="E90" s="136" t="s">
        <v>287</v>
      </c>
      <c r="F90" s="139" t="s">
        <v>176</v>
      </c>
      <c r="G90" s="139"/>
      <c r="H90" s="139" t="s">
        <v>177</v>
      </c>
      <c r="I90" s="139"/>
      <c r="J90" s="139">
        <v>3</v>
      </c>
      <c r="K90" s="139">
        <f>J90*12</f>
        <v>36</v>
      </c>
      <c r="L90" s="139">
        <f>36*J90</f>
        <v>108</v>
      </c>
      <c r="M90" s="139">
        <f>SUM(K90:L90)</f>
        <v>144</v>
      </c>
      <c r="N90" s="136" t="s">
        <v>288</v>
      </c>
      <c r="O90" s="136" t="s">
        <v>179</v>
      </c>
      <c r="P90" s="136" t="s">
        <v>195</v>
      </c>
      <c r="Q90" s="136" t="s">
        <v>186</v>
      </c>
    </row>
    <row r="91" spans="1:17" s="50" customFormat="1" ht="33" x14ac:dyDescent="0.35">
      <c r="A91" s="24" t="str">
        <f>_xlfn.XLOOKUP(B91,'Paso 3 Redacción RA '!I$3:I$12,'Paso 3 Redacción RA '!C$3:C$12,,0,1)</f>
        <v>Saberhacer</v>
      </c>
      <c r="B91" s="16" t="s">
        <v>89</v>
      </c>
      <c r="C91" s="140"/>
      <c r="D91" s="140"/>
      <c r="E91" s="137"/>
      <c r="F91" s="140"/>
      <c r="G91" s="140"/>
      <c r="H91" s="140"/>
      <c r="I91" s="140"/>
      <c r="J91" s="140"/>
      <c r="K91" s="140"/>
      <c r="L91" s="140"/>
      <c r="M91" s="140"/>
      <c r="N91" s="137"/>
      <c r="O91" s="137"/>
      <c r="P91" s="137"/>
      <c r="Q91" s="137"/>
    </row>
    <row r="92" spans="1:17" s="50" customFormat="1" ht="50" thickBot="1" x14ac:dyDescent="0.4">
      <c r="A92" s="98" t="str">
        <f>_xlfn.XLOOKUP(B92,'Paso 3 Redacción RA '!I$3:I$12,'Paso 3 Redacción RA '!C$3:C$12,,0,1)</f>
        <v>Saberhacer</v>
      </c>
      <c r="B92" s="27" t="s">
        <v>97</v>
      </c>
      <c r="C92" s="141"/>
      <c r="D92" s="141"/>
      <c r="E92" s="138"/>
      <c r="F92" s="141"/>
      <c r="G92" s="141"/>
      <c r="H92" s="141"/>
      <c r="I92" s="141"/>
      <c r="J92" s="141"/>
      <c r="K92" s="141"/>
      <c r="L92" s="141"/>
      <c r="M92" s="141"/>
      <c r="N92" s="138"/>
      <c r="O92" s="138"/>
      <c r="P92" s="138"/>
      <c r="Q92" s="138"/>
    </row>
    <row r="93" spans="1:17" s="50" customFormat="1" ht="33" x14ac:dyDescent="0.35">
      <c r="A93" s="24" t="str">
        <f>_xlfn.XLOOKUP(B93,'Paso 3 Redacción RA '!I$3:I$12,'Paso 3 Redacción RA '!C$3:C$12,,0,1)</f>
        <v>Saber</v>
      </c>
      <c r="B93" s="16" t="s">
        <v>95</v>
      </c>
      <c r="C93" s="139">
        <v>6</v>
      </c>
      <c r="D93" s="139" t="s">
        <v>289</v>
      </c>
      <c r="E93" s="136" t="s">
        <v>290</v>
      </c>
      <c r="F93" s="139" t="s">
        <v>176</v>
      </c>
      <c r="G93" s="139"/>
      <c r="H93" s="139" t="s">
        <v>177</v>
      </c>
      <c r="I93" s="139"/>
      <c r="J93" s="139">
        <v>3</v>
      </c>
      <c r="K93" s="139">
        <f>J93*12</f>
        <v>36</v>
      </c>
      <c r="L93" s="139">
        <f>36*J93</f>
        <v>108</v>
      </c>
      <c r="M93" s="139">
        <f>SUM(K93:L93)</f>
        <v>144</v>
      </c>
      <c r="N93" s="136" t="s">
        <v>291</v>
      </c>
      <c r="O93" s="136" t="s">
        <v>179</v>
      </c>
      <c r="P93" s="136" t="s">
        <v>202</v>
      </c>
      <c r="Q93" s="136" t="s">
        <v>186</v>
      </c>
    </row>
    <row r="94" spans="1:17" s="50" customFormat="1" ht="49.5" x14ac:dyDescent="0.35">
      <c r="A94" s="24" t="str">
        <f>_xlfn.XLOOKUP(B94,'Paso 3 Redacción RA '!I$3:I$12,'Paso 3 Redacción RA '!C$3:C$12,,0,1)</f>
        <v>Saberhacer</v>
      </c>
      <c r="B94" s="16" t="s">
        <v>97</v>
      </c>
      <c r="C94" s="140"/>
      <c r="D94" s="140"/>
      <c r="E94" s="137"/>
      <c r="F94" s="140"/>
      <c r="G94" s="140"/>
      <c r="H94" s="140"/>
      <c r="I94" s="140"/>
      <c r="J94" s="140"/>
      <c r="K94" s="140"/>
      <c r="L94" s="140"/>
      <c r="M94" s="140"/>
      <c r="N94" s="137"/>
      <c r="O94" s="137"/>
      <c r="P94" s="137"/>
      <c r="Q94" s="137"/>
    </row>
    <row r="95" spans="1:17" s="50" customFormat="1" ht="50" thickBot="1" x14ac:dyDescent="0.4">
      <c r="A95" s="98" t="str">
        <f>_xlfn.XLOOKUP(B95,'Paso 3 Redacción RA '!I$3:I$12,'Paso 3 Redacción RA '!C$3:C$12,,0,1)</f>
        <v>Saberhacer</v>
      </c>
      <c r="B95" s="27" t="s">
        <v>97</v>
      </c>
      <c r="C95" s="141"/>
      <c r="D95" s="141"/>
      <c r="E95" s="138"/>
      <c r="F95" s="141"/>
      <c r="G95" s="141"/>
      <c r="H95" s="141"/>
      <c r="I95" s="141"/>
      <c r="J95" s="141"/>
      <c r="K95" s="141"/>
      <c r="L95" s="141"/>
      <c r="M95" s="141"/>
      <c r="N95" s="138"/>
      <c r="O95" s="138"/>
      <c r="P95" s="138"/>
      <c r="Q95" s="138"/>
    </row>
    <row r="96" spans="1:17" s="50" customFormat="1" ht="49.5" x14ac:dyDescent="0.35">
      <c r="A96" s="24" t="str">
        <f>_xlfn.XLOOKUP(B96,'Paso 3 Redacción RA '!I$3:I$12,'Paso 3 Redacción RA '!C$3:C$12,,0,1)</f>
        <v>Saberser</v>
      </c>
      <c r="B96" s="16" t="s">
        <v>93</v>
      </c>
      <c r="C96" s="139">
        <v>6</v>
      </c>
      <c r="D96" s="139" t="s">
        <v>292</v>
      </c>
      <c r="E96" s="136" t="s">
        <v>293</v>
      </c>
      <c r="F96" s="139" t="s">
        <v>176</v>
      </c>
      <c r="G96" s="139"/>
      <c r="H96" s="139" t="s">
        <v>177</v>
      </c>
      <c r="I96" s="139"/>
      <c r="J96" s="139">
        <v>3</v>
      </c>
      <c r="K96" s="139">
        <f>J96*12</f>
        <v>36</v>
      </c>
      <c r="L96" s="139">
        <f>36*J96</f>
        <v>108</v>
      </c>
      <c r="M96" s="139">
        <f>SUM(K96:L96)</f>
        <v>144</v>
      </c>
      <c r="N96" s="136" t="s">
        <v>294</v>
      </c>
      <c r="O96" s="136" t="s">
        <v>179</v>
      </c>
      <c r="P96" s="136" t="s">
        <v>195</v>
      </c>
      <c r="Q96" s="136" t="s">
        <v>186</v>
      </c>
    </row>
    <row r="97" spans="1:17" s="50" customFormat="1" ht="33" x14ac:dyDescent="0.35">
      <c r="A97" s="24" t="str">
        <f>_xlfn.XLOOKUP(B97,'Paso 3 Redacción RA '!I$3:I$12,'Paso 3 Redacción RA '!C$3:C$12,,0,1)</f>
        <v>Saber</v>
      </c>
      <c r="B97" s="16" t="s">
        <v>98</v>
      </c>
      <c r="C97" s="140"/>
      <c r="D97" s="140"/>
      <c r="E97" s="137"/>
      <c r="F97" s="140"/>
      <c r="G97" s="140"/>
      <c r="H97" s="140"/>
      <c r="I97" s="140"/>
      <c r="J97" s="140"/>
      <c r="K97" s="140"/>
      <c r="L97" s="140"/>
      <c r="M97" s="140"/>
      <c r="N97" s="137"/>
      <c r="O97" s="137"/>
      <c r="P97" s="137"/>
      <c r="Q97" s="137"/>
    </row>
    <row r="98" spans="1:17" s="50" customFormat="1" ht="33.5" thickBot="1" x14ac:dyDescent="0.4">
      <c r="A98" s="98" t="str">
        <f>_xlfn.XLOOKUP(B98,'Paso 3 Redacción RA '!I$3:I$12,'Paso 3 Redacción RA '!C$3:C$12,,0,1)</f>
        <v>Saber</v>
      </c>
      <c r="B98" s="27" t="s">
        <v>85</v>
      </c>
      <c r="C98" s="141"/>
      <c r="D98" s="141"/>
      <c r="E98" s="138"/>
      <c r="F98" s="141"/>
      <c r="G98" s="141"/>
      <c r="H98" s="141"/>
      <c r="I98" s="141"/>
      <c r="J98" s="141"/>
      <c r="K98" s="141"/>
      <c r="L98" s="141"/>
      <c r="M98" s="141"/>
      <c r="N98" s="138"/>
      <c r="O98" s="138"/>
      <c r="P98" s="138"/>
      <c r="Q98" s="138"/>
    </row>
    <row r="99" spans="1:17" s="50" customFormat="1" ht="33" x14ac:dyDescent="0.35">
      <c r="A99" s="24" t="str">
        <f>_xlfn.XLOOKUP(B99,'Paso 3 Redacción RA '!I$3:I$12,'Paso 3 Redacción RA '!C$3:C$12,,0,1)</f>
        <v>Saber</v>
      </c>
      <c r="B99" s="16" t="s">
        <v>95</v>
      </c>
      <c r="C99" s="139">
        <v>7</v>
      </c>
      <c r="D99" s="139" t="s">
        <v>295</v>
      </c>
      <c r="E99" s="136" t="s">
        <v>296</v>
      </c>
      <c r="F99" s="139" t="s">
        <v>176</v>
      </c>
      <c r="G99" s="139"/>
      <c r="H99" s="139" t="s">
        <v>177</v>
      </c>
      <c r="I99" s="139"/>
      <c r="J99" s="139">
        <v>3</v>
      </c>
      <c r="K99" s="139">
        <f>J99*12</f>
        <v>36</v>
      </c>
      <c r="L99" s="139">
        <f>36*J99</f>
        <v>108</v>
      </c>
      <c r="M99" s="139">
        <f>SUM(K99:L99)</f>
        <v>144</v>
      </c>
      <c r="N99" s="136" t="s">
        <v>297</v>
      </c>
      <c r="O99" s="136" t="s">
        <v>179</v>
      </c>
      <c r="P99" s="136" t="s">
        <v>202</v>
      </c>
      <c r="Q99" s="136" t="s">
        <v>186</v>
      </c>
    </row>
    <row r="100" spans="1:17" s="50" customFormat="1" ht="49.5" x14ac:dyDescent="0.35">
      <c r="A100" s="24" t="str">
        <f>_xlfn.XLOOKUP(B100,'Paso 3 Redacción RA '!I$3:I$12,'Paso 3 Redacción RA '!C$3:C$12,,0,1)</f>
        <v>Saberhacer</v>
      </c>
      <c r="B100" s="16" t="s">
        <v>97</v>
      </c>
      <c r="C100" s="140"/>
      <c r="D100" s="140"/>
      <c r="E100" s="137"/>
      <c r="F100" s="140"/>
      <c r="G100" s="140"/>
      <c r="H100" s="140"/>
      <c r="I100" s="140"/>
      <c r="J100" s="140"/>
      <c r="K100" s="140"/>
      <c r="L100" s="140"/>
      <c r="M100" s="140"/>
      <c r="N100" s="137"/>
      <c r="O100" s="137"/>
      <c r="P100" s="137"/>
      <c r="Q100" s="137"/>
    </row>
    <row r="101" spans="1:17" s="50" customFormat="1" ht="33" x14ac:dyDescent="0.35">
      <c r="A101" s="98" t="str">
        <f>_xlfn.XLOOKUP(B101,'Paso 3 Redacción RA '!I$3:I$12,'Paso 3 Redacción RA '!C$3:C$12,,0,1)</f>
        <v>Saber</v>
      </c>
      <c r="B101" s="27" t="s">
        <v>98</v>
      </c>
      <c r="C101" s="141"/>
      <c r="D101" s="141"/>
      <c r="E101" s="147"/>
      <c r="F101" s="141"/>
      <c r="G101" s="141"/>
      <c r="H101" s="141"/>
      <c r="I101" s="141"/>
      <c r="J101" s="141"/>
      <c r="K101" s="141"/>
      <c r="L101" s="141"/>
      <c r="M101" s="141"/>
      <c r="N101" s="138"/>
      <c r="O101" s="138"/>
      <c r="P101" s="138"/>
      <c r="Q101" s="138"/>
    </row>
    <row r="102" spans="1:17" s="50" customFormat="1" ht="49.5" x14ac:dyDescent="0.35">
      <c r="A102" s="24" t="str">
        <f>_xlfn.XLOOKUP(B102,'Paso 3 Redacción RA '!I$3:I$12,'Paso 3 Redacción RA '!C$3:C$12,,0,1)</f>
        <v>Saberser</v>
      </c>
      <c r="B102" s="16" t="s">
        <v>93</v>
      </c>
      <c r="C102" s="139">
        <v>7</v>
      </c>
      <c r="D102" s="139" t="s">
        <v>298</v>
      </c>
      <c r="E102" s="144" t="s">
        <v>299</v>
      </c>
      <c r="F102" s="139" t="s">
        <v>176</v>
      </c>
      <c r="G102" s="139"/>
      <c r="H102" s="139" t="s">
        <v>177</v>
      </c>
      <c r="I102" s="139"/>
      <c r="J102" s="139">
        <v>3</v>
      </c>
      <c r="K102" s="139">
        <f>J102*12</f>
        <v>36</v>
      </c>
      <c r="L102" s="139">
        <f>36*J102</f>
        <v>108</v>
      </c>
      <c r="M102" s="139">
        <f>SUM(K102:L102)</f>
        <v>144</v>
      </c>
      <c r="N102" s="136" t="s">
        <v>300</v>
      </c>
      <c r="O102" s="136" t="s">
        <v>179</v>
      </c>
      <c r="P102" s="136" t="s">
        <v>195</v>
      </c>
      <c r="Q102" s="136" t="s">
        <v>186</v>
      </c>
    </row>
    <row r="103" spans="1:17" s="50" customFormat="1" ht="33" x14ac:dyDescent="0.35">
      <c r="A103" s="24" t="str">
        <f>_xlfn.XLOOKUP(B103,'Paso 3 Redacción RA '!I$3:I$12,'Paso 3 Redacción RA '!C$3:C$12,,0,1)</f>
        <v>Saber</v>
      </c>
      <c r="B103" s="16" t="s">
        <v>95</v>
      </c>
      <c r="C103" s="140"/>
      <c r="D103" s="140"/>
      <c r="E103" s="144"/>
      <c r="F103" s="140"/>
      <c r="G103" s="140"/>
      <c r="H103" s="140"/>
      <c r="I103" s="140"/>
      <c r="J103" s="140"/>
      <c r="K103" s="140"/>
      <c r="L103" s="140"/>
      <c r="M103" s="140"/>
      <c r="N103" s="137"/>
      <c r="O103" s="137"/>
      <c r="P103" s="137"/>
      <c r="Q103" s="137"/>
    </row>
    <row r="104" spans="1:17" s="50" customFormat="1" ht="33.5" thickBot="1" x14ac:dyDescent="0.4">
      <c r="A104" s="98" t="str">
        <f>_xlfn.XLOOKUP(B104,'Paso 3 Redacción RA '!I$3:I$12,'Paso 3 Redacción RA '!C$3:C$12,,0,1)</f>
        <v>Saber</v>
      </c>
      <c r="B104" s="27" t="s">
        <v>85</v>
      </c>
      <c r="C104" s="141"/>
      <c r="D104" s="141"/>
      <c r="E104" s="146"/>
      <c r="F104" s="141"/>
      <c r="G104" s="141"/>
      <c r="H104" s="141"/>
      <c r="I104" s="141"/>
      <c r="J104" s="141"/>
      <c r="K104" s="141"/>
      <c r="L104" s="141"/>
      <c r="M104" s="141"/>
      <c r="N104" s="138"/>
      <c r="O104" s="138"/>
      <c r="P104" s="138"/>
      <c r="Q104" s="138"/>
    </row>
    <row r="105" spans="1:17" s="50" customFormat="1" ht="33" x14ac:dyDescent="0.35">
      <c r="A105" s="24" t="str">
        <f>_xlfn.XLOOKUP(B105,'Paso 3 Redacción RA '!I$3:I$12,'Paso 3 Redacción RA '!C$3:C$12,,0,1)</f>
        <v>Saber</v>
      </c>
      <c r="B105" s="16" t="s">
        <v>98</v>
      </c>
      <c r="C105" s="139">
        <v>7</v>
      </c>
      <c r="D105" s="139" t="s">
        <v>301</v>
      </c>
      <c r="E105" s="143" t="s">
        <v>302</v>
      </c>
      <c r="F105" s="139" t="s">
        <v>176</v>
      </c>
      <c r="G105" s="139"/>
      <c r="H105" s="139" t="s">
        <v>177</v>
      </c>
      <c r="I105" s="139"/>
      <c r="J105" s="139">
        <v>3</v>
      </c>
      <c r="K105" s="139">
        <f>J105*12</f>
        <v>36</v>
      </c>
      <c r="L105" s="139">
        <f>36*J105</f>
        <v>108</v>
      </c>
      <c r="M105" s="139">
        <f>SUM(K105:L105)</f>
        <v>144</v>
      </c>
      <c r="N105" s="136" t="s">
        <v>303</v>
      </c>
      <c r="O105" s="136" t="s">
        <v>179</v>
      </c>
      <c r="P105" s="136" t="s">
        <v>202</v>
      </c>
      <c r="Q105" s="136" t="s">
        <v>186</v>
      </c>
    </row>
    <row r="106" spans="1:17" s="50" customFormat="1" ht="33" x14ac:dyDescent="0.35">
      <c r="A106" s="24" t="str">
        <f>_xlfn.XLOOKUP(B106,'Paso 3 Redacción RA '!I$3:I$12,'Paso 3 Redacción RA '!C$3:C$12,,0,1)</f>
        <v>Saberhacer</v>
      </c>
      <c r="B106" s="16" t="s">
        <v>89</v>
      </c>
      <c r="C106" s="140"/>
      <c r="D106" s="140"/>
      <c r="E106" s="144"/>
      <c r="F106" s="140"/>
      <c r="G106" s="140"/>
      <c r="H106" s="140"/>
      <c r="I106" s="140"/>
      <c r="J106" s="140"/>
      <c r="K106" s="140"/>
      <c r="L106" s="140"/>
      <c r="M106" s="140"/>
      <c r="N106" s="137"/>
      <c r="O106" s="137"/>
      <c r="P106" s="137"/>
      <c r="Q106" s="137"/>
    </row>
    <row r="107" spans="1:17" s="50" customFormat="1" ht="49.5" x14ac:dyDescent="0.35">
      <c r="A107" s="128" t="str">
        <f>_xlfn.XLOOKUP(B107,'Paso 3 Redacción RA '!I$3:I$12,'Paso 3 Redacción RA '!C$3:C$12,,0,1)</f>
        <v>Saberser</v>
      </c>
      <c r="B107" s="27" t="s">
        <v>93</v>
      </c>
      <c r="C107" s="141"/>
      <c r="D107" s="141"/>
      <c r="E107" s="145"/>
      <c r="F107" s="141"/>
      <c r="G107" s="141"/>
      <c r="H107" s="141"/>
      <c r="I107" s="141"/>
      <c r="J107" s="141"/>
      <c r="K107" s="141"/>
      <c r="L107" s="141"/>
      <c r="M107" s="141"/>
      <c r="N107" s="138"/>
      <c r="O107" s="138"/>
      <c r="P107" s="138"/>
      <c r="Q107" s="138"/>
    </row>
    <row r="108" spans="1:17" s="50" customFormat="1" ht="33" x14ac:dyDescent="0.35">
      <c r="A108" s="24" t="str">
        <f>_xlfn.XLOOKUP(B108,'Paso 3 Redacción RA '!I$3:I$12,'Paso 3 Redacción RA '!C$3:C$12,,0,1)</f>
        <v>Saber</v>
      </c>
      <c r="B108" s="16" t="s">
        <v>95</v>
      </c>
      <c r="C108" s="139">
        <v>7</v>
      </c>
      <c r="D108" s="139" t="s">
        <v>304</v>
      </c>
      <c r="E108" s="137" t="s">
        <v>305</v>
      </c>
      <c r="F108" s="139" t="s">
        <v>176</v>
      </c>
      <c r="G108" s="139"/>
      <c r="H108" s="139" t="s">
        <v>177</v>
      </c>
      <c r="I108" s="139"/>
      <c r="J108" s="139">
        <v>3</v>
      </c>
      <c r="K108" s="139">
        <f>J108*12</f>
        <v>36</v>
      </c>
      <c r="L108" s="139">
        <f>36*J108</f>
        <v>108</v>
      </c>
      <c r="M108" s="139">
        <f>SUM(K108:L108)</f>
        <v>144</v>
      </c>
      <c r="N108" s="136" t="s">
        <v>306</v>
      </c>
      <c r="O108" s="136" t="s">
        <v>179</v>
      </c>
      <c r="P108" s="136" t="s">
        <v>202</v>
      </c>
      <c r="Q108" s="136" t="s">
        <v>186</v>
      </c>
    </row>
    <row r="109" spans="1:17" s="50" customFormat="1" ht="49.5" x14ac:dyDescent="0.35">
      <c r="A109" s="24" t="str">
        <f>_xlfn.XLOOKUP(B109,'Paso 3 Redacción RA '!I$3:I$12,'Paso 3 Redacción RA '!C$3:C$12,,0,1)</f>
        <v>Saberhacer</v>
      </c>
      <c r="B109" s="16" t="s">
        <v>97</v>
      </c>
      <c r="C109" s="140"/>
      <c r="D109" s="140"/>
      <c r="E109" s="137"/>
      <c r="F109" s="140"/>
      <c r="G109" s="140"/>
      <c r="H109" s="140"/>
      <c r="I109" s="140"/>
      <c r="J109" s="140"/>
      <c r="K109" s="140"/>
      <c r="L109" s="140"/>
      <c r="M109" s="140"/>
      <c r="N109" s="137"/>
      <c r="O109" s="137"/>
      <c r="P109" s="137"/>
      <c r="Q109" s="137"/>
    </row>
    <row r="110" spans="1:17" s="50" customFormat="1" ht="33" x14ac:dyDescent="0.35">
      <c r="A110" s="98" t="str">
        <f>_xlfn.XLOOKUP(B110,'Paso 3 Redacción RA '!I$3:I$12,'Paso 3 Redacción RA '!C$3:C$12,,0,1)</f>
        <v>Saber</v>
      </c>
      <c r="B110" s="27" t="s">
        <v>85</v>
      </c>
      <c r="C110" s="141"/>
      <c r="D110" s="141"/>
      <c r="E110" s="138"/>
      <c r="F110" s="141"/>
      <c r="G110" s="141"/>
      <c r="H110" s="141"/>
      <c r="I110" s="141"/>
      <c r="J110" s="141"/>
      <c r="K110" s="141"/>
      <c r="L110" s="141"/>
      <c r="M110" s="142"/>
      <c r="N110" s="147"/>
      <c r="O110" s="138"/>
      <c r="P110" s="138"/>
      <c r="Q110" s="138"/>
    </row>
    <row r="111" spans="1:17" s="50" customFormat="1" ht="16.5" x14ac:dyDescent="0.35">
      <c r="A111" s="94"/>
      <c r="B111" s="82"/>
      <c r="C111" s="83">
        <v>7</v>
      </c>
      <c r="D111" s="84" t="s">
        <v>307</v>
      </c>
      <c r="E111" s="85"/>
      <c r="F111" s="84"/>
      <c r="G111" s="86"/>
      <c r="H111" s="86"/>
      <c r="I111" s="86" t="s">
        <v>177</v>
      </c>
      <c r="J111" s="86">
        <v>3</v>
      </c>
      <c r="K111" s="86">
        <f>J111*12</f>
        <v>36</v>
      </c>
      <c r="L111" s="86">
        <f>36*J111</f>
        <v>108</v>
      </c>
      <c r="M111" s="122">
        <f>SUM(K111:L111)</f>
        <v>144</v>
      </c>
      <c r="N111" s="130"/>
      <c r="O111" s="87"/>
      <c r="P111" s="87"/>
      <c r="Q111" s="88"/>
    </row>
    <row r="112" spans="1:17" s="50" customFormat="1" ht="16.5" x14ac:dyDescent="0.35">
      <c r="A112" s="94"/>
      <c r="B112" s="82"/>
      <c r="C112" s="83">
        <v>7</v>
      </c>
      <c r="D112" s="84" t="s">
        <v>308</v>
      </c>
      <c r="E112" s="82"/>
      <c r="F112" s="84"/>
      <c r="G112" s="84"/>
      <c r="H112" s="84"/>
      <c r="I112" s="84" t="s">
        <v>177</v>
      </c>
      <c r="J112" s="84">
        <v>3</v>
      </c>
      <c r="K112" s="86">
        <f>J112*12</f>
        <v>36</v>
      </c>
      <c r="L112" s="86">
        <f>36*J112</f>
        <v>108</v>
      </c>
      <c r="M112" s="86">
        <f>SUM(K112:L112)</f>
        <v>144</v>
      </c>
      <c r="N112" s="82"/>
      <c r="O112" s="82"/>
      <c r="P112" s="82"/>
      <c r="Q112" s="88"/>
    </row>
    <row r="113" spans="1:17" s="50" customFormat="1" ht="49.5" x14ac:dyDescent="0.35">
      <c r="A113" s="24" t="str">
        <f>_xlfn.XLOOKUP(B113,'Paso 3 Redacción RA '!I$3:I$12,'Paso 3 Redacción RA '!C$3:C$12,,0,1)</f>
        <v>Saberser</v>
      </c>
      <c r="B113" s="16" t="s">
        <v>93</v>
      </c>
      <c r="C113" s="139">
        <v>8</v>
      </c>
      <c r="D113" s="139" t="s">
        <v>309</v>
      </c>
      <c r="E113" s="136" t="s">
        <v>310</v>
      </c>
      <c r="F113" s="139" t="s">
        <v>176</v>
      </c>
      <c r="G113" s="139"/>
      <c r="H113" s="139" t="s">
        <v>177</v>
      </c>
      <c r="I113" s="139"/>
      <c r="J113" s="139">
        <v>3</v>
      </c>
      <c r="K113" s="139">
        <f>J113*12</f>
        <v>36</v>
      </c>
      <c r="L113" s="139">
        <f>36*J113</f>
        <v>108</v>
      </c>
      <c r="M113" s="139">
        <f>SUM(K113:L113)</f>
        <v>144</v>
      </c>
      <c r="N113" s="136" t="s">
        <v>311</v>
      </c>
      <c r="O113" s="136" t="s">
        <v>179</v>
      </c>
      <c r="P113" s="136" t="s">
        <v>195</v>
      </c>
      <c r="Q113" s="136" t="s">
        <v>186</v>
      </c>
    </row>
    <row r="114" spans="1:17" s="50" customFormat="1" ht="33" x14ac:dyDescent="0.35">
      <c r="A114" s="24" t="str">
        <f>_xlfn.XLOOKUP(B114,'Paso 3 Redacción RA '!I$3:I$12,'Paso 3 Redacción RA '!C$3:C$12,,0,1)</f>
        <v>Saberhacer</v>
      </c>
      <c r="B114" s="16" t="s">
        <v>89</v>
      </c>
      <c r="C114" s="140"/>
      <c r="D114" s="140"/>
      <c r="E114" s="137"/>
      <c r="F114" s="140"/>
      <c r="G114" s="140"/>
      <c r="H114" s="140"/>
      <c r="I114" s="140"/>
      <c r="J114" s="140"/>
      <c r="K114" s="140"/>
      <c r="L114" s="140"/>
      <c r="M114" s="140"/>
      <c r="N114" s="137"/>
      <c r="O114" s="137"/>
      <c r="P114" s="137"/>
      <c r="Q114" s="137"/>
    </row>
    <row r="115" spans="1:17" s="50" customFormat="1" ht="50" thickBot="1" x14ac:dyDescent="0.4">
      <c r="A115" s="98" t="str">
        <f>_xlfn.XLOOKUP(B115,'Paso 3 Redacción RA '!I$3:I$12,'Paso 3 Redacción RA '!C$3:C$12,,0,1)</f>
        <v>Saberhacer</v>
      </c>
      <c r="B115" s="27" t="s">
        <v>97</v>
      </c>
      <c r="C115" s="141"/>
      <c r="D115" s="141"/>
      <c r="E115" s="138"/>
      <c r="F115" s="141"/>
      <c r="G115" s="141"/>
      <c r="H115" s="141"/>
      <c r="I115" s="141"/>
      <c r="J115" s="141"/>
      <c r="K115" s="141"/>
      <c r="L115" s="141"/>
      <c r="M115" s="141"/>
      <c r="N115" s="138"/>
      <c r="O115" s="138"/>
      <c r="P115" s="138"/>
      <c r="Q115" s="138"/>
    </row>
    <row r="116" spans="1:17" s="50" customFormat="1" ht="33" x14ac:dyDescent="0.35">
      <c r="A116" s="24" t="str">
        <f>_xlfn.XLOOKUP(B116,'Paso 3 Redacción RA '!I$3:I$12,'Paso 3 Redacción RA '!C$3:C$12,,0,1)</f>
        <v>Saberhacer</v>
      </c>
      <c r="B116" s="16" t="s">
        <v>89</v>
      </c>
      <c r="C116" s="139">
        <v>8</v>
      </c>
      <c r="D116" s="139" t="s">
        <v>312</v>
      </c>
      <c r="E116" s="143" t="s">
        <v>313</v>
      </c>
      <c r="F116" s="139" t="s">
        <v>176</v>
      </c>
      <c r="G116" s="139"/>
      <c r="H116" s="139" t="s">
        <v>177</v>
      </c>
      <c r="I116" s="139"/>
      <c r="J116" s="139">
        <v>6</v>
      </c>
      <c r="K116" s="139">
        <f>J116*12</f>
        <v>72</v>
      </c>
      <c r="L116" s="139">
        <f>36*J116</f>
        <v>216</v>
      </c>
      <c r="M116" s="139">
        <f>SUM(K116:L116)</f>
        <v>288</v>
      </c>
      <c r="N116" s="136" t="s">
        <v>314</v>
      </c>
      <c r="O116" s="136" t="s">
        <v>179</v>
      </c>
      <c r="P116" s="136" t="s">
        <v>202</v>
      </c>
      <c r="Q116" s="136" t="s">
        <v>186</v>
      </c>
    </row>
    <row r="117" spans="1:17" s="50" customFormat="1" ht="49.5" x14ac:dyDescent="0.35">
      <c r="A117" s="24" t="str">
        <f>_xlfn.XLOOKUP(B117,'Paso 3 Redacción RA '!I$3:I$12,'Paso 3 Redacción RA '!C$3:C$12,,0,1)</f>
        <v>Saberser</v>
      </c>
      <c r="B117" s="16" t="s">
        <v>93</v>
      </c>
      <c r="C117" s="140"/>
      <c r="D117" s="140"/>
      <c r="E117" s="144"/>
      <c r="F117" s="140"/>
      <c r="G117" s="140"/>
      <c r="H117" s="140"/>
      <c r="I117" s="140"/>
      <c r="J117" s="140"/>
      <c r="K117" s="140"/>
      <c r="L117" s="140"/>
      <c r="M117" s="140"/>
      <c r="N117" s="137"/>
      <c r="O117" s="137"/>
      <c r="P117" s="137"/>
      <c r="Q117" s="137"/>
    </row>
    <row r="118" spans="1:17" s="50" customFormat="1" ht="33" x14ac:dyDescent="0.35">
      <c r="A118" s="24" t="str">
        <f>_xlfn.XLOOKUP(B118,'Paso 3 Redacción RA '!I$3:I$12,'Paso 3 Redacción RA '!C$3:C$12,,0,1)</f>
        <v>Saber</v>
      </c>
      <c r="B118" s="16" t="s">
        <v>95</v>
      </c>
      <c r="C118" s="140"/>
      <c r="D118" s="140"/>
      <c r="E118" s="144"/>
      <c r="F118" s="140"/>
      <c r="G118" s="140"/>
      <c r="H118" s="140"/>
      <c r="I118" s="140"/>
      <c r="J118" s="140"/>
      <c r="K118" s="140"/>
      <c r="L118" s="140"/>
      <c r="M118" s="140"/>
      <c r="N118" s="137"/>
      <c r="O118" s="137"/>
      <c r="P118" s="137"/>
      <c r="Q118" s="137"/>
    </row>
    <row r="119" spans="1:17" s="50" customFormat="1" ht="50" thickBot="1" x14ac:dyDescent="0.4">
      <c r="A119" s="98" t="str">
        <f>_xlfn.XLOOKUP(B119,'Paso 3 Redacción RA '!I$3:I$12,'Paso 3 Redacción RA '!C$3:C$12,,0,1)</f>
        <v>Saberhacer</v>
      </c>
      <c r="B119" s="27" t="s">
        <v>97</v>
      </c>
      <c r="C119" s="141"/>
      <c r="D119" s="142"/>
      <c r="E119" s="145"/>
      <c r="F119" s="141"/>
      <c r="G119" s="141"/>
      <c r="H119" s="141"/>
      <c r="I119" s="141"/>
      <c r="J119" s="141"/>
      <c r="K119" s="141"/>
      <c r="L119" s="141"/>
      <c r="M119" s="141"/>
      <c r="N119" s="138"/>
      <c r="O119" s="138"/>
      <c r="P119" s="138"/>
      <c r="Q119" s="138"/>
    </row>
    <row r="120" spans="1:17" s="50" customFormat="1" ht="33" x14ac:dyDescent="0.35">
      <c r="A120" s="24" t="str">
        <f>_xlfn.XLOOKUP(B120,'Paso 3 Redacción RA '!I$3:I$12,'Paso 3 Redacción RA '!C$3:C$12,,0,1)</f>
        <v>Saberhacer</v>
      </c>
      <c r="B120" s="16" t="s">
        <v>89</v>
      </c>
      <c r="C120" s="139">
        <v>8</v>
      </c>
      <c r="D120" s="140" t="s">
        <v>315</v>
      </c>
      <c r="E120" s="144" t="s">
        <v>316</v>
      </c>
      <c r="F120" s="139" t="s">
        <v>176</v>
      </c>
      <c r="G120" s="139"/>
      <c r="H120" s="139" t="s">
        <v>177</v>
      </c>
      <c r="I120" s="139"/>
      <c r="J120" s="139">
        <v>3</v>
      </c>
      <c r="K120" s="139">
        <f>J120*12</f>
        <v>36</v>
      </c>
      <c r="L120" s="139">
        <f>36*J120</f>
        <v>108</v>
      </c>
      <c r="M120" s="139">
        <f>SUM(K120:L120)</f>
        <v>144</v>
      </c>
      <c r="N120" s="136" t="s">
        <v>317</v>
      </c>
      <c r="O120" s="136" t="s">
        <v>179</v>
      </c>
      <c r="P120" s="136" t="s">
        <v>202</v>
      </c>
      <c r="Q120" s="136" t="s">
        <v>186</v>
      </c>
    </row>
    <row r="121" spans="1:17" s="50" customFormat="1" ht="33" x14ac:dyDescent="0.35">
      <c r="A121" s="24" t="str">
        <f>_xlfn.XLOOKUP(B121,'Paso 3 Redacción RA '!I$3:I$12,'Paso 3 Redacción RA '!C$3:C$12,,0,1)</f>
        <v>Saber</v>
      </c>
      <c r="B121" s="16" t="s">
        <v>95</v>
      </c>
      <c r="C121" s="140"/>
      <c r="D121" s="140"/>
      <c r="E121" s="144"/>
      <c r="F121" s="140"/>
      <c r="G121" s="140"/>
      <c r="H121" s="140"/>
      <c r="I121" s="140"/>
      <c r="J121" s="140"/>
      <c r="K121" s="140"/>
      <c r="L121" s="140"/>
      <c r="M121" s="140"/>
      <c r="N121" s="137"/>
      <c r="O121" s="137"/>
      <c r="P121" s="137"/>
      <c r="Q121" s="137"/>
    </row>
    <row r="122" spans="1:17" s="50" customFormat="1" ht="33.5" thickBot="1" x14ac:dyDescent="0.4">
      <c r="A122" s="98" t="str">
        <f>_xlfn.XLOOKUP(B122,'Paso 3 Redacción RA '!I$3:I$12,'Paso 3 Redacción RA '!C$3:C$12,,0,1)</f>
        <v>Saber</v>
      </c>
      <c r="B122" s="16" t="s">
        <v>98</v>
      </c>
      <c r="C122" s="141"/>
      <c r="D122" s="141"/>
      <c r="E122" s="146"/>
      <c r="F122" s="141"/>
      <c r="G122" s="141"/>
      <c r="H122" s="141"/>
      <c r="I122" s="141"/>
      <c r="J122" s="141"/>
      <c r="K122" s="141"/>
      <c r="L122" s="141"/>
      <c r="M122" s="141"/>
      <c r="N122" s="138"/>
      <c r="O122" s="138"/>
      <c r="P122" s="138"/>
      <c r="Q122" s="138"/>
    </row>
    <row r="123" spans="1:17" s="50" customFormat="1" ht="17" thickBot="1" x14ac:dyDescent="0.4">
      <c r="A123" s="94"/>
      <c r="B123" s="126"/>
      <c r="C123" s="90">
        <v>8</v>
      </c>
      <c r="D123" s="91" t="s">
        <v>318</v>
      </c>
      <c r="E123" s="89"/>
      <c r="F123" s="91"/>
      <c r="G123" s="91"/>
      <c r="H123" s="91"/>
      <c r="I123" s="91" t="s">
        <v>177</v>
      </c>
      <c r="J123" s="91">
        <v>3</v>
      </c>
      <c r="K123" s="86">
        <f>J123*12</f>
        <v>36</v>
      </c>
      <c r="L123" s="86">
        <f>36*J123</f>
        <v>108</v>
      </c>
      <c r="M123" s="92">
        <f>SUM(K123:L123)</f>
        <v>144</v>
      </c>
      <c r="N123" s="89"/>
      <c r="O123" s="89"/>
      <c r="P123" s="89"/>
      <c r="Q123" s="93"/>
    </row>
    <row r="124" spans="1:17" s="50" customFormat="1" ht="17" thickBot="1" x14ac:dyDescent="0.4">
      <c r="A124" s="94"/>
      <c r="B124" s="127"/>
      <c r="C124" s="83">
        <v>8</v>
      </c>
      <c r="D124" s="84" t="s">
        <v>319</v>
      </c>
      <c r="E124" s="82"/>
      <c r="F124" s="84"/>
      <c r="G124" s="84"/>
      <c r="H124" s="84"/>
      <c r="I124" s="84" t="s">
        <v>177</v>
      </c>
      <c r="J124" s="84">
        <v>3</v>
      </c>
      <c r="K124" s="86">
        <f>J124*12</f>
        <v>36</v>
      </c>
      <c r="L124" s="86">
        <f>36*J124</f>
        <v>108</v>
      </c>
      <c r="M124" s="86">
        <f>SUM(K124:L124)</f>
        <v>144</v>
      </c>
      <c r="N124" s="82"/>
      <c r="O124" s="82"/>
      <c r="P124" s="82"/>
      <c r="Q124" s="82"/>
    </row>
    <row r="125" spans="1:17" s="50" customFormat="1" ht="32" x14ac:dyDescent="0.35">
      <c r="A125" s="24"/>
      <c r="B125" s="125"/>
      <c r="C125" s="102" t="s">
        <v>320</v>
      </c>
      <c r="D125" s="51">
        <f>COUNTA(D3:D124)</f>
        <v>47</v>
      </c>
      <c r="E125" s="16"/>
      <c r="F125" s="19"/>
      <c r="G125" s="19"/>
      <c r="H125" s="19"/>
      <c r="I125" s="103" t="s">
        <v>321</v>
      </c>
      <c r="J125" s="55">
        <f>SUM(J3:J124)</f>
        <v>143</v>
      </c>
      <c r="K125" s="104"/>
      <c r="L125" s="30"/>
      <c r="M125" s="19"/>
      <c r="N125" s="16"/>
      <c r="O125" s="16"/>
      <c r="P125" s="16"/>
      <c r="Q125" s="16"/>
    </row>
    <row r="126" spans="1:17" s="50" customFormat="1" ht="48" x14ac:dyDescent="0.35">
      <c r="A126" s="24"/>
      <c r="B126" s="16"/>
      <c r="D126" s="19"/>
      <c r="E126" s="16"/>
      <c r="F126" s="19"/>
      <c r="G126" s="19"/>
      <c r="H126" s="19"/>
      <c r="I126" s="105" t="s">
        <v>322</v>
      </c>
      <c r="J126" s="55">
        <f>SUM(J47,J33:J34,J17,J3:J4)</f>
        <v>18</v>
      </c>
      <c r="K126" s="104"/>
      <c r="L126" s="52"/>
      <c r="M126" s="19"/>
      <c r="N126" s="16"/>
      <c r="O126" s="16"/>
      <c r="P126" s="16"/>
      <c r="Q126" s="16"/>
    </row>
    <row r="127" spans="1:17" s="50" customFormat="1" ht="48" x14ac:dyDescent="0.35">
      <c r="A127" s="24"/>
      <c r="B127" s="16"/>
      <c r="D127" s="32"/>
      <c r="E127" s="69"/>
      <c r="F127" s="32"/>
      <c r="G127" s="70"/>
      <c r="H127" s="70"/>
      <c r="I127" s="105" t="s">
        <v>323</v>
      </c>
      <c r="J127" s="55">
        <f>SUM(J113:J122,J48:J110,J35:J46,J18:J32,J5:J16)</f>
        <v>113</v>
      </c>
      <c r="K127" s="104"/>
      <c r="L127" s="52"/>
      <c r="M127" s="70"/>
      <c r="N127" s="22"/>
      <c r="O127" s="71"/>
      <c r="P127" s="71"/>
      <c r="Q127" s="71"/>
    </row>
    <row r="128" spans="1:17" s="50" customFormat="1" ht="32" x14ac:dyDescent="0.35">
      <c r="A128" s="24"/>
      <c r="B128" s="16"/>
      <c r="D128" s="32"/>
      <c r="E128" s="69"/>
      <c r="F128" s="32"/>
      <c r="G128" s="70"/>
      <c r="H128" s="70"/>
      <c r="I128" s="105" t="s">
        <v>324</v>
      </c>
      <c r="J128" s="52">
        <f>SUM(J123:J124,J111:J112)</f>
        <v>12</v>
      </c>
      <c r="K128" s="106"/>
      <c r="L128" s="52"/>
      <c r="M128" s="70"/>
      <c r="N128" s="22"/>
      <c r="O128" s="71"/>
      <c r="P128" s="71"/>
      <c r="Q128" s="71"/>
    </row>
    <row r="129" spans="1:17" s="50" customFormat="1" ht="16.5" x14ac:dyDescent="0.35">
      <c r="A129" s="24"/>
      <c r="B129" s="16"/>
      <c r="D129" s="32"/>
      <c r="E129" s="69"/>
      <c r="F129" s="32"/>
      <c r="G129" s="70"/>
      <c r="H129" s="70"/>
      <c r="I129" s="70"/>
      <c r="J129" s="70"/>
      <c r="K129" s="70"/>
      <c r="L129" s="70"/>
      <c r="M129" s="70"/>
      <c r="N129" s="22"/>
      <c r="O129" s="71"/>
      <c r="P129" s="71"/>
      <c r="Q129" s="71"/>
    </row>
    <row r="130" spans="1:17" s="50" customFormat="1" ht="16.5" x14ac:dyDescent="0.35">
      <c r="A130" s="24"/>
      <c r="B130" s="16"/>
      <c r="D130" s="32"/>
      <c r="E130" s="69"/>
      <c r="F130" s="32"/>
      <c r="G130" s="70"/>
      <c r="H130" s="70"/>
      <c r="I130" s="70"/>
      <c r="J130" s="70"/>
      <c r="K130" s="70"/>
      <c r="L130" s="70"/>
      <c r="M130" s="70"/>
      <c r="N130" s="22"/>
      <c r="O130" s="71"/>
      <c r="P130" s="71"/>
      <c r="Q130" s="71"/>
    </row>
    <row r="131" spans="1:17" s="50" customFormat="1" ht="16.5" x14ac:dyDescent="0.35">
      <c r="A131" s="24"/>
      <c r="B131" s="16"/>
      <c r="D131" s="19"/>
      <c r="E131" s="16"/>
      <c r="F131" s="19"/>
      <c r="G131" s="19"/>
      <c r="H131" s="19"/>
      <c r="I131" s="19"/>
      <c r="J131" s="19"/>
      <c r="K131" s="19"/>
      <c r="L131" s="19"/>
      <c r="M131" s="19"/>
      <c r="N131" s="16"/>
      <c r="O131" s="16"/>
      <c r="P131" s="16"/>
      <c r="Q131" s="16"/>
    </row>
    <row r="132" spans="1:17" s="50" customFormat="1" ht="16.5" x14ac:dyDescent="0.35">
      <c r="A132" s="24"/>
      <c r="B132" s="16"/>
      <c r="D132" s="19"/>
      <c r="E132" s="16"/>
      <c r="F132" s="19"/>
      <c r="G132" s="19"/>
      <c r="H132" s="19"/>
      <c r="I132" s="19"/>
      <c r="J132" s="19"/>
      <c r="K132" s="19"/>
      <c r="L132" s="19"/>
      <c r="M132" s="19"/>
      <c r="N132" s="16"/>
      <c r="O132" s="16"/>
      <c r="P132" s="16"/>
      <c r="Q132" s="16"/>
    </row>
    <row r="133" spans="1:17" s="50" customFormat="1" ht="16.5" x14ac:dyDescent="0.35">
      <c r="A133" s="24"/>
      <c r="B133" s="16"/>
      <c r="D133" s="19"/>
      <c r="E133" s="16"/>
      <c r="F133" s="19"/>
      <c r="G133" s="19"/>
      <c r="H133" s="19"/>
      <c r="I133" s="19"/>
      <c r="J133" s="19"/>
      <c r="K133" s="19"/>
      <c r="L133" s="19"/>
      <c r="M133" s="19"/>
      <c r="N133" s="16"/>
      <c r="O133" s="16"/>
      <c r="P133" s="16"/>
      <c r="Q133" s="16"/>
    </row>
    <row r="134" spans="1:17" s="50" customFormat="1" ht="16.5" x14ac:dyDescent="0.35">
      <c r="A134" s="24"/>
      <c r="B134" s="16"/>
      <c r="D134" s="19"/>
      <c r="E134" s="16"/>
      <c r="F134" s="19"/>
      <c r="G134" s="70"/>
      <c r="H134" s="70"/>
      <c r="I134" s="70"/>
      <c r="J134" s="70"/>
      <c r="K134" s="70"/>
      <c r="L134" s="70"/>
      <c r="M134" s="70"/>
      <c r="N134" s="16"/>
      <c r="O134" s="16"/>
      <c r="P134" s="16"/>
      <c r="Q134" s="16"/>
    </row>
    <row r="135" spans="1:17" s="50" customFormat="1" ht="16.5" x14ac:dyDescent="0.35">
      <c r="A135" s="24"/>
      <c r="B135" s="16"/>
      <c r="D135" s="19"/>
      <c r="E135" s="16"/>
      <c r="F135" s="19"/>
      <c r="G135" s="70"/>
      <c r="H135" s="70"/>
      <c r="I135" s="70"/>
      <c r="J135" s="70"/>
      <c r="K135" s="70"/>
      <c r="L135" s="70"/>
      <c r="M135" s="70"/>
      <c r="N135" s="16"/>
      <c r="O135" s="16"/>
      <c r="P135" s="16"/>
      <c r="Q135" s="16"/>
    </row>
    <row r="136" spans="1:17" s="50" customFormat="1" ht="16.5" x14ac:dyDescent="0.35">
      <c r="A136" s="24"/>
      <c r="B136" s="16"/>
      <c r="D136" s="19"/>
      <c r="E136" s="16"/>
      <c r="F136" s="19"/>
      <c r="G136" s="70"/>
      <c r="H136" s="70"/>
      <c r="I136" s="70"/>
      <c r="J136" s="70"/>
      <c r="K136" s="70"/>
      <c r="L136" s="70"/>
      <c r="M136" s="70"/>
      <c r="N136" s="16"/>
      <c r="O136" s="16"/>
      <c r="P136" s="16"/>
      <c r="Q136" s="16"/>
    </row>
    <row r="137" spans="1:17" s="50" customFormat="1" ht="16.5" x14ac:dyDescent="0.35">
      <c r="A137" s="24"/>
      <c r="B137" s="16"/>
      <c r="D137" s="19"/>
      <c r="E137" s="16"/>
      <c r="F137" s="19"/>
      <c r="G137" s="19"/>
      <c r="H137" s="19"/>
      <c r="I137" s="19"/>
      <c r="J137" s="19"/>
      <c r="K137" s="19"/>
      <c r="L137" s="19"/>
      <c r="M137" s="19"/>
      <c r="N137" s="16"/>
      <c r="O137" s="16"/>
      <c r="P137" s="16"/>
      <c r="Q137" s="16"/>
    </row>
    <row r="138" spans="1:17" s="50" customFormat="1" ht="16.5" x14ac:dyDescent="0.35">
      <c r="A138" s="24"/>
      <c r="B138" s="16"/>
      <c r="D138" s="19"/>
      <c r="E138" s="16"/>
      <c r="F138" s="19"/>
      <c r="G138" s="19"/>
      <c r="H138" s="19"/>
      <c r="I138" s="19"/>
      <c r="J138" s="19"/>
      <c r="K138" s="19"/>
      <c r="L138" s="19"/>
      <c r="M138" s="19"/>
      <c r="N138" s="16"/>
      <c r="O138" s="16"/>
      <c r="P138" s="16"/>
      <c r="Q138" s="16"/>
    </row>
    <row r="139" spans="1:17" s="50" customFormat="1" ht="16.5" x14ac:dyDescent="0.35">
      <c r="A139" s="24"/>
      <c r="B139" s="16"/>
      <c r="D139" s="19"/>
      <c r="E139" s="16"/>
      <c r="F139" s="19"/>
      <c r="G139" s="19"/>
      <c r="H139" s="19"/>
      <c r="I139" s="19"/>
      <c r="J139" s="19"/>
      <c r="K139" s="19"/>
      <c r="L139" s="19"/>
      <c r="M139" s="19"/>
      <c r="N139" s="16"/>
      <c r="O139" s="16"/>
      <c r="P139" s="16"/>
      <c r="Q139" s="16"/>
    </row>
    <row r="140" spans="1:17" s="50" customFormat="1" ht="16.5" x14ac:dyDescent="0.35">
      <c r="A140" s="24"/>
      <c r="B140" s="16"/>
      <c r="D140" s="19"/>
      <c r="E140" s="16"/>
      <c r="F140" s="19"/>
      <c r="G140" s="19"/>
      <c r="H140" s="19"/>
      <c r="I140" s="19"/>
      <c r="J140" s="19"/>
      <c r="K140" s="19"/>
      <c r="L140" s="19"/>
      <c r="M140" s="19"/>
      <c r="N140" s="16"/>
      <c r="O140" s="16"/>
      <c r="P140" s="16"/>
      <c r="Q140" s="16"/>
    </row>
    <row r="141" spans="1:17" s="50" customFormat="1" ht="16.5" x14ac:dyDescent="0.35">
      <c r="A141" s="24"/>
      <c r="B141" s="22"/>
      <c r="D141" s="19"/>
      <c r="E141" s="22"/>
      <c r="F141" s="19"/>
      <c r="G141" s="38"/>
      <c r="H141" s="38"/>
      <c r="I141" s="38"/>
      <c r="J141" s="38"/>
      <c r="K141" s="38"/>
      <c r="L141" s="38"/>
      <c r="M141" s="38"/>
      <c r="N141" s="22"/>
      <c r="O141" s="22"/>
      <c r="P141" s="22"/>
      <c r="Q141" s="22"/>
    </row>
    <row r="142" spans="1:17" s="50" customFormat="1" ht="16.5" x14ac:dyDescent="0.35">
      <c r="A142" s="24"/>
      <c r="B142" s="22"/>
      <c r="D142" s="19"/>
      <c r="E142" s="22"/>
      <c r="F142" s="19"/>
      <c r="G142" s="38"/>
      <c r="H142" s="38"/>
      <c r="I142" s="38"/>
      <c r="J142" s="38"/>
      <c r="K142" s="38"/>
      <c r="L142" s="38"/>
      <c r="M142" s="38"/>
      <c r="N142" s="22"/>
      <c r="O142" s="22"/>
      <c r="P142" s="22"/>
      <c r="Q142" s="22"/>
    </row>
    <row r="143" spans="1:17" s="50" customFormat="1" ht="16.5" x14ac:dyDescent="0.35">
      <c r="A143" s="24"/>
      <c r="B143" s="22"/>
      <c r="D143" s="19"/>
      <c r="E143" s="22"/>
      <c r="F143" s="19"/>
      <c r="G143" s="38"/>
      <c r="H143" s="38"/>
      <c r="I143" s="38"/>
      <c r="J143" s="38"/>
      <c r="K143" s="38"/>
      <c r="L143" s="38"/>
      <c r="M143" s="38"/>
      <c r="N143" s="22"/>
      <c r="O143" s="22"/>
      <c r="P143" s="22"/>
      <c r="Q143" s="22"/>
    </row>
    <row r="144" spans="1:17" s="50" customFormat="1" ht="16.5" x14ac:dyDescent="0.35">
      <c r="A144" s="24"/>
      <c r="B144" s="22"/>
      <c r="D144" s="19"/>
      <c r="E144" s="22"/>
      <c r="F144" s="19"/>
      <c r="G144" s="38"/>
      <c r="H144" s="38"/>
      <c r="I144" s="38"/>
      <c r="J144" s="38"/>
      <c r="K144" s="38"/>
      <c r="L144" s="38"/>
      <c r="M144" s="38"/>
      <c r="N144" s="22"/>
      <c r="O144" s="22"/>
      <c r="P144" s="22"/>
      <c r="Q144" s="22"/>
    </row>
    <row r="145" spans="1:17" s="50" customFormat="1" ht="16.5" x14ac:dyDescent="0.35">
      <c r="A145" s="24"/>
      <c r="B145" s="16"/>
      <c r="D145" s="32"/>
      <c r="E145" s="69"/>
      <c r="F145" s="32"/>
      <c r="G145" s="70"/>
      <c r="H145" s="70"/>
      <c r="I145" s="70"/>
      <c r="J145" s="70"/>
      <c r="K145" s="70"/>
      <c r="L145" s="70"/>
      <c r="M145" s="70"/>
      <c r="N145" s="71"/>
      <c r="O145" s="71"/>
      <c r="P145" s="71"/>
      <c r="Q145" s="71"/>
    </row>
    <row r="146" spans="1:17" s="50" customFormat="1" ht="16.5" x14ac:dyDescent="0.35">
      <c r="A146" s="24"/>
      <c r="B146" s="16"/>
      <c r="D146" s="32"/>
      <c r="E146" s="69"/>
      <c r="F146" s="32"/>
      <c r="G146" s="70"/>
      <c r="H146" s="70"/>
      <c r="I146" s="70"/>
      <c r="J146" s="70"/>
      <c r="K146" s="70"/>
      <c r="L146" s="70"/>
      <c r="M146" s="70"/>
      <c r="N146" s="71"/>
      <c r="O146" s="71"/>
      <c r="P146" s="71"/>
      <c r="Q146" s="71"/>
    </row>
    <row r="147" spans="1:17" s="50" customFormat="1" ht="16.5" x14ac:dyDescent="0.35">
      <c r="A147" s="24"/>
      <c r="B147" s="16"/>
      <c r="D147" s="32"/>
      <c r="E147" s="69"/>
      <c r="F147" s="32"/>
      <c r="G147" s="70"/>
      <c r="H147" s="70"/>
      <c r="I147" s="70"/>
      <c r="J147" s="70"/>
      <c r="K147" s="70"/>
      <c r="L147" s="70"/>
      <c r="M147" s="70"/>
      <c r="N147" s="71"/>
      <c r="O147" s="71"/>
      <c r="P147" s="71"/>
      <c r="Q147" s="71"/>
    </row>
    <row r="148" spans="1:17" s="50" customFormat="1" ht="16.5" x14ac:dyDescent="0.35">
      <c r="A148" s="24"/>
      <c r="B148" s="16"/>
      <c r="D148" s="32"/>
      <c r="E148" s="69"/>
      <c r="F148" s="32"/>
      <c r="G148" s="70"/>
      <c r="H148" s="70"/>
      <c r="I148" s="70"/>
      <c r="J148" s="70"/>
      <c r="K148" s="70"/>
      <c r="L148" s="70"/>
      <c r="M148" s="70"/>
      <c r="N148" s="71"/>
      <c r="O148" s="71"/>
      <c r="P148" s="71"/>
      <c r="Q148" s="71"/>
    </row>
    <row r="149" spans="1:17" s="50" customFormat="1" ht="16.5" x14ac:dyDescent="0.35">
      <c r="A149" s="24"/>
      <c r="B149" s="16"/>
      <c r="D149" s="19"/>
      <c r="E149" s="16"/>
      <c r="F149" s="19"/>
      <c r="L149" s="13"/>
      <c r="M149" s="13"/>
      <c r="N149" s="16"/>
      <c r="O149" s="16"/>
      <c r="P149" s="16"/>
      <c r="Q149" s="16"/>
    </row>
    <row r="150" spans="1:17" s="50" customFormat="1" ht="16.5" x14ac:dyDescent="0.35">
      <c r="A150" s="24"/>
      <c r="B150" s="16"/>
      <c r="D150" s="19"/>
      <c r="E150" s="16"/>
      <c r="F150" s="19"/>
      <c r="L150" s="13"/>
      <c r="M150" s="13"/>
      <c r="N150" s="16"/>
      <c r="O150" s="16"/>
      <c r="P150" s="16"/>
      <c r="Q150" s="16"/>
    </row>
    <row r="151" spans="1:17" s="50" customFormat="1" ht="16.5" x14ac:dyDescent="0.35">
      <c r="A151" s="24"/>
      <c r="B151" s="16"/>
      <c r="D151" s="19"/>
      <c r="E151" s="16"/>
      <c r="F151" s="19"/>
      <c r="L151" s="13"/>
      <c r="M151" s="13"/>
      <c r="N151" s="16"/>
      <c r="O151" s="16"/>
      <c r="P151" s="16"/>
      <c r="Q151" s="16"/>
    </row>
    <row r="152" spans="1:17" s="50" customFormat="1" ht="16.5" x14ac:dyDescent="0.35">
      <c r="A152" s="24"/>
      <c r="B152" s="16"/>
      <c r="D152" s="19"/>
      <c r="E152" s="16"/>
      <c r="F152" s="19"/>
      <c r="L152" s="13"/>
      <c r="M152" s="13"/>
      <c r="N152" s="16"/>
      <c r="O152" s="16"/>
      <c r="P152" s="16"/>
      <c r="Q152" s="16"/>
    </row>
    <row r="153" spans="1:17" s="50" customFormat="1" ht="16.5" x14ac:dyDescent="0.35">
      <c r="A153" s="24"/>
      <c r="B153" s="16"/>
      <c r="D153" s="19"/>
      <c r="E153" s="72"/>
      <c r="F153" s="19"/>
      <c r="G153" s="70"/>
      <c r="H153" s="70"/>
      <c r="I153" s="70"/>
      <c r="J153" s="70"/>
      <c r="K153" s="70"/>
      <c r="L153" s="70"/>
      <c r="M153" s="70"/>
      <c r="N153" s="72"/>
      <c r="O153" s="72"/>
      <c r="P153" s="72"/>
      <c r="Q153" s="72"/>
    </row>
    <row r="154" spans="1:17" s="50" customFormat="1" ht="16.5" x14ac:dyDescent="0.35">
      <c r="A154" s="24"/>
      <c r="B154" s="16"/>
      <c r="D154" s="32"/>
      <c r="E154" s="69"/>
      <c r="F154" s="32"/>
      <c r="G154" s="70"/>
      <c r="H154" s="70"/>
      <c r="I154" s="70"/>
      <c r="J154" s="70"/>
      <c r="K154" s="70"/>
      <c r="L154" s="70"/>
      <c r="M154" s="70"/>
      <c r="N154" s="71"/>
      <c r="O154" s="71"/>
      <c r="P154" s="71"/>
      <c r="Q154" s="71"/>
    </row>
    <row r="155" spans="1:17" s="50" customFormat="1" ht="16.5" x14ac:dyDescent="0.35">
      <c r="A155" s="24"/>
      <c r="B155" s="16"/>
      <c r="D155" s="32"/>
      <c r="E155" s="69"/>
      <c r="F155" s="32"/>
      <c r="G155" s="70"/>
      <c r="H155" s="70"/>
      <c r="I155" s="70"/>
      <c r="J155" s="70"/>
      <c r="K155" s="70"/>
      <c r="L155" s="70"/>
      <c r="M155" s="70"/>
      <c r="N155" s="71"/>
      <c r="O155" s="71"/>
      <c r="P155" s="71"/>
      <c r="Q155" s="71"/>
    </row>
    <row r="156" spans="1:17" s="50" customFormat="1" ht="16.5" x14ac:dyDescent="0.35">
      <c r="A156" s="24"/>
      <c r="B156" s="16"/>
      <c r="D156" s="32"/>
      <c r="E156" s="69"/>
      <c r="F156" s="32"/>
      <c r="G156" s="70"/>
      <c r="H156" s="70"/>
      <c r="I156" s="70"/>
      <c r="J156" s="70"/>
      <c r="K156" s="70"/>
      <c r="L156" s="70"/>
      <c r="M156" s="70"/>
      <c r="N156" s="71"/>
      <c r="O156" s="71"/>
      <c r="P156" s="71"/>
      <c r="Q156" s="71"/>
    </row>
    <row r="157" spans="1:17" s="50" customFormat="1" ht="16.5" x14ac:dyDescent="0.35">
      <c r="A157" s="24"/>
      <c r="B157" s="16"/>
      <c r="D157" s="32"/>
      <c r="E157" s="69"/>
      <c r="F157" s="32"/>
      <c r="G157" s="70"/>
      <c r="H157" s="70"/>
      <c r="I157" s="70"/>
      <c r="J157" s="70"/>
      <c r="K157" s="70"/>
      <c r="L157" s="70"/>
      <c r="M157" s="70"/>
      <c r="N157" s="71"/>
      <c r="O157" s="71"/>
      <c r="P157" s="71"/>
      <c r="Q157" s="71"/>
    </row>
    <row r="158" spans="1:17" s="50" customFormat="1" ht="16.5" x14ac:dyDescent="0.35">
      <c r="A158" s="24"/>
      <c r="B158" s="16"/>
      <c r="D158" s="19"/>
      <c r="E158" s="69"/>
      <c r="F158" s="19"/>
      <c r="G158" s="70"/>
      <c r="H158" s="70"/>
      <c r="I158" s="70"/>
      <c r="J158" s="70"/>
      <c r="K158" s="70"/>
      <c r="L158" s="70"/>
      <c r="M158" s="70"/>
      <c r="N158" s="71"/>
      <c r="O158" s="71"/>
      <c r="P158" s="71"/>
      <c r="Q158" s="71"/>
    </row>
    <row r="159" spans="1:17" s="50" customFormat="1" ht="16.5" x14ac:dyDescent="0.35">
      <c r="A159" s="24"/>
      <c r="B159" s="16"/>
      <c r="D159" s="19"/>
      <c r="E159" s="69"/>
      <c r="F159" s="19"/>
      <c r="G159" s="70"/>
      <c r="H159" s="70"/>
      <c r="I159" s="70"/>
      <c r="J159" s="70"/>
      <c r="K159" s="70"/>
      <c r="L159" s="70"/>
      <c r="M159" s="70"/>
      <c r="N159" s="71"/>
      <c r="O159" s="71"/>
      <c r="P159" s="71"/>
      <c r="Q159" s="71"/>
    </row>
    <row r="160" spans="1:17" s="50" customFormat="1" ht="16.5" x14ac:dyDescent="0.35">
      <c r="A160" s="24"/>
      <c r="B160" s="16"/>
      <c r="D160" s="19"/>
      <c r="E160" s="69"/>
      <c r="F160" s="19"/>
      <c r="G160" s="70"/>
      <c r="H160" s="70"/>
      <c r="I160" s="70"/>
      <c r="J160" s="70"/>
      <c r="K160" s="70"/>
      <c r="L160" s="70"/>
      <c r="M160" s="70"/>
      <c r="N160" s="71"/>
      <c r="O160" s="71"/>
      <c r="P160" s="71"/>
      <c r="Q160" s="71"/>
    </row>
    <row r="161" spans="1:17" s="50" customFormat="1" ht="16.5" x14ac:dyDescent="0.35">
      <c r="A161" s="24"/>
      <c r="B161" s="16"/>
      <c r="D161" s="19"/>
      <c r="E161" s="69"/>
      <c r="F161" s="19"/>
      <c r="G161" s="70"/>
      <c r="H161" s="70"/>
      <c r="I161" s="70"/>
      <c r="J161" s="70"/>
      <c r="K161" s="70"/>
      <c r="L161" s="70"/>
      <c r="M161" s="70"/>
      <c r="N161" s="71"/>
      <c r="O161" s="71"/>
      <c r="P161" s="71"/>
      <c r="Q161" s="71"/>
    </row>
    <row r="162" spans="1:17" s="50" customFormat="1" ht="16.5" x14ac:dyDescent="0.35">
      <c r="A162" s="24"/>
      <c r="B162" s="16"/>
      <c r="D162" s="19"/>
      <c r="E162" s="16"/>
      <c r="F162" s="19"/>
      <c r="L162" s="13"/>
      <c r="M162" s="13"/>
      <c r="N162" s="16"/>
      <c r="O162" s="16"/>
      <c r="P162" s="16"/>
      <c r="Q162" s="16"/>
    </row>
    <row r="163" spans="1:17" x14ac:dyDescent="0.35">
      <c r="E163" s="57"/>
      <c r="F163" s="52"/>
      <c r="L163" s="58"/>
      <c r="M163" s="58"/>
      <c r="N163" s="57"/>
      <c r="O163" s="57"/>
      <c r="P163" s="57"/>
      <c r="Q163" s="57"/>
    </row>
    <row r="164" spans="1:17" x14ac:dyDescent="0.35">
      <c r="E164" s="57"/>
      <c r="F164" s="52"/>
      <c r="L164" s="58"/>
      <c r="M164" s="58"/>
      <c r="N164" s="57"/>
      <c r="O164" s="57"/>
      <c r="P164" s="57"/>
      <c r="Q164" s="57"/>
    </row>
    <row r="165" spans="1:17" x14ac:dyDescent="0.35">
      <c r="E165" s="57"/>
      <c r="F165" s="52"/>
      <c r="L165" s="58"/>
      <c r="M165" s="58"/>
      <c r="N165" s="57"/>
      <c r="O165" s="57"/>
      <c r="P165" s="57"/>
      <c r="Q165" s="57"/>
    </row>
    <row r="166" spans="1:17" x14ac:dyDescent="0.35">
      <c r="E166" s="61"/>
      <c r="F166" s="52"/>
      <c r="G166" s="54"/>
      <c r="H166" s="54"/>
      <c r="I166" s="54"/>
      <c r="J166" s="54"/>
      <c r="K166" s="54"/>
      <c r="L166" s="54"/>
      <c r="M166" s="54"/>
      <c r="N166" s="61"/>
      <c r="O166" s="61"/>
      <c r="P166" s="61"/>
      <c r="Q166" s="61"/>
    </row>
    <row r="167" spans="1:17" x14ac:dyDescent="0.35">
      <c r="E167" s="62"/>
      <c r="F167" s="52"/>
      <c r="G167" s="63"/>
      <c r="H167" s="63"/>
      <c r="I167" s="63"/>
      <c r="J167" s="60"/>
      <c r="K167" s="60"/>
      <c r="L167" s="60"/>
      <c r="M167" s="60"/>
      <c r="N167" s="62"/>
      <c r="O167" s="62"/>
      <c r="P167" s="62"/>
      <c r="Q167" s="62"/>
    </row>
    <row r="168" spans="1:17" x14ac:dyDescent="0.35">
      <c r="E168" s="53"/>
      <c r="F168" s="52"/>
      <c r="G168" s="54"/>
      <c r="H168" s="54"/>
      <c r="I168" s="54"/>
      <c r="J168" s="54"/>
      <c r="K168" s="54"/>
      <c r="L168" s="54"/>
      <c r="M168" s="54"/>
      <c r="N168" s="67"/>
      <c r="O168" s="67"/>
      <c r="P168" s="67"/>
      <c r="Q168" s="67"/>
    </row>
    <row r="169" spans="1:17" x14ac:dyDescent="0.35">
      <c r="E169" s="53"/>
      <c r="F169" s="52"/>
      <c r="G169" s="54"/>
      <c r="H169" s="54"/>
      <c r="I169" s="54"/>
      <c r="J169" s="54"/>
      <c r="K169" s="54"/>
      <c r="L169" s="54"/>
      <c r="M169" s="54"/>
      <c r="N169" s="67"/>
      <c r="O169" s="67"/>
      <c r="P169" s="67"/>
      <c r="Q169" s="67"/>
    </row>
    <row r="170" spans="1:17" x14ac:dyDescent="0.35">
      <c r="E170" s="53"/>
      <c r="F170" s="52"/>
      <c r="G170" s="54"/>
      <c r="H170" s="54"/>
      <c r="I170" s="54"/>
      <c r="J170" s="54"/>
      <c r="K170" s="54"/>
      <c r="L170" s="54"/>
      <c r="M170" s="54"/>
      <c r="N170" s="67"/>
      <c r="O170" s="67"/>
      <c r="P170" s="67"/>
      <c r="Q170" s="67"/>
    </row>
    <row r="171" spans="1:17" x14ac:dyDescent="0.35">
      <c r="E171" s="53"/>
      <c r="F171" s="52"/>
      <c r="G171" s="54"/>
      <c r="H171" s="54"/>
      <c r="I171" s="54"/>
      <c r="J171" s="54"/>
      <c r="K171" s="54"/>
      <c r="L171" s="54"/>
      <c r="M171" s="54"/>
      <c r="N171" s="67"/>
      <c r="O171" s="67"/>
      <c r="P171" s="67"/>
      <c r="Q171" s="67"/>
    </row>
    <row r="172" spans="1:17" x14ac:dyDescent="0.35">
      <c r="E172" s="57"/>
      <c r="F172" s="52"/>
      <c r="G172" s="58"/>
      <c r="H172" s="58"/>
      <c r="I172" s="58"/>
      <c r="J172" s="58"/>
      <c r="K172" s="58"/>
      <c r="L172" s="58"/>
      <c r="M172" s="58"/>
      <c r="N172" s="56"/>
      <c r="O172" s="57"/>
      <c r="P172" s="57"/>
      <c r="Q172" s="57"/>
    </row>
    <row r="173" spans="1:17" x14ac:dyDescent="0.35">
      <c r="E173" s="57"/>
      <c r="F173" s="52"/>
      <c r="G173" s="58"/>
      <c r="H173" s="58"/>
      <c r="I173" s="58"/>
      <c r="J173" s="58"/>
      <c r="K173" s="58"/>
      <c r="L173" s="58"/>
      <c r="M173" s="58"/>
      <c r="N173" s="56"/>
      <c r="O173" s="57"/>
      <c r="P173" s="57"/>
      <c r="Q173" s="57"/>
    </row>
    <row r="174" spans="1:17" x14ac:dyDescent="0.35">
      <c r="E174" s="57"/>
      <c r="F174" s="52"/>
      <c r="G174" s="58"/>
      <c r="H174" s="58"/>
      <c r="I174" s="58"/>
      <c r="J174" s="58"/>
      <c r="K174" s="58"/>
      <c r="L174" s="58"/>
      <c r="M174" s="58"/>
      <c r="N174" s="56"/>
      <c r="O174" s="57"/>
      <c r="P174" s="57"/>
      <c r="Q174" s="57"/>
    </row>
    <row r="175" spans="1:17" x14ac:dyDescent="0.35">
      <c r="E175" s="57"/>
      <c r="F175" s="52"/>
      <c r="G175" s="58"/>
      <c r="H175" s="58"/>
      <c r="I175" s="58"/>
      <c r="J175" s="58"/>
      <c r="K175" s="58"/>
      <c r="L175" s="58"/>
      <c r="M175" s="58"/>
      <c r="N175" s="56"/>
      <c r="O175" s="57"/>
      <c r="P175" s="57"/>
      <c r="Q175" s="57"/>
    </row>
    <row r="176" spans="1:17" x14ac:dyDescent="0.35">
      <c r="E176" s="57"/>
      <c r="F176" s="52"/>
      <c r="I176" s="52"/>
      <c r="N176" s="57"/>
      <c r="O176" s="57"/>
      <c r="P176" s="57"/>
      <c r="Q176" s="57"/>
    </row>
    <row r="177" spans="5:17" x14ac:dyDescent="0.35">
      <c r="E177" s="57"/>
      <c r="F177" s="52"/>
      <c r="I177" s="52"/>
      <c r="N177" s="57"/>
      <c r="O177" s="57"/>
      <c r="P177" s="57"/>
      <c r="Q177" s="57"/>
    </row>
    <row r="178" spans="5:17" x14ac:dyDescent="0.35">
      <c r="E178" s="57"/>
      <c r="F178" s="52"/>
      <c r="I178" s="52"/>
      <c r="N178" s="57"/>
      <c r="O178" s="57"/>
      <c r="P178" s="57"/>
      <c r="Q178" s="57"/>
    </row>
    <row r="179" spans="5:17" x14ac:dyDescent="0.35">
      <c r="E179" s="57"/>
      <c r="F179" s="52"/>
      <c r="I179" s="52"/>
      <c r="N179" s="57"/>
      <c r="O179" s="57"/>
      <c r="P179" s="57"/>
      <c r="Q179" s="57"/>
    </row>
    <row r="180" spans="5:17" x14ac:dyDescent="0.35">
      <c r="E180" s="64"/>
      <c r="F180" s="52"/>
      <c r="G180" s="54"/>
      <c r="H180" s="54"/>
      <c r="I180" s="54"/>
      <c r="J180" s="54"/>
      <c r="K180" s="54"/>
      <c r="L180" s="54"/>
      <c r="M180" s="54"/>
      <c r="N180" s="56"/>
      <c r="O180" s="56"/>
      <c r="P180" s="56"/>
      <c r="Q180" s="56"/>
    </row>
    <row r="181" spans="5:17" x14ac:dyDescent="0.35">
      <c r="E181" s="64"/>
      <c r="F181" s="52"/>
      <c r="G181" s="54"/>
      <c r="H181" s="54"/>
      <c r="I181" s="54"/>
      <c r="J181" s="54"/>
      <c r="K181" s="54"/>
      <c r="L181" s="54"/>
      <c r="M181" s="54"/>
      <c r="N181" s="56"/>
      <c r="O181" s="56"/>
      <c r="P181" s="56"/>
      <c r="Q181" s="56"/>
    </row>
    <row r="182" spans="5:17" x14ac:dyDescent="0.35">
      <c r="E182" s="64"/>
      <c r="F182" s="52"/>
      <c r="G182" s="54"/>
      <c r="H182" s="54"/>
      <c r="I182" s="54"/>
      <c r="J182" s="54"/>
      <c r="K182" s="54"/>
      <c r="L182" s="54"/>
      <c r="M182" s="54"/>
      <c r="N182" s="56"/>
      <c r="O182" s="56"/>
      <c r="P182" s="56"/>
      <c r="Q182" s="56"/>
    </row>
    <row r="183" spans="5:17" x14ac:dyDescent="0.35">
      <c r="E183" s="53"/>
      <c r="F183" s="52"/>
      <c r="G183" s="54"/>
      <c r="H183" s="54"/>
      <c r="I183" s="54"/>
      <c r="J183" s="54"/>
      <c r="K183" s="54"/>
      <c r="L183" s="54"/>
      <c r="M183" s="54"/>
      <c r="N183" s="67"/>
      <c r="O183" s="67"/>
      <c r="P183" s="67"/>
      <c r="Q183" s="67"/>
    </row>
    <row r="184" spans="5:17" x14ac:dyDescent="0.35">
      <c r="E184" s="53"/>
      <c r="F184" s="52"/>
      <c r="G184" s="54"/>
      <c r="H184" s="54"/>
      <c r="I184" s="54"/>
      <c r="J184" s="54"/>
      <c r="K184" s="54"/>
      <c r="L184" s="54"/>
      <c r="M184" s="54"/>
      <c r="N184" s="67"/>
      <c r="O184" s="67"/>
      <c r="P184" s="67"/>
      <c r="Q184" s="67"/>
    </row>
    <row r="185" spans="5:17" x14ac:dyDescent="0.35">
      <c r="E185" s="53"/>
      <c r="F185" s="52"/>
      <c r="G185" s="54"/>
      <c r="H185" s="54"/>
      <c r="I185" s="54"/>
      <c r="J185" s="54"/>
      <c r="K185" s="54"/>
      <c r="L185" s="54"/>
      <c r="M185" s="54"/>
      <c r="N185" s="67"/>
      <c r="O185" s="67"/>
      <c r="P185" s="67"/>
      <c r="Q185" s="67"/>
    </row>
    <row r="186" spans="5:17" x14ac:dyDescent="0.35">
      <c r="E186" s="53"/>
      <c r="F186" s="52"/>
      <c r="G186" s="54"/>
      <c r="H186" s="54"/>
      <c r="I186" s="54"/>
      <c r="J186" s="54"/>
      <c r="K186" s="54"/>
      <c r="L186" s="54"/>
      <c r="M186" s="54"/>
      <c r="N186" s="67"/>
      <c r="O186" s="67"/>
      <c r="P186" s="67"/>
      <c r="Q186" s="67"/>
    </row>
    <row r="187" spans="5:17" x14ac:dyDescent="0.35">
      <c r="E187" s="53"/>
      <c r="F187" s="52"/>
      <c r="G187" s="54"/>
      <c r="H187" s="54"/>
      <c r="I187" s="54"/>
      <c r="J187" s="54"/>
      <c r="K187" s="54"/>
      <c r="L187" s="54"/>
      <c r="M187" s="54"/>
      <c r="N187" s="67"/>
      <c r="O187" s="67"/>
      <c r="P187" s="67"/>
      <c r="Q187" s="67"/>
    </row>
    <row r="188" spans="5:17" x14ac:dyDescent="0.35">
      <c r="E188" s="53"/>
      <c r="F188" s="52"/>
      <c r="G188" s="54"/>
      <c r="H188" s="54"/>
      <c r="I188" s="54"/>
      <c r="J188" s="54"/>
      <c r="K188" s="54"/>
      <c r="L188" s="54"/>
      <c r="M188" s="54"/>
      <c r="N188" s="67"/>
      <c r="O188" s="67"/>
      <c r="P188" s="67"/>
      <c r="Q188" s="67"/>
    </row>
    <row r="189" spans="5:17" x14ac:dyDescent="0.35">
      <c r="E189" s="53"/>
      <c r="F189" s="52"/>
      <c r="G189" s="54"/>
      <c r="H189" s="54"/>
      <c r="I189" s="54"/>
      <c r="J189" s="54"/>
      <c r="K189" s="54"/>
      <c r="L189" s="54"/>
      <c r="M189" s="54"/>
      <c r="N189" s="67"/>
      <c r="O189" s="67"/>
      <c r="P189" s="67"/>
      <c r="Q189" s="67"/>
    </row>
    <row r="190" spans="5:17" x14ac:dyDescent="0.35">
      <c r="E190" s="53"/>
      <c r="F190" s="52"/>
      <c r="G190" s="54"/>
      <c r="H190" s="54"/>
      <c r="I190" s="54"/>
      <c r="J190" s="54"/>
      <c r="K190" s="54"/>
      <c r="L190" s="54"/>
      <c r="M190" s="54"/>
      <c r="N190" s="67"/>
      <c r="O190" s="67"/>
      <c r="P190" s="67"/>
      <c r="Q190" s="67"/>
    </row>
    <row r="191" spans="5:17" x14ac:dyDescent="0.35">
      <c r="E191" s="53"/>
      <c r="F191" s="52"/>
      <c r="G191" s="54"/>
      <c r="H191" s="54"/>
      <c r="I191" s="54"/>
      <c r="J191" s="54"/>
      <c r="K191" s="54"/>
      <c r="L191" s="54"/>
      <c r="M191" s="54"/>
      <c r="N191" s="67"/>
      <c r="O191" s="67"/>
      <c r="P191" s="67"/>
      <c r="Q191" s="67"/>
    </row>
    <row r="192" spans="5:17" x14ac:dyDescent="0.35">
      <c r="E192" s="53"/>
      <c r="F192" s="52"/>
      <c r="G192" s="54"/>
      <c r="H192" s="54"/>
      <c r="I192" s="54"/>
      <c r="J192" s="54"/>
      <c r="K192" s="54"/>
      <c r="L192" s="54"/>
      <c r="M192" s="54"/>
      <c r="N192" s="67"/>
      <c r="O192" s="67"/>
      <c r="P192" s="67"/>
      <c r="Q192" s="67"/>
    </row>
    <row r="193" spans="4:17" x14ac:dyDescent="0.35">
      <c r="E193" s="53"/>
      <c r="F193" s="52"/>
      <c r="G193" s="54"/>
      <c r="H193" s="54"/>
      <c r="I193" s="54"/>
      <c r="J193" s="54"/>
      <c r="K193" s="54"/>
      <c r="L193" s="54"/>
      <c r="M193" s="54"/>
      <c r="N193" s="67"/>
      <c r="O193" s="67"/>
      <c r="P193" s="67"/>
      <c r="Q193" s="67"/>
    </row>
    <row r="194" spans="4:17" x14ac:dyDescent="0.35">
      <c r="E194" s="53"/>
      <c r="F194" s="52"/>
      <c r="G194" s="54"/>
      <c r="H194" s="54"/>
      <c r="I194" s="54"/>
      <c r="J194" s="54"/>
      <c r="K194" s="54"/>
      <c r="L194" s="54"/>
      <c r="M194" s="54"/>
      <c r="N194" s="67"/>
      <c r="O194" s="67"/>
      <c r="P194" s="67"/>
      <c r="Q194" s="67"/>
    </row>
    <row r="195" spans="4:17" x14ac:dyDescent="0.35">
      <c r="E195" s="53"/>
      <c r="F195" s="52"/>
      <c r="G195" s="54"/>
      <c r="H195" s="54"/>
      <c r="I195" s="54"/>
      <c r="J195" s="54"/>
      <c r="K195" s="54"/>
      <c r="L195" s="54"/>
      <c r="M195" s="54"/>
      <c r="N195" s="67"/>
      <c r="O195" s="67"/>
      <c r="P195" s="67"/>
      <c r="Q195" s="67"/>
    </row>
    <row r="196" spans="4:17" x14ac:dyDescent="0.35">
      <c r="E196" s="53"/>
      <c r="F196" s="52"/>
      <c r="G196" s="54"/>
      <c r="H196" s="54"/>
      <c r="I196" s="54"/>
      <c r="J196" s="54"/>
      <c r="K196" s="54"/>
      <c r="L196" s="54"/>
      <c r="M196" s="54"/>
      <c r="N196" s="67"/>
      <c r="O196" s="67"/>
      <c r="P196" s="67"/>
      <c r="Q196" s="67"/>
    </row>
    <row r="197" spans="4:17" x14ac:dyDescent="0.35">
      <c r="E197" s="53"/>
      <c r="F197" s="52"/>
      <c r="G197" s="54"/>
      <c r="H197" s="54"/>
      <c r="I197" s="54"/>
      <c r="J197" s="54"/>
      <c r="K197" s="54"/>
      <c r="L197" s="54"/>
      <c r="M197" s="54"/>
      <c r="N197" s="67"/>
      <c r="O197" s="67"/>
      <c r="P197" s="67"/>
      <c r="Q197" s="67"/>
    </row>
    <row r="198" spans="4:17" x14ac:dyDescent="0.35">
      <c r="E198" s="53"/>
      <c r="F198" s="52"/>
      <c r="G198" s="54"/>
      <c r="H198" s="54"/>
      <c r="I198" s="54"/>
      <c r="J198" s="54"/>
      <c r="K198" s="54"/>
      <c r="L198" s="54"/>
      <c r="M198" s="54"/>
      <c r="N198" s="67"/>
      <c r="O198" s="67"/>
      <c r="P198" s="67"/>
      <c r="Q198" s="67"/>
    </row>
    <row r="199" spans="4:17" x14ac:dyDescent="0.35">
      <c r="D199" s="59"/>
      <c r="E199" s="53"/>
      <c r="F199" s="59"/>
      <c r="G199" s="54"/>
      <c r="H199" s="54"/>
      <c r="I199" s="54"/>
      <c r="J199" s="54"/>
      <c r="K199" s="54"/>
      <c r="L199" s="54"/>
      <c r="M199" s="54"/>
      <c r="N199" s="67"/>
      <c r="O199" s="67"/>
      <c r="P199" s="67"/>
      <c r="Q199" s="67"/>
    </row>
    <row r="200" spans="4:17" x14ac:dyDescent="0.35">
      <c r="D200" s="59"/>
      <c r="E200" s="53"/>
      <c r="F200" s="59"/>
      <c r="G200" s="54"/>
      <c r="H200" s="54"/>
      <c r="I200" s="54"/>
      <c r="J200" s="54"/>
      <c r="K200" s="54"/>
      <c r="L200" s="54"/>
      <c r="M200" s="54"/>
      <c r="N200" s="67"/>
      <c r="O200" s="67"/>
      <c r="P200" s="67"/>
      <c r="Q200" s="67"/>
    </row>
    <row r="201" spans="4:17" x14ac:dyDescent="0.35">
      <c r="D201" s="59"/>
      <c r="E201" s="53"/>
      <c r="F201" s="59"/>
      <c r="G201" s="54"/>
      <c r="H201" s="54"/>
      <c r="I201" s="54"/>
      <c r="J201" s="54"/>
      <c r="K201" s="54"/>
      <c r="L201" s="54"/>
      <c r="M201" s="54"/>
      <c r="N201" s="67"/>
      <c r="O201" s="67"/>
      <c r="P201" s="67"/>
      <c r="Q201" s="67"/>
    </row>
    <row r="202" spans="4:17" x14ac:dyDescent="0.35">
      <c r="D202" s="59"/>
      <c r="E202" s="53"/>
      <c r="F202" s="59"/>
      <c r="G202" s="54"/>
      <c r="H202" s="54"/>
      <c r="I202" s="54"/>
      <c r="J202" s="54"/>
      <c r="K202" s="54"/>
      <c r="L202" s="54"/>
      <c r="M202" s="54"/>
      <c r="N202" s="67"/>
      <c r="O202" s="67"/>
      <c r="P202" s="67"/>
      <c r="Q202" s="67"/>
    </row>
  </sheetData>
  <autoFilter ref="A1:Q128" xr:uid="{06CB1331-AF3E-489A-B433-09E21B4DF482}">
    <filterColumn colId="6" showButton="0"/>
    <filterColumn colId="7" showButton="0"/>
  </autoFilter>
  <mergeCells count="556">
    <mergeCell ref="G1:I1"/>
    <mergeCell ref="C5:C7"/>
    <mergeCell ref="D5:D7"/>
    <mergeCell ref="F5:F7"/>
    <mergeCell ref="G5:G7"/>
    <mergeCell ref="H5:H7"/>
    <mergeCell ref="I5:I7"/>
    <mergeCell ref="O5:O7"/>
    <mergeCell ref="P5:P7"/>
    <mergeCell ref="Q5:Q7"/>
    <mergeCell ref="E5:E7"/>
    <mergeCell ref="C8:C10"/>
    <mergeCell ref="D8:D10"/>
    <mergeCell ref="E8:E10"/>
    <mergeCell ref="F8:F10"/>
    <mergeCell ref="G8:G10"/>
    <mergeCell ref="H8:H10"/>
    <mergeCell ref="I8:I10"/>
    <mergeCell ref="J8:J10"/>
    <mergeCell ref="K8:K10"/>
    <mergeCell ref="L8:L10"/>
    <mergeCell ref="M8:M10"/>
    <mergeCell ref="N8:N10"/>
    <mergeCell ref="J5:J7"/>
    <mergeCell ref="K5:K7"/>
    <mergeCell ref="L5:L7"/>
    <mergeCell ref="M5:M7"/>
    <mergeCell ref="N5:N7"/>
    <mergeCell ref="O8:O10"/>
    <mergeCell ref="P8:P10"/>
    <mergeCell ref="Q8:Q10"/>
    <mergeCell ref="C11:C13"/>
    <mergeCell ref="D11:D13"/>
    <mergeCell ref="F11:F13"/>
    <mergeCell ref="G11:G13"/>
    <mergeCell ref="H11:H13"/>
    <mergeCell ref="I11:I13"/>
    <mergeCell ref="J11:J13"/>
    <mergeCell ref="K11:K13"/>
    <mergeCell ref="L11:L13"/>
    <mergeCell ref="M11:M13"/>
    <mergeCell ref="E11:E13"/>
    <mergeCell ref="N11:N13"/>
    <mergeCell ref="O11:O13"/>
    <mergeCell ref="H14:H16"/>
    <mergeCell ref="P11:P13"/>
    <mergeCell ref="Q11:Q13"/>
    <mergeCell ref="E14:E16"/>
    <mergeCell ref="N14:N16"/>
    <mergeCell ref="O14:O16"/>
    <mergeCell ref="P14:P16"/>
    <mergeCell ref="Q14:Q16"/>
    <mergeCell ref="I14:I16"/>
    <mergeCell ref="J14:J16"/>
    <mergeCell ref="K14:K16"/>
    <mergeCell ref="L14:L16"/>
    <mergeCell ref="M14:M16"/>
    <mergeCell ref="C18:C20"/>
    <mergeCell ref="D18:D20"/>
    <mergeCell ref="E18:E20"/>
    <mergeCell ref="F18:F20"/>
    <mergeCell ref="G18:G20"/>
    <mergeCell ref="C14:C16"/>
    <mergeCell ref="D14:D16"/>
    <mergeCell ref="F14:F16"/>
    <mergeCell ref="G14:G16"/>
    <mergeCell ref="M18:M20"/>
    <mergeCell ref="N18:N20"/>
    <mergeCell ref="O18:O20"/>
    <mergeCell ref="P18:P20"/>
    <mergeCell ref="Q18:Q20"/>
    <mergeCell ref="H18:H20"/>
    <mergeCell ref="I18:I20"/>
    <mergeCell ref="J18:J20"/>
    <mergeCell ref="K18:K20"/>
    <mergeCell ref="L18:L20"/>
    <mergeCell ref="Q21:Q23"/>
    <mergeCell ref="H21:H23"/>
    <mergeCell ref="I21:I23"/>
    <mergeCell ref="J21:J23"/>
    <mergeCell ref="K21:K23"/>
    <mergeCell ref="L21:L23"/>
    <mergeCell ref="C21:C23"/>
    <mergeCell ref="D21:D23"/>
    <mergeCell ref="E21:E23"/>
    <mergeCell ref="F21:F23"/>
    <mergeCell ref="G21:G23"/>
    <mergeCell ref="C24:C26"/>
    <mergeCell ref="D24:D26"/>
    <mergeCell ref="E24:E26"/>
    <mergeCell ref="F24:F26"/>
    <mergeCell ref="G24:G26"/>
    <mergeCell ref="M21:M23"/>
    <mergeCell ref="N21:N23"/>
    <mergeCell ref="O21:O23"/>
    <mergeCell ref="P21:P23"/>
    <mergeCell ref="M24:M26"/>
    <mergeCell ref="N24:N26"/>
    <mergeCell ref="O24:O26"/>
    <mergeCell ref="P24:P26"/>
    <mergeCell ref="Q24:Q26"/>
    <mergeCell ref="H24:H26"/>
    <mergeCell ref="I24:I26"/>
    <mergeCell ref="J24:J26"/>
    <mergeCell ref="K24:K26"/>
    <mergeCell ref="L24:L26"/>
    <mergeCell ref="Q27:Q29"/>
    <mergeCell ref="H27:H29"/>
    <mergeCell ref="I27:I29"/>
    <mergeCell ref="J27:J29"/>
    <mergeCell ref="K27:K29"/>
    <mergeCell ref="L27:L29"/>
    <mergeCell ref="M27:M29"/>
    <mergeCell ref="N27:N29"/>
    <mergeCell ref="O27:O29"/>
    <mergeCell ref="P27:P29"/>
    <mergeCell ref="C27:C29"/>
    <mergeCell ref="D27:D29"/>
    <mergeCell ref="E27:E29"/>
    <mergeCell ref="F27:F29"/>
    <mergeCell ref="G27:G29"/>
    <mergeCell ref="C30:C32"/>
    <mergeCell ref="D30:D32"/>
    <mergeCell ref="E30:E32"/>
    <mergeCell ref="F30:F32"/>
    <mergeCell ref="G30:G32"/>
    <mergeCell ref="M30:M32"/>
    <mergeCell ref="N30:N32"/>
    <mergeCell ref="O30:O32"/>
    <mergeCell ref="P30:P32"/>
    <mergeCell ref="Q30:Q32"/>
    <mergeCell ref="H30:H32"/>
    <mergeCell ref="I30:I32"/>
    <mergeCell ref="J30:J32"/>
    <mergeCell ref="K30:K32"/>
    <mergeCell ref="L30:L32"/>
    <mergeCell ref="Q35:Q37"/>
    <mergeCell ref="H35:H37"/>
    <mergeCell ref="I35:I37"/>
    <mergeCell ref="J35:J37"/>
    <mergeCell ref="K35:K37"/>
    <mergeCell ref="L35:L37"/>
    <mergeCell ref="C35:C37"/>
    <mergeCell ref="D35:D37"/>
    <mergeCell ref="E35:E37"/>
    <mergeCell ref="F35:F37"/>
    <mergeCell ref="G35:G37"/>
    <mergeCell ref="C38:C40"/>
    <mergeCell ref="D38:D40"/>
    <mergeCell ref="E38:E40"/>
    <mergeCell ref="F38:F40"/>
    <mergeCell ref="G38:G40"/>
    <mergeCell ref="M35:M37"/>
    <mergeCell ref="N35:N37"/>
    <mergeCell ref="O35:O37"/>
    <mergeCell ref="P35:P37"/>
    <mergeCell ref="M38:M40"/>
    <mergeCell ref="N38:N40"/>
    <mergeCell ref="O38:O40"/>
    <mergeCell ref="P38:P40"/>
    <mergeCell ref="Q38:Q40"/>
    <mergeCell ref="H38:H40"/>
    <mergeCell ref="I38:I40"/>
    <mergeCell ref="J38:J40"/>
    <mergeCell ref="K38:K40"/>
    <mergeCell ref="L38:L40"/>
    <mergeCell ref="Q41:Q43"/>
    <mergeCell ref="I41:I43"/>
    <mergeCell ref="J41:J43"/>
    <mergeCell ref="K41:K43"/>
    <mergeCell ref="L41:L43"/>
    <mergeCell ref="M41:M43"/>
    <mergeCell ref="C41:C43"/>
    <mergeCell ref="C44:C46"/>
    <mergeCell ref="D44:D46"/>
    <mergeCell ref="E44:E46"/>
    <mergeCell ref="F44:F46"/>
    <mergeCell ref="N41:N43"/>
    <mergeCell ref="O41:O43"/>
    <mergeCell ref="P41:P43"/>
    <mergeCell ref="C51:C53"/>
    <mergeCell ref="D51:D53"/>
    <mergeCell ref="E51:E53"/>
    <mergeCell ref="F51:F53"/>
    <mergeCell ref="G51:G53"/>
    <mergeCell ref="M51:M53"/>
    <mergeCell ref="N51:N53"/>
    <mergeCell ref="O51:O53"/>
    <mergeCell ref="P51:P53"/>
    <mergeCell ref="D41:D43"/>
    <mergeCell ref="E41:E43"/>
    <mergeCell ref="F41:F43"/>
    <mergeCell ref="G41:G43"/>
    <mergeCell ref="H41:H43"/>
    <mergeCell ref="O44:O46"/>
    <mergeCell ref="P44:P46"/>
    <mergeCell ref="Q44:Q46"/>
    <mergeCell ref="C48:C50"/>
    <mergeCell ref="D48:D50"/>
    <mergeCell ref="E48:E50"/>
    <mergeCell ref="F48:F50"/>
    <mergeCell ref="G48:G50"/>
    <mergeCell ref="H48:H50"/>
    <mergeCell ref="I48:I50"/>
    <mergeCell ref="J48:J50"/>
    <mergeCell ref="K48:K50"/>
    <mergeCell ref="L48:L50"/>
    <mergeCell ref="M48:M50"/>
    <mergeCell ref="N48:N50"/>
    <mergeCell ref="O48:O50"/>
    <mergeCell ref="P48:P50"/>
    <mergeCell ref="Q48:Q50"/>
    <mergeCell ref="L44:L46"/>
    <mergeCell ref="M44:M46"/>
    <mergeCell ref="N44:N46"/>
    <mergeCell ref="G44:G46"/>
    <mergeCell ref="H44:H46"/>
    <mergeCell ref="I44:I46"/>
    <mergeCell ref="J44:J46"/>
    <mergeCell ref="K44:K46"/>
    <mergeCell ref="Q51:Q53"/>
    <mergeCell ref="H51:H53"/>
    <mergeCell ref="I51:I53"/>
    <mergeCell ref="J51:J53"/>
    <mergeCell ref="K51:K53"/>
    <mergeCell ref="L51:L53"/>
    <mergeCell ref="Q54:Q56"/>
    <mergeCell ref="H54:H56"/>
    <mergeCell ref="I54:I56"/>
    <mergeCell ref="J54:J56"/>
    <mergeCell ref="K54:K56"/>
    <mergeCell ref="L54:L56"/>
    <mergeCell ref="M54:M56"/>
    <mergeCell ref="N54:N56"/>
    <mergeCell ref="O54:O56"/>
    <mergeCell ref="P54:P56"/>
    <mergeCell ref="C54:C56"/>
    <mergeCell ref="D54:D56"/>
    <mergeCell ref="E54:E56"/>
    <mergeCell ref="F54:F56"/>
    <mergeCell ref="G54:G56"/>
    <mergeCell ref="C57:C59"/>
    <mergeCell ref="D57:D59"/>
    <mergeCell ref="E57:E59"/>
    <mergeCell ref="F57:F59"/>
    <mergeCell ref="G57:G59"/>
    <mergeCell ref="M57:M59"/>
    <mergeCell ref="N57:N59"/>
    <mergeCell ref="O57:O59"/>
    <mergeCell ref="P57:P59"/>
    <mergeCell ref="Q57:Q59"/>
    <mergeCell ref="H57:H59"/>
    <mergeCell ref="I57:I59"/>
    <mergeCell ref="J57:J59"/>
    <mergeCell ref="K57:K59"/>
    <mergeCell ref="L57:L59"/>
    <mergeCell ref="Q60:Q62"/>
    <mergeCell ref="H60:H62"/>
    <mergeCell ref="I60:I62"/>
    <mergeCell ref="J60:J62"/>
    <mergeCell ref="K60:K62"/>
    <mergeCell ref="L60:L62"/>
    <mergeCell ref="C60:C62"/>
    <mergeCell ref="D60:D62"/>
    <mergeCell ref="E60:E62"/>
    <mergeCell ref="F60:F62"/>
    <mergeCell ref="G60:G62"/>
    <mergeCell ref="C63:C65"/>
    <mergeCell ref="D63:D65"/>
    <mergeCell ref="E63:E65"/>
    <mergeCell ref="F63:F65"/>
    <mergeCell ref="G63:G65"/>
    <mergeCell ref="M60:M62"/>
    <mergeCell ref="N60:N62"/>
    <mergeCell ref="O60:O62"/>
    <mergeCell ref="P60:P62"/>
    <mergeCell ref="M63:M65"/>
    <mergeCell ref="N63:N65"/>
    <mergeCell ref="O63:O65"/>
    <mergeCell ref="P63:P65"/>
    <mergeCell ref="Q63:Q65"/>
    <mergeCell ref="H63:H65"/>
    <mergeCell ref="I63:I65"/>
    <mergeCell ref="J63:J65"/>
    <mergeCell ref="K63:K65"/>
    <mergeCell ref="L63:L65"/>
    <mergeCell ref="Q66:Q68"/>
    <mergeCell ref="H66:H68"/>
    <mergeCell ref="I66:I68"/>
    <mergeCell ref="J66:J68"/>
    <mergeCell ref="K66:K68"/>
    <mergeCell ref="L66:L68"/>
    <mergeCell ref="M66:M68"/>
    <mergeCell ref="N66:N68"/>
    <mergeCell ref="O66:O68"/>
    <mergeCell ref="P66:P68"/>
    <mergeCell ref="C66:C68"/>
    <mergeCell ref="D66:D68"/>
    <mergeCell ref="E66:E68"/>
    <mergeCell ref="F66:F68"/>
    <mergeCell ref="G66:G68"/>
    <mergeCell ref="C69:C71"/>
    <mergeCell ref="D69:D71"/>
    <mergeCell ref="E69:E71"/>
    <mergeCell ref="F69:F71"/>
    <mergeCell ref="G69:G71"/>
    <mergeCell ref="M69:M71"/>
    <mergeCell ref="N69:N71"/>
    <mergeCell ref="O69:O71"/>
    <mergeCell ref="P69:P71"/>
    <mergeCell ref="Q69:Q71"/>
    <mergeCell ref="H69:H71"/>
    <mergeCell ref="I69:I71"/>
    <mergeCell ref="J69:J71"/>
    <mergeCell ref="K69:K71"/>
    <mergeCell ref="L69:L71"/>
    <mergeCell ref="Q72:Q74"/>
    <mergeCell ref="H72:H74"/>
    <mergeCell ref="I72:I74"/>
    <mergeCell ref="J72:J74"/>
    <mergeCell ref="K72:K74"/>
    <mergeCell ref="L72:L74"/>
    <mergeCell ref="C72:C74"/>
    <mergeCell ref="D72:D74"/>
    <mergeCell ref="E72:E74"/>
    <mergeCell ref="F72:F74"/>
    <mergeCell ref="G72:G74"/>
    <mergeCell ref="C75:C77"/>
    <mergeCell ref="D75:D77"/>
    <mergeCell ref="E75:E77"/>
    <mergeCell ref="F75:F77"/>
    <mergeCell ref="G75:G77"/>
    <mergeCell ref="M72:M74"/>
    <mergeCell ref="N72:N74"/>
    <mergeCell ref="O72:O74"/>
    <mergeCell ref="P72:P74"/>
    <mergeCell ref="M75:M77"/>
    <mergeCell ref="N75:N77"/>
    <mergeCell ref="O75:O77"/>
    <mergeCell ref="P75:P77"/>
    <mergeCell ref="Q75:Q77"/>
    <mergeCell ref="H75:H77"/>
    <mergeCell ref="I75:I77"/>
    <mergeCell ref="J75:J77"/>
    <mergeCell ref="K75:K77"/>
    <mergeCell ref="L75:L77"/>
    <mergeCell ref="Q78:Q80"/>
    <mergeCell ref="H78:H80"/>
    <mergeCell ref="I78:I80"/>
    <mergeCell ref="J78:J80"/>
    <mergeCell ref="K78:K80"/>
    <mergeCell ref="L78:L80"/>
    <mergeCell ref="M78:M80"/>
    <mergeCell ref="N78:N80"/>
    <mergeCell ref="O78:O80"/>
    <mergeCell ref="P78:P80"/>
    <mergeCell ref="C78:C80"/>
    <mergeCell ref="D78:D80"/>
    <mergeCell ref="E78:E80"/>
    <mergeCell ref="F78:F80"/>
    <mergeCell ref="G78:G80"/>
    <mergeCell ref="C81:C83"/>
    <mergeCell ref="D81:D83"/>
    <mergeCell ref="E81:E83"/>
    <mergeCell ref="F81:F83"/>
    <mergeCell ref="G81:G83"/>
    <mergeCell ref="M81:M83"/>
    <mergeCell ref="N81:N83"/>
    <mergeCell ref="O81:O83"/>
    <mergeCell ref="P81:P83"/>
    <mergeCell ref="Q81:Q83"/>
    <mergeCell ref="H81:H83"/>
    <mergeCell ref="I81:I83"/>
    <mergeCell ref="J81:J83"/>
    <mergeCell ref="K81:K83"/>
    <mergeCell ref="L81:L83"/>
    <mergeCell ref="Q84:Q86"/>
    <mergeCell ref="H84:H86"/>
    <mergeCell ref="I84:I86"/>
    <mergeCell ref="J84:J86"/>
    <mergeCell ref="K84:K86"/>
    <mergeCell ref="L84:L86"/>
    <mergeCell ref="C84:C86"/>
    <mergeCell ref="D84:D86"/>
    <mergeCell ref="E84:E86"/>
    <mergeCell ref="F84:F86"/>
    <mergeCell ref="G84:G86"/>
    <mergeCell ref="C87:C89"/>
    <mergeCell ref="D87:D89"/>
    <mergeCell ref="E87:E89"/>
    <mergeCell ref="F87:F89"/>
    <mergeCell ref="G87:G89"/>
    <mergeCell ref="M84:M86"/>
    <mergeCell ref="N84:N86"/>
    <mergeCell ref="O84:O86"/>
    <mergeCell ref="P84:P86"/>
    <mergeCell ref="M87:M89"/>
    <mergeCell ref="N87:N89"/>
    <mergeCell ref="O87:O89"/>
    <mergeCell ref="P87:P89"/>
    <mergeCell ref="Q87:Q89"/>
    <mergeCell ref="H87:H89"/>
    <mergeCell ref="I87:I89"/>
    <mergeCell ref="J87:J89"/>
    <mergeCell ref="K87:K89"/>
    <mergeCell ref="L87:L89"/>
    <mergeCell ref="Q90:Q92"/>
    <mergeCell ref="H90:H92"/>
    <mergeCell ref="I90:I92"/>
    <mergeCell ref="J90:J92"/>
    <mergeCell ref="K90:K92"/>
    <mergeCell ref="L90:L92"/>
    <mergeCell ref="M90:M92"/>
    <mergeCell ref="N90:N92"/>
    <mergeCell ref="O90:O92"/>
    <mergeCell ref="P90:P92"/>
    <mergeCell ref="C90:C92"/>
    <mergeCell ref="D90:D92"/>
    <mergeCell ref="E90:E92"/>
    <mergeCell ref="F90:F92"/>
    <mergeCell ref="G90:G92"/>
    <mergeCell ref="C93:C95"/>
    <mergeCell ref="D93:D95"/>
    <mergeCell ref="E93:E95"/>
    <mergeCell ref="F93:F95"/>
    <mergeCell ref="G93:G95"/>
    <mergeCell ref="M93:M95"/>
    <mergeCell ref="N93:N95"/>
    <mergeCell ref="O93:O95"/>
    <mergeCell ref="P93:P95"/>
    <mergeCell ref="Q93:Q95"/>
    <mergeCell ref="H93:H95"/>
    <mergeCell ref="I93:I95"/>
    <mergeCell ref="J93:J95"/>
    <mergeCell ref="K93:K95"/>
    <mergeCell ref="L93:L95"/>
    <mergeCell ref="Q96:Q98"/>
    <mergeCell ref="H96:H98"/>
    <mergeCell ref="I96:I98"/>
    <mergeCell ref="J96:J98"/>
    <mergeCell ref="K96:K98"/>
    <mergeCell ref="L96:L98"/>
    <mergeCell ref="C96:C98"/>
    <mergeCell ref="D96:D98"/>
    <mergeCell ref="E96:E98"/>
    <mergeCell ref="F96:F98"/>
    <mergeCell ref="G96:G98"/>
    <mergeCell ref="C99:C101"/>
    <mergeCell ref="D99:D101"/>
    <mergeCell ref="E99:E101"/>
    <mergeCell ref="F99:F101"/>
    <mergeCell ref="G99:G101"/>
    <mergeCell ref="M96:M98"/>
    <mergeCell ref="N96:N98"/>
    <mergeCell ref="O96:O98"/>
    <mergeCell ref="P96:P98"/>
    <mergeCell ref="M99:M101"/>
    <mergeCell ref="N99:N101"/>
    <mergeCell ref="O99:O101"/>
    <mergeCell ref="P99:P101"/>
    <mergeCell ref="Q99:Q101"/>
    <mergeCell ref="H99:H101"/>
    <mergeCell ref="I99:I101"/>
    <mergeCell ref="J99:J101"/>
    <mergeCell ref="K99:K101"/>
    <mergeCell ref="L99:L101"/>
    <mergeCell ref="Q102:Q104"/>
    <mergeCell ref="H102:H104"/>
    <mergeCell ref="I102:I104"/>
    <mergeCell ref="J102:J104"/>
    <mergeCell ref="K102:K104"/>
    <mergeCell ref="L102:L104"/>
    <mergeCell ref="M102:M104"/>
    <mergeCell ref="N102:N104"/>
    <mergeCell ref="O102:O104"/>
    <mergeCell ref="P102:P104"/>
    <mergeCell ref="C102:C104"/>
    <mergeCell ref="D102:D104"/>
    <mergeCell ref="E102:E104"/>
    <mergeCell ref="F102:F104"/>
    <mergeCell ref="G102:G104"/>
    <mergeCell ref="C108:C110"/>
    <mergeCell ref="D108:D110"/>
    <mergeCell ref="E108:E110"/>
    <mergeCell ref="F108:F110"/>
    <mergeCell ref="G108:G110"/>
    <mergeCell ref="C105:C107"/>
    <mergeCell ref="D105:D107"/>
    <mergeCell ref="E105:E107"/>
    <mergeCell ref="F105:F107"/>
    <mergeCell ref="G105:G107"/>
    <mergeCell ref="M108:M110"/>
    <mergeCell ref="N108:N110"/>
    <mergeCell ref="O108:O110"/>
    <mergeCell ref="P108:P110"/>
    <mergeCell ref="Q108:Q110"/>
    <mergeCell ref="H108:H110"/>
    <mergeCell ref="I108:I110"/>
    <mergeCell ref="J108:J110"/>
    <mergeCell ref="K108:K110"/>
    <mergeCell ref="L108:L110"/>
    <mergeCell ref="C113:C115"/>
    <mergeCell ref="D113:D115"/>
    <mergeCell ref="E113:E115"/>
    <mergeCell ref="F113:F115"/>
    <mergeCell ref="G113:G115"/>
    <mergeCell ref="M113:M115"/>
    <mergeCell ref="N113:N115"/>
    <mergeCell ref="O113:O115"/>
    <mergeCell ref="P113:P115"/>
    <mergeCell ref="Q113:Q115"/>
    <mergeCell ref="H113:H115"/>
    <mergeCell ref="I113:I115"/>
    <mergeCell ref="J113:J115"/>
    <mergeCell ref="K113:K115"/>
    <mergeCell ref="L113:L115"/>
    <mergeCell ref="Q116:Q119"/>
    <mergeCell ref="H116:H119"/>
    <mergeCell ref="I116:I119"/>
    <mergeCell ref="J116:J119"/>
    <mergeCell ref="K116:K119"/>
    <mergeCell ref="L116:L119"/>
    <mergeCell ref="M116:M119"/>
    <mergeCell ref="N116:N119"/>
    <mergeCell ref="O116:O119"/>
    <mergeCell ref="P116:P119"/>
    <mergeCell ref="C116:C119"/>
    <mergeCell ref="D116:D119"/>
    <mergeCell ref="E116:E119"/>
    <mergeCell ref="F116:F119"/>
    <mergeCell ref="G116:G119"/>
    <mergeCell ref="C120:C122"/>
    <mergeCell ref="D120:D122"/>
    <mergeCell ref="E120:E122"/>
    <mergeCell ref="F120:F122"/>
    <mergeCell ref="G120:G122"/>
    <mergeCell ref="M120:M122"/>
    <mergeCell ref="N120:N122"/>
    <mergeCell ref="O120:O122"/>
    <mergeCell ref="P120:P122"/>
    <mergeCell ref="Q120:Q122"/>
    <mergeCell ref="H120:H122"/>
    <mergeCell ref="I120:I122"/>
    <mergeCell ref="J120:J122"/>
    <mergeCell ref="K120:K122"/>
    <mergeCell ref="L120:L122"/>
    <mergeCell ref="Q105:Q107"/>
    <mergeCell ref="H105:H107"/>
    <mergeCell ref="I105:I107"/>
    <mergeCell ref="J105:J107"/>
    <mergeCell ref="K105:K107"/>
    <mergeCell ref="L105:L107"/>
    <mergeCell ref="M105:M107"/>
    <mergeCell ref="N105:N107"/>
    <mergeCell ref="O105:O107"/>
    <mergeCell ref="P105:P107"/>
  </mergeCells>
  <pageMargins left="0.7" right="0.7" top="0.75" bottom="0.75" header="0.3" footer="0.3"/>
  <pageSetup paperSize="9" orientation="portrait"/>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8C0580E8-D6E7-41A7-8CE2-E1E3F20BED11}">
          <x14:formula1>
            <xm:f>'Paso 3 Redacción RA '!$I$3:$I$11</xm:f>
          </x14:formula1>
          <xm:sqref>B168:B202 B125:B166 B3:B124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B1907-1808-45DB-89DB-D7AD15506F3A}">
  <dimension ref="B1:B38"/>
  <sheetViews>
    <sheetView workbookViewId="0">
      <selection activeCell="B1" sqref="B1"/>
    </sheetView>
  </sheetViews>
  <sheetFormatPr baseColWidth="10" defaultColWidth="11.453125" defaultRowHeight="14.5" x14ac:dyDescent="0.35"/>
  <cols>
    <col min="2" max="2" width="27.1796875" customWidth="1"/>
  </cols>
  <sheetData>
    <row r="1" spans="2:2" ht="16.5" x14ac:dyDescent="0.5">
      <c r="B1" s="1" t="s">
        <v>325</v>
      </c>
    </row>
    <row r="2" spans="2:2" ht="16.5" x14ac:dyDescent="0.5">
      <c r="B2" s="1" t="s">
        <v>326</v>
      </c>
    </row>
    <row r="3" spans="2:2" ht="16.5" x14ac:dyDescent="0.5">
      <c r="B3" s="1" t="s">
        <v>327</v>
      </c>
    </row>
    <row r="4" spans="2:2" ht="16.5" x14ac:dyDescent="0.5">
      <c r="B4" s="1" t="s">
        <v>60</v>
      </c>
    </row>
    <row r="5" spans="2:2" ht="16.5" x14ac:dyDescent="0.5">
      <c r="B5" s="1" t="s">
        <v>53</v>
      </c>
    </row>
    <row r="6" spans="2:2" ht="16.5" x14ac:dyDescent="0.5">
      <c r="B6" s="1" t="s">
        <v>328</v>
      </c>
    </row>
    <row r="7" spans="2:2" ht="16.5" x14ac:dyDescent="0.5">
      <c r="B7" s="1" t="s">
        <v>329</v>
      </c>
    </row>
    <row r="8" spans="2:2" ht="16.5" x14ac:dyDescent="0.5">
      <c r="B8" s="1" t="s">
        <v>330</v>
      </c>
    </row>
    <row r="9" spans="2:2" ht="16.5" x14ac:dyDescent="0.5">
      <c r="B9" s="1" t="s">
        <v>331</v>
      </c>
    </row>
    <row r="10" spans="2:2" ht="16.5" x14ac:dyDescent="0.5">
      <c r="B10" s="1" t="s">
        <v>332</v>
      </c>
    </row>
    <row r="11" spans="2:2" ht="16.5" x14ac:dyDescent="0.5">
      <c r="B11" s="1" t="s">
        <v>333</v>
      </c>
    </row>
    <row r="12" spans="2:2" ht="16.5" x14ac:dyDescent="0.5">
      <c r="B12" s="1" t="s">
        <v>334</v>
      </c>
    </row>
    <row r="13" spans="2:2" ht="16.5" x14ac:dyDescent="0.5">
      <c r="B13" s="1" t="s">
        <v>335</v>
      </c>
    </row>
    <row r="14" spans="2:2" ht="16.5" x14ac:dyDescent="0.5">
      <c r="B14" s="1" t="s">
        <v>56</v>
      </c>
    </row>
    <row r="15" spans="2:2" ht="16.5" x14ac:dyDescent="0.5">
      <c r="B15" s="1" t="s">
        <v>336</v>
      </c>
    </row>
    <row r="16" spans="2:2" ht="16.5" x14ac:dyDescent="0.5">
      <c r="B16" s="1" t="s">
        <v>337</v>
      </c>
    </row>
    <row r="17" spans="2:2" ht="16.5" x14ac:dyDescent="0.5">
      <c r="B17" s="1" t="s">
        <v>338</v>
      </c>
    </row>
    <row r="18" spans="2:2" ht="16.5" x14ac:dyDescent="0.5">
      <c r="B18" s="1" t="s">
        <v>339</v>
      </c>
    </row>
    <row r="19" spans="2:2" ht="16.5" x14ac:dyDescent="0.5">
      <c r="B19" s="1" t="s">
        <v>340</v>
      </c>
    </row>
    <row r="20" spans="2:2" ht="16.5" x14ac:dyDescent="0.5">
      <c r="B20" s="1" t="s">
        <v>341</v>
      </c>
    </row>
    <row r="21" spans="2:2" ht="16.5" x14ac:dyDescent="0.5">
      <c r="B21" s="1" t="s">
        <v>342</v>
      </c>
    </row>
    <row r="22" spans="2:2" ht="16.5" x14ac:dyDescent="0.5">
      <c r="B22" s="1" t="s">
        <v>343</v>
      </c>
    </row>
    <row r="23" spans="2:2" ht="16.5" x14ac:dyDescent="0.5">
      <c r="B23" s="1" t="s">
        <v>344</v>
      </c>
    </row>
    <row r="24" spans="2:2" ht="16.5" x14ac:dyDescent="0.5">
      <c r="B24" s="1" t="s">
        <v>345</v>
      </c>
    </row>
    <row r="25" spans="2:2" ht="16.5" x14ac:dyDescent="0.5">
      <c r="B25" s="1" t="s">
        <v>58</v>
      </c>
    </row>
    <row r="26" spans="2:2" ht="16.5" x14ac:dyDescent="0.5">
      <c r="B26" s="1" t="s">
        <v>346</v>
      </c>
    </row>
    <row r="27" spans="2:2" ht="16.5" x14ac:dyDescent="0.5">
      <c r="B27" s="1" t="s">
        <v>347</v>
      </c>
    </row>
    <row r="28" spans="2:2" ht="16.5" x14ac:dyDescent="0.5">
      <c r="B28" s="1" t="s">
        <v>348</v>
      </c>
    </row>
    <row r="29" spans="2:2" ht="16.5" x14ac:dyDescent="0.5">
      <c r="B29" s="1" t="s">
        <v>349</v>
      </c>
    </row>
    <row r="30" spans="2:2" ht="16.5" x14ac:dyDescent="0.5">
      <c r="B30" s="1" t="s">
        <v>350</v>
      </c>
    </row>
    <row r="31" spans="2:2" ht="16.5" x14ac:dyDescent="0.5">
      <c r="B31" s="1" t="s">
        <v>351</v>
      </c>
    </row>
    <row r="32" spans="2:2" ht="16.5" x14ac:dyDescent="0.5">
      <c r="B32" s="1" t="s">
        <v>352</v>
      </c>
    </row>
    <row r="33" spans="2:2" ht="16.5" x14ac:dyDescent="0.5">
      <c r="B33" s="1" t="s">
        <v>353</v>
      </c>
    </row>
    <row r="34" spans="2:2" ht="16.5" x14ac:dyDescent="0.5">
      <c r="B34" s="1" t="s">
        <v>354</v>
      </c>
    </row>
    <row r="35" spans="2:2" ht="16.5" x14ac:dyDescent="0.5">
      <c r="B35" s="1" t="s">
        <v>355</v>
      </c>
    </row>
    <row r="36" spans="2:2" ht="16.5" x14ac:dyDescent="0.5">
      <c r="B36" s="1" t="s">
        <v>356</v>
      </c>
    </row>
    <row r="37" spans="2:2" ht="16.5" x14ac:dyDescent="0.5">
      <c r="B37" s="1" t="s">
        <v>357</v>
      </c>
    </row>
    <row r="38" spans="2:2" ht="16.5" x14ac:dyDescent="0.5">
      <c r="B38" s="1" t="s">
        <v>358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97597-49CE-4804-805A-84A20592BE98}">
  <dimension ref="A1:BC108"/>
  <sheetViews>
    <sheetView topLeftCell="R22" zoomScale="66" workbookViewId="0">
      <selection activeCell="U45" sqref="U45"/>
    </sheetView>
  </sheetViews>
  <sheetFormatPr baseColWidth="10" defaultColWidth="11.453125" defaultRowHeight="16.5" x14ac:dyDescent="0.5"/>
  <cols>
    <col min="1" max="1" width="20.453125" style="1" customWidth="1"/>
    <col min="2" max="2" width="14.26953125" style="1" customWidth="1"/>
    <col min="3" max="3" width="22.1796875" style="1" customWidth="1"/>
    <col min="4" max="4" width="21.54296875" style="1" customWidth="1"/>
    <col min="5" max="5" width="20.7265625" style="1" customWidth="1"/>
    <col min="6" max="6" width="16.81640625" style="1" customWidth="1"/>
    <col min="7" max="7" width="21.81640625" style="1" customWidth="1"/>
    <col min="8" max="8" width="26.1796875" style="1" customWidth="1"/>
    <col min="9" max="9" width="25.26953125" style="1" customWidth="1"/>
    <col min="10" max="10" width="24.453125" style="1" customWidth="1"/>
    <col min="11" max="11" width="15.26953125" style="1" customWidth="1"/>
    <col min="12" max="17" width="17.7265625" style="1" customWidth="1"/>
    <col min="18" max="18" width="22.54296875" style="1" customWidth="1"/>
    <col min="19" max="19" width="15.54296875" style="1" customWidth="1"/>
    <col min="20" max="20" width="15" style="1" customWidth="1"/>
    <col min="21" max="25" width="13.1796875" style="1" customWidth="1"/>
    <col min="26" max="26" width="16.54296875" style="1" customWidth="1"/>
    <col min="27" max="28" width="13.1796875" style="1" customWidth="1"/>
    <col min="29" max="29" width="19.453125" style="1" customWidth="1"/>
    <col min="30" max="30" width="13.81640625" style="1" customWidth="1"/>
    <col min="31" max="31" width="13.1796875" style="1" customWidth="1"/>
    <col min="32" max="32" width="13.453125" style="1" customWidth="1"/>
    <col min="33" max="33" width="30.7265625" style="1" customWidth="1"/>
    <col min="34" max="36" width="13.1796875" style="1" customWidth="1"/>
    <col min="37" max="37" width="14.54296875" style="1" customWidth="1"/>
    <col min="38" max="43" width="16.7265625" style="1" customWidth="1"/>
    <col min="44" max="45" width="13.26953125" style="1" customWidth="1"/>
    <col min="46" max="46" width="23.81640625" style="1" customWidth="1"/>
    <col min="47" max="47" width="22.54296875" style="1" customWidth="1"/>
    <col min="48" max="48" width="24.1796875" style="1" customWidth="1"/>
    <col min="49" max="49" width="27.81640625" style="1" customWidth="1"/>
    <col min="50" max="50" width="24.7265625" style="1" customWidth="1"/>
    <col min="51" max="51" width="22.7265625" style="1" customWidth="1"/>
    <col min="52" max="55" width="13.26953125" style="1" customWidth="1"/>
    <col min="56" max="16384" width="11.453125" style="1"/>
  </cols>
  <sheetData>
    <row r="1" spans="1:55" x14ac:dyDescent="0.5">
      <c r="S1" s="175" t="s">
        <v>359</v>
      </c>
      <c r="T1" s="175"/>
      <c r="U1" s="175"/>
      <c r="V1" s="175"/>
      <c r="W1" s="175"/>
      <c r="X1" s="175"/>
      <c r="Y1" s="175"/>
      <c r="Z1" s="175"/>
      <c r="AA1" s="175"/>
      <c r="AB1" s="175"/>
      <c r="AC1" s="175"/>
      <c r="AD1" s="175"/>
      <c r="AE1" s="175"/>
      <c r="AF1" s="175"/>
      <c r="AG1" s="175"/>
      <c r="AH1" s="14"/>
      <c r="AI1" s="14"/>
      <c r="AJ1" s="14"/>
      <c r="AL1" s="175" t="s">
        <v>360</v>
      </c>
      <c r="AM1" s="175"/>
      <c r="AN1" s="175"/>
      <c r="AO1" s="175"/>
      <c r="AP1" s="175"/>
      <c r="AQ1" s="175"/>
      <c r="AR1" s="14"/>
      <c r="AS1" s="14"/>
      <c r="AT1" s="175" t="s">
        <v>361</v>
      </c>
      <c r="AU1" s="175"/>
      <c r="AV1" s="175"/>
      <c r="AW1" s="175"/>
      <c r="AX1" s="175"/>
      <c r="AY1" s="175"/>
      <c r="AZ1" s="14"/>
      <c r="BC1" s="14"/>
    </row>
    <row r="2" spans="1:55" x14ac:dyDescent="0.5">
      <c r="L2" s="175" t="s">
        <v>362</v>
      </c>
      <c r="M2" s="175"/>
      <c r="N2" s="175"/>
      <c r="O2" s="175"/>
      <c r="P2" s="175"/>
      <c r="Q2" s="175"/>
      <c r="S2" s="176" t="s">
        <v>363</v>
      </c>
      <c r="T2" s="176"/>
      <c r="U2" s="176"/>
      <c r="V2" s="176"/>
      <c r="W2" s="176"/>
      <c r="X2" s="176"/>
      <c r="Y2" s="176" t="s">
        <v>364</v>
      </c>
      <c r="Z2" s="176"/>
      <c r="AA2" s="176"/>
      <c r="AB2" s="176"/>
      <c r="AC2" s="176" t="s">
        <v>365</v>
      </c>
      <c r="AD2" s="176"/>
      <c r="AE2" s="176"/>
      <c r="AF2" s="176"/>
      <c r="AG2" s="176"/>
      <c r="AH2" s="14"/>
      <c r="AI2" s="14"/>
      <c r="AJ2" s="14"/>
      <c r="AL2" s="175"/>
      <c r="AM2" s="175"/>
      <c r="AN2" s="175"/>
      <c r="AO2" s="175"/>
      <c r="AP2" s="175"/>
      <c r="AQ2" s="175"/>
      <c r="AR2" s="14"/>
      <c r="AS2" s="14"/>
      <c r="AT2" s="14"/>
      <c r="AU2" s="14"/>
      <c r="AV2" s="14"/>
      <c r="AW2" s="14"/>
      <c r="AX2" s="14"/>
      <c r="AY2" s="14"/>
      <c r="AZ2" s="14"/>
      <c r="BC2" s="14"/>
    </row>
    <row r="3" spans="1:55" x14ac:dyDescent="0.5">
      <c r="A3" s="1" t="s">
        <v>366</v>
      </c>
      <c r="C3" s="1" t="s">
        <v>81</v>
      </c>
      <c r="D3" s="1" t="s">
        <v>367</v>
      </c>
      <c r="E3" s="1" t="s">
        <v>368</v>
      </c>
      <c r="G3" s="1" t="s">
        <v>100</v>
      </c>
      <c r="H3" s="1" t="s">
        <v>369</v>
      </c>
      <c r="I3" s="1" t="s">
        <v>370</v>
      </c>
      <c r="L3" s="1" t="s">
        <v>371</v>
      </c>
      <c r="M3" s="1" t="s">
        <v>101</v>
      </c>
      <c r="N3" s="1" t="s">
        <v>372</v>
      </c>
      <c r="O3" s="1" t="s">
        <v>373</v>
      </c>
      <c r="P3" s="1" t="s">
        <v>374</v>
      </c>
      <c r="Q3" s="1" t="s">
        <v>375</v>
      </c>
      <c r="S3" s="1" t="s">
        <v>376</v>
      </c>
      <c r="T3" s="1" t="s">
        <v>377</v>
      </c>
      <c r="U3" s="1" t="s">
        <v>83</v>
      </c>
      <c r="V3" s="1" t="s">
        <v>94</v>
      </c>
      <c r="W3" s="1" t="s">
        <v>378</v>
      </c>
      <c r="X3" s="1" t="s">
        <v>379</v>
      </c>
      <c r="Y3" s="1" t="s">
        <v>380</v>
      </c>
      <c r="Z3" s="1" t="s">
        <v>381</v>
      </c>
      <c r="AA3" s="1" t="s">
        <v>87</v>
      </c>
      <c r="AB3" s="1" t="s">
        <v>382</v>
      </c>
      <c r="AC3" s="1" t="s">
        <v>383</v>
      </c>
      <c r="AD3" s="1" t="s">
        <v>384</v>
      </c>
      <c r="AE3" s="1" t="s">
        <v>91</v>
      </c>
      <c r="AF3" s="1" t="s">
        <v>385</v>
      </c>
      <c r="AG3" s="1" t="s">
        <v>386</v>
      </c>
      <c r="AL3" s="174" t="s">
        <v>387</v>
      </c>
      <c r="AM3" s="174"/>
      <c r="AN3" s="174"/>
      <c r="AO3" s="174" t="s">
        <v>388</v>
      </c>
      <c r="AP3" s="174"/>
      <c r="AQ3" s="174"/>
      <c r="AR3" s="13"/>
      <c r="AS3" s="13"/>
      <c r="AT3" s="13"/>
      <c r="AU3" s="13"/>
      <c r="AV3" s="13"/>
      <c r="AW3" s="13"/>
      <c r="AX3" s="13"/>
      <c r="AY3" s="13"/>
      <c r="AZ3" s="13"/>
      <c r="BC3" s="13"/>
    </row>
    <row r="4" spans="1:55" x14ac:dyDescent="0.5">
      <c r="A4" s="1" t="s">
        <v>99</v>
      </c>
      <c r="C4" s="1" t="s">
        <v>82</v>
      </c>
      <c r="D4" s="1" t="s">
        <v>389</v>
      </c>
      <c r="E4" s="1" t="s">
        <v>390</v>
      </c>
      <c r="G4" s="1" t="s">
        <v>371</v>
      </c>
      <c r="H4" s="1" t="s">
        <v>371</v>
      </c>
      <c r="I4" s="1" t="s">
        <v>371</v>
      </c>
      <c r="L4" s="1" t="s">
        <v>391</v>
      </c>
      <c r="M4" s="1" t="s">
        <v>330</v>
      </c>
      <c r="N4" s="1" t="s">
        <v>53</v>
      </c>
      <c r="O4" s="1" t="s">
        <v>392</v>
      </c>
      <c r="P4" s="1" t="s">
        <v>393</v>
      </c>
      <c r="Q4" s="1" t="s">
        <v>394</v>
      </c>
      <c r="S4" s="1" t="s">
        <v>391</v>
      </c>
      <c r="T4" s="1" t="s">
        <v>330</v>
      </c>
      <c r="U4" s="1" t="s">
        <v>53</v>
      </c>
      <c r="V4" s="1" t="s">
        <v>392</v>
      </c>
      <c r="W4" s="1" t="s">
        <v>393</v>
      </c>
      <c r="X4" s="1" t="s">
        <v>394</v>
      </c>
      <c r="Y4" s="1" t="s">
        <v>395</v>
      </c>
      <c r="Z4" s="1" t="s">
        <v>396</v>
      </c>
      <c r="AA4" s="1" t="s">
        <v>397</v>
      </c>
      <c r="AB4" s="1" t="s">
        <v>398</v>
      </c>
      <c r="AC4" s="1" t="s">
        <v>345</v>
      </c>
      <c r="AD4" s="1" t="s">
        <v>399</v>
      </c>
      <c r="AE4" s="1" t="s">
        <v>92</v>
      </c>
      <c r="AF4" s="1" t="s">
        <v>400</v>
      </c>
      <c r="AG4" s="1" t="s">
        <v>401</v>
      </c>
      <c r="AL4" s="3" t="s">
        <v>402</v>
      </c>
      <c r="AM4" s="3" t="s">
        <v>403</v>
      </c>
      <c r="AN4" s="3" t="s">
        <v>404</v>
      </c>
      <c r="AO4" s="3" t="s">
        <v>405</v>
      </c>
      <c r="AP4" s="4" t="s">
        <v>406</v>
      </c>
      <c r="AQ4" s="3" t="s">
        <v>407</v>
      </c>
      <c r="AR4" s="13"/>
      <c r="AS4" s="13"/>
      <c r="AT4" s="1" t="s">
        <v>408</v>
      </c>
      <c r="AU4" s="1" t="s">
        <v>409</v>
      </c>
      <c r="AV4" s="1" t="s">
        <v>410</v>
      </c>
      <c r="AW4" s="1" t="s">
        <v>411</v>
      </c>
      <c r="AX4" s="1" t="s">
        <v>412</v>
      </c>
      <c r="AY4" s="1" t="s">
        <v>413</v>
      </c>
      <c r="AZ4" s="13"/>
      <c r="BC4" s="13"/>
    </row>
    <row r="5" spans="1:55" x14ac:dyDescent="0.5">
      <c r="A5" s="1" t="s">
        <v>81</v>
      </c>
      <c r="C5" s="1" t="s">
        <v>86</v>
      </c>
      <c r="D5" s="1" t="s">
        <v>414</v>
      </c>
      <c r="E5" s="1" t="s">
        <v>415</v>
      </c>
      <c r="G5" s="1" t="s">
        <v>101</v>
      </c>
      <c r="H5" s="1" t="s">
        <v>101</v>
      </c>
      <c r="I5" s="1" t="s">
        <v>101</v>
      </c>
      <c r="L5" s="1" t="s">
        <v>416</v>
      </c>
      <c r="M5" s="1" t="s">
        <v>417</v>
      </c>
      <c r="N5" s="1" t="s">
        <v>418</v>
      </c>
      <c r="O5" s="1" t="s">
        <v>60</v>
      </c>
      <c r="P5" s="1" t="s">
        <v>327</v>
      </c>
      <c r="Q5" s="1" t="s">
        <v>419</v>
      </c>
      <c r="S5" s="1" t="s">
        <v>416</v>
      </c>
      <c r="T5" s="1" t="s">
        <v>417</v>
      </c>
      <c r="U5" s="1" t="s">
        <v>418</v>
      </c>
      <c r="V5" s="1" t="s">
        <v>60</v>
      </c>
      <c r="W5" s="1" t="s">
        <v>327</v>
      </c>
      <c r="X5" s="1" t="s">
        <v>419</v>
      </c>
      <c r="Y5" s="1" t="s">
        <v>393</v>
      </c>
      <c r="Z5" s="1" t="s">
        <v>420</v>
      </c>
      <c r="AA5" s="1" t="s">
        <v>349</v>
      </c>
      <c r="AB5" s="1" t="s">
        <v>421</v>
      </c>
      <c r="AC5" s="1" t="s">
        <v>332</v>
      </c>
      <c r="AD5" s="1" t="s">
        <v>422</v>
      </c>
      <c r="AE5" s="1" t="s">
        <v>399</v>
      </c>
      <c r="AF5" s="1" t="s">
        <v>423</v>
      </c>
      <c r="AG5" s="1" t="s">
        <v>424</v>
      </c>
      <c r="AL5" s="2" t="s">
        <v>425</v>
      </c>
      <c r="AM5" s="2" t="s">
        <v>426</v>
      </c>
      <c r="AN5" s="2" t="s">
        <v>427</v>
      </c>
      <c r="AO5" s="2" t="s">
        <v>428</v>
      </c>
      <c r="AP5" s="2" t="s">
        <v>393</v>
      </c>
      <c r="AQ5" s="2" t="s">
        <v>56</v>
      </c>
      <c r="AR5" s="2"/>
      <c r="AS5" s="2"/>
      <c r="AT5" s="5" t="s">
        <v>425</v>
      </c>
      <c r="AU5" s="7" t="s">
        <v>330</v>
      </c>
      <c r="AV5" s="5" t="s">
        <v>428</v>
      </c>
      <c r="AW5" s="5" t="s">
        <v>427</v>
      </c>
      <c r="AX5" s="7" t="s">
        <v>429</v>
      </c>
      <c r="AY5" s="7" t="s">
        <v>429</v>
      </c>
      <c r="AZ5" s="2"/>
      <c r="BC5" s="2"/>
    </row>
    <row r="6" spans="1:55" x14ac:dyDescent="0.5">
      <c r="A6" s="1" t="s">
        <v>367</v>
      </c>
      <c r="C6" s="1" t="s">
        <v>90</v>
      </c>
      <c r="D6" s="1" t="s">
        <v>430</v>
      </c>
      <c r="E6" s="1" t="s">
        <v>431</v>
      </c>
      <c r="G6" s="1" t="s">
        <v>372</v>
      </c>
      <c r="H6" s="1" t="s">
        <v>372</v>
      </c>
      <c r="I6" s="1" t="s">
        <v>372</v>
      </c>
      <c r="L6" s="1" t="s">
        <v>432</v>
      </c>
      <c r="M6" s="1" t="s">
        <v>433</v>
      </c>
      <c r="N6" s="1" t="s">
        <v>434</v>
      </c>
      <c r="O6" s="1" t="s">
        <v>435</v>
      </c>
      <c r="P6" s="1" t="s">
        <v>436</v>
      </c>
      <c r="Q6" s="1" t="s">
        <v>437</v>
      </c>
      <c r="S6" s="1" t="s">
        <v>432</v>
      </c>
      <c r="T6" s="1" t="s">
        <v>433</v>
      </c>
      <c r="U6" s="1" t="s">
        <v>434</v>
      </c>
      <c r="V6" s="1" t="s">
        <v>435</v>
      </c>
      <c r="W6" s="1" t="s">
        <v>436</v>
      </c>
      <c r="X6" s="1" t="s">
        <v>437</v>
      </c>
      <c r="Y6" s="1" t="s">
        <v>438</v>
      </c>
      <c r="Z6" s="1" t="s">
        <v>439</v>
      </c>
      <c r="AA6" s="1" t="s">
        <v>440</v>
      </c>
      <c r="AB6" s="1" t="s">
        <v>441</v>
      </c>
      <c r="AC6" s="1" t="s">
        <v>336</v>
      </c>
      <c r="AD6" s="1" t="s">
        <v>442</v>
      </c>
      <c r="AE6" s="1" t="s">
        <v>429</v>
      </c>
      <c r="AF6" s="1" t="s">
        <v>443</v>
      </c>
      <c r="AG6" s="1" t="s">
        <v>332</v>
      </c>
      <c r="AL6" s="2" t="s">
        <v>432</v>
      </c>
      <c r="AM6" s="2" t="s">
        <v>444</v>
      </c>
      <c r="AN6" s="2" t="s">
        <v>428</v>
      </c>
      <c r="AO6" s="2" t="s">
        <v>392</v>
      </c>
      <c r="AP6" s="2" t="s">
        <v>445</v>
      </c>
      <c r="AQ6" s="2" t="s">
        <v>446</v>
      </c>
      <c r="AR6" s="2"/>
      <c r="AS6" s="2"/>
      <c r="AT6" s="6" t="s">
        <v>432</v>
      </c>
      <c r="AU6" s="8" t="s">
        <v>417</v>
      </c>
      <c r="AV6" s="7" t="s">
        <v>392</v>
      </c>
      <c r="AW6" s="6" t="s">
        <v>428</v>
      </c>
      <c r="AX6" s="8" t="s">
        <v>447</v>
      </c>
      <c r="AY6" s="7" t="s">
        <v>92</v>
      </c>
      <c r="AZ6" s="2"/>
      <c r="BC6" s="2"/>
    </row>
    <row r="7" spans="1:55" x14ac:dyDescent="0.5">
      <c r="A7" s="1" t="s">
        <v>368</v>
      </c>
      <c r="D7" s="1" t="s">
        <v>448</v>
      </c>
      <c r="G7" s="1" t="s">
        <v>373</v>
      </c>
      <c r="H7" s="1" t="s">
        <v>373</v>
      </c>
      <c r="I7" s="1" t="s">
        <v>373</v>
      </c>
      <c r="L7" s="1" t="s">
        <v>449</v>
      </c>
      <c r="M7" s="1" t="s">
        <v>331</v>
      </c>
      <c r="N7" s="1" t="s">
        <v>450</v>
      </c>
      <c r="O7" s="1" t="s">
        <v>451</v>
      </c>
      <c r="P7" s="1" t="s">
        <v>436</v>
      </c>
      <c r="Q7" s="1" t="s">
        <v>452</v>
      </c>
      <c r="S7" s="1" t="s">
        <v>449</v>
      </c>
      <c r="T7" s="1" t="s">
        <v>331</v>
      </c>
      <c r="U7" s="1" t="s">
        <v>450</v>
      </c>
      <c r="V7" s="1" t="s">
        <v>451</v>
      </c>
      <c r="W7" s="1" t="s">
        <v>436</v>
      </c>
      <c r="X7" s="1" t="s">
        <v>452</v>
      </c>
      <c r="Y7" s="1" t="s">
        <v>453</v>
      </c>
      <c r="Z7" s="1" t="s">
        <v>454</v>
      </c>
      <c r="AA7" s="1" t="s">
        <v>455</v>
      </c>
      <c r="AB7" s="1" t="s">
        <v>456</v>
      </c>
      <c r="AC7" s="1" t="s">
        <v>396</v>
      </c>
      <c r="AD7" s="1" t="s">
        <v>425</v>
      </c>
      <c r="AE7" s="1" t="s">
        <v>425</v>
      </c>
      <c r="AF7" s="1" t="s">
        <v>447</v>
      </c>
      <c r="AG7" s="1" t="s">
        <v>457</v>
      </c>
      <c r="AL7" s="2" t="s">
        <v>458</v>
      </c>
      <c r="AM7" s="2" t="s">
        <v>459</v>
      </c>
      <c r="AN7" s="2" t="s">
        <v>435</v>
      </c>
      <c r="AO7" s="2" t="s">
        <v>460</v>
      </c>
      <c r="AP7" s="2" t="s">
        <v>461</v>
      </c>
      <c r="AQ7" s="2" t="s">
        <v>462</v>
      </c>
      <c r="AR7" s="2"/>
      <c r="AS7" s="2"/>
      <c r="AT7" s="5" t="s">
        <v>458</v>
      </c>
      <c r="AU7" s="1" t="s">
        <v>426</v>
      </c>
      <c r="AV7" s="8" t="s">
        <v>60</v>
      </c>
      <c r="AW7" s="7" t="s">
        <v>53</v>
      </c>
      <c r="AX7" s="7" t="s">
        <v>92</v>
      </c>
      <c r="AY7" s="7" t="s">
        <v>463</v>
      </c>
      <c r="AZ7" s="2"/>
      <c r="BC7" s="2"/>
    </row>
    <row r="8" spans="1:55" x14ac:dyDescent="0.5">
      <c r="G8" s="1" t="s">
        <v>374</v>
      </c>
      <c r="H8" s="1" t="s">
        <v>374</v>
      </c>
      <c r="I8" s="1" t="s">
        <v>374</v>
      </c>
      <c r="L8" s="1" t="s">
        <v>464</v>
      </c>
      <c r="M8" s="1" t="s">
        <v>465</v>
      </c>
      <c r="N8" s="1" t="s">
        <v>332</v>
      </c>
      <c r="O8" s="1" t="s">
        <v>444</v>
      </c>
      <c r="P8" s="1" t="s">
        <v>466</v>
      </c>
      <c r="Q8" s="1" t="s">
        <v>467</v>
      </c>
      <c r="S8" s="1" t="s">
        <v>464</v>
      </c>
      <c r="T8" s="1" t="s">
        <v>465</v>
      </c>
      <c r="U8" s="1" t="s">
        <v>332</v>
      </c>
      <c r="V8" s="1" t="s">
        <v>444</v>
      </c>
      <c r="W8" s="1" t="s">
        <v>466</v>
      </c>
      <c r="X8" s="1" t="s">
        <v>467</v>
      </c>
      <c r="Y8" s="1" t="s">
        <v>328</v>
      </c>
      <c r="Z8" s="1" t="s">
        <v>468</v>
      </c>
      <c r="AA8" s="1" t="s">
        <v>469</v>
      </c>
      <c r="AB8" s="1" t="s">
        <v>470</v>
      </c>
      <c r="AC8" s="1" t="s">
        <v>53</v>
      </c>
      <c r="AD8" s="1" t="s">
        <v>328</v>
      </c>
      <c r="AE8" s="1" t="s">
        <v>471</v>
      </c>
      <c r="AF8" s="1" t="s">
        <v>472</v>
      </c>
      <c r="AG8" s="1" t="s">
        <v>473</v>
      </c>
      <c r="AL8" s="2" t="s">
        <v>464</v>
      </c>
      <c r="AM8" s="2" t="s">
        <v>442</v>
      </c>
      <c r="AN8" s="2" t="s">
        <v>451</v>
      </c>
      <c r="AO8" s="2" t="s">
        <v>474</v>
      </c>
      <c r="AP8" s="2" t="s">
        <v>475</v>
      </c>
      <c r="AQ8" s="2" t="s">
        <v>476</v>
      </c>
      <c r="AR8" s="2"/>
      <c r="AS8" s="2"/>
      <c r="AT8" s="6" t="s">
        <v>464</v>
      </c>
      <c r="AU8" s="7" t="s">
        <v>433</v>
      </c>
      <c r="AV8" s="7" t="s">
        <v>53</v>
      </c>
      <c r="AW8" s="5" t="s">
        <v>435</v>
      </c>
      <c r="AX8" s="8" t="s">
        <v>463</v>
      </c>
      <c r="AY8" s="7" t="s">
        <v>477</v>
      </c>
      <c r="AZ8" s="2"/>
      <c r="BC8" s="2"/>
    </row>
    <row r="9" spans="1:55" x14ac:dyDescent="0.5">
      <c r="G9" s="1" t="s">
        <v>375</v>
      </c>
      <c r="H9" s="1" t="s">
        <v>375</v>
      </c>
      <c r="I9" s="1" t="s">
        <v>375</v>
      </c>
      <c r="L9" s="1" t="s">
        <v>335</v>
      </c>
      <c r="M9" s="1" t="s">
        <v>478</v>
      </c>
      <c r="N9" s="1" t="s">
        <v>479</v>
      </c>
      <c r="O9" s="1" t="s">
        <v>480</v>
      </c>
      <c r="P9" s="1" t="s">
        <v>481</v>
      </c>
      <c r="Q9" s="1" t="s">
        <v>328</v>
      </c>
      <c r="S9" s="1" t="s">
        <v>335</v>
      </c>
      <c r="T9" s="1" t="s">
        <v>478</v>
      </c>
      <c r="U9" s="1" t="s">
        <v>479</v>
      </c>
      <c r="V9" s="1" t="s">
        <v>480</v>
      </c>
      <c r="W9" s="1" t="s">
        <v>481</v>
      </c>
      <c r="X9" s="1" t="s">
        <v>328</v>
      </c>
      <c r="Y9" s="1" t="s">
        <v>452</v>
      </c>
      <c r="Z9" s="1" t="s">
        <v>482</v>
      </c>
      <c r="AA9" s="1" t="s">
        <v>483</v>
      </c>
      <c r="AB9" s="1" t="s">
        <v>484</v>
      </c>
      <c r="AC9" s="1" t="s">
        <v>485</v>
      </c>
      <c r="AD9" s="1" t="s">
        <v>345</v>
      </c>
      <c r="AE9" s="1" t="s">
        <v>486</v>
      </c>
      <c r="AF9" s="1" t="s">
        <v>487</v>
      </c>
      <c r="AG9" s="1" t="s">
        <v>463</v>
      </c>
      <c r="AL9" s="2" t="s">
        <v>335</v>
      </c>
      <c r="AM9" s="2" t="s">
        <v>488</v>
      </c>
      <c r="AN9" s="2" t="s">
        <v>489</v>
      </c>
      <c r="AO9" s="2" t="s">
        <v>451</v>
      </c>
      <c r="AP9" s="2" t="s">
        <v>490</v>
      </c>
      <c r="AQ9" s="2" t="s">
        <v>491</v>
      </c>
      <c r="AR9" s="2"/>
      <c r="AS9" s="2"/>
      <c r="AT9" s="5" t="s">
        <v>335</v>
      </c>
      <c r="AU9" s="6" t="s">
        <v>444</v>
      </c>
      <c r="AV9" s="7" t="s">
        <v>460</v>
      </c>
      <c r="AW9" s="8" t="s">
        <v>418</v>
      </c>
      <c r="AX9" s="8" t="s">
        <v>425</v>
      </c>
      <c r="AY9" s="8" t="s">
        <v>492</v>
      </c>
      <c r="AZ9" s="2"/>
      <c r="BC9" s="2"/>
    </row>
    <row r="10" spans="1:55" x14ac:dyDescent="0.5">
      <c r="L10" s="1" t="s">
        <v>493</v>
      </c>
      <c r="M10" s="1" t="s">
        <v>494</v>
      </c>
      <c r="N10" s="1" t="s">
        <v>442</v>
      </c>
      <c r="O10" s="1" t="s">
        <v>459</v>
      </c>
      <c r="P10" s="1" t="s">
        <v>435</v>
      </c>
      <c r="Q10" s="1" t="s">
        <v>329</v>
      </c>
      <c r="S10" s="1" t="s">
        <v>493</v>
      </c>
      <c r="T10" s="1" t="s">
        <v>494</v>
      </c>
      <c r="U10" s="1" t="s">
        <v>442</v>
      </c>
      <c r="V10" s="1" t="s">
        <v>459</v>
      </c>
      <c r="W10" s="1" t="s">
        <v>435</v>
      </c>
      <c r="X10" s="1" t="s">
        <v>329</v>
      </c>
      <c r="Y10" s="1" t="s">
        <v>60</v>
      </c>
      <c r="Z10" s="1" t="s">
        <v>345</v>
      </c>
      <c r="AA10" s="1" t="s">
        <v>495</v>
      </c>
      <c r="AB10" s="1" t="s">
        <v>496</v>
      </c>
      <c r="AC10" s="1" t="s">
        <v>497</v>
      </c>
      <c r="AD10" s="1" t="s">
        <v>331</v>
      </c>
      <c r="AE10" s="1" t="s">
        <v>498</v>
      </c>
      <c r="AF10" s="1" t="s">
        <v>88</v>
      </c>
      <c r="AG10" s="1" t="s">
        <v>499</v>
      </c>
      <c r="AL10" s="2" t="s">
        <v>493</v>
      </c>
      <c r="AM10" s="2" t="s">
        <v>500</v>
      </c>
      <c r="AN10" s="2" t="s">
        <v>501</v>
      </c>
      <c r="AO10" s="2" t="s">
        <v>502</v>
      </c>
      <c r="AP10" s="2" t="s">
        <v>434</v>
      </c>
      <c r="AQ10" s="2" t="s">
        <v>347</v>
      </c>
      <c r="AR10" s="2"/>
      <c r="AS10" s="2"/>
      <c r="AT10" s="6" t="s">
        <v>493</v>
      </c>
      <c r="AU10" s="8" t="s">
        <v>331</v>
      </c>
      <c r="AV10" s="8" t="s">
        <v>474</v>
      </c>
      <c r="AW10" s="6" t="s">
        <v>451</v>
      </c>
      <c r="AX10" s="8" t="s">
        <v>477</v>
      </c>
      <c r="AY10" s="7" t="s">
        <v>503</v>
      </c>
      <c r="AZ10" s="2"/>
      <c r="BC10" s="2"/>
    </row>
    <row r="11" spans="1:55" x14ac:dyDescent="0.5">
      <c r="G11" s="1" t="s">
        <v>389</v>
      </c>
      <c r="H11" s="1" t="s">
        <v>414</v>
      </c>
      <c r="I11" s="1" t="s">
        <v>504</v>
      </c>
      <c r="J11" s="1" t="s">
        <v>448</v>
      </c>
      <c r="L11" s="1" t="s">
        <v>442</v>
      </c>
      <c r="M11" s="1" t="s">
        <v>505</v>
      </c>
      <c r="N11" s="1" t="s">
        <v>506</v>
      </c>
      <c r="O11" s="1" t="s">
        <v>478</v>
      </c>
      <c r="P11" s="1" t="s">
        <v>450</v>
      </c>
      <c r="Q11" s="1" t="s">
        <v>507</v>
      </c>
      <c r="S11" s="1" t="s">
        <v>442</v>
      </c>
      <c r="T11" s="1" t="s">
        <v>505</v>
      </c>
      <c r="U11" s="1" t="s">
        <v>506</v>
      </c>
      <c r="V11" s="1" t="s">
        <v>478</v>
      </c>
      <c r="W11" s="1" t="s">
        <v>450</v>
      </c>
      <c r="X11" s="1" t="s">
        <v>507</v>
      </c>
      <c r="Y11" s="1" t="s">
        <v>53</v>
      </c>
      <c r="Z11" s="1" t="s">
        <v>400</v>
      </c>
      <c r="AA11" s="1" t="s">
        <v>508</v>
      </c>
      <c r="AB11" s="1" t="s">
        <v>345</v>
      </c>
      <c r="AC11" s="1" t="s">
        <v>96</v>
      </c>
      <c r="AD11" s="1" t="s">
        <v>509</v>
      </c>
      <c r="AE11" s="1" t="s">
        <v>477</v>
      </c>
      <c r="AF11" s="1" t="s">
        <v>510</v>
      </c>
      <c r="AG11" s="1" t="s">
        <v>511</v>
      </c>
      <c r="AL11" s="2" t="s">
        <v>512</v>
      </c>
      <c r="AM11" s="2" t="s">
        <v>513</v>
      </c>
      <c r="AN11" s="2" t="s">
        <v>442</v>
      </c>
      <c r="AO11" s="2" t="s">
        <v>444</v>
      </c>
      <c r="AP11" s="2" t="s">
        <v>444</v>
      </c>
      <c r="AQ11" s="2" t="s">
        <v>514</v>
      </c>
      <c r="AR11" s="2"/>
      <c r="AS11" s="2"/>
      <c r="AT11" s="5" t="s">
        <v>512</v>
      </c>
      <c r="AU11" s="5" t="s">
        <v>459</v>
      </c>
      <c r="AV11" s="7" t="s">
        <v>435</v>
      </c>
      <c r="AW11" s="7" t="s">
        <v>434</v>
      </c>
      <c r="AX11" s="8" t="s">
        <v>492</v>
      </c>
      <c r="AY11" s="7" t="s">
        <v>487</v>
      </c>
      <c r="AZ11" s="2"/>
      <c r="BC11" s="2"/>
    </row>
    <row r="12" spans="1:55" x14ac:dyDescent="0.5">
      <c r="G12" s="1" t="s">
        <v>402</v>
      </c>
      <c r="H12" s="1" t="s">
        <v>402</v>
      </c>
      <c r="I12" s="1" t="s">
        <v>402</v>
      </c>
      <c r="J12" s="1" t="s">
        <v>402</v>
      </c>
      <c r="L12" s="1" t="s">
        <v>515</v>
      </c>
      <c r="M12" s="1" t="s">
        <v>515</v>
      </c>
      <c r="N12" s="1" t="s">
        <v>468</v>
      </c>
      <c r="O12" s="1" t="s">
        <v>516</v>
      </c>
      <c r="P12" s="1" t="s">
        <v>517</v>
      </c>
      <c r="Q12" s="1" t="s">
        <v>435</v>
      </c>
      <c r="S12" s="1" t="s">
        <v>515</v>
      </c>
      <c r="T12" s="1" t="s">
        <v>515</v>
      </c>
      <c r="U12" s="1" t="s">
        <v>468</v>
      </c>
      <c r="V12" s="1" t="s">
        <v>516</v>
      </c>
      <c r="W12" s="1" t="s">
        <v>517</v>
      </c>
      <c r="X12" s="1" t="s">
        <v>435</v>
      </c>
      <c r="Y12" s="1" t="s">
        <v>436</v>
      </c>
      <c r="Z12" s="1" t="s">
        <v>518</v>
      </c>
      <c r="AA12" s="1" t="s">
        <v>519</v>
      </c>
      <c r="AB12" s="1" t="s">
        <v>520</v>
      </c>
      <c r="AC12" s="1" t="s">
        <v>521</v>
      </c>
      <c r="AD12" s="1" t="s">
        <v>488</v>
      </c>
      <c r="AE12" s="1" t="s">
        <v>522</v>
      </c>
      <c r="AF12" s="1" t="s">
        <v>523</v>
      </c>
      <c r="AG12" s="1" t="s">
        <v>524</v>
      </c>
      <c r="AL12" s="2" t="s">
        <v>525</v>
      </c>
      <c r="AM12" s="2" t="s">
        <v>526</v>
      </c>
      <c r="AN12" s="2" t="s">
        <v>56</v>
      </c>
      <c r="AO12" s="2" t="s">
        <v>527</v>
      </c>
      <c r="AP12" s="2" t="s">
        <v>528</v>
      </c>
      <c r="AQ12" s="2" t="s">
        <v>529</v>
      </c>
      <c r="AR12" s="2"/>
      <c r="AS12" s="2"/>
      <c r="AT12" s="6" t="s">
        <v>525</v>
      </c>
      <c r="AU12" s="7" t="s">
        <v>465</v>
      </c>
      <c r="AV12" s="8" t="s">
        <v>418</v>
      </c>
      <c r="AW12" s="8" t="s">
        <v>450</v>
      </c>
      <c r="AX12" s="7" t="s">
        <v>503</v>
      </c>
      <c r="AY12" s="8" t="s">
        <v>486</v>
      </c>
      <c r="AZ12" s="2"/>
      <c r="BC12" s="2"/>
    </row>
    <row r="13" spans="1:55" x14ac:dyDescent="0.5">
      <c r="G13" s="1" t="s">
        <v>403</v>
      </c>
      <c r="H13" s="1" t="s">
        <v>403</v>
      </c>
      <c r="I13" s="1" t="s">
        <v>403</v>
      </c>
      <c r="J13" s="1" t="s">
        <v>403</v>
      </c>
      <c r="L13" s="1" t="s">
        <v>525</v>
      </c>
      <c r="M13" s="1" t="s">
        <v>530</v>
      </c>
      <c r="N13" s="1" t="s">
        <v>531</v>
      </c>
      <c r="O13" s="1" t="s">
        <v>505</v>
      </c>
      <c r="P13" s="1" t="s">
        <v>532</v>
      </c>
      <c r="Q13" s="1" t="s">
        <v>533</v>
      </c>
      <c r="S13" s="1" t="s">
        <v>525</v>
      </c>
      <c r="T13" s="1" t="s">
        <v>530</v>
      </c>
      <c r="U13" s="1" t="s">
        <v>531</v>
      </c>
      <c r="V13" s="1" t="s">
        <v>505</v>
      </c>
      <c r="W13" s="1" t="s">
        <v>532</v>
      </c>
      <c r="X13" s="1" t="s">
        <v>533</v>
      </c>
      <c r="Y13" s="1" t="s">
        <v>534</v>
      </c>
      <c r="Z13" s="1" t="s">
        <v>535</v>
      </c>
      <c r="AA13" s="1" t="s">
        <v>339</v>
      </c>
      <c r="AB13" s="1" t="s">
        <v>536</v>
      </c>
      <c r="AC13" s="1" t="s">
        <v>429</v>
      </c>
      <c r="AD13" s="1" t="s">
        <v>537</v>
      </c>
      <c r="AE13" s="1" t="s">
        <v>538</v>
      </c>
      <c r="AF13" s="1" t="s">
        <v>335</v>
      </c>
      <c r="AG13" s="1" t="s">
        <v>537</v>
      </c>
      <c r="AL13" s="2" t="s">
        <v>539</v>
      </c>
      <c r="AM13" s="2" t="s">
        <v>540</v>
      </c>
      <c r="AN13" s="2" t="s">
        <v>439</v>
      </c>
      <c r="AO13" s="2" t="s">
        <v>541</v>
      </c>
      <c r="AP13" s="2" t="s">
        <v>450</v>
      </c>
      <c r="AQ13" s="2" t="s">
        <v>88</v>
      </c>
      <c r="AR13" s="2"/>
      <c r="AS13" s="2"/>
      <c r="AT13" s="5" t="s">
        <v>539</v>
      </c>
      <c r="AU13" s="8" t="s">
        <v>478</v>
      </c>
      <c r="AV13" s="8" t="s">
        <v>451</v>
      </c>
      <c r="AW13" s="7" t="s">
        <v>332</v>
      </c>
      <c r="AX13" s="8" t="s">
        <v>487</v>
      </c>
      <c r="AY13" s="7" t="s">
        <v>399</v>
      </c>
      <c r="AZ13" s="2"/>
      <c r="BC13" s="2"/>
    </row>
    <row r="14" spans="1:55" x14ac:dyDescent="0.5">
      <c r="G14" s="1" t="s">
        <v>404</v>
      </c>
      <c r="H14" s="1" t="s">
        <v>404</v>
      </c>
      <c r="I14" s="1" t="s">
        <v>404</v>
      </c>
      <c r="J14" s="1" t="s">
        <v>404</v>
      </c>
      <c r="L14" s="1" t="s">
        <v>542</v>
      </c>
      <c r="M14" s="1" t="s">
        <v>468</v>
      </c>
      <c r="N14" s="1" t="s">
        <v>337</v>
      </c>
      <c r="O14" s="1" t="s">
        <v>543</v>
      </c>
      <c r="P14" s="1" t="s">
        <v>489</v>
      </c>
      <c r="Q14" s="1" t="s">
        <v>544</v>
      </c>
      <c r="S14" s="1" t="s">
        <v>542</v>
      </c>
      <c r="T14" s="1" t="s">
        <v>468</v>
      </c>
      <c r="U14" s="1" t="s">
        <v>337</v>
      </c>
      <c r="V14" s="1" t="s">
        <v>543</v>
      </c>
      <c r="W14" s="1" t="s">
        <v>489</v>
      </c>
      <c r="X14" s="1" t="s">
        <v>544</v>
      </c>
      <c r="Y14" s="1" t="s">
        <v>545</v>
      </c>
      <c r="Z14" s="1" t="s">
        <v>542</v>
      </c>
      <c r="AA14" s="1" t="s">
        <v>546</v>
      </c>
      <c r="AB14" s="1" t="s">
        <v>547</v>
      </c>
      <c r="AC14" s="1" t="s">
        <v>548</v>
      </c>
      <c r="AD14" s="1" t="s">
        <v>549</v>
      </c>
      <c r="AE14" s="1" t="s">
        <v>550</v>
      </c>
      <c r="AF14" s="1" t="s">
        <v>506</v>
      </c>
      <c r="AG14" s="1" t="s">
        <v>549</v>
      </c>
      <c r="AL14" s="2" t="s">
        <v>551</v>
      </c>
      <c r="AM14" s="2" t="s">
        <v>552</v>
      </c>
      <c r="AN14" s="2" t="s">
        <v>525</v>
      </c>
      <c r="AO14" s="2" t="s">
        <v>553</v>
      </c>
      <c r="AP14" s="2" t="s">
        <v>479</v>
      </c>
      <c r="AQ14" s="2" t="s">
        <v>554</v>
      </c>
      <c r="AR14" s="2"/>
      <c r="AS14" s="2"/>
      <c r="AT14" s="6" t="s">
        <v>551</v>
      </c>
      <c r="AU14" s="7" t="s">
        <v>494</v>
      </c>
      <c r="AV14" s="6" t="s">
        <v>502</v>
      </c>
      <c r="AW14" s="5" t="s">
        <v>489</v>
      </c>
      <c r="AX14" s="8" t="s">
        <v>461</v>
      </c>
      <c r="AY14" s="7" t="s">
        <v>555</v>
      </c>
      <c r="AZ14" s="2"/>
      <c r="BC14" s="2"/>
    </row>
    <row r="15" spans="1:55" x14ac:dyDescent="0.5">
      <c r="G15" s="1" t="s">
        <v>405</v>
      </c>
      <c r="H15" s="1" t="s">
        <v>405</v>
      </c>
      <c r="I15" s="1" t="s">
        <v>405</v>
      </c>
      <c r="J15" s="1" t="s">
        <v>405</v>
      </c>
      <c r="L15" s="1" t="s">
        <v>539</v>
      </c>
      <c r="M15" s="1" t="s">
        <v>488</v>
      </c>
      <c r="N15" s="1" t="s">
        <v>439</v>
      </c>
      <c r="O15" s="1" t="s">
        <v>56</v>
      </c>
      <c r="P15" s="1" t="s">
        <v>479</v>
      </c>
      <c r="Q15" s="1" t="s">
        <v>426</v>
      </c>
      <c r="S15" s="1" t="s">
        <v>539</v>
      </c>
      <c r="T15" s="1" t="s">
        <v>488</v>
      </c>
      <c r="U15" s="1" t="s">
        <v>439</v>
      </c>
      <c r="V15" s="1" t="s">
        <v>56</v>
      </c>
      <c r="W15" s="1" t="s">
        <v>479</v>
      </c>
      <c r="X15" s="1" t="s">
        <v>426</v>
      </c>
      <c r="Y15" s="1" t="s">
        <v>397</v>
      </c>
      <c r="Z15" s="1" t="s">
        <v>332</v>
      </c>
      <c r="AA15" s="1" t="s">
        <v>556</v>
      </c>
      <c r="AB15" s="1" t="s">
        <v>332</v>
      </c>
      <c r="AC15" s="1" t="s">
        <v>340</v>
      </c>
      <c r="AD15" s="1" t="s">
        <v>557</v>
      </c>
      <c r="AE15" s="1" t="s">
        <v>492</v>
      </c>
      <c r="AF15" s="1" t="s">
        <v>480</v>
      </c>
      <c r="AG15" s="1" t="s">
        <v>531</v>
      </c>
      <c r="AL15" s="2" t="s">
        <v>558</v>
      </c>
      <c r="AM15" s="2" t="s">
        <v>559</v>
      </c>
      <c r="AN15" s="2" t="s">
        <v>521</v>
      </c>
      <c r="AO15" s="2" t="s">
        <v>560</v>
      </c>
      <c r="AP15" s="2" t="s">
        <v>561</v>
      </c>
      <c r="AQ15" s="2" t="s">
        <v>562</v>
      </c>
      <c r="AR15" s="2"/>
      <c r="AS15" s="2"/>
      <c r="AT15" s="5" t="s">
        <v>558</v>
      </c>
      <c r="AU15" s="8" t="s">
        <v>505</v>
      </c>
      <c r="AV15" s="7" t="s">
        <v>434</v>
      </c>
      <c r="AW15" s="8" t="s">
        <v>479</v>
      </c>
      <c r="AX15" s="8" t="s">
        <v>486</v>
      </c>
      <c r="AY15" s="7" t="s">
        <v>550</v>
      </c>
      <c r="AZ15" s="2"/>
      <c r="BC15" s="2"/>
    </row>
    <row r="16" spans="1:55" x14ac:dyDescent="0.5">
      <c r="G16" s="1" t="s">
        <v>406</v>
      </c>
      <c r="H16" s="1" t="s">
        <v>406</v>
      </c>
      <c r="I16" s="1" t="s">
        <v>406</v>
      </c>
      <c r="J16" s="1" t="s">
        <v>406</v>
      </c>
      <c r="L16" s="1" t="s">
        <v>339</v>
      </c>
      <c r="M16" s="1" t="s">
        <v>337</v>
      </c>
      <c r="N16" s="1" t="s">
        <v>563</v>
      </c>
      <c r="O16" s="1" t="s">
        <v>564</v>
      </c>
      <c r="P16" s="1" t="s">
        <v>565</v>
      </c>
      <c r="Q16" s="1" t="s">
        <v>517</v>
      </c>
      <c r="S16" s="1" t="s">
        <v>339</v>
      </c>
      <c r="T16" s="1" t="s">
        <v>337</v>
      </c>
      <c r="U16" s="1" t="s">
        <v>563</v>
      </c>
      <c r="V16" s="1" t="s">
        <v>564</v>
      </c>
      <c r="W16" s="1" t="s">
        <v>565</v>
      </c>
      <c r="X16" s="1" t="s">
        <v>517</v>
      </c>
      <c r="Y16" s="1" t="s">
        <v>566</v>
      </c>
      <c r="Z16" s="1" t="s">
        <v>336</v>
      </c>
      <c r="AA16" s="1" t="s">
        <v>567</v>
      </c>
      <c r="AB16" s="1" t="s">
        <v>396</v>
      </c>
      <c r="AC16" s="1" t="s">
        <v>568</v>
      </c>
      <c r="AD16" s="1" t="s">
        <v>569</v>
      </c>
      <c r="AE16" s="1" t="s">
        <v>503</v>
      </c>
      <c r="AF16" s="1" t="s">
        <v>570</v>
      </c>
      <c r="AG16" s="1" t="s">
        <v>560</v>
      </c>
      <c r="AL16" s="2" t="s">
        <v>483</v>
      </c>
      <c r="AM16" s="2" t="s">
        <v>571</v>
      </c>
      <c r="AN16" s="2" t="s">
        <v>542</v>
      </c>
      <c r="AO16" s="2" t="s">
        <v>572</v>
      </c>
      <c r="AP16" s="2" t="s">
        <v>565</v>
      </c>
      <c r="AQ16" s="2" t="s">
        <v>573</v>
      </c>
      <c r="AR16" s="2"/>
      <c r="AS16" s="2"/>
      <c r="AT16" s="6" t="s">
        <v>483</v>
      </c>
      <c r="AU16" s="6" t="s">
        <v>442</v>
      </c>
      <c r="AV16" s="7" t="s">
        <v>444</v>
      </c>
      <c r="AW16" s="5" t="s">
        <v>442</v>
      </c>
      <c r="AX16" s="8" t="s">
        <v>399</v>
      </c>
      <c r="AY16" s="7" t="s">
        <v>574</v>
      </c>
      <c r="AZ16" s="2"/>
      <c r="BC16" s="2"/>
    </row>
    <row r="17" spans="7:55" x14ac:dyDescent="0.5">
      <c r="G17" s="1" t="s">
        <v>407</v>
      </c>
      <c r="H17" s="1" t="s">
        <v>407</v>
      </c>
      <c r="I17" s="1" t="s">
        <v>407</v>
      </c>
      <c r="J17" s="1" t="s">
        <v>407</v>
      </c>
      <c r="L17" s="1" t="s">
        <v>575</v>
      </c>
      <c r="M17" s="1" t="s">
        <v>339</v>
      </c>
      <c r="N17" s="1" t="s">
        <v>525</v>
      </c>
      <c r="O17" s="1" t="s">
        <v>576</v>
      </c>
      <c r="P17" s="1" t="s">
        <v>577</v>
      </c>
      <c r="Q17" s="1" t="s">
        <v>532</v>
      </c>
      <c r="S17" s="1" t="s">
        <v>575</v>
      </c>
      <c r="T17" s="1" t="s">
        <v>339</v>
      </c>
      <c r="U17" s="1" t="s">
        <v>525</v>
      </c>
      <c r="V17" s="1" t="s">
        <v>576</v>
      </c>
      <c r="W17" s="1" t="s">
        <v>577</v>
      </c>
      <c r="X17" s="1" t="s">
        <v>532</v>
      </c>
      <c r="Y17" s="1" t="s">
        <v>344</v>
      </c>
      <c r="Z17" s="1" t="s">
        <v>485</v>
      </c>
      <c r="AA17" s="1" t="s">
        <v>578</v>
      </c>
      <c r="AB17" s="1" t="s">
        <v>579</v>
      </c>
      <c r="AC17" s="1" t="s">
        <v>486</v>
      </c>
      <c r="AD17" s="1" t="s">
        <v>580</v>
      </c>
      <c r="AE17" s="1" t="s">
        <v>581</v>
      </c>
      <c r="AF17" s="1" t="s">
        <v>582</v>
      </c>
      <c r="AG17" s="1" t="s">
        <v>451</v>
      </c>
      <c r="AL17" s="2" t="s">
        <v>583</v>
      </c>
      <c r="AM17" s="2" t="s">
        <v>584</v>
      </c>
      <c r="AN17" s="2" t="s">
        <v>585</v>
      </c>
      <c r="AO17" s="2" t="s">
        <v>525</v>
      </c>
      <c r="AP17" s="2" t="s">
        <v>478</v>
      </c>
      <c r="AQ17" s="2" t="s">
        <v>586</v>
      </c>
      <c r="AR17" s="2"/>
      <c r="AS17" s="2"/>
      <c r="AT17" s="5" t="s">
        <v>583</v>
      </c>
      <c r="AU17" s="7" t="s">
        <v>515</v>
      </c>
      <c r="AV17" s="8" t="s">
        <v>450</v>
      </c>
      <c r="AW17" s="6" t="s">
        <v>56</v>
      </c>
      <c r="AX17" s="8" t="s">
        <v>436</v>
      </c>
      <c r="AY17" s="7" t="s">
        <v>451</v>
      </c>
      <c r="AZ17" s="2"/>
      <c r="BC17" s="2"/>
    </row>
    <row r="18" spans="7:55" x14ac:dyDescent="0.5">
      <c r="L18" s="1" t="s">
        <v>587</v>
      </c>
      <c r="M18" s="1" t="s">
        <v>587</v>
      </c>
      <c r="N18" s="1" t="s">
        <v>588</v>
      </c>
      <c r="O18" s="1" t="s">
        <v>553</v>
      </c>
      <c r="P18" s="1" t="s">
        <v>543</v>
      </c>
      <c r="Q18" s="1" t="s">
        <v>589</v>
      </c>
      <c r="S18" s="1" t="s">
        <v>587</v>
      </c>
      <c r="T18" s="1" t="s">
        <v>587</v>
      </c>
      <c r="U18" s="1" t="s">
        <v>588</v>
      </c>
      <c r="V18" s="1" t="s">
        <v>553</v>
      </c>
      <c r="W18" s="1" t="s">
        <v>543</v>
      </c>
      <c r="X18" s="1" t="s">
        <v>589</v>
      </c>
      <c r="Y18" s="1" t="s">
        <v>590</v>
      </c>
      <c r="Z18" s="1" t="s">
        <v>497</v>
      </c>
      <c r="AA18" s="1" t="s">
        <v>485</v>
      </c>
      <c r="AB18" s="1" t="s">
        <v>450</v>
      </c>
      <c r="AC18" s="1" t="s">
        <v>538</v>
      </c>
      <c r="AD18" s="1" t="s">
        <v>464</v>
      </c>
      <c r="AE18" s="1" t="s">
        <v>591</v>
      </c>
      <c r="AF18" s="1" t="s">
        <v>102</v>
      </c>
      <c r="AG18" s="1" t="s">
        <v>592</v>
      </c>
      <c r="AL18" s="2" t="s">
        <v>593</v>
      </c>
      <c r="AM18" s="2" t="s">
        <v>594</v>
      </c>
      <c r="AN18" s="2" t="s">
        <v>595</v>
      </c>
      <c r="AO18" s="2" t="s">
        <v>508</v>
      </c>
      <c r="AP18" s="2" t="s">
        <v>505</v>
      </c>
      <c r="AQ18" s="2" t="s">
        <v>596</v>
      </c>
      <c r="AR18" s="2"/>
      <c r="AS18" s="2"/>
      <c r="AT18" s="6" t="s">
        <v>593</v>
      </c>
      <c r="AU18" s="8" t="s">
        <v>530</v>
      </c>
      <c r="AV18" s="7" t="s">
        <v>332</v>
      </c>
      <c r="AW18" s="5" t="s">
        <v>506</v>
      </c>
      <c r="AX18" s="8" t="s">
        <v>555</v>
      </c>
      <c r="AY18" s="7" t="s">
        <v>426</v>
      </c>
      <c r="AZ18" s="2"/>
      <c r="BC18" s="2"/>
    </row>
    <row r="19" spans="7:55" x14ac:dyDescent="0.5">
      <c r="G19" s="1" t="s">
        <v>390</v>
      </c>
      <c r="H19" s="1" t="s">
        <v>597</v>
      </c>
      <c r="I19" s="1" t="s">
        <v>431</v>
      </c>
      <c r="L19" s="1" t="s">
        <v>587</v>
      </c>
      <c r="M19" s="1" t="s">
        <v>526</v>
      </c>
      <c r="N19" s="1" t="s">
        <v>521</v>
      </c>
      <c r="O19" s="1" t="s">
        <v>570</v>
      </c>
      <c r="P19" s="1" t="s">
        <v>598</v>
      </c>
      <c r="Q19" s="1" t="s">
        <v>599</v>
      </c>
      <c r="S19" s="1" t="s">
        <v>587</v>
      </c>
      <c r="T19" s="1" t="s">
        <v>526</v>
      </c>
      <c r="U19" s="1" t="s">
        <v>521</v>
      </c>
      <c r="V19" s="1" t="s">
        <v>570</v>
      </c>
      <c r="W19" s="1" t="s">
        <v>598</v>
      </c>
      <c r="X19" s="1" t="s">
        <v>599</v>
      </c>
      <c r="Y19" s="1" t="s">
        <v>600</v>
      </c>
      <c r="Z19" s="1" t="s">
        <v>587</v>
      </c>
      <c r="AA19" s="1" t="s">
        <v>601</v>
      </c>
      <c r="AB19" s="1" t="s">
        <v>602</v>
      </c>
      <c r="AC19" s="1" t="s">
        <v>522</v>
      </c>
      <c r="AD19" s="1" t="s">
        <v>603</v>
      </c>
      <c r="AE19" s="1" t="s">
        <v>604</v>
      </c>
      <c r="AF19" s="1" t="s">
        <v>605</v>
      </c>
      <c r="AG19" s="1" t="s">
        <v>348</v>
      </c>
      <c r="AL19" s="2" t="s">
        <v>606</v>
      </c>
      <c r="AM19" s="2" t="s">
        <v>593</v>
      </c>
      <c r="AN19" s="2" t="s">
        <v>102</v>
      </c>
      <c r="AO19" s="2" t="s">
        <v>607</v>
      </c>
      <c r="AP19" s="2" t="s">
        <v>577</v>
      </c>
      <c r="AQ19" s="2" t="s">
        <v>608</v>
      </c>
      <c r="AR19" s="2"/>
      <c r="AS19" s="2"/>
      <c r="AT19" s="5" t="s">
        <v>606</v>
      </c>
      <c r="AU19" s="7" t="s">
        <v>468</v>
      </c>
      <c r="AV19" s="8" t="s">
        <v>480</v>
      </c>
      <c r="AW19" s="5" t="s">
        <v>468</v>
      </c>
      <c r="AX19" s="7" t="s">
        <v>550</v>
      </c>
      <c r="AY19" s="7" t="s">
        <v>473</v>
      </c>
      <c r="AZ19" s="2"/>
      <c r="BC19" s="2"/>
    </row>
    <row r="20" spans="7:55" x14ac:dyDescent="0.5">
      <c r="G20" s="1" t="s">
        <v>408</v>
      </c>
      <c r="H20" s="1" t="s">
        <v>408</v>
      </c>
      <c r="I20" s="1" t="s">
        <v>408</v>
      </c>
      <c r="L20" s="1" t="s">
        <v>609</v>
      </c>
      <c r="M20" s="1" t="s">
        <v>610</v>
      </c>
      <c r="N20" s="1" t="s">
        <v>513</v>
      </c>
      <c r="O20" s="1" t="s">
        <v>531</v>
      </c>
      <c r="P20" s="1" t="s">
        <v>56</v>
      </c>
      <c r="Q20" s="1" t="s">
        <v>611</v>
      </c>
      <c r="S20" s="1" t="s">
        <v>609</v>
      </c>
      <c r="T20" s="1" t="s">
        <v>610</v>
      </c>
      <c r="U20" s="1" t="s">
        <v>513</v>
      </c>
      <c r="V20" s="1" t="s">
        <v>531</v>
      </c>
      <c r="W20" s="1" t="s">
        <v>56</v>
      </c>
      <c r="X20" s="1" t="s">
        <v>611</v>
      </c>
      <c r="Y20" s="1" t="s">
        <v>612</v>
      </c>
      <c r="Z20" s="1" t="s">
        <v>613</v>
      </c>
      <c r="AA20" s="1" t="s">
        <v>614</v>
      </c>
      <c r="AB20" s="1" t="s">
        <v>586</v>
      </c>
      <c r="AC20" s="1" t="s">
        <v>615</v>
      </c>
      <c r="AD20" s="1" t="s">
        <v>616</v>
      </c>
      <c r="AE20" s="1" t="s">
        <v>574</v>
      </c>
      <c r="AF20" s="1" t="s">
        <v>342</v>
      </c>
      <c r="AG20" s="1" t="s">
        <v>574</v>
      </c>
      <c r="AL20" s="2" t="s">
        <v>617</v>
      </c>
      <c r="AM20" s="2" t="s">
        <v>617</v>
      </c>
      <c r="AN20" s="2" t="s">
        <v>594</v>
      </c>
      <c r="AO20" s="2" t="s">
        <v>339</v>
      </c>
      <c r="AP20" s="2" t="s">
        <v>543</v>
      </c>
      <c r="AQ20" s="2" t="s">
        <v>355</v>
      </c>
      <c r="AR20" s="2"/>
      <c r="AS20" s="2"/>
      <c r="AT20" s="6" t="s">
        <v>617</v>
      </c>
      <c r="AU20" s="5" t="s">
        <v>488</v>
      </c>
      <c r="AV20" s="8" t="s">
        <v>479</v>
      </c>
      <c r="AW20" s="5" t="s">
        <v>531</v>
      </c>
      <c r="AX20" s="7" t="s">
        <v>574</v>
      </c>
      <c r="AY20" s="7" t="s">
        <v>498</v>
      </c>
      <c r="AZ20" s="2"/>
      <c r="BC20" s="2"/>
    </row>
    <row r="21" spans="7:55" x14ac:dyDescent="0.5">
      <c r="G21" s="1" t="s">
        <v>409</v>
      </c>
      <c r="H21" s="1" t="s">
        <v>409</v>
      </c>
      <c r="I21" s="1" t="s">
        <v>409</v>
      </c>
      <c r="L21" s="1" t="s">
        <v>345</v>
      </c>
      <c r="M21" s="1" t="s">
        <v>540</v>
      </c>
      <c r="N21" s="1" t="s">
        <v>522</v>
      </c>
      <c r="O21" s="1" t="s">
        <v>560</v>
      </c>
      <c r="P21" s="1" t="s">
        <v>515</v>
      </c>
      <c r="Q21" s="1" t="s">
        <v>618</v>
      </c>
      <c r="S21" s="1" t="s">
        <v>345</v>
      </c>
      <c r="T21" s="1" t="s">
        <v>540</v>
      </c>
      <c r="U21" s="1" t="s">
        <v>522</v>
      </c>
      <c r="V21" s="1" t="s">
        <v>560</v>
      </c>
      <c r="W21" s="1" t="s">
        <v>515</v>
      </c>
      <c r="X21" s="1" t="s">
        <v>618</v>
      </c>
      <c r="Y21" s="1" t="s">
        <v>479</v>
      </c>
      <c r="Z21" s="1" t="s">
        <v>619</v>
      </c>
      <c r="AA21" s="1" t="s">
        <v>620</v>
      </c>
      <c r="AB21" s="1" t="s">
        <v>621</v>
      </c>
      <c r="AC21" s="1" t="s">
        <v>622</v>
      </c>
      <c r="AD21" s="1" t="s">
        <v>623</v>
      </c>
      <c r="AE21" s="1" t="s">
        <v>555</v>
      </c>
      <c r="AF21" s="1" t="s">
        <v>436</v>
      </c>
      <c r="AG21" s="1" t="s">
        <v>624</v>
      </c>
      <c r="AL21" s="2" t="s">
        <v>625</v>
      </c>
      <c r="AM21" s="2" t="s">
        <v>626</v>
      </c>
      <c r="AN21" s="2" t="s">
        <v>578</v>
      </c>
      <c r="AO21" s="2" t="s">
        <v>587</v>
      </c>
      <c r="AP21" s="2" t="s">
        <v>510</v>
      </c>
      <c r="AQ21" s="2" t="s">
        <v>627</v>
      </c>
      <c r="AR21" s="2"/>
      <c r="AS21" s="2"/>
      <c r="AT21" s="5" t="s">
        <v>625</v>
      </c>
      <c r="AU21" s="7" t="s">
        <v>337</v>
      </c>
      <c r="AV21" s="7" t="s">
        <v>459</v>
      </c>
      <c r="AW21" s="5" t="s">
        <v>337</v>
      </c>
      <c r="AX21" s="8" t="s">
        <v>628</v>
      </c>
      <c r="AY21" s="7" t="s">
        <v>332</v>
      </c>
      <c r="AZ21" s="2"/>
      <c r="BC21" s="2"/>
    </row>
    <row r="22" spans="7:55" x14ac:dyDescent="0.5">
      <c r="G22" s="1" t="s">
        <v>410</v>
      </c>
      <c r="H22" s="1" t="s">
        <v>410</v>
      </c>
      <c r="I22" s="1" t="s">
        <v>410</v>
      </c>
      <c r="L22" s="1" t="s">
        <v>102</v>
      </c>
      <c r="M22" s="1" t="s">
        <v>400</v>
      </c>
      <c r="N22" s="1" t="s">
        <v>629</v>
      </c>
      <c r="O22" s="1" t="s">
        <v>629</v>
      </c>
      <c r="P22" s="1" t="s">
        <v>630</v>
      </c>
      <c r="Q22" s="1" t="s">
        <v>631</v>
      </c>
      <c r="S22" s="1" t="s">
        <v>102</v>
      </c>
      <c r="T22" s="1" t="s">
        <v>400</v>
      </c>
      <c r="U22" s="1" t="s">
        <v>629</v>
      </c>
      <c r="V22" s="1" t="s">
        <v>629</v>
      </c>
      <c r="W22" s="1" t="s">
        <v>630</v>
      </c>
      <c r="X22" s="1" t="s">
        <v>631</v>
      </c>
      <c r="Y22" s="1" t="s">
        <v>632</v>
      </c>
      <c r="Z22" s="1" t="s">
        <v>540</v>
      </c>
      <c r="AA22" s="1" t="s">
        <v>572</v>
      </c>
      <c r="AB22" s="1" t="s">
        <v>519</v>
      </c>
      <c r="AC22" s="1" t="s">
        <v>633</v>
      </c>
      <c r="AD22" s="1" t="s">
        <v>352</v>
      </c>
      <c r="AE22" s="1" t="s">
        <v>634</v>
      </c>
      <c r="AF22" s="1" t="s">
        <v>615</v>
      </c>
      <c r="AG22" s="1" t="s">
        <v>635</v>
      </c>
      <c r="AL22" s="2" t="s">
        <v>636</v>
      </c>
      <c r="AM22" s="2" t="s">
        <v>637</v>
      </c>
      <c r="AN22" s="2" t="s">
        <v>534</v>
      </c>
      <c r="AO22" s="2" t="s">
        <v>571</v>
      </c>
      <c r="AP22" s="2" t="s">
        <v>442</v>
      </c>
      <c r="AT22" s="5" t="s">
        <v>626</v>
      </c>
      <c r="AU22" s="7" t="s">
        <v>500</v>
      </c>
      <c r="AV22" s="8" t="s">
        <v>527</v>
      </c>
      <c r="AW22" s="5" t="s">
        <v>439</v>
      </c>
      <c r="AX22" s="8" t="s">
        <v>451</v>
      </c>
      <c r="AY22" s="7" t="s">
        <v>489</v>
      </c>
    </row>
    <row r="23" spans="7:55" x14ac:dyDescent="0.5">
      <c r="G23" s="1" t="s">
        <v>411</v>
      </c>
      <c r="H23" s="1" t="s">
        <v>411</v>
      </c>
      <c r="I23" s="1" t="s">
        <v>411</v>
      </c>
      <c r="L23" s="1" t="s">
        <v>559</v>
      </c>
      <c r="M23" s="1" t="s">
        <v>552</v>
      </c>
      <c r="N23" s="1" t="s">
        <v>629</v>
      </c>
      <c r="O23" s="1" t="s">
        <v>587</v>
      </c>
      <c r="P23" s="1" t="s">
        <v>336</v>
      </c>
      <c r="Q23" s="1" t="s">
        <v>478</v>
      </c>
      <c r="S23" s="1" t="s">
        <v>559</v>
      </c>
      <c r="T23" s="1" t="s">
        <v>552</v>
      </c>
      <c r="U23" s="1" t="s">
        <v>629</v>
      </c>
      <c r="V23" s="1" t="s">
        <v>587</v>
      </c>
      <c r="W23" s="1" t="s">
        <v>336</v>
      </c>
      <c r="X23" s="1" t="s">
        <v>478</v>
      </c>
      <c r="Y23" s="1" t="s">
        <v>345</v>
      </c>
      <c r="Z23" s="1" t="s">
        <v>638</v>
      </c>
      <c r="AA23" s="1" t="s">
        <v>639</v>
      </c>
      <c r="AB23" s="1" t="s">
        <v>495</v>
      </c>
      <c r="AC23" s="1" t="s">
        <v>640</v>
      </c>
      <c r="AD23" s="1" t="s">
        <v>566</v>
      </c>
      <c r="AE23" s="1" t="s">
        <v>525</v>
      </c>
      <c r="AF23" s="1" t="s">
        <v>516</v>
      </c>
      <c r="AG23" s="1" t="s">
        <v>641</v>
      </c>
      <c r="AL23" s="2" t="s">
        <v>580</v>
      </c>
      <c r="AM23" s="2" t="s">
        <v>615</v>
      </c>
      <c r="AN23" s="2" t="s">
        <v>349</v>
      </c>
      <c r="AO23" s="2" t="s">
        <v>642</v>
      </c>
      <c r="AP23" s="2" t="s">
        <v>643</v>
      </c>
      <c r="AT23" s="6" t="s">
        <v>636</v>
      </c>
      <c r="AU23" s="7" t="s">
        <v>513</v>
      </c>
      <c r="AV23" s="8" t="s">
        <v>478</v>
      </c>
      <c r="AW23" s="7" t="s">
        <v>563</v>
      </c>
      <c r="AX23" s="7" t="s">
        <v>426</v>
      </c>
      <c r="AY23" s="7" t="s">
        <v>480</v>
      </c>
    </row>
    <row r="24" spans="7:55" x14ac:dyDescent="0.5">
      <c r="G24" s="1" t="s">
        <v>412</v>
      </c>
      <c r="H24" s="1" t="s">
        <v>412</v>
      </c>
      <c r="I24" s="1" t="s">
        <v>412</v>
      </c>
      <c r="L24" s="1" t="s">
        <v>558</v>
      </c>
      <c r="M24" s="1" t="s">
        <v>345</v>
      </c>
      <c r="N24" s="1" t="s">
        <v>340</v>
      </c>
      <c r="O24" s="1" t="s">
        <v>644</v>
      </c>
      <c r="P24" s="1" t="s">
        <v>337</v>
      </c>
      <c r="Q24" s="1" t="s">
        <v>516</v>
      </c>
      <c r="S24" s="1" t="s">
        <v>558</v>
      </c>
      <c r="T24" s="1" t="s">
        <v>345</v>
      </c>
      <c r="U24" s="1" t="s">
        <v>340</v>
      </c>
      <c r="V24" s="1" t="s">
        <v>644</v>
      </c>
      <c r="W24" s="1" t="s">
        <v>337</v>
      </c>
      <c r="X24" s="1" t="s">
        <v>516</v>
      </c>
      <c r="Y24" s="1" t="s">
        <v>482</v>
      </c>
      <c r="Z24" s="1" t="s">
        <v>395</v>
      </c>
      <c r="AA24" s="1" t="s">
        <v>645</v>
      </c>
      <c r="AB24" s="1" t="s">
        <v>613</v>
      </c>
      <c r="AC24" s="1" t="s">
        <v>574</v>
      </c>
      <c r="AD24" s="1" t="s">
        <v>84</v>
      </c>
      <c r="AE24" s="1" t="s">
        <v>84</v>
      </c>
      <c r="AF24" s="1" t="s">
        <v>646</v>
      </c>
      <c r="AG24" s="1" t="s">
        <v>547</v>
      </c>
      <c r="AL24" s="2" t="s">
        <v>605</v>
      </c>
      <c r="AM24" s="2" t="s">
        <v>646</v>
      </c>
      <c r="AN24" s="2" t="s">
        <v>647</v>
      </c>
      <c r="AO24" s="2" t="s">
        <v>648</v>
      </c>
      <c r="AP24" s="2" t="s">
        <v>337</v>
      </c>
      <c r="AT24" s="5" t="s">
        <v>580</v>
      </c>
      <c r="AU24" s="7" t="s">
        <v>339</v>
      </c>
      <c r="AV24" s="7" t="s">
        <v>516</v>
      </c>
      <c r="AW24" s="6" t="s">
        <v>525</v>
      </c>
      <c r="AX24" s="7" t="s">
        <v>549</v>
      </c>
      <c r="AY24" s="7" t="s">
        <v>649</v>
      </c>
    </row>
    <row r="25" spans="7:55" x14ac:dyDescent="0.5">
      <c r="G25" s="1" t="s">
        <v>650</v>
      </c>
      <c r="H25" s="1" t="s">
        <v>650</v>
      </c>
      <c r="I25" s="1" t="s">
        <v>650</v>
      </c>
      <c r="L25" s="1" t="s">
        <v>651</v>
      </c>
      <c r="M25" s="1" t="s">
        <v>102</v>
      </c>
      <c r="N25" s="1" t="s">
        <v>644</v>
      </c>
      <c r="O25" s="1" t="s">
        <v>642</v>
      </c>
      <c r="P25" s="1" t="s">
        <v>641</v>
      </c>
      <c r="Q25" s="1" t="s">
        <v>652</v>
      </c>
      <c r="S25" s="1" t="s">
        <v>651</v>
      </c>
      <c r="T25" s="1" t="s">
        <v>102</v>
      </c>
      <c r="U25" s="1" t="s">
        <v>644</v>
      </c>
      <c r="V25" s="1" t="s">
        <v>642</v>
      </c>
      <c r="W25" s="1" t="s">
        <v>641</v>
      </c>
      <c r="X25" s="1" t="s">
        <v>652</v>
      </c>
      <c r="Y25" s="1" t="s">
        <v>653</v>
      </c>
      <c r="Z25" s="1" t="s">
        <v>654</v>
      </c>
      <c r="AA25" s="1" t="s">
        <v>655</v>
      </c>
      <c r="AB25" s="1" t="s">
        <v>656</v>
      </c>
      <c r="AC25" s="1" t="s">
        <v>624</v>
      </c>
      <c r="AD25" s="1" t="s">
        <v>525</v>
      </c>
      <c r="AE25" s="1" t="s">
        <v>657</v>
      </c>
      <c r="AF25" s="1" t="s">
        <v>489</v>
      </c>
      <c r="AG25" s="1" t="s">
        <v>461</v>
      </c>
      <c r="AL25" s="2" t="s">
        <v>646</v>
      </c>
      <c r="AM25" s="2" t="s">
        <v>423</v>
      </c>
      <c r="AN25" s="2" t="s">
        <v>352</v>
      </c>
      <c r="AO25" s="2" t="s">
        <v>658</v>
      </c>
      <c r="AP25" s="2" t="s">
        <v>522</v>
      </c>
      <c r="AT25" s="6" t="s">
        <v>605</v>
      </c>
      <c r="AU25" s="7" t="s">
        <v>587</v>
      </c>
      <c r="AV25" s="8" t="s">
        <v>505</v>
      </c>
      <c r="AW25" s="7" t="s">
        <v>588</v>
      </c>
      <c r="AX25" s="7" t="s">
        <v>659</v>
      </c>
      <c r="AY25" s="7" t="s">
        <v>524</v>
      </c>
    </row>
    <row r="26" spans="7:55" x14ac:dyDescent="0.5">
      <c r="L26" s="1" t="s">
        <v>606</v>
      </c>
      <c r="M26" s="1" t="s">
        <v>660</v>
      </c>
      <c r="N26" s="1" t="s">
        <v>559</v>
      </c>
      <c r="O26" s="1" t="s">
        <v>661</v>
      </c>
      <c r="P26" s="1" t="s">
        <v>600</v>
      </c>
      <c r="Q26" s="1" t="s">
        <v>505</v>
      </c>
      <c r="S26" s="1" t="s">
        <v>606</v>
      </c>
      <c r="T26" s="1" t="s">
        <v>660</v>
      </c>
      <c r="U26" s="1" t="s">
        <v>559</v>
      </c>
      <c r="V26" s="1" t="s">
        <v>661</v>
      </c>
      <c r="W26" s="1" t="s">
        <v>600</v>
      </c>
      <c r="X26" s="1" t="s">
        <v>505</v>
      </c>
      <c r="Y26" s="1" t="s">
        <v>490</v>
      </c>
      <c r="Z26" s="1" t="s">
        <v>436</v>
      </c>
      <c r="AA26" s="1" t="s">
        <v>438</v>
      </c>
      <c r="AB26" s="1" t="s">
        <v>662</v>
      </c>
      <c r="AC26" s="1" t="s">
        <v>663</v>
      </c>
      <c r="AD26" s="1" t="s">
        <v>657</v>
      </c>
      <c r="AE26" s="1" t="s">
        <v>426</v>
      </c>
      <c r="AF26" s="1" t="s">
        <v>664</v>
      </c>
      <c r="AG26" s="1" t="s">
        <v>665</v>
      </c>
      <c r="AL26" s="2" t="s">
        <v>646</v>
      </c>
      <c r="AM26" s="2" t="s">
        <v>666</v>
      </c>
      <c r="AN26" s="2" t="s">
        <v>423</v>
      </c>
      <c r="AO26" s="2" t="s">
        <v>617</v>
      </c>
      <c r="AP26" s="2" t="s">
        <v>340</v>
      </c>
      <c r="AT26" s="5" t="s">
        <v>646</v>
      </c>
      <c r="AU26" s="7" t="s">
        <v>526</v>
      </c>
      <c r="AV26" s="7" t="s">
        <v>543</v>
      </c>
      <c r="AW26" s="8" t="s">
        <v>521</v>
      </c>
      <c r="AX26" s="7" t="s">
        <v>473</v>
      </c>
      <c r="AY26" s="7" t="s">
        <v>516</v>
      </c>
    </row>
    <row r="27" spans="7:55" x14ac:dyDescent="0.5">
      <c r="L27" s="1" t="s">
        <v>667</v>
      </c>
      <c r="M27" s="1" t="s">
        <v>571</v>
      </c>
      <c r="N27" s="1" t="s">
        <v>660</v>
      </c>
      <c r="O27" s="1" t="s">
        <v>648</v>
      </c>
      <c r="P27" s="1" t="s">
        <v>539</v>
      </c>
      <c r="Q27" s="1" t="s">
        <v>577</v>
      </c>
      <c r="S27" s="1" t="s">
        <v>667</v>
      </c>
      <c r="T27" s="1" t="s">
        <v>571</v>
      </c>
      <c r="U27" s="1" t="s">
        <v>660</v>
      </c>
      <c r="V27" s="1" t="s">
        <v>648</v>
      </c>
      <c r="W27" s="1" t="s">
        <v>539</v>
      </c>
      <c r="X27" s="1" t="s">
        <v>577</v>
      </c>
      <c r="Y27" s="1" t="s">
        <v>438</v>
      </c>
      <c r="Z27" s="1" t="s">
        <v>476</v>
      </c>
      <c r="AA27" s="1" t="s">
        <v>395</v>
      </c>
      <c r="AB27" s="1" t="s">
        <v>485</v>
      </c>
      <c r="AC27" s="1" t="s">
        <v>525</v>
      </c>
      <c r="AD27" s="1" t="s">
        <v>426</v>
      </c>
      <c r="AE27" s="1" t="s">
        <v>668</v>
      </c>
      <c r="AF27" s="1" t="s">
        <v>669</v>
      </c>
      <c r="AG27" s="1" t="s">
        <v>358</v>
      </c>
      <c r="AL27" s="2" t="s">
        <v>670</v>
      </c>
      <c r="AM27" s="2" t="s">
        <v>536</v>
      </c>
      <c r="AN27" s="2" t="s">
        <v>84</v>
      </c>
      <c r="AO27" s="2" t="s">
        <v>545</v>
      </c>
      <c r="AP27" s="2" t="s">
        <v>644</v>
      </c>
      <c r="AT27" s="10" t="s">
        <v>670</v>
      </c>
      <c r="AU27" s="7" t="s">
        <v>610</v>
      </c>
      <c r="AV27" s="7" t="s">
        <v>442</v>
      </c>
      <c r="AW27" s="6" t="s">
        <v>542</v>
      </c>
      <c r="AX27" s="8" t="s">
        <v>457</v>
      </c>
      <c r="AY27" s="7" t="s">
        <v>604</v>
      </c>
    </row>
    <row r="28" spans="7:55" x14ac:dyDescent="0.5">
      <c r="L28" s="1" t="s">
        <v>617</v>
      </c>
      <c r="M28" s="1" t="s">
        <v>594</v>
      </c>
      <c r="N28" s="1" t="s">
        <v>594</v>
      </c>
      <c r="O28" s="1" t="s">
        <v>558</v>
      </c>
      <c r="P28" s="1" t="s">
        <v>339</v>
      </c>
      <c r="Q28" s="1" t="s">
        <v>543</v>
      </c>
      <c r="S28" s="1" t="s">
        <v>617</v>
      </c>
      <c r="T28" s="1" t="s">
        <v>594</v>
      </c>
      <c r="U28" s="1" t="s">
        <v>594</v>
      </c>
      <c r="V28" s="1" t="s">
        <v>558</v>
      </c>
      <c r="W28" s="1" t="s">
        <v>339</v>
      </c>
      <c r="X28" s="1" t="s">
        <v>543</v>
      </c>
      <c r="Y28" s="1" t="s">
        <v>355</v>
      </c>
      <c r="Z28" s="1" t="s">
        <v>578</v>
      </c>
      <c r="AA28" s="1" t="s">
        <v>671</v>
      </c>
      <c r="AB28" s="1" t="s">
        <v>672</v>
      </c>
      <c r="AC28" s="1" t="s">
        <v>657</v>
      </c>
      <c r="AD28" s="1" t="s">
        <v>673</v>
      </c>
      <c r="AE28" s="1" t="s">
        <v>674</v>
      </c>
      <c r="AF28" s="1" t="s">
        <v>675</v>
      </c>
      <c r="AG28" s="1" t="s">
        <v>649</v>
      </c>
      <c r="AL28" s="2"/>
      <c r="AM28" s="2"/>
      <c r="AN28" s="2" t="s">
        <v>676</v>
      </c>
      <c r="AO28" s="2" t="s">
        <v>615</v>
      </c>
      <c r="AP28" s="2" t="s">
        <v>526</v>
      </c>
      <c r="AT28" s="10"/>
      <c r="AU28" s="7" t="s">
        <v>540</v>
      </c>
      <c r="AV28" s="8" t="s">
        <v>56</v>
      </c>
      <c r="AW28" s="5" t="s">
        <v>585</v>
      </c>
      <c r="AX28" s="7" t="s">
        <v>498</v>
      </c>
      <c r="AY28" s="7" t="s">
        <v>635</v>
      </c>
    </row>
    <row r="29" spans="7:55" x14ac:dyDescent="0.5">
      <c r="L29" s="1" t="s">
        <v>677</v>
      </c>
      <c r="M29" s="1" t="s">
        <v>661</v>
      </c>
      <c r="N29" s="1" t="s">
        <v>648</v>
      </c>
      <c r="O29" s="1" t="s">
        <v>601</v>
      </c>
      <c r="P29" s="1" t="s">
        <v>678</v>
      </c>
      <c r="Q29" s="1" t="s">
        <v>510</v>
      </c>
      <c r="S29" s="1" t="s">
        <v>677</v>
      </c>
      <c r="T29" s="1" t="s">
        <v>661</v>
      </c>
      <c r="U29" s="1" t="s">
        <v>648</v>
      </c>
      <c r="V29" s="1" t="s">
        <v>601</v>
      </c>
      <c r="W29" s="1" t="s">
        <v>678</v>
      </c>
      <c r="X29" s="1" t="s">
        <v>510</v>
      </c>
      <c r="Y29" s="1" t="s">
        <v>679</v>
      </c>
      <c r="Z29" s="1" t="s">
        <v>680</v>
      </c>
      <c r="AA29" s="1" t="s">
        <v>680</v>
      </c>
      <c r="AB29" s="1" t="s">
        <v>681</v>
      </c>
      <c r="AC29" s="1" t="s">
        <v>84</v>
      </c>
      <c r="AD29" s="1" t="s">
        <v>682</v>
      </c>
      <c r="AE29" s="1" t="s">
        <v>600</v>
      </c>
      <c r="AF29" s="1" t="s">
        <v>530</v>
      </c>
      <c r="AG29" s="1" t="s">
        <v>618</v>
      </c>
      <c r="AL29" s="2"/>
      <c r="AN29" s="2" t="s">
        <v>683</v>
      </c>
      <c r="AO29" s="2" t="s">
        <v>684</v>
      </c>
      <c r="AP29" s="2" t="s">
        <v>685</v>
      </c>
      <c r="AU29" s="7" t="s">
        <v>400</v>
      </c>
      <c r="AV29" s="7" t="s">
        <v>541</v>
      </c>
      <c r="AW29" s="7" t="s">
        <v>513</v>
      </c>
      <c r="AX29" s="7" t="s">
        <v>332</v>
      </c>
      <c r="AY29" s="7" t="s">
        <v>510</v>
      </c>
    </row>
    <row r="30" spans="7:55" x14ac:dyDescent="0.5">
      <c r="L30" s="1" t="s">
        <v>545</v>
      </c>
      <c r="M30" s="1" t="s">
        <v>483</v>
      </c>
      <c r="N30" s="1" t="s">
        <v>558</v>
      </c>
      <c r="O30" s="1" t="s">
        <v>349</v>
      </c>
      <c r="P30" s="1" t="s">
        <v>686</v>
      </c>
      <c r="Q30" s="1" t="s">
        <v>510</v>
      </c>
      <c r="S30" s="1" t="s">
        <v>545</v>
      </c>
      <c r="T30" s="1" t="s">
        <v>483</v>
      </c>
      <c r="U30" s="1" t="s">
        <v>558</v>
      </c>
      <c r="V30" s="1" t="s">
        <v>349</v>
      </c>
      <c r="W30" s="1" t="s">
        <v>686</v>
      </c>
      <c r="X30" s="1" t="s">
        <v>510</v>
      </c>
      <c r="Y30" s="1" t="s">
        <v>358</v>
      </c>
      <c r="Z30" s="1" t="s">
        <v>102</v>
      </c>
      <c r="AA30" s="1" t="s">
        <v>344</v>
      </c>
      <c r="AB30" s="1" t="s">
        <v>58</v>
      </c>
      <c r="AC30" s="1" t="s">
        <v>687</v>
      </c>
      <c r="AD30" s="1" t="s">
        <v>660</v>
      </c>
      <c r="AE30" s="1" t="s">
        <v>348</v>
      </c>
      <c r="AL30" s="2"/>
      <c r="AN30" s="2" t="s">
        <v>674</v>
      </c>
      <c r="AO30" s="2" t="s">
        <v>688</v>
      </c>
      <c r="AP30" s="2" t="s">
        <v>342</v>
      </c>
      <c r="AU30" s="7" t="s">
        <v>552</v>
      </c>
      <c r="AV30" s="7" t="s">
        <v>564</v>
      </c>
      <c r="AW30" s="8" t="s">
        <v>522</v>
      </c>
      <c r="AX30" s="8" t="s">
        <v>489</v>
      </c>
      <c r="AY30" s="7" t="s">
        <v>506</v>
      </c>
    </row>
    <row r="31" spans="7:55" x14ac:dyDescent="0.5">
      <c r="L31" s="1" t="s">
        <v>534</v>
      </c>
      <c r="M31" s="1" t="s">
        <v>616</v>
      </c>
      <c r="N31" s="1" t="s">
        <v>578</v>
      </c>
      <c r="O31" s="1" t="s">
        <v>615</v>
      </c>
      <c r="P31" s="1" t="s">
        <v>342</v>
      </c>
      <c r="Q31" s="1" t="s">
        <v>506</v>
      </c>
      <c r="S31" s="1" t="s">
        <v>534</v>
      </c>
      <c r="T31" s="1" t="s">
        <v>616</v>
      </c>
      <c r="U31" s="1" t="s">
        <v>578</v>
      </c>
      <c r="V31" s="1" t="s">
        <v>615</v>
      </c>
      <c r="W31" s="1" t="s">
        <v>342</v>
      </c>
      <c r="X31" s="1" t="s">
        <v>506</v>
      </c>
      <c r="Y31" s="1" t="s">
        <v>618</v>
      </c>
      <c r="Z31" s="1" t="s">
        <v>642</v>
      </c>
      <c r="AA31" s="1" t="s">
        <v>401</v>
      </c>
      <c r="AB31" s="1" t="s">
        <v>689</v>
      </c>
      <c r="AC31" s="1" t="s">
        <v>690</v>
      </c>
      <c r="AD31" s="1" t="s">
        <v>560</v>
      </c>
      <c r="AE31" s="1" t="s">
        <v>628</v>
      </c>
      <c r="AL31" s="2"/>
      <c r="AN31" s="2" t="s">
        <v>356</v>
      </c>
      <c r="AO31" s="2" t="s">
        <v>691</v>
      </c>
      <c r="AP31" s="2" t="s">
        <v>692</v>
      </c>
      <c r="AU31" s="7" t="s">
        <v>345</v>
      </c>
      <c r="AV31" s="8" t="s">
        <v>506</v>
      </c>
      <c r="AW31" s="7" t="s">
        <v>629</v>
      </c>
      <c r="AX31" s="8" t="s">
        <v>480</v>
      </c>
      <c r="AY31" s="7" t="s">
        <v>570</v>
      </c>
    </row>
    <row r="32" spans="7:55" x14ac:dyDescent="0.5">
      <c r="L32" s="1" t="s">
        <v>615</v>
      </c>
      <c r="M32" s="1" t="s">
        <v>626</v>
      </c>
      <c r="N32" s="1" t="s">
        <v>347</v>
      </c>
      <c r="O32" s="1" t="s">
        <v>688</v>
      </c>
      <c r="P32" s="1" t="s">
        <v>343</v>
      </c>
      <c r="Q32" s="1" t="s">
        <v>488</v>
      </c>
      <c r="S32" s="1" t="s">
        <v>615</v>
      </c>
      <c r="T32" s="1" t="s">
        <v>626</v>
      </c>
      <c r="U32" s="1" t="s">
        <v>347</v>
      </c>
      <c r="V32" s="1" t="s">
        <v>688</v>
      </c>
      <c r="W32" s="1" t="s">
        <v>343</v>
      </c>
      <c r="X32" s="1" t="s">
        <v>488</v>
      </c>
      <c r="Y32" s="1" t="s">
        <v>459</v>
      </c>
      <c r="Z32" s="1" t="s">
        <v>666</v>
      </c>
      <c r="AA32" s="1" t="s">
        <v>693</v>
      </c>
      <c r="AB32" s="1" t="s">
        <v>694</v>
      </c>
      <c r="AC32" s="1" t="s">
        <v>617</v>
      </c>
      <c r="AD32" s="1" t="s">
        <v>664</v>
      </c>
      <c r="AE32" s="1" t="s">
        <v>695</v>
      </c>
      <c r="AL32" s="2"/>
      <c r="AO32" s="2" t="s">
        <v>696</v>
      </c>
      <c r="AP32" s="2" t="s">
        <v>697</v>
      </c>
      <c r="AU32" s="7" t="s">
        <v>102</v>
      </c>
      <c r="AV32" s="8" t="s">
        <v>576</v>
      </c>
      <c r="AW32" s="7" t="s">
        <v>340</v>
      </c>
      <c r="AX32" s="7" t="s">
        <v>649</v>
      </c>
      <c r="AY32" s="7" t="s">
        <v>531</v>
      </c>
    </row>
    <row r="33" spans="12:51" x14ac:dyDescent="0.5">
      <c r="L33" s="1" t="s">
        <v>698</v>
      </c>
      <c r="M33" s="1" t="s">
        <v>698</v>
      </c>
      <c r="N33" s="1" t="s">
        <v>699</v>
      </c>
      <c r="O33" s="1" t="s">
        <v>605</v>
      </c>
      <c r="P33" s="1" t="s">
        <v>344</v>
      </c>
      <c r="Q33" s="1" t="s">
        <v>525</v>
      </c>
      <c r="S33" s="1" t="s">
        <v>698</v>
      </c>
      <c r="T33" s="1" t="s">
        <v>698</v>
      </c>
      <c r="U33" s="1" t="s">
        <v>699</v>
      </c>
      <c r="V33" s="1" t="s">
        <v>605</v>
      </c>
      <c r="W33" s="1" t="s">
        <v>344</v>
      </c>
      <c r="X33" s="1" t="s">
        <v>525</v>
      </c>
      <c r="Y33" s="1" t="s">
        <v>673</v>
      </c>
      <c r="Z33" s="1" t="s">
        <v>700</v>
      </c>
      <c r="AA33" s="1" t="s">
        <v>701</v>
      </c>
      <c r="AB33" s="1" t="s">
        <v>624</v>
      </c>
      <c r="AC33" s="1" t="s">
        <v>635</v>
      </c>
      <c r="AD33" s="1" t="s">
        <v>333</v>
      </c>
      <c r="AE33" s="1" t="s">
        <v>469</v>
      </c>
      <c r="AO33" s="2" t="s">
        <v>702</v>
      </c>
      <c r="AP33" s="2" t="s">
        <v>703</v>
      </c>
      <c r="AU33" s="7" t="s">
        <v>559</v>
      </c>
      <c r="AV33" s="7" t="s">
        <v>468</v>
      </c>
      <c r="AW33" s="8" t="s">
        <v>644</v>
      </c>
      <c r="AX33" s="7" t="s">
        <v>524</v>
      </c>
      <c r="AY33" s="7" t="s">
        <v>560</v>
      </c>
    </row>
    <row r="34" spans="12:51" x14ac:dyDescent="0.5">
      <c r="L34" s="1" t="s">
        <v>688</v>
      </c>
      <c r="M34" s="1" t="s">
        <v>664</v>
      </c>
      <c r="N34" s="1" t="s">
        <v>534</v>
      </c>
      <c r="O34" s="1" t="s">
        <v>646</v>
      </c>
      <c r="P34" s="1" t="s">
        <v>345</v>
      </c>
      <c r="Q34" s="1" t="s">
        <v>600</v>
      </c>
      <c r="S34" s="1" t="s">
        <v>688</v>
      </c>
      <c r="T34" s="1" t="s">
        <v>664</v>
      </c>
      <c r="U34" s="1" t="s">
        <v>534</v>
      </c>
      <c r="V34" s="1" t="s">
        <v>646</v>
      </c>
      <c r="W34" s="1" t="s">
        <v>345</v>
      </c>
      <c r="X34" s="1" t="s">
        <v>600</v>
      </c>
      <c r="Y34" s="1" t="s">
        <v>704</v>
      </c>
      <c r="Z34" s="1" t="s">
        <v>605</v>
      </c>
      <c r="AA34" s="1" t="s">
        <v>705</v>
      </c>
      <c r="AB34" s="1" t="s">
        <v>706</v>
      </c>
      <c r="AC34" s="1" t="s">
        <v>587</v>
      </c>
      <c r="AD34" s="1" t="s">
        <v>53</v>
      </c>
      <c r="AE34" s="1" t="s">
        <v>707</v>
      </c>
      <c r="AO34" s="2" t="s">
        <v>708</v>
      </c>
      <c r="AP34" s="2" t="s">
        <v>709</v>
      </c>
      <c r="AU34" s="7" t="s">
        <v>660</v>
      </c>
      <c r="AV34" s="7" t="s">
        <v>553</v>
      </c>
      <c r="AW34" s="6" t="s">
        <v>595</v>
      </c>
      <c r="AX34" s="7" t="s">
        <v>707</v>
      </c>
      <c r="AY34" s="7" t="s">
        <v>641</v>
      </c>
    </row>
    <row r="35" spans="12:51" x14ac:dyDescent="0.5">
      <c r="L35" s="1" t="s">
        <v>96</v>
      </c>
      <c r="M35" s="1" t="s">
        <v>710</v>
      </c>
      <c r="N35" s="1" t="s">
        <v>711</v>
      </c>
      <c r="O35" s="1" t="s">
        <v>708</v>
      </c>
      <c r="P35" s="1" t="s">
        <v>571</v>
      </c>
      <c r="Q35" s="1" t="s">
        <v>657</v>
      </c>
      <c r="S35" s="1" t="s">
        <v>96</v>
      </c>
      <c r="T35" s="1" t="s">
        <v>710</v>
      </c>
      <c r="U35" s="1" t="s">
        <v>711</v>
      </c>
      <c r="V35" s="1" t="s">
        <v>708</v>
      </c>
      <c r="W35" s="1" t="s">
        <v>571</v>
      </c>
      <c r="X35" s="1" t="s">
        <v>657</v>
      </c>
      <c r="Y35" s="1" t="s">
        <v>712</v>
      </c>
      <c r="Z35" s="1" t="s">
        <v>713</v>
      </c>
      <c r="AA35" s="1" t="s">
        <v>714</v>
      </c>
      <c r="AB35" s="1" t="s">
        <v>715</v>
      </c>
      <c r="AC35" s="1" t="s">
        <v>356</v>
      </c>
      <c r="AE35" s="1" t="s">
        <v>716</v>
      </c>
      <c r="AO35" s="2" t="s">
        <v>562</v>
      </c>
      <c r="AP35" s="2" t="s">
        <v>592</v>
      </c>
      <c r="AU35" s="7" t="s">
        <v>571</v>
      </c>
      <c r="AV35" s="8" t="s">
        <v>570</v>
      </c>
      <c r="AW35" s="5" t="s">
        <v>102</v>
      </c>
      <c r="AX35" s="8" t="s">
        <v>618</v>
      </c>
      <c r="AY35" s="7" t="s">
        <v>525</v>
      </c>
    </row>
    <row r="36" spans="12:51" x14ac:dyDescent="0.5">
      <c r="L36" s="1" t="s">
        <v>605</v>
      </c>
      <c r="M36" s="1" t="s">
        <v>423</v>
      </c>
      <c r="N36" s="1" t="s">
        <v>647</v>
      </c>
      <c r="O36" s="1" t="s">
        <v>717</v>
      </c>
      <c r="P36" s="1" t="s">
        <v>713</v>
      </c>
      <c r="Q36" s="1" t="s">
        <v>339</v>
      </c>
      <c r="S36" s="1" t="s">
        <v>605</v>
      </c>
      <c r="T36" s="1" t="s">
        <v>423</v>
      </c>
      <c r="U36" s="1" t="s">
        <v>647</v>
      </c>
      <c r="V36" s="1" t="s">
        <v>717</v>
      </c>
      <c r="W36" s="1" t="s">
        <v>713</v>
      </c>
      <c r="X36" s="1" t="s">
        <v>339</v>
      </c>
      <c r="Y36" s="1" t="s">
        <v>657</v>
      </c>
      <c r="Z36" s="1" t="s">
        <v>718</v>
      </c>
      <c r="AA36" s="1" t="s">
        <v>699</v>
      </c>
      <c r="AB36" s="1" t="s">
        <v>426</v>
      </c>
      <c r="AC36" s="1" t="s">
        <v>464</v>
      </c>
      <c r="AE36" s="1" t="s">
        <v>659</v>
      </c>
      <c r="AP36" s="2" t="s">
        <v>601</v>
      </c>
      <c r="AU36" s="7" t="s">
        <v>584</v>
      </c>
      <c r="AV36" s="7" t="s">
        <v>531</v>
      </c>
      <c r="AW36" s="7" t="s">
        <v>559</v>
      </c>
      <c r="AX36" s="8" t="s">
        <v>668</v>
      </c>
      <c r="AY36" s="7" t="s">
        <v>657</v>
      </c>
    </row>
    <row r="37" spans="12:51" x14ac:dyDescent="0.5">
      <c r="L37" s="1" t="s">
        <v>719</v>
      </c>
      <c r="M37" s="1" t="s">
        <v>666</v>
      </c>
      <c r="N37" s="1" t="s">
        <v>720</v>
      </c>
      <c r="P37" s="1" t="s">
        <v>594</v>
      </c>
      <c r="Q37" s="1" t="s">
        <v>522</v>
      </c>
      <c r="S37" s="1" t="s">
        <v>719</v>
      </c>
      <c r="T37" s="1" t="s">
        <v>666</v>
      </c>
      <c r="U37" s="1" t="s">
        <v>720</v>
      </c>
      <c r="W37" s="1" t="s">
        <v>594</v>
      </c>
      <c r="X37" s="1" t="s">
        <v>522</v>
      </c>
      <c r="Y37" s="1" t="s">
        <v>720</v>
      </c>
      <c r="Z37" s="1" t="s">
        <v>519</v>
      </c>
      <c r="AA37" s="1" t="s">
        <v>336</v>
      </c>
      <c r="AB37" s="1" t="s">
        <v>545</v>
      </c>
      <c r="AC37" s="1" t="s">
        <v>486</v>
      </c>
      <c r="AE37" s="1" t="s">
        <v>461</v>
      </c>
      <c r="AP37" s="2" t="s">
        <v>721</v>
      </c>
      <c r="AU37" s="7" t="s">
        <v>594</v>
      </c>
      <c r="AV37" s="7" t="s">
        <v>337</v>
      </c>
      <c r="AW37" s="8" t="s">
        <v>660</v>
      </c>
      <c r="AX37" s="8" t="s">
        <v>537</v>
      </c>
      <c r="AY37" s="7" t="s">
        <v>522</v>
      </c>
    </row>
    <row r="38" spans="12:51" x14ac:dyDescent="0.5">
      <c r="L38" s="1" t="s">
        <v>700</v>
      </c>
      <c r="M38" s="1" t="s">
        <v>84</v>
      </c>
      <c r="N38" s="1" t="s">
        <v>646</v>
      </c>
      <c r="P38" s="1" t="s">
        <v>722</v>
      </c>
      <c r="Q38" s="1" t="s">
        <v>340</v>
      </c>
      <c r="S38" s="1" t="s">
        <v>700</v>
      </c>
      <c r="T38" s="1" t="s">
        <v>84</v>
      </c>
      <c r="U38" s="1" t="s">
        <v>646</v>
      </c>
      <c r="W38" s="1" t="s">
        <v>722</v>
      </c>
      <c r="X38" s="1" t="s">
        <v>340</v>
      </c>
      <c r="Y38" s="1" t="s">
        <v>723</v>
      </c>
      <c r="Z38" s="1" t="s">
        <v>661</v>
      </c>
      <c r="AA38" s="1" t="s">
        <v>724</v>
      </c>
      <c r="AB38" s="1" t="s">
        <v>436</v>
      </c>
      <c r="AC38" s="1" t="s">
        <v>560</v>
      </c>
      <c r="AE38" s="1" t="s">
        <v>665</v>
      </c>
      <c r="AP38" s="2" t="s">
        <v>725</v>
      </c>
      <c r="AU38" s="7" t="s">
        <v>661</v>
      </c>
      <c r="AV38" s="5" t="s">
        <v>560</v>
      </c>
      <c r="AW38" s="5" t="s">
        <v>594</v>
      </c>
      <c r="AX38" s="8" t="s">
        <v>581</v>
      </c>
      <c r="AY38" s="7" t="s">
        <v>469</v>
      </c>
    </row>
    <row r="39" spans="12:51" x14ac:dyDescent="0.5">
      <c r="L39" s="1" t="s">
        <v>646</v>
      </c>
      <c r="M39" s="1" t="s">
        <v>708</v>
      </c>
      <c r="N39" s="1" t="s">
        <v>710</v>
      </c>
      <c r="P39" s="1" t="s">
        <v>726</v>
      </c>
      <c r="Q39" s="1" t="s">
        <v>340</v>
      </c>
      <c r="S39" s="1" t="s">
        <v>646</v>
      </c>
      <c r="T39" s="1" t="s">
        <v>708</v>
      </c>
      <c r="U39" s="1" t="s">
        <v>710</v>
      </c>
      <c r="W39" s="1" t="s">
        <v>726</v>
      </c>
      <c r="X39" s="1" t="s">
        <v>340</v>
      </c>
      <c r="Y39" s="1" t="s">
        <v>727</v>
      </c>
      <c r="Z39" s="1" t="s">
        <v>392</v>
      </c>
      <c r="AA39" s="1" t="s">
        <v>534</v>
      </c>
      <c r="AB39" s="1" t="s">
        <v>685</v>
      </c>
      <c r="AC39" s="1" t="s">
        <v>564</v>
      </c>
      <c r="AP39" s="2" t="s">
        <v>582</v>
      </c>
      <c r="AU39" s="7" t="s">
        <v>483</v>
      </c>
      <c r="AV39" s="6" t="s">
        <v>572</v>
      </c>
      <c r="AW39" s="8" t="s">
        <v>648</v>
      </c>
      <c r="AX39" s="8" t="s">
        <v>516</v>
      </c>
      <c r="AY39" s="7" t="s">
        <v>675</v>
      </c>
    </row>
    <row r="40" spans="12:51" x14ac:dyDescent="0.5">
      <c r="L40" s="1" t="s">
        <v>664</v>
      </c>
      <c r="M40" s="1" t="s">
        <v>536</v>
      </c>
      <c r="N40" s="1" t="s">
        <v>352</v>
      </c>
      <c r="P40" s="1" t="s">
        <v>727</v>
      </c>
      <c r="Q40" s="1" t="s">
        <v>728</v>
      </c>
      <c r="S40" s="1" t="s">
        <v>664</v>
      </c>
      <c r="T40" s="1" t="s">
        <v>536</v>
      </c>
      <c r="U40" s="1" t="s">
        <v>352</v>
      </c>
      <c r="W40" s="1" t="s">
        <v>727</v>
      </c>
      <c r="X40" s="1" t="s">
        <v>728</v>
      </c>
      <c r="Y40" s="1" t="s">
        <v>444</v>
      </c>
      <c r="Z40" s="1" t="s">
        <v>729</v>
      </c>
      <c r="AA40" s="1" t="s">
        <v>545</v>
      </c>
      <c r="AB40" s="1" t="s">
        <v>730</v>
      </c>
      <c r="AC40" s="1" t="s">
        <v>426</v>
      </c>
      <c r="AP40" s="2" t="s">
        <v>731</v>
      </c>
      <c r="AU40" s="7" t="s">
        <v>593</v>
      </c>
      <c r="AV40" s="8" t="s">
        <v>439</v>
      </c>
      <c r="AW40" s="7" t="s">
        <v>558</v>
      </c>
      <c r="AX40" s="8" t="s">
        <v>604</v>
      </c>
      <c r="AY40" s="7" t="s">
        <v>400</v>
      </c>
    </row>
    <row r="41" spans="12:51" x14ac:dyDescent="0.5">
      <c r="L41" s="1" t="s">
        <v>520</v>
      </c>
      <c r="M41" s="1" t="s">
        <v>355</v>
      </c>
      <c r="N41" s="1" t="s">
        <v>683</v>
      </c>
      <c r="P41" s="1" t="s">
        <v>578</v>
      </c>
      <c r="Q41" s="1" t="s">
        <v>732</v>
      </c>
      <c r="S41" s="1" t="s">
        <v>520</v>
      </c>
      <c r="T41" s="1" t="s">
        <v>355</v>
      </c>
      <c r="U41" s="1" t="s">
        <v>683</v>
      </c>
      <c r="W41" s="1" t="s">
        <v>578</v>
      </c>
      <c r="X41" s="1" t="s">
        <v>732</v>
      </c>
      <c r="Y41" s="1" t="s">
        <v>733</v>
      </c>
      <c r="AA41" s="1" t="s">
        <v>666</v>
      </c>
      <c r="AB41" s="1" t="s">
        <v>615</v>
      </c>
      <c r="AP41" s="2" t="s">
        <v>734</v>
      </c>
      <c r="AU41" s="7" t="s">
        <v>616</v>
      </c>
      <c r="AV41" s="7" t="s">
        <v>563</v>
      </c>
      <c r="AW41" s="8" t="s">
        <v>578</v>
      </c>
      <c r="AX41" s="7" t="s">
        <v>635</v>
      </c>
      <c r="AY41" s="7" t="s">
        <v>342</v>
      </c>
    </row>
    <row r="42" spans="12:51" x14ac:dyDescent="0.5">
      <c r="L42" s="1" t="s">
        <v>666</v>
      </c>
      <c r="M42" s="1" t="s">
        <v>495</v>
      </c>
      <c r="N42" s="1" t="s">
        <v>356</v>
      </c>
      <c r="P42" s="1" t="s">
        <v>476</v>
      </c>
      <c r="Q42" s="1" t="s">
        <v>709</v>
      </c>
      <c r="S42" s="1" t="s">
        <v>666</v>
      </c>
      <c r="T42" s="1" t="s">
        <v>495</v>
      </c>
      <c r="U42" s="1" t="s">
        <v>356</v>
      </c>
      <c r="W42" s="1" t="s">
        <v>476</v>
      </c>
      <c r="X42" s="1" t="s">
        <v>709</v>
      </c>
      <c r="Y42" s="1" t="s">
        <v>332</v>
      </c>
      <c r="AA42" s="1" t="s">
        <v>735</v>
      </c>
      <c r="AB42" s="1" t="s">
        <v>671</v>
      </c>
      <c r="AP42" s="2" t="s">
        <v>688</v>
      </c>
      <c r="AU42" s="7" t="s">
        <v>617</v>
      </c>
      <c r="AV42" s="5" t="s">
        <v>525</v>
      </c>
      <c r="AW42" s="7" t="s">
        <v>347</v>
      </c>
      <c r="AX42" s="8" t="s">
        <v>510</v>
      </c>
      <c r="AY42" s="7" t="s">
        <v>102</v>
      </c>
    </row>
    <row r="43" spans="12:51" x14ac:dyDescent="0.5">
      <c r="L43" s="1" t="s">
        <v>736</v>
      </c>
      <c r="N43" s="1" t="s">
        <v>568</v>
      </c>
      <c r="P43" s="1" t="s">
        <v>438</v>
      </c>
      <c r="Q43" s="1" t="s">
        <v>592</v>
      </c>
      <c r="S43" s="1" t="s">
        <v>736</v>
      </c>
      <c r="U43" s="1" t="s">
        <v>568</v>
      </c>
      <c r="W43" s="1" t="s">
        <v>438</v>
      </c>
      <c r="X43" s="1" t="s">
        <v>592</v>
      </c>
      <c r="Y43" s="1" t="s">
        <v>396</v>
      </c>
      <c r="AA43" s="1" t="s">
        <v>737</v>
      </c>
      <c r="AB43" s="1" t="s">
        <v>738</v>
      </c>
      <c r="AP43" s="2" t="s">
        <v>739</v>
      </c>
      <c r="AU43" s="7" t="s">
        <v>637</v>
      </c>
      <c r="AV43" s="7" t="s">
        <v>588</v>
      </c>
      <c r="AW43" s="8" t="s">
        <v>699</v>
      </c>
      <c r="AX43" s="8" t="s">
        <v>335</v>
      </c>
      <c r="AY43" s="7" t="s">
        <v>592</v>
      </c>
    </row>
    <row r="44" spans="12:51" x14ac:dyDescent="0.5">
      <c r="L44" s="1" t="s">
        <v>84</v>
      </c>
      <c r="P44" s="1" t="s">
        <v>667</v>
      </c>
      <c r="Q44" s="1" t="s">
        <v>740</v>
      </c>
      <c r="S44" s="1" t="s">
        <v>84</v>
      </c>
      <c r="U44" s="1" t="s">
        <v>84</v>
      </c>
      <c r="W44" s="1" t="s">
        <v>667</v>
      </c>
      <c r="X44" s="1" t="s">
        <v>740</v>
      </c>
      <c r="Y44" s="1" t="s">
        <v>642</v>
      </c>
      <c r="AA44" s="1" t="s">
        <v>741</v>
      </c>
      <c r="AB44" s="1" t="s">
        <v>605</v>
      </c>
      <c r="AP44" s="2" t="s">
        <v>84</v>
      </c>
      <c r="AU44" s="7" t="s">
        <v>615</v>
      </c>
      <c r="AV44" s="8" t="s">
        <v>521</v>
      </c>
      <c r="AW44" s="7" t="s">
        <v>534</v>
      </c>
      <c r="AX44" s="8" t="s">
        <v>530</v>
      </c>
      <c r="AY44" s="7" t="s">
        <v>401</v>
      </c>
    </row>
    <row r="45" spans="12:51" x14ac:dyDescent="0.5">
      <c r="L45" s="1" t="s">
        <v>742</v>
      </c>
      <c r="P45" s="1" t="s">
        <v>677</v>
      </c>
      <c r="Q45" s="1" t="s">
        <v>740</v>
      </c>
      <c r="S45" s="1" t="s">
        <v>742</v>
      </c>
      <c r="W45" s="1" t="s">
        <v>677</v>
      </c>
      <c r="X45" s="1" t="s">
        <v>740</v>
      </c>
      <c r="Y45" s="1" t="s">
        <v>334</v>
      </c>
      <c r="AA45" s="1" t="s">
        <v>743</v>
      </c>
      <c r="AB45" s="1" t="s">
        <v>642</v>
      </c>
      <c r="AP45" s="2" t="s">
        <v>608</v>
      </c>
      <c r="AU45" s="7" t="s">
        <v>698</v>
      </c>
      <c r="AV45" s="6" t="s">
        <v>508</v>
      </c>
      <c r="AW45" s="8" t="s">
        <v>711</v>
      </c>
      <c r="AX45" s="7" t="s">
        <v>506</v>
      </c>
      <c r="AY45" s="7" t="s">
        <v>424</v>
      </c>
    </row>
    <row r="46" spans="12:51" x14ac:dyDescent="0.5">
      <c r="P46" s="1" t="s">
        <v>545</v>
      </c>
      <c r="Q46" s="1" t="s">
        <v>601</v>
      </c>
      <c r="W46" s="1" t="s">
        <v>545</v>
      </c>
      <c r="X46" s="1" t="s">
        <v>601</v>
      </c>
      <c r="Y46" s="1" t="s">
        <v>744</v>
      </c>
      <c r="AA46" s="1" t="s">
        <v>96</v>
      </c>
      <c r="AB46" s="1" t="s">
        <v>337</v>
      </c>
      <c r="AP46" s="2" t="s">
        <v>568</v>
      </c>
      <c r="AU46" s="7" t="s">
        <v>646</v>
      </c>
      <c r="AV46" s="5" t="s">
        <v>607</v>
      </c>
      <c r="AW46" s="5" t="s">
        <v>349</v>
      </c>
      <c r="AX46" s="7" t="s">
        <v>570</v>
      </c>
      <c r="AY46" s="7" t="s">
        <v>348</v>
      </c>
    </row>
    <row r="47" spans="12:51" x14ac:dyDescent="0.5">
      <c r="P47" s="1" t="s">
        <v>534</v>
      </c>
      <c r="Q47" s="1" t="s">
        <v>438</v>
      </c>
      <c r="W47" s="1" t="s">
        <v>534</v>
      </c>
      <c r="X47" s="1" t="s">
        <v>438</v>
      </c>
      <c r="Y47" s="1" t="s">
        <v>745</v>
      </c>
      <c r="AA47" s="1" t="s">
        <v>345</v>
      </c>
      <c r="AB47" s="1" t="s">
        <v>746</v>
      </c>
      <c r="AP47" s="2"/>
      <c r="AU47" s="7" t="s">
        <v>664</v>
      </c>
      <c r="AV47" s="7" t="s">
        <v>513</v>
      </c>
      <c r="AW47" s="7" t="s">
        <v>647</v>
      </c>
      <c r="AX47" s="8" t="s">
        <v>531</v>
      </c>
      <c r="AY47" s="7" t="s">
        <v>582</v>
      </c>
    </row>
    <row r="48" spans="12:51" x14ac:dyDescent="0.5">
      <c r="P48" s="1" t="s">
        <v>534</v>
      </c>
      <c r="Q48" s="1" t="s">
        <v>667</v>
      </c>
      <c r="W48" s="1" t="s">
        <v>534</v>
      </c>
      <c r="X48" s="1" t="s">
        <v>667</v>
      </c>
      <c r="Y48" s="1" t="s">
        <v>747</v>
      </c>
      <c r="AA48" s="1" t="s">
        <v>613</v>
      </c>
      <c r="AB48" s="1" t="s">
        <v>358</v>
      </c>
      <c r="AU48" s="7" t="s">
        <v>710</v>
      </c>
      <c r="AV48" s="6" t="s">
        <v>339</v>
      </c>
      <c r="AW48" s="8" t="s">
        <v>720</v>
      </c>
      <c r="AX48" s="7" t="s">
        <v>560</v>
      </c>
      <c r="AY48" s="7" t="s">
        <v>615</v>
      </c>
    </row>
    <row r="49" spans="16:51" x14ac:dyDescent="0.5">
      <c r="P49" s="1" t="s">
        <v>748</v>
      </c>
      <c r="Q49" s="1" t="s">
        <v>749</v>
      </c>
      <c r="W49" s="1" t="s">
        <v>748</v>
      </c>
      <c r="X49" s="1" t="s">
        <v>749</v>
      </c>
      <c r="Y49" s="1" t="s">
        <v>442</v>
      </c>
      <c r="AA49" s="1" t="s">
        <v>635</v>
      </c>
      <c r="AB49" s="1" t="s">
        <v>357</v>
      </c>
      <c r="AU49" s="7" t="s">
        <v>423</v>
      </c>
      <c r="AV49" s="8" t="s">
        <v>522</v>
      </c>
      <c r="AW49" s="7" t="s">
        <v>646</v>
      </c>
      <c r="AX49" s="8" t="s">
        <v>641</v>
      </c>
      <c r="AY49" s="7" t="s">
        <v>443</v>
      </c>
    </row>
    <row r="50" spans="16:51" x14ac:dyDescent="0.5">
      <c r="P50" s="1" t="s">
        <v>349</v>
      </c>
      <c r="Q50" s="1" t="s">
        <v>637</v>
      </c>
      <c r="W50" s="1" t="s">
        <v>349</v>
      </c>
      <c r="X50" s="1" t="s">
        <v>637</v>
      </c>
      <c r="Y50" s="1" t="s">
        <v>564</v>
      </c>
      <c r="AA50" s="1" t="s">
        <v>427</v>
      </c>
      <c r="AB50" s="1" t="s">
        <v>666</v>
      </c>
      <c r="AU50" s="7" t="s">
        <v>666</v>
      </c>
      <c r="AV50" s="7" t="s">
        <v>629</v>
      </c>
      <c r="AW50" s="8" t="s">
        <v>710</v>
      </c>
      <c r="AX50" s="8" t="s">
        <v>525</v>
      </c>
      <c r="AY50" s="7" t="s">
        <v>88</v>
      </c>
    </row>
    <row r="51" spans="16:51" x14ac:dyDescent="0.5">
      <c r="P51" s="1" t="s">
        <v>750</v>
      </c>
      <c r="Q51" s="1" t="s">
        <v>751</v>
      </c>
      <c r="W51" s="1" t="s">
        <v>750</v>
      </c>
      <c r="X51" s="1" t="s">
        <v>751</v>
      </c>
      <c r="Y51" s="1" t="s">
        <v>752</v>
      </c>
      <c r="AA51" s="1" t="s">
        <v>641</v>
      </c>
      <c r="AB51" s="1" t="s">
        <v>688</v>
      </c>
      <c r="AU51" s="7" t="s">
        <v>84</v>
      </c>
      <c r="AV51" s="7" t="s">
        <v>340</v>
      </c>
      <c r="AW51" s="7" t="s">
        <v>352</v>
      </c>
      <c r="AX51" s="8" t="s">
        <v>600</v>
      </c>
      <c r="AY51" s="7" t="s">
        <v>695</v>
      </c>
    </row>
    <row r="52" spans="16:51" x14ac:dyDescent="0.5">
      <c r="P52" s="1" t="s">
        <v>718</v>
      </c>
      <c r="Q52" s="1" t="s">
        <v>739</v>
      </c>
      <c r="W52" s="1" t="s">
        <v>718</v>
      </c>
      <c r="X52" s="1" t="s">
        <v>739</v>
      </c>
      <c r="Y52" s="1" t="s">
        <v>688</v>
      </c>
      <c r="AA52" s="1" t="s">
        <v>594</v>
      </c>
      <c r="AB52" s="1" t="s">
        <v>753</v>
      </c>
      <c r="AU52" s="7" t="s">
        <v>708</v>
      </c>
      <c r="AV52" s="5" t="s">
        <v>587</v>
      </c>
      <c r="AW52" s="6" t="s">
        <v>423</v>
      </c>
      <c r="AX52" s="7" t="s">
        <v>547</v>
      </c>
      <c r="AY52" s="7" t="s">
        <v>716</v>
      </c>
    </row>
    <row r="53" spans="16:51" x14ac:dyDescent="0.5">
      <c r="P53" s="1" t="s">
        <v>637</v>
      </c>
      <c r="Q53" s="1" t="s">
        <v>639</v>
      </c>
      <c r="W53" s="1" t="s">
        <v>637</v>
      </c>
      <c r="X53" s="1" t="s">
        <v>639</v>
      </c>
      <c r="AA53" s="1" t="s">
        <v>754</v>
      </c>
      <c r="AB53" s="1" t="s">
        <v>755</v>
      </c>
      <c r="AU53" s="7" t="s">
        <v>536</v>
      </c>
      <c r="AV53" s="7" t="s">
        <v>644</v>
      </c>
      <c r="AW53" s="5" t="s">
        <v>84</v>
      </c>
      <c r="AX53" s="8" t="s">
        <v>657</v>
      </c>
      <c r="AY53" s="7" t="s">
        <v>605</v>
      </c>
    </row>
    <row r="54" spans="16:51" x14ac:dyDescent="0.5">
      <c r="P54" s="1" t="s">
        <v>653</v>
      </c>
      <c r="Q54" s="1" t="s">
        <v>352</v>
      </c>
      <c r="W54" s="1" t="s">
        <v>653</v>
      </c>
      <c r="X54" s="1" t="s">
        <v>352</v>
      </c>
      <c r="AA54" s="1" t="s">
        <v>756</v>
      </c>
      <c r="AB54" s="1" t="s">
        <v>352</v>
      </c>
      <c r="AU54" s="7" t="s">
        <v>355</v>
      </c>
      <c r="AV54" s="7" t="s">
        <v>559</v>
      </c>
      <c r="AW54" s="6" t="s">
        <v>676</v>
      </c>
      <c r="AX54" s="7" t="s">
        <v>522</v>
      </c>
      <c r="AY54" s="7" t="s">
        <v>646</v>
      </c>
    </row>
    <row r="55" spans="16:51" x14ac:dyDescent="0.5">
      <c r="P55" s="1" t="s">
        <v>351</v>
      </c>
      <c r="Q55" s="1" t="s">
        <v>612</v>
      </c>
      <c r="W55" s="1" t="s">
        <v>351</v>
      </c>
      <c r="X55" s="1" t="s">
        <v>612</v>
      </c>
      <c r="AA55" s="1" t="s">
        <v>647</v>
      </c>
      <c r="AB55" s="1" t="s">
        <v>757</v>
      </c>
      <c r="AU55" s="7" t="s">
        <v>495</v>
      </c>
      <c r="AV55" s="8" t="s">
        <v>660</v>
      </c>
      <c r="AW55" s="8" t="s">
        <v>683</v>
      </c>
      <c r="AX55" s="8" t="s">
        <v>469</v>
      </c>
      <c r="AY55" s="7" t="s">
        <v>423</v>
      </c>
    </row>
    <row r="56" spans="16:51" x14ac:dyDescent="0.5">
      <c r="P56" s="1" t="s">
        <v>88</v>
      </c>
      <c r="Q56" s="1" t="s">
        <v>666</v>
      </c>
      <c r="W56" s="1" t="s">
        <v>88</v>
      </c>
      <c r="X56" s="1" t="s">
        <v>666</v>
      </c>
      <c r="AA56" s="1" t="s">
        <v>758</v>
      </c>
      <c r="AB56" s="1" t="s">
        <v>356</v>
      </c>
      <c r="AU56" s="9"/>
      <c r="AV56" s="6" t="s">
        <v>571</v>
      </c>
      <c r="AW56" s="6" t="s">
        <v>674</v>
      </c>
      <c r="AX56" s="7" t="s">
        <v>675</v>
      </c>
      <c r="AY56" s="7" t="s">
        <v>84</v>
      </c>
    </row>
    <row r="57" spans="16:51" x14ac:dyDescent="0.5">
      <c r="P57" s="1" t="s">
        <v>759</v>
      </c>
      <c r="Q57" s="1" t="s">
        <v>84</v>
      </c>
      <c r="W57" s="1" t="s">
        <v>759</v>
      </c>
      <c r="X57" s="1" t="s">
        <v>84</v>
      </c>
      <c r="AA57" s="1" t="s">
        <v>609</v>
      </c>
      <c r="AB57" s="1" t="s">
        <v>521</v>
      </c>
      <c r="AV57" s="8" t="s">
        <v>642</v>
      </c>
      <c r="AW57" s="7" t="s">
        <v>356</v>
      </c>
      <c r="AX57" s="7" t="s">
        <v>400</v>
      </c>
      <c r="AY57" s="7" t="s">
        <v>591</v>
      </c>
    </row>
    <row r="58" spans="16:51" x14ac:dyDescent="0.5">
      <c r="P58" s="1" t="s">
        <v>352</v>
      </c>
      <c r="Q58" s="1" t="s">
        <v>353</v>
      </c>
      <c r="W58" s="1" t="s">
        <v>352</v>
      </c>
      <c r="X58" s="1" t="s">
        <v>353</v>
      </c>
      <c r="AA58" s="1" t="s">
        <v>760</v>
      </c>
      <c r="AB58" s="1" t="s">
        <v>761</v>
      </c>
      <c r="AV58" s="7" t="s">
        <v>594</v>
      </c>
      <c r="AW58" s="5"/>
      <c r="AX58" s="7" t="s">
        <v>472</v>
      </c>
      <c r="AY58" s="7" t="s">
        <v>674</v>
      </c>
    </row>
    <row r="59" spans="16:51" x14ac:dyDescent="0.5">
      <c r="P59" s="1" t="s">
        <v>612</v>
      </c>
      <c r="Q59" s="1" t="s">
        <v>762</v>
      </c>
      <c r="W59" s="1" t="s">
        <v>612</v>
      </c>
      <c r="X59" s="1" t="s">
        <v>762</v>
      </c>
      <c r="AA59" s="1" t="s">
        <v>763</v>
      </c>
      <c r="AB59" s="1" t="s">
        <v>764</v>
      </c>
      <c r="AU59" s="2"/>
      <c r="AV59" s="7" t="s">
        <v>661</v>
      </c>
      <c r="AW59" s="5"/>
      <c r="AX59" s="7" t="s">
        <v>342</v>
      </c>
      <c r="AY59" s="7" t="s">
        <v>568</v>
      </c>
    </row>
    <row r="60" spans="16:51" x14ac:dyDescent="0.5">
      <c r="P60" s="1" t="s">
        <v>752</v>
      </c>
      <c r="Q60" s="1" t="s">
        <v>538</v>
      </c>
      <c r="W60" s="1" t="s">
        <v>752</v>
      </c>
      <c r="X60" s="1" t="s">
        <v>538</v>
      </c>
      <c r="AA60" s="1" t="s">
        <v>765</v>
      </c>
      <c r="AB60" s="1" t="s">
        <v>766</v>
      </c>
      <c r="AV60" s="8" t="s">
        <v>648</v>
      </c>
      <c r="AW60" s="5"/>
      <c r="AX60" s="7" t="s">
        <v>102</v>
      </c>
      <c r="AY60" s="7"/>
    </row>
    <row r="61" spans="16:51" x14ac:dyDescent="0.5">
      <c r="P61" s="1" t="s">
        <v>562</v>
      </c>
      <c r="Q61" s="1" t="s">
        <v>511</v>
      </c>
      <c r="W61" s="1" t="s">
        <v>562</v>
      </c>
      <c r="X61" s="1" t="s">
        <v>511</v>
      </c>
      <c r="AA61" s="1" t="s">
        <v>400</v>
      </c>
      <c r="AB61" s="1" t="s">
        <v>767</v>
      </c>
      <c r="AV61" s="7" t="s">
        <v>558</v>
      </c>
      <c r="AW61" s="5"/>
      <c r="AX61" s="7" t="s">
        <v>592</v>
      </c>
      <c r="AY61" s="7"/>
    </row>
    <row r="62" spans="16:51" x14ac:dyDescent="0.5">
      <c r="P62" s="1" t="s">
        <v>717</v>
      </c>
      <c r="Q62" s="1" t="s">
        <v>674</v>
      </c>
      <c r="W62" s="1" t="s">
        <v>717</v>
      </c>
      <c r="X62" s="1" t="s">
        <v>674</v>
      </c>
      <c r="AA62" s="1" t="s">
        <v>351</v>
      </c>
      <c r="AB62" s="1" t="s">
        <v>768</v>
      </c>
      <c r="AV62" s="8" t="s">
        <v>578</v>
      </c>
      <c r="AW62" s="5"/>
      <c r="AX62" s="7" t="s">
        <v>401</v>
      </c>
      <c r="AY62" s="7"/>
    </row>
    <row r="63" spans="16:51" x14ac:dyDescent="0.5">
      <c r="P63" s="1" t="s">
        <v>573</v>
      </c>
      <c r="Q63" s="1" t="s">
        <v>357</v>
      </c>
      <c r="W63" s="1" t="s">
        <v>573</v>
      </c>
      <c r="X63" s="1" t="s">
        <v>357</v>
      </c>
      <c r="AA63" s="1" t="s">
        <v>769</v>
      </c>
      <c r="AU63" s="2"/>
      <c r="AV63" s="8" t="s">
        <v>601</v>
      </c>
      <c r="AW63" s="5"/>
      <c r="AX63" s="8" t="s">
        <v>424</v>
      </c>
      <c r="AY63" s="7"/>
    </row>
    <row r="64" spans="16:51" x14ac:dyDescent="0.5">
      <c r="Q64" s="1" t="s">
        <v>568</v>
      </c>
      <c r="X64" s="1" t="s">
        <v>568</v>
      </c>
      <c r="AA64" s="1" t="s">
        <v>698</v>
      </c>
      <c r="AV64" s="7" t="s">
        <v>347</v>
      </c>
      <c r="AW64" s="5"/>
      <c r="AX64" s="7" t="s">
        <v>348</v>
      </c>
      <c r="AY64" s="7"/>
    </row>
    <row r="65" spans="17:51" x14ac:dyDescent="0.5">
      <c r="Q65" s="1" t="s">
        <v>358</v>
      </c>
      <c r="X65" s="1" t="s">
        <v>358</v>
      </c>
      <c r="AA65" s="1" t="s">
        <v>744</v>
      </c>
      <c r="AV65" s="5" t="s">
        <v>658</v>
      </c>
      <c r="AW65" s="5"/>
      <c r="AX65" s="8" t="s">
        <v>582</v>
      </c>
      <c r="AY65" s="7"/>
    </row>
    <row r="66" spans="17:51" x14ac:dyDescent="0.5">
      <c r="Q66" s="1" t="s">
        <v>770</v>
      </c>
      <c r="X66" s="1" t="s">
        <v>770</v>
      </c>
      <c r="AA66" s="1" t="s">
        <v>771</v>
      </c>
      <c r="AV66" s="6" t="s">
        <v>617</v>
      </c>
      <c r="AW66" s="5"/>
      <c r="AX66" s="7" t="s">
        <v>615</v>
      </c>
      <c r="AY66" s="7"/>
    </row>
    <row r="67" spans="17:51" x14ac:dyDescent="0.5">
      <c r="AA67" s="1" t="s">
        <v>772</v>
      </c>
      <c r="AV67" s="8" t="s">
        <v>699</v>
      </c>
      <c r="AW67" s="5"/>
      <c r="AX67" s="7" t="s">
        <v>634</v>
      </c>
      <c r="AY67" s="7"/>
    </row>
    <row r="68" spans="17:51" x14ac:dyDescent="0.5">
      <c r="AA68" s="1" t="s">
        <v>693</v>
      </c>
      <c r="AV68" s="5" t="s">
        <v>545</v>
      </c>
      <c r="AW68" s="5"/>
      <c r="AX68" s="7" t="s">
        <v>443</v>
      </c>
      <c r="AY68" s="7"/>
    </row>
    <row r="69" spans="17:51" x14ac:dyDescent="0.5">
      <c r="AA69" s="1" t="s">
        <v>88</v>
      </c>
      <c r="AV69" s="7" t="s">
        <v>534</v>
      </c>
      <c r="AW69" s="5"/>
      <c r="AX69" s="7" t="s">
        <v>88</v>
      </c>
      <c r="AY69" s="7"/>
    </row>
    <row r="70" spans="17:51" x14ac:dyDescent="0.5">
      <c r="AA70" s="1" t="s">
        <v>340</v>
      </c>
      <c r="AV70" s="8" t="s">
        <v>711</v>
      </c>
      <c r="AW70" s="10"/>
      <c r="AX70" s="7" t="s">
        <v>695</v>
      </c>
      <c r="AY70" s="7"/>
    </row>
    <row r="71" spans="17:51" x14ac:dyDescent="0.5">
      <c r="AV71" s="7" t="s">
        <v>349</v>
      </c>
      <c r="AX71" s="7" t="s">
        <v>523</v>
      </c>
      <c r="AY71" s="7"/>
    </row>
    <row r="72" spans="17:51" x14ac:dyDescent="0.5">
      <c r="AV72" s="7" t="s">
        <v>647</v>
      </c>
      <c r="AX72" s="8" t="s">
        <v>716</v>
      </c>
      <c r="AY72" s="7"/>
    </row>
    <row r="73" spans="17:51" x14ac:dyDescent="0.5">
      <c r="AV73" s="8" t="s">
        <v>615</v>
      </c>
      <c r="AX73" s="7" t="s">
        <v>471</v>
      </c>
      <c r="AY73" s="7"/>
    </row>
    <row r="74" spans="17:51" x14ac:dyDescent="0.5">
      <c r="AV74" s="5" t="s">
        <v>684</v>
      </c>
      <c r="AX74" s="8" t="s">
        <v>605</v>
      </c>
      <c r="AY74" s="7"/>
    </row>
    <row r="75" spans="17:51" x14ac:dyDescent="0.5">
      <c r="AV75" s="6" t="s">
        <v>688</v>
      </c>
      <c r="AX75" s="7" t="s">
        <v>646</v>
      </c>
      <c r="AY75" s="7"/>
    </row>
    <row r="76" spans="17:51" x14ac:dyDescent="0.5">
      <c r="AV76" s="5" t="s">
        <v>691</v>
      </c>
      <c r="AX76" s="7" t="s">
        <v>664</v>
      </c>
      <c r="AY76" s="7"/>
    </row>
    <row r="77" spans="17:51" x14ac:dyDescent="0.5">
      <c r="AV77" s="8" t="s">
        <v>720</v>
      </c>
      <c r="AX77" s="8" t="s">
        <v>423</v>
      </c>
      <c r="AY77" s="7"/>
    </row>
    <row r="78" spans="17:51" x14ac:dyDescent="0.5">
      <c r="AV78" s="8" t="s">
        <v>605</v>
      </c>
      <c r="AX78" s="8" t="s">
        <v>669</v>
      </c>
      <c r="AY78" s="7"/>
    </row>
    <row r="79" spans="17:51" x14ac:dyDescent="0.5">
      <c r="AV79" s="7" t="s">
        <v>646</v>
      </c>
      <c r="AX79" s="7" t="s">
        <v>84</v>
      </c>
      <c r="AY79" s="7"/>
    </row>
    <row r="80" spans="17:51" x14ac:dyDescent="0.5">
      <c r="AV80" s="6" t="s">
        <v>696</v>
      </c>
      <c r="AX80" s="7" t="s">
        <v>591</v>
      </c>
      <c r="AY80" s="7"/>
    </row>
    <row r="81" spans="48:51" x14ac:dyDescent="0.5">
      <c r="AV81" s="8" t="s">
        <v>710</v>
      </c>
      <c r="AX81" s="8" t="s">
        <v>624</v>
      </c>
      <c r="AY81" s="8"/>
    </row>
    <row r="82" spans="48:51" x14ac:dyDescent="0.5">
      <c r="AV82" s="5" t="s">
        <v>702</v>
      </c>
      <c r="AX82" s="7" t="s">
        <v>665</v>
      </c>
      <c r="AY82" s="7"/>
    </row>
    <row r="83" spans="48:51" x14ac:dyDescent="0.5">
      <c r="AV83" s="7" t="s">
        <v>352</v>
      </c>
      <c r="AX83" s="8" t="s">
        <v>538</v>
      </c>
      <c r="AY83" s="8"/>
    </row>
    <row r="84" spans="48:51" x14ac:dyDescent="0.5">
      <c r="AV84" s="8" t="s">
        <v>708</v>
      </c>
      <c r="AX84" s="8" t="s">
        <v>511</v>
      </c>
      <c r="AY84" s="7"/>
    </row>
    <row r="85" spans="48:51" x14ac:dyDescent="0.5">
      <c r="AV85" s="5" t="s">
        <v>562</v>
      </c>
      <c r="AX85" s="7" t="s">
        <v>674</v>
      </c>
      <c r="AY85" s="7"/>
    </row>
    <row r="86" spans="48:51" x14ac:dyDescent="0.5">
      <c r="AV86" s="7" t="s">
        <v>717</v>
      </c>
      <c r="AX86" s="11" t="s">
        <v>568</v>
      </c>
      <c r="AY86" s="7"/>
    </row>
    <row r="87" spans="48:51" x14ac:dyDescent="0.5">
      <c r="AV87" s="8" t="s">
        <v>683</v>
      </c>
      <c r="AX87" s="8" t="s">
        <v>358</v>
      </c>
      <c r="AY87" s="11"/>
    </row>
    <row r="88" spans="48:51" x14ac:dyDescent="0.5">
      <c r="AV88" s="7" t="s">
        <v>356</v>
      </c>
      <c r="AX88" s="8"/>
    </row>
    <row r="89" spans="48:51" x14ac:dyDescent="0.5">
      <c r="AV89" s="8"/>
      <c r="AX89" s="8"/>
    </row>
    <row r="90" spans="48:51" x14ac:dyDescent="0.5">
      <c r="AV90" s="8"/>
      <c r="AX90" s="8"/>
    </row>
    <row r="91" spans="48:51" x14ac:dyDescent="0.5">
      <c r="AV91" s="7"/>
      <c r="AX91" s="8"/>
    </row>
    <row r="92" spans="48:51" x14ac:dyDescent="0.5">
      <c r="AV92" s="8"/>
      <c r="AX92" s="11"/>
    </row>
    <row r="93" spans="48:51" x14ac:dyDescent="0.5">
      <c r="AV93" s="8"/>
    </row>
    <row r="94" spans="48:51" x14ac:dyDescent="0.5">
      <c r="AV94" s="8"/>
    </row>
    <row r="95" spans="48:51" x14ac:dyDescent="0.5">
      <c r="AV95" s="8"/>
    </row>
    <row r="96" spans="48:51" x14ac:dyDescent="0.5">
      <c r="AV96" s="8"/>
    </row>
    <row r="97" spans="48:48" x14ac:dyDescent="0.5">
      <c r="AV97" s="7"/>
    </row>
    <row r="98" spans="48:48" x14ac:dyDescent="0.5">
      <c r="AV98" s="8"/>
    </row>
    <row r="99" spans="48:48" x14ac:dyDescent="0.5">
      <c r="AV99" s="8"/>
    </row>
    <row r="100" spans="48:48" x14ac:dyDescent="0.5">
      <c r="AV100" s="8"/>
    </row>
    <row r="101" spans="48:48" x14ac:dyDescent="0.5">
      <c r="AV101" s="8"/>
    </row>
    <row r="102" spans="48:48" x14ac:dyDescent="0.5">
      <c r="AV102" s="8"/>
    </row>
    <row r="103" spans="48:48" x14ac:dyDescent="0.5">
      <c r="AV103" s="6"/>
    </row>
    <row r="104" spans="48:48" x14ac:dyDescent="0.5">
      <c r="AV104" s="8"/>
    </row>
    <row r="105" spans="48:48" x14ac:dyDescent="0.5">
      <c r="AV105" s="8"/>
    </row>
    <row r="106" spans="48:48" x14ac:dyDescent="0.5">
      <c r="AV106" s="8"/>
    </row>
    <row r="107" spans="48:48" x14ac:dyDescent="0.5">
      <c r="AV107" s="8"/>
    </row>
    <row r="108" spans="48:48" x14ac:dyDescent="0.5">
      <c r="AV108" s="11"/>
    </row>
  </sheetData>
  <sortState xmlns:xlrd2="http://schemas.microsoft.com/office/spreadsheetml/2017/richdata2" ref="AU6:AU66">
    <sortCondition ref="AU5:AU66"/>
  </sortState>
  <mergeCells count="10">
    <mergeCell ref="L2:Q2"/>
    <mergeCell ref="S2:X2"/>
    <mergeCell ref="Y2:AB2"/>
    <mergeCell ref="AC2:AG2"/>
    <mergeCell ref="AL2:AQ2"/>
    <mergeCell ref="AL3:AN3"/>
    <mergeCell ref="AO3:AQ3"/>
    <mergeCell ref="AT1:AY1"/>
    <mergeCell ref="S1:AG1"/>
    <mergeCell ref="AL1:AQ1"/>
  </mergeCells>
  <pageMargins left="0.7" right="0.7" top="0.75" bottom="0.75" header="0.3" footer="0.3"/>
  <legacyDrawing r:id="rId1"/>
  <tableParts count="4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120</vt:i4>
      </vt:variant>
    </vt:vector>
  </HeadingPairs>
  <TitlesOfParts>
    <vt:vector size="127" baseType="lpstr">
      <vt:lpstr>Paso1 Analisis perfil egreso</vt:lpstr>
      <vt:lpstr>Paso 2 Redacción competen</vt:lpstr>
      <vt:lpstr>Paso 3 Redacción RA </vt:lpstr>
      <vt:lpstr>Paso 4 Estrategias mesocurricu</vt:lpstr>
      <vt:lpstr>Paso 5 Estrategias micro</vt:lpstr>
      <vt:lpstr>Taxonomia para Competencias</vt:lpstr>
      <vt:lpstr>Taxonomias para RA</vt:lpstr>
      <vt:lpstr>'Paso 5 Estrategias micro'!actitudinalB</vt:lpstr>
      <vt:lpstr>actitudinalB</vt:lpstr>
      <vt:lpstr>ActitudinalBAK</vt:lpstr>
      <vt:lpstr>'Paso 5 Estrategias micro'!AK</vt:lpstr>
      <vt:lpstr>AK</vt:lpstr>
      <vt:lpstr>'Paso 5 Estrategias micro'!AnálisisAK</vt:lpstr>
      <vt:lpstr>AnálisisAK</vt:lpstr>
      <vt:lpstr>'Paso 5 Estrategias micro'!AnálisisB</vt:lpstr>
      <vt:lpstr>AnálisisB</vt:lpstr>
      <vt:lpstr>'Paso 5 Estrategias micro'!AnálisisBAK</vt:lpstr>
      <vt:lpstr>AnálisisBAK</vt:lpstr>
      <vt:lpstr>'Paso 5 Estrategias micro'!AnalizarLK</vt:lpstr>
      <vt:lpstr>AnalizarLK</vt:lpstr>
      <vt:lpstr>'Paso 5 Estrategias micro'!AplicaciónB</vt:lpstr>
      <vt:lpstr>AplicaciónB</vt:lpstr>
      <vt:lpstr>'Paso 5 Estrategias micro'!AplicaciónBAK</vt:lpstr>
      <vt:lpstr>AplicaciónBAK</vt:lpstr>
      <vt:lpstr>'Paso 5 Estrategias micro'!AplicarLK</vt:lpstr>
      <vt:lpstr>AplicarLK</vt:lpstr>
      <vt:lpstr>'Paso 5 Estrategias micro'!áreasprofesionales</vt:lpstr>
      <vt:lpstr>áreasprofesionales</vt:lpstr>
      <vt:lpstr>'Paso 5 Estrategias micro'!BAK</vt:lpstr>
      <vt:lpstr>BAK</vt:lpstr>
      <vt:lpstr>Bloom</vt:lpstr>
      <vt:lpstr>'Paso 5 Estrategias micro'!CaracterizarBAK</vt:lpstr>
      <vt:lpstr>CaracterizarBAK</vt:lpstr>
      <vt:lpstr>'Paso 5 Estrategias micro'!Cognitivo</vt:lpstr>
      <vt:lpstr>Cognitivo</vt:lpstr>
      <vt:lpstr>'Paso 5 Estrategias micro'!cognitivoB</vt:lpstr>
      <vt:lpstr>cognitivoB</vt:lpstr>
      <vt:lpstr>CognitivoBAK</vt:lpstr>
      <vt:lpstr>competencias</vt:lpstr>
      <vt:lpstr>ComprenderLK</vt:lpstr>
      <vt:lpstr>'Paso 5 Estrategias micro'!ComprensiónAK</vt:lpstr>
      <vt:lpstr>ComprensiónAK</vt:lpstr>
      <vt:lpstr>'Paso 5 Estrategias micro'!ComprensionB</vt:lpstr>
      <vt:lpstr>ComprensionB</vt:lpstr>
      <vt:lpstr>'Paso 5 Estrategias micro'!ComprensiónBAK</vt:lpstr>
      <vt:lpstr>ComprensiónBAK</vt:lpstr>
      <vt:lpstr>'Paso 5 Estrategias micro'!ConceptosLK</vt:lpstr>
      <vt:lpstr>ConceptosLK</vt:lpstr>
      <vt:lpstr>'Paso 5 Estrategias micro'!ConocimientoB</vt:lpstr>
      <vt:lpstr>ConocimientoB</vt:lpstr>
      <vt:lpstr>'Paso 5 Estrategias micro'!ConocimientoBAK</vt:lpstr>
      <vt:lpstr>ConocimientoBAK</vt:lpstr>
      <vt:lpstr>'Paso 5 Estrategias micro'!Conocimientos</vt:lpstr>
      <vt:lpstr>Conocimientos</vt:lpstr>
      <vt:lpstr>'Paso 5 Estrategias micro'!ControlBAK</vt:lpstr>
      <vt:lpstr>ControlBAK</vt:lpstr>
      <vt:lpstr>'Paso 5 Estrategias micro'!CrearLK</vt:lpstr>
      <vt:lpstr>CrearLK</vt:lpstr>
      <vt:lpstr>dominios</vt:lpstr>
      <vt:lpstr>'Paso 5 Estrategias micro'!EvaluaciónB</vt:lpstr>
      <vt:lpstr>EvaluaciónB</vt:lpstr>
      <vt:lpstr>'Paso 5 Estrategias micro'!EvaluaciónBAK</vt:lpstr>
      <vt:lpstr>EvaluaciónBAK</vt:lpstr>
      <vt:lpstr>EvaluarLK</vt:lpstr>
      <vt:lpstr>'Paso 5 Estrategias micro'!HechosLK</vt:lpstr>
      <vt:lpstr>HechosLK</vt:lpstr>
      <vt:lpstr>'Paso 5 Estrategias micro'!ImitaciónBAK</vt:lpstr>
      <vt:lpstr>ImitaciónBAK</vt:lpstr>
      <vt:lpstr>'Paso 5 Estrategias micro'!InformaciónAK</vt:lpstr>
      <vt:lpstr>InformaciónAK</vt:lpstr>
      <vt:lpstr>'Paso 5 Estrategias micro'!LK</vt:lpstr>
      <vt:lpstr>LK</vt:lpstr>
      <vt:lpstr>'Paso 5 Estrategias micro'!ManipulaciónBAK</vt:lpstr>
      <vt:lpstr>ManipulaciónBAK</vt:lpstr>
      <vt:lpstr>'Paso 5 Estrategias micro'!MetacogniciónAK</vt:lpstr>
      <vt:lpstr>MetacogniciónAK</vt:lpstr>
      <vt:lpstr>'Paso 5 Estrategias micro'!MetacogniciónLK</vt:lpstr>
      <vt:lpstr>MetacogniciónLK</vt:lpstr>
      <vt:lpstr>'Paso 5 Estrategias micro'!MetocogniciónAK</vt:lpstr>
      <vt:lpstr>MetocogniciónAK</vt:lpstr>
      <vt:lpstr>ocupacional</vt:lpstr>
      <vt:lpstr>'Paso 5 Estrategias micro'!OrganizarBAK</vt:lpstr>
      <vt:lpstr>OrganizarBAK</vt:lpstr>
      <vt:lpstr>PercepciónBAK</vt:lpstr>
      <vt:lpstr>'Paso 5 Estrategias micro'!poblacionactuacion</vt:lpstr>
      <vt:lpstr>poblacionactuacion</vt:lpstr>
      <vt:lpstr>'Paso 5 Estrategias micro'!poblaciones</vt:lpstr>
      <vt:lpstr>poblaciones</vt:lpstr>
      <vt:lpstr>'Paso 5 Estrategias micro'!poblacionesactuación</vt:lpstr>
      <vt:lpstr>poblacionesactuación</vt:lpstr>
      <vt:lpstr>'Paso 5 Estrategias micro'!PrecisiónBAK</vt:lpstr>
      <vt:lpstr>PrecisiónBAK</vt:lpstr>
      <vt:lpstr>'Paso 5 Estrategias micro'!procedimentalB</vt:lpstr>
      <vt:lpstr>procedimentalB</vt:lpstr>
      <vt:lpstr>ProcedimentalBAK</vt:lpstr>
      <vt:lpstr>'Paso 5 Estrategias micro'!ProcedimientosLK</vt:lpstr>
      <vt:lpstr>ProcedimientosLK</vt:lpstr>
      <vt:lpstr>'Paso 5 Estrategias micro'!ProcesosAK</vt:lpstr>
      <vt:lpstr>ProcesosAK</vt:lpstr>
      <vt:lpstr>'Paso 5 Estrategias micro'!PsicomotorAK</vt:lpstr>
      <vt:lpstr>PsicomotorAK</vt:lpstr>
      <vt:lpstr>RecordarLK</vt:lpstr>
      <vt:lpstr>RecuperaciónAK</vt:lpstr>
      <vt:lpstr>'Paso 5 Estrategias micro'!ResponderBAK</vt:lpstr>
      <vt:lpstr>ResponderBAK</vt:lpstr>
      <vt:lpstr>resultadoaprendizaje</vt:lpstr>
      <vt:lpstr>Saber</vt:lpstr>
      <vt:lpstr>'Paso 5 Estrategias micro'!Saberhacer</vt:lpstr>
      <vt:lpstr>Saberhacer</vt:lpstr>
      <vt:lpstr>'Paso 5 Estrategias micro'!saberser</vt:lpstr>
      <vt:lpstr>saberser</vt:lpstr>
      <vt:lpstr>'Paso 5 Estrategias micro'!SíntesisB</vt:lpstr>
      <vt:lpstr>SíntesisB</vt:lpstr>
      <vt:lpstr>'Paso 5 Estrategias micro'!SíntesisBAK</vt:lpstr>
      <vt:lpstr>SíntesisBAK</vt:lpstr>
      <vt:lpstr>'Paso 5 Estrategias micro'!tareas</vt:lpstr>
      <vt:lpstr>tareas</vt:lpstr>
      <vt:lpstr>'Paso 5 Estrategias micro'!tareasprofesionales</vt:lpstr>
      <vt:lpstr>tareasprofesionales</vt:lpstr>
      <vt:lpstr>'Paso 5 Estrategias micro'!taxonomiasra</vt:lpstr>
      <vt:lpstr>taxonomiasra</vt:lpstr>
      <vt:lpstr>UsoConocimientoAK</vt:lpstr>
      <vt:lpstr>'Paso 5 Estrategias micro'!Valoragregado</vt:lpstr>
      <vt:lpstr>Valoragregado</vt:lpstr>
      <vt:lpstr>'Paso 5 Estrategias micro'!ValorarBAK</vt:lpstr>
      <vt:lpstr>ValorarBAK</vt:lpstr>
      <vt:lpstr>VerbosCompetencias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Maria Isabel Cortes Cortes</cp:lastModifiedBy>
  <cp:revision/>
  <dcterms:created xsi:type="dcterms:W3CDTF">2021-03-03T13:22:18Z</dcterms:created>
  <dcterms:modified xsi:type="dcterms:W3CDTF">2026-04-21T20:11:07Z</dcterms:modified>
  <cp:category/>
  <cp:contentStatus/>
</cp:coreProperties>
</file>