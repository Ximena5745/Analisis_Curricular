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2BC28625-90E2-4716-BEDF-F522F50571C3}" xr6:coauthVersionLast="47" xr6:coauthVersionMax="47" xr10:uidLastSave="{CE73CBC7-43A6-426D-8BFC-8C4E716F6F52}"/>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micro'!$A$1:$Q$159</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6" i="10" l="1"/>
  <c r="S155" i="10"/>
  <c r="R155" i="10"/>
  <c r="S140" i="10"/>
  <c r="R141" i="10"/>
  <c r="S124" i="10"/>
  <c r="R124" i="10"/>
  <c r="S104" i="10"/>
  <c r="R104" i="10"/>
  <c r="S80" i="10"/>
  <c r="R80" i="10"/>
  <c r="S59" i="10"/>
  <c r="R59" i="10"/>
  <c r="S43" i="10"/>
  <c r="R43" i="10"/>
  <c r="S20" i="10"/>
  <c r="R20" i="10"/>
  <c r="A144" i="10"/>
  <c r="A145" i="10"/>
  <c r="A41" i="10"/>
  <c r="A36" i="10"/>
  <c r="A31" i="10"/>
  <c r="A24" i="10"/>
  <c r="A25" i="10"/>
  <c r="A26" i="10"/>
  <c r="A18" i="10"/>
  <c r="A14" i="10"/>
  <c r="A7" i="10"/>
  <c r="A8" i="10"/>
  <c r="A6" i="10"/>
  <c r="S156" i="10" l="1"/>
  <c r="L34" i="10"/>
  <c r="J159" i="10"/>
  <c r="J158" i="10"/>
  <c r="J157" i="10"/>
  <c r="J156" i="10"/>
  <c r="D156" i="10" l="1"/>
  <c r="K140" i="10"/>
  <c r="L155" i="10"/>
  <c r="K155" i="10"/>
  <c r="L154" i="10"/>
  <c r="K154" i="10"/>
  <c r="L141" i="10"/>
  <c r="K141" i="10"/>
  <c r="L140" i="10"/>
  <c r="L149" i="10"/>
  <c r="K149" i="10"/>
  <c r="L142" i="10"/>
  <c r="K142" i="10"/>
  <c r="L135" i="10"/>
  <c r="K135" i="10"/>
  <c r="L130" i="10"/>
  <c r="K130" i="10"/>
  <c r="L125" i="10"/>
  <c r="K125" i="10"/>
  <c r="L120" i="10"/>
  <c r="K120" i="10"/>
  <c r="L115" i="10"/>
  <c r="K115" i="10"/>
  <c r="L110" i="10"/>
  <c r="K110" i="10"/>
  <c r="L105" i="10"/>
  <c r="K105" i="10"/>
  <c r="L100" i="10"/>
  <c r="K100" i="10"/>
  <c r="L95" i="10"/>
  <c r="K95" i="10"/>
  <c r="L90" i="10"/>
  <c r="K90" i="10"/>
  <c r="L85" i="10"/>
  <c r="K85" i="10"/>
  <c r="L81" i="10"/>
  <c r="K81" i="10"/>
  <c r="L76" i="10"/>
  <c r="K76" i="10"/>
  <c r="L71" i="10"/>
  <c r="K71" i="10"/>
  <c r="L66" i="10"/>
  <c r="K66" i="10"/>
  <c r="L61" i="10"/>
  <c r="K61" i="10"/>
  <c r="L56" i="10"/>
  <c r="L51" i="10"/>
  <c r="L46" i="10"/>
  <c r="K46" i="10"/>
  <c r="K56" i="10"/>
  <c r="K51" i="10"/>
  <c r="L39" i="10"/>
  <c r="L29" i="10"/>
  <c r="L22" i="10"/>
  <c r="K39" i="10"/>
  <c r="K34" i="10"/>
  <c r="K29" i="10"/>
  <c r="K22" i="10"/>
  <c r="L16" i="10"/>
  <c r="L11" i="10"/>
  <c r="L5" i="10"/>
  <c r="K16" i="10"/>
  <c r="K11" i="10"/>
  <c r="K5" i="10"/>
  <c r="L60" i="10"/>
  <c r="K60" i="10"/>
  <c r="L45" i="10"/>
  <c r="K45" i="10"/>
  <c r="L44" i="10"/>
  <c r="K44" i="10"/>
  <c r="L21" i="10"/>
  <c r="K21" i="10"/>
  <c r="L4" i="10"/>
  <c r="K4" i="10"/>
  <c r="L3" i="10"/>
  <c r="K3" i="10"/>
  <c r="A60" i="10"/>
  <c r="A45" i="10"/>
  <c r="A44" i="10"/>
  <c r="A21" i="10"/>
  <c r="A3" i="10"/>
  <c r="A4" i="10"/>
  <c r="A153" i="10"/>
  <c r="A152" i="10"/>
  <c r="A151" i="10"/>
  <c r="A150" i="10"/>
  <c r="A149" i="10"/>
  <c r="A148" i="10"/>
  <c r="A147" i="10"/>
  <c r="A146" i="10"/>
  <c r="A143" i="10"/>
  <c r="A142"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59" i="10"/>
  <c r="A58" i="10"/>
  <c r="A57" i="10"/>
  <c r="A56" i="10"/>
  <c r="A55" i="10"/>
  <c r="A54" i="10"/>
  <c r="A53" i="10"/>
  <c r="A52" i="10"/>
  <c r="A51" i="10"/>
  <c r="A50" i="10"/>
  <c r="A49" i="10"/>
  <c r="A48" i="10"/>
  <c r="A47" i="10"/>
  <c r="A46" i="10"/>
  <c r="A43" i="10"/>
  <c r="A42" i="10"/>
  <c r="A40" i="10"/>
  <c r="A39" i="10"/>
  <c r="A38" i="10"/>
  <c r="A37" i="10"/>
  <c r="A35" i="10"/>
  <c r="A34" i="10"/>
  <c r="A33" i="10"/>
  <c r="A32" i="10"/>
  <c r="A30" i="10"/>
  <c r="A29" i="10"/>
  <c r="A28" i="10"/>
  <c r="A27" i="10"/>
  <c r="A23" i="10"/>
  <c r="A22" i="10"/>
  <c r="A20" i="10"/>
  <c r="A19" i="10"/>
  <c r="A17" i="10"/>
  <c r="A16" i="10"/>
  <c r="A12" i="10"/>
  <c r="A13" i="10"/>
  <c r="A15" i="10"/>
  <c r="A11" i="10"/>
  <c r="A9" i="10"/>
  <c r="A10" i="10"/>
  <c r="A5" i="10"/>
  <c r="M16" i="10" l="1"/>
  <c r="M34" i="10"/>
  <c r="M66" i="10"/>
  <c r="M95" i="10"/>
  <c r="M105" i="10"/>
  <c r="M115" i="10"/>
  <c r="M120" i="10"/>
  <c r="M130" i="10"/>
  <c r="M135" i="10"/>
  <c r="M39" i="10"/>
  <c r="M5" i="10"/>
  <c r="M22" i="10"/>
  <c r="M149" i="10"/>
  <c r="M140" i="10"/>
  <c r="M11" i="10"/>
  <c r="M29" i="10"/>
  <c r="M46" i="10"/>
  <c r="M61" i="10"/>
  <c r="M76" i="10"/>
  <c r="M90" i="10"/>
  <c r="M141" i="10"/>
  <c r="M71" i="10"/>
  <c r="M85" i="10"/>
  <c r="M125" i="10"/>
  <c r="M142" i="10"/>
  <c r="M155" i="10"/>
  <c r="M51" i="10"/>
  <c r="M56" i="10"/>
  <c r="M110" i="10"/>
  <c r="M60" i="10"/>
  <c r="M81" i="10"/>
  <c r="M100" i="10"/>
  <c r="M154" i="10"/>
  <c r="M44" i="10" l="1"/>
  <c r="M45" i="10"/>
  <c r="M21"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<sst xmlns="http://schemas.openxmlformats.org/spreadsheetml/2006/main" count="2369" uniqueCount="753">
  <si>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</si>
  <si>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</si>
  <si>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</si>
  <si>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</si>
  <si>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</si>
  <si>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</si>
  <si>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</si>
  <si>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</si>
  <si>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</si>
  <si>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</si>
  <si>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</si>
  <si>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</si>
  <si>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</si>
  <si>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</si>
  <si>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</si>
  <si>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</si>
  <si>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</si>
  <si>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</si>
  <si>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Comunicación Social</t>
  </si>
  <si>
    <t>Virtual</t>
  </si>
  <si>
    <t>El egresado del programa de Comunicación Social del Politécnico Grancolombiano integra las teorías de la comunicación, los estudios socioculturales y las estructuras mediáticas con un enfoque en la comunicación pública y digital, orientado a contextos institucionales, comunitarios y mediáticos. Desarrolla estrategias de comunicación orientadas al interés público, diseña e implementa campañas y planes institucionales, y produce contenidos sonoros, audiovisuales y editoriales en entornos digitales, articulando narrativas según los medios y las audiencias. Actúa con compromiso social, pensamiento estratégico y responsabilidad profesional, participa en procesos de transformación social e impulsa iniciativas comunicativas orientadas al desarrollo sostenible y al fortalecimiento de la comunicación pública.</t>
  </si>
  <si>
    <t xml:space="preserve">El profesional en Comunicación Social del Politécnico Grancolombiano está en capacidad de gestionar estrategias de comunicación en contextos públicos, institucionales, sociales, comunitarios y corporativos. Diseña campañas y planes de comunicación orientados al interés público, produce contenidos en formatos sonoros, audiovisuales y editoriales, y elabora narrativas para diversos medios, audiencias y entornos digitales. Participa en la planificación de estrategias informativas y en la coordinación de iniciativas comunicativas que fortalecen procesos colaborativos, responden a las dinámicas de entornos mediáticos, institucionales o territoriales, y contribuyen a la interacción social y al fortalecimiento comunitario mediante acciones contextualizadas. </t>
  </si>
  <si>
    <t>Estrategias de comunicación pública e institucional</t>
  </si>
  <si>
    <t>implementar acciones informativas transmediales</t>
  </si>
  <si>
    <t>actuando con pensamiento estratégico, responsabilidad profesional y enfoque propositivo</t>
  </si>
  <si>
    <t>Profesional en comunicación / Profesional en comunicación social/Comunicador institucional/Redactor de contenidos institucionales/Coordinador de Comunicaciones/Coordinador de medios internos o boletines/Gestor de medios digitales institucionales/Profesional de comunicación pública/Profesional de comunicación territorial/Responsable de comunicaciones en entidades locales/Comunicador de oficina de prensa institucional/Comunicador para proyectos sociales/Coordinador de comunicaciones en fundaciones/Profesional de comunicaciones comunitarias/Comunicador para proyectos sociales o territoriales/Estratega de comunicación institucional/Diseñador editorial institucional/Community Manager/Coordinador de prensa institucional/Profesional de relaciones públicas/Comunicador para gestión de eventos internos o externos.</t>
  </si>
  <si>
    <t>Ejecuta planes de comunicación interna y externa/Redacta contenidos institucionales para diversos medios/Gestiona la producción y difusión de contenidos multiformato/Elabora boletines, informes, comunicados y mensajes para públicos internos y externos/Alinea los contenidos con la identidad, los lineamientos y la imagen institucional/Supervisa la implementación de estrategias de comunicación/Coordina al equipo de comunicaciones y gestiona campañas institucionales/Administra canales de comunicación interna, redes sociales y plataformas digitales/Crea, programa y monitorea contenidos digitales/Desarrolla mensajes dirigidos a la ciudadanía/Participa en campañas de información institucional orientadas al interés público/Gestiona la visibilidad de programas y políticas públicas/Implementa estrategias comunicativas en contextos locales/Coordina acciones comunicativas con enfoque territorial/Adapta contenidos a las realidades socioculturales locales y comunitarias/ Mantiene vínculos con medios locales/Comunica actividades públicas y de gestión territorial/Redacta boletines y comunicados de prensa para medios locales, regionales y nacionales/Gestiona relaciones con medios y periodistas/Diseña contenidos para campañas de intervención social/Elabora materiales de sensibilización/ Planifica e implementa estrategias de visibilidad institucional/Comunica resultados e impactos de proyectos en diversos medios y plataformas/Estructura procesos de comunicación participativa/Genera contenidos adaptados a entornos comunitarios/Acompaña procesos de cohesión social mediante estrategias comunicativas/Articula mensajes con liderazgos territoriales y comunitarios/Realiza contenidos utilizando diversos lenguajes y medios/Edita textos institucionales con enfoque técnico y editorial/Supervisa la calidad y coherencia de los contenidos publicados/Gestiona la relación con medios de comunicación/Coordina la difusión de información oficial/Cuida la imagen institucional en espacios públicos/Apoya la planificación y cobertura de eventos institucionales/Sistematiza resultados comunicativos.</t>
  </si>
  <si>
    <t>Alcaldías, gobernaciones, ministerios, secretarías, entidades descentralizadas donde se desarrollen procesos de comunicación institucional, ciudadana y comunitaria/Compañías, agencias, pymes, organizaciones con áreas de comunicación interna, externa o digital/Fundaciones, asociaciones, colectivos, proyectos sociales con enfoque de intervención, participación y comunicación para el desarrollo/Prensa escrita, radio, televisión local o regional, espacios donde pueda ejercer producción, redacción o apoyo editorial/Blogs, podcasts, canales de video, portales web y redes sociales institucionales o personales/Zonas urbanas, rurales o periféricas con intervención en proyectos participativos, campañas sociales o procesos comunitarios/Mesas de participación, consejos comunales, proyectos de gobernanza donde se desarrollen acciones de comunicación pública y ciudadana/Intranets, redes sociales corporativas, páginas web de entidades o iniciativas donde se ejerce la comunicación estratégica digital.</t>
  </si>
  <si>
    <t xml:space="preserve">El programa de Comunicación Social del Politécnico Grancolombiano se destaca por integrar la comunicación pública como eje formativo, con una articulación en producción de contenidos multiformato en entornos digitales, alineada con las exigencias del entorno profesional actual. Esta combinación permite formar comunicadores que actúan con autonomía en escenarios públicos, institucionales, sociales y comunitarios, creando contenidos audiovisuales, sonoros, editoriales en entornos digitales y gestionando estrategias informativas orientadas al interés colectivo. </t>
  </si>
  <si>
    <t>Contenidos sonoros, audiovisuales y editoriales en entornos digitales</t>
  </si>
  <si>
    <t>comunicar de forma efectiva en medios y plataformas digitales</t>
  </si>
  <si>
    <t>mediante soluciones creativas, con precisión técnica y responsabilidad informativa</t>
  </si>
  <si>
    <t>Iniciativas comunicativas comunitarias y territoriales</t>
  </si>
  <si>
    <t>ejecutar acciones de comunicación orientadas a la participación ciudadana</t>
  </si>
  <si>
    <t>actuando con responsabilidad social y respeto por la diversidad</t>
  </si>
  <si>
    <t>Lenguajes, escrituras y narrativas</t>
  </si>
  <si>
    <t>comunicar con claridad en diferentes formatos y plataformas</t>
  </si>
  <si>
    <t>actuando con coherencia, precisión comunicativa y responsabilidad en el uso de la información</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</si>
  <si>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</si>
  <si>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</si>
  <si>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</si>
  <si>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</si>
  <si>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</si>
  <si>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</si>
  <si>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</si>
  <si>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</si>
  <si>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</si>
  <si>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</si>
  <si>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</si>
  <si>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</si>
  <si>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</si>
  <si>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</si>
  <si>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</si>
  <si>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</si>
  <si>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</si>
  <si>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</si>
  <si>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Diseñar</t>
  </si>
  <si>
    <t>Diseñar estrategias de comunicación pública e institucional, para implementar acciones informativas transmediales, actuando con pensamiento estratégico, responsabilidad profesional y enfoque propositivo.</t>
  </si>
  <si>
    <t>Específica</t>
  </si>
  <si>
    <t>Producir</t>
  </si>
  <si>
    <t>Producir contenidos sonoros, audiovisuales y editoriales en entornos digitales, para comunicar de forma efectiva en medios y plataformas digitales, mediante soluciones creativas, con precisión técnica y responsabilidad informativa.</t>
  </si>
  <si>
    <t>Coordinar</t>
  </si>
  <si>
    <t>Coordinar iniciativas comunicativas comunitarias y territoriales, para ejecutar acciones de comunicación orientadas a la participación ciudadana, actuando con responsabilidad social y respeto por la diversidad.</t>
  </si>
  <si>
    <t>Dominar</t>
  </si>
  <si>
    <t>Dominar lenguajes, escrituras y narrativas, para comunicar con claridad en diferentes formatos y plataformas, actuando con coherencia, precisión comunicativa y responsabilidad en el uso de la información.</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</si>
  <si>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</si>
  <si>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</si>
  <si>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</si>
  <si>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</si>
  <si>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</si>
  <si>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</si>
  <si>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</si>
  <si>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</si>
  <si>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</si>
  <si>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</si>
  <si>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</si>
  <si>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</si>
  <si>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</si>
  <si>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</si>
  <si>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</si>
  <si>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</si>
  <si>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</si>
  <si>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</si>
  <si>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</si>
  <si>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</si>
  <si>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</si>
  <si>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</si>
  <si>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</si>
  <si>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EvaluaciónBAK</t>
  </si>
  <si>
    <t>Evaluar</t>
  </si>
  <si>
    <t>Evalúa las características, funciones y objetivos de la comunicación pública e institucional, para definir criterios que orienten su alcance en escenarios sociocomunicativos diversos.</t>
  </si>
  <si>
    <t>ProcedimentalBAK</t>
  </si>
  <si>
    <t>ControlBAK</t>
  </si>
  <si>
    <t>Diseña estrategias de comunicación pública e institucional, para proponer acciones informativas mediáticas orientadas al interés colectivo.</t>
  </si>
  <si>
    <t>ActitudinalBAK</t>
  </si>
  <si>
    <t>ResponderBAK</t>
  </si>
  <si>
    <t>Analiza situaciones comunicativas en diversos contextos, considerando la diversidad sociocultural y el uso responsable de la información, para elaborar propuestas de comunicación estratégicas, creativas y técnicamente fundamentadas.</t>
  </si>
  <si>
    <t>AnálisisBAK</t>
  </si>
  <si>
    <t>Comparar</t>
  </si>
  <si>
    <t>Compara los lenguajes, estilos narrativos y formatos multimediales, para seleccionar recursos expresivos pertinentes según el propósito comunicativo, las audiencias y el medio de difusión.</t>
  </si>
  <si>
    <t>PrecisiónBAK</t>
  </si>
  <si>
    <t>Produce contenidos comunicativos escritos, sonoros, audiovisuales y editoriales, para transmitir ideas o mensajes en diversos formatos y plataformas, aplicando criterios técnicos, expresivos y discursivos.</t>
  </si>
  <si>
    <t>Analiza las dinámicas sociocomunicativas de los territorios, para explicar cómo se configuran las relaciones entre actores, medios y comunidades locales, y cómo estas influyen en la toma de decisiones comunicativas.</t>
  </si>
  <si>
    <t>Planear</t>
  </si>
  <si>
    <t>Planifica acciones comunicativas con enfoque participativo, para diseñar propuestas que orienten los procesos de comunicación en escenarios comunitarios y socioculturales.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</si>
  <si>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</si>
  <si>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</si>
  <si>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</si>
  <si>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</si>
  <si>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</si>
  <si>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</si>
  <si>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</si>
  <si>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</si>
  <si>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</si>
  <si>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</si>
  <si>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</si>
  <si>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</si>
  <si>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</si>
  <si>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</si>
  <si>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</si>
  <si>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</si>
  <si>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</si>
  <si>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t>
  </si>
  <si>
    <t>Estrategia de internacionalización del currículo que consiste en el desarrollo sincrónico de sesiones de clase compartidas entre estudiantes y docentes del programa de Comunicación Social y universidades extranjeras, mediante plataformas digitales. A través de la participación de profesores invitados internacionales, se amplía la comprensión crítica y comparativa sobre temáticas disciplinares, enriqueciendo el enfoque global de la formación comunicativa.</t>
  </si>
  <si>
    <t>Valoración de la estrategia respecto al nivel de aporte a los resultados de aprendizaje del programa.</t>
  </si>
  <si>
    <t>Formar e informar a los estudiantes a través del intercambio académico internacional y nacional, fortaleciendo el diálogo intercultural y la comprensión de diversas perspectivas disciplinares, al tiempo que se les actualiza sobre realidades y prácticas profesionales en otros contextos educativos.</t>
  </si>
  <si>
    <t>Encuesta de valoración para los estudiantes.</t>
  </si>
  <si>
    <t xml:space="preserve">Número de estudiantes que participan en la estrategia. </t>
  </si>
  <si>
    <t>Listados de participación de los estudiantes.</t>
  </si>
  <si>
    <t>Número de experiencias desarrolladas en el periodo de tiempo establecidos por el programa.</t>
  </si>
  <si>
    <t>Informe o Reporte.</t>
  </si>
  <si>
    <t>Expertos Invitados</t>
  </si>
  <si>
    <t>Estrategia académica que permite integrar a profesionales y académicos nacionales e internacionales del campo de la comunicación como invitados a espacios de clase o eventos específicos. Estos encuentros propician el análisis aplicado de temas actuales y emergentes en medios, comunicación organizacional, políticas públicas, cultura digital, entre otros, fortaleciendo la conexión entre la teoría y la práctica profesional.</t>
  </si>
  <si>
    <t>Formar e informar a los estudiantes mediante el acceso a experiencias, conocimientos y casos reales presentados por profesionales reconocidos en el campo de la comunicación, fortaleciendo así la articulación entre la teoría y la práctica.</t>
  </si>
  <si>
    <t>PoliRadio</t>
  </si>
  <si>
    <t>Estrategia formativa mediante la cual los estudiantes del programa diseñan, producen y emiten contenidos sonoros y radiales para PoliRadio, la emisora institucional. Esta experiencia les permite aplicar conocimientos en lenguaje radiofónico, guion, locución, edición y producción, como parte de proyectos académicos integradores vinculados a asignaturas del plan de estudios.</t>
  </si>
  <si>
    <t>Formar y prevenir a los estudiantes mediante la producción y difusión de contenidos radiales que promueven el desarrollo de habilidades comunicativas, pensamiento crítico y creatividad, al tiempo que se identifican y abordan posibles dificultades expresivas o técnicas en el ejercicio profesional.</t>
  </si>
  <si>
    <t>Semilleros de Investigación</t>
  </si>
  <si>
    <t>Espacio de formación investigativa que promueve el desarrollo de competencias en investigación social y comunicación aplicada. En estos semilleros, los estudiantes formulan preguntas de investigación, diseñan instrumentos, recolectan y analizan información, y producen informes y contenidos comunicativos con enfoque académico, social o divulgativo, fortaleciendo su pensamiento crítico y metodológico.</t>
  </si>
  <si>
    <t>Formar e informar a los estudiantes en la iniciación científica a través del enfoque de investigación-creación, permitiéndoles explorar sus intereses académicos, familiarizarse con metodologías investigativas y tomar decisiones fundamentadas sobre su proyección profesional y académica.</t>
  </si>
  <si>
    <t>Número de semilleros y encuentros realizados en el periodo de tiempo establecido por el programa.</t>
  </si>
  <si>
    <t>Centro de Lectura, Escritura, Oralidad y Apropiación de la Ciencia (CELEO)</t>
  </si>
  <si>
    <t>Estrategia de apoyo académico transversal que fomenta en los estudiantes del programa el desarrollo de habilidades comunicativas clave, como la argumentación oral, la producción escrita, la comprensión lectora y la divulgación del conocimiento científico. A través de tutorías, talleres y recursos lúdico-formativos, CELEO fortalece la competencia comunicativa en función de los requerimientos del campo profesional y académico.</t>
  </si>
  <si>
    <t>Formar y prevenir a los estudiantes en el fortalecimiento de competencias comunicativas académicas y científicas, brindándoles acompañamiento individualizado que permite anticipar y superar dificultades en la comprensión, producción y apropiación del conocimiento.</t>
  </si>
  <si>
    <t>Asociación Colombiana de Investigadores en Comunicación (ACICOM)</t>
  </si>
  <si>
    <t>Participación del programa en los espacios académicos ofrecidos por ACICOM, como congresos, coloquios, mesas de trabajo y publicaciones. Esta estrategia promueve la visibilización de procesos investigativos desarrollados por estudiantes y docentes, así como la articulación con redes académicas del país, contribuyendo a la consolidación de una comunidad académica crítica en comunicación.</t>
  </si>
  <si>
    <t>Informar y ayudar a decidir a los estudiantes sobre oportunidades académicas, investigativas y de participación profesional en el campo de la comunicación, promoviendo su vinculación a redes especializadas que potencien su perfil investigativo y su toma de decisiones en el desarrollo de carrera.</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</si>
  <si>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</si>
  <si>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</si>
  <si>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</si>
  <si>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</si>
  <si>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</si>
  <si>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</si>
  <si>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</si>
  <si>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</si>
  <si>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</si>
  <si>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</si>
  <si>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</si>
  <si>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</si>
  <si>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</si>
  <si>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</si>
  <si>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</si>
  <si>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</si>
  <si>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</si>
  <si>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</si>
  <si>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</si>
  <si>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</si>
  <si>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</si>
  <si>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</si>
  <si>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</si>
  <si>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</si>
  <si>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</si>
  <si>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</si>
  <si>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</si>
  <si>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</si>
  <si>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</si>
  <si>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</si>
  <si>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</si>
  <si>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</si>
  <si>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</si>
  <si>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</si>
  <si>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</si>
  <si>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</si>
  <si>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</si>
  <si>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</si>
  <si>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</si>
  <si>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</si>
  <si>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</si>
  <si>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</si>
  <si>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</si>
  <si>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</si>
  <si>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</si>
  <si>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Procesos de Comunicación</t>
  </si>
  <si>
    <t>Analiza los procesos de comunicación en distintos contextos socioculturales de los siglos XX y XXI, para interpretar sus transformaciones en la historia reciente.</t>
  </si>
  <si>
    <t>T</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</si>
  <si>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</si>
  <si>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</si>
  <si>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</si>
  <si>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Comunicación Audiovisual</t>
  </si>
  <si>
    <t>Diseña productos audiovisuales con dispositivos móviles, integrando principios del lenguaje y géneros audiovisuales, para comunicar mensajes en plataformas digitales mediante estrategias básicas de promoción.</t>
  </si>
  <si>
    <t>1. Comunicación y lenguaje audiovisual
2. Realización audiovisual con dispositivos móviles
3. Géneros audiovisuales
4. Estrategias de promoción y distribución de contenido audiovisual</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</si>
  <si>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</si>
  <si>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Fundamentos de Redacción</t>
  </si>
  <si>
    <t>Reconoce la estructura y función del texto escrito como mecanismo fundamental, para identificar cómo se organizan las ideas y se adapta el lenguaje según el público objetivo.</t>
  </si>
  <si>
    <t>1. La importancia de la escritura 
2. Estructura de las oraciones y construcción de párrafos 
3. Tipología textual
4. Creación de textos académicos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</si>
  <si>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</si>
  <si>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</si>
  <si>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</si>
  <si>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Teorías de la Comunicación</t>
  </si>
  <si>
    <t>Reconoce los conceptos, modelos y metodologías del campo epistemológico de la comunicación, para describir las perspectivas teóricas que explican la comunicación en distintos contextos socioculturales desde el siglo XX.</t>
  </si>
  <si>
    <t>1. Funcionalismo a una visión de la teoría crítica 
2. Estudios culturales: ingleses, norteamericanos y latinoamericanos 
3. La comunicación de masas y los estudios de recepción en América Latina
4. Perspectivas comunicacionales actuales</t>
  </si>
  <si>
    <t>Redacción para Medios Digitales</t>
  </si>
  <si>
    <t>Redacta contenidos digitales aplicando principios de escritura y optimización, para adaptar mensajes a diversos formatos, dispositivos y audiencias en medios digitales.</t>
  </si>
  <si>
    <t xml:space="preserve">1. Fundamentos de la redacción digital 
2. Optimización de contenidos para la web y medios sociales
3. Estrategias de comunicación escrita digital directa
4. Producción de contenidos creativos e integrados para el entorno digitales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</si>
  <si>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</si>
  <si>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</si>
  <si>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</si>
  <si>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</si>
  <si>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Producción y Narrativa Sonora</t>
  </si>
  <si>
    <t>Aplica recursos expresivos y técnicos del lenguaje sonoro para crear contenidos comunicativos en formatos digitales como podcast y microprogramas.</t>
  </si>
  <si>
    <t>1. La oralidad y la expresión en el lenguaje sonoro
2. La narrativa periodística y de las organizaciones en lo sonoro
3. La producción sonora
4. De la radio al podcasting y nuevas narrativas sonoras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</si>
  <si>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</si>
  <si>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</si>
  <si>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</si>
  <si>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</si>
  <si>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</si>
  <si>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</si>
  <si>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</si>
  <si>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</si>
  <si>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Comunicación Visual y Medios Digitales</t>
  </si>
  <si>
    <t>Identifica los elementos que conforman las piezas de comunicación para medios digitales, así como los principios de usabilidad, accesibilidad y experiencia del usuario, para diseñar mensajes o contenidos comprensibles y funcionales dirigidos a públicos específicos en entornos digitales.</t>
  </si>
  <si>
    <t>1. Comunicación visual en la era digital
2. Herramientas y producción de contenido para entornos digitales
3. Diseño y composición para medios digitales
4. Experiencia del usuario. Usabilidad y accesibilidad</t>
  </si>
  <si>
    <t>Comunicación Pública</t>
  </si>
  <si>
    <t>Aplica modelos y fases de la comunicación pública para diseñar propuestas que representen las relaciones entre instituciones y ciudadanías en entornos digitales.</t>
  </si>
  <si>
    <t>1. Fundamentos de la comunicación pública
2. Procesos y modelos de la comunicación pública
3. Fases de la comunicación pública
4. Ciudadanías digitales y comunicación pública</t>
  </si>
  <si>
    <t>Semiótica</t>
  </si>
  <si>
    <t>Reconoce los sistemas simbólicos presentes en mensajes visuales, sonoros y audiovisuales, para aplicar conceptos semióticos en el análisis de productos comunicativos en contextos culturales específicos.</t>
  </si>
  <si>
    <t xml:space="preserve">1. Introducción a la semiótica 
2. Teoría de los códigos
3. El mundo como entrecruzamiento de signos sociales 
4. Los mensajes modernos: la radio, la televisión y el cine. Los mensajes postmodernos: el cómic, el videoclip y los
video juegos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</si>
  <si>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</si>
  <si>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</si>
  <si>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</si>
  <si>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</si>
  <si>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Comunicación y Sociedad</t>
  </si>
  <si>
    <t>Analiza perspectivas socioculturales sobre la relación entre comunicación y sociedad, para explicar cómo las transformaciones digitales, culturales y de control inciden en las dinámicas sociales contemporáneas.</t>
  </si>
  <si>
    <t>1. La perspectiva sociocultural en la relación comunicación-sociedad.
2. Sociedad Red – Cultura, identidad y globalización.
3. Sociedades de control y sociedad del riesgo.
4. La digitalización y su impacto social.</t>
  </si>
  <si>
    <t>Audiencias Digitales</t>
  </si>
  <si>
    <t>Aplica principios de alfabetización mediática y caracterización de audiencias digitales, para diseñar estrategias de educación digital contextualizadas y participativas.</t>
  </si>
  <si>
    <t xml:space="preserve">1. Las audiencias digitales 
2. Tipos de audiencias 
3. Los estudios de audiencias 
4. Alfabetización de los medios digitales </t>
  </si>
  <si>
    <t>Tecnología y Producción Editorial</t>
  </si>
  <si>
    <t>Aplica principios y técnicas de edición editorial para diseñar productos comunicativos impresos y digitales, considerando la estructura, el estilo y la disposición visual del contenido.</t>
  </si>
  <si>
    <t>1. El editor y sus funciones
2. Características de la edición de textos
3. El diseño editorial
4. Diseño y diagramación de textos</t>
  </si>
  <si>
    <t>Estudios Cualitativos</t>
  </si>
  <si>
    <t>Reconoce métodos y técnicas de la investigación cualitativa, para aplicar procedimientos de análisis a fenómenos comunicativos en contextos sociales.</t>
  </si>
  <si>
    <t>1. Inicios de los estudios cualitativos 
2. Perspectivas y métodos de investigación cualitativa
3. Técnicas directas e indirectas de investigación cualitativa
4. Análisis de información en investigación cualitativa</t>
  </si>
  <si>
    <t>Psicología de la Comunicación</t>
  </si>
  <si>
    <t>Analiza los fundamentos de la comunicación humana y microsocial, para explicar su incidencia en la construcción de prácticas comunicativas pertinentes en contextos sociales.</t>
  </si>
  <si>
    <t xml:space="preserve">1. El sistema de la comunicación humana 
2. De lo informacional a lo comunicacional  
3. La interacción social 
4. La microsociología </t>
  </si>
  <si>
    <t>Comunicación Estratégica en Entornos Digitales</t>
  </si>
  <si>
    <t>Analiza categorías comunicacionales estratégicas en entornos digitales, para estructurar discursos públicos orientados a la relación Estado–ciudadanía.</t>
  </si>
  <si>
    <t xml:space="preserve">1. Estructura del discurso 
2. Discurso simbólico y entornos digitales
3. Formas de recirculación e intervención del discurso 
4. Estrategias digitales para la producción discursiva </t>
  </si>
  <si>
    <t>Plan de Comunicaciones</t>
  </si>
  <si>
    <t>Analiza componentes y fases de la planificación comunicacional institucional, para proponer estrategias informativas y comunicativas que respondan a contextos sociales y demandas ciudadanas.</t>
  </si>
  <si>
    <r>
      <t xml:space="preserve">1. </t>
    </r>
    <r>
      <rPr>
        <sz val="11"/>
        <rFont val="Gill Sans MT"/>
        <family val="2"/>
      </rPr>
      <t xml:space="preserve">Reconocimiento </t>
    </r>
    <r>
      <rPr>
        <sz val="11"/>
        <color theme="1"/>
        <rFont val="Gill Sans MT"/>
        <family val="2"/>
      </rPr>
      <t xml:space="preserve">de políticas comunicacionales institucionales 
2. Planificación de políticas comunicacionales institucionales 
3. Gestión de políticas comunicacionales institucionales
4. Ejecución de políticas comunicacionales institucionales y control de políticas comunicacionales institucionales </t>
    </r>
  </si>
  <si>
    <t>Tecnologías de la Comunicación y la Información</t>
  </si>
  <si>
    <t>Aplica criterios comunicacionales para diseñar propuestas de uso de tecnologías digitales en procesos de interacción en entornos virtuales.</t>
  </si>
  <si>
    <t>1. La evolución de las TIC (de la recepción a la colaboración)  
2. Impacto social de las TIC (Globalización, globalización, localización y cibercultura) 
3. Inteligencia colectiva y convergencia de medios
4. Dispositivos tecnológicos contemporáneos</t>
  </si>
  <si>
    <t>Gobernanza y Sostenibilidad</t>
  </si>
  <si>
    <t>Identifica las bases conceptuales del desarrollo sostenible para evaluar críticamente su integración en políticas públicas y estrategias corporativas, considerando las implicaciones sociales, ambientales y económicas en distintos contextos locales e internacionales.
Analiza las prácticas de sostenibilidad en la gestión pública y privada para identificar oportunidades de mejora en la gobernanza, integrando principios éticos y regulaciones internacionales.</t>
  </si>
  <si>
    <t>1. Ubicación y conceptualización del desarrollo sostenible
2. Sostenibilidad en el sector público y en el sector privado 
3. Gobernanza y ética en la gestión de la sostenibilidad 
4. Prácticas sostenibles en la gestión pública y privada</t>
  </si>
  <si>
    <t>Etnografía</t>
  </si>
  <si>
    <t>Analiza el enfoque etnográfico como herramienta metodológica, para caracterizar procesos comunicativos en contextos sociales específicos.</t>
  </si>
  <si>
    <t>1. Etnografía de la comunicación 
2. Cartografía social 
3. Implementación del diagnóstico etnográfico: desarrollo de estrategia comunicacional 
4. Escenarios de visibilización</t>
  </si>
  <si>
    <t>Comunicación Corporativa y Estratégica</t>
  </si>
  <si>
    <t>Analiza el discurso corporativo y sus componentes simbólicos, para crear mensajes institucionales orientados al fortalecimiento organizacional.</t>
  </si>
  <si>
    <t>1. Estructura del discurso corporativo
2. Estructura simbólica del discurso corporativo
3. Formas de circulación e intervención del discurso
4. Producción del discurso corporativo</t>
  </si>
  <si>
    <t>Análisis Crítico de la Comunicación Institucional</t>
  </si>
  <si>
    <t>Analiza la estructura y las formas simbólicas del discurso institucional, para elaborar mensajes estratégicos acordes con contextos organizacionales.</t>
  </si>
  <si>
    <t>1. Estructura del discurso institucional
2. Discurso institucional y formas simbólicas
3. Adaptación del discurso institucional
4. Producción del discurso institucional</t>
  </si>
  <si>
    <t>Opinión Pública</t>
  </si>
  <si>
    <t>Analiza los procesos de transformación de la opinión pública en entornos digitales, para explicar cómo se configuran los públicos y sus dinámicas de movilización en redes sociales.</t>
  </si>
  <si>
    <t>1. Naturaleza y orígenes de la opinión pública
2. Opinión pública y sus transformaciones en los ecosistemas digitales
3. Públicos, marcos y recursos para la movilización pública digital
4. Gestión de datos en las redes sociales</t>
  </si>
  <si>
    <t>Gestión Pública Local y Regional</t>
  </si>
  <si>
    <t>Analiza los mecanismos comunicacionales de la gestión pública local y regional, para construir relaciones entre las estrategias territoriales y la configuración de lo público.</t>
  </si>
  <si>
    <t>1. Gestión local desde lo comunicacional
2. La gestión regional como gestión comunicacional
3. Ámbito territorial local - Enfoque económico
4. Proyección comunicativa de la gestión regional</t>
  </si>
  <si>
    <t>Social Media</t>
  </si>
  <si>
    <t>Diseña estrategias de comunicación digital para redes sociales, para proyectar contenidos adecuados a públicos y plataformas específicas.</t>
  </si>
  <si>
    <r>
      <t xml:space="preserve">1. Introducción a las redes sociales
2. Planteamiento de la estrategia de social media
3. Implementación de una estrategia comunicativa en redes sociales: </t>
    </r>
    <r>
      <rPr>
        <i/>
        <sz val="11"/>
        <color theme="1"/>
        <rFont val="Gill Sans MT"/>
        <family val="2"/>
      </rPr>
      <t>community manager</t>
    </r>
    <r>
      <rPr>
        <sz val="11"/>
        <color theme="1"/>
        <rFont val="Gill Sans MT"/>
        <family val="2"/>
      </rPr>
      <t xml:space="preserve">
4. Gestión de las estrategias de redes sociales: herramientas de medición</t>
    </r>
  </si>
  <si>
    <t>Derecho de la Comunicación</t>
  </si>
  <si>
    <t>Analiza situaciones comunicativas relacionadas con la responsabilidad informativa y la participación ciudadana, para aplicar principios legales como criterio de evaluación en contextos mediáticos.</t>
  </si>
  <si>
    <t xml:space="preserve">1. Derecho y comunicación  
2. El derecho a la información 
3. Responsabilidades, límites, prohibiciones y delitos 
4. Los medios de comunicación ante la ley </t>
  </si>
  <si>
    <t>Electiva I</t>
  </si>
  <si>
    <t>Prácticas</t>
  </si>
  <si>
    <t>Desarrolla las etapas del proceso de práctica comunicativa para diseñar una propuesta que responda a una necesidad institucional, comunitaria o ciudadana, mediante estrategias comunicativas pertinentes al contexto.</t>
  </si>
  <si>
    <t>P</t>
  </si>
  <si>
    <t>1. Observación
2. Formulación
3. Ejecución
4. Análisis de resultados con muestra final</t>
  </si>
  <si>
    <t>Evaluación diagnóstica (semana 1- Cuestionario inicial de al menos cinco preguntas, que recopila información sobre el conocimiento previo o las habilidades del estudiante).
Actividad formativa (semanas 2 a 15 - Foro individual o grupal, diseñado para que el estudiante participe activamente en la construcción de su conocimiento y desarrollo de habilidades. Este foro permanecerá abierto de la semana 2 a la semana 15).
Actividad de entrega 1 (semana 4 - Actividad individual o grupal, diseñada para evaluar de manera integral el nivel de conocimiento, comprensión y el desempeño de los indicadores de logro. Varía entre entregas independientes o secuenciales).
Actividad de entrega 2 (semana 8 - Actividad individual o grupal, diseñada para evaluar de manera integral el nivel de conocimiento, comprensión y el desempeño de los indicadores de logro. Varía entre entregas independientes o secuenciales).
Actividad de entrega final (semana 15 - Actividad individual o grupal, diseñada para evaluar de manera integral el nivel de conocimiento, comprensión y el desempeño de los indicadores de logro. Varía entre entregas independientes o secuenciales).
Heteroevaluación (semana 16 - Espacio para que el docente encargado pueda asignar la nota).
Autoevaluación (semana 8 - Cuestionario final de, mínimo, cinco preguntas, en el cual el estudiante reflexiona sobre su propio desempeño, habilidades y resultados en un contexto específico).</t>
  </si>
  <si>
    <t>Gestión Global</t>
  </si>
  <si>
    <t>Analiza las dinámicas comunicativas en contextos globales, para proyectar escenarios posibles de relación entre Estado, ciudadanías y esferas públicas.</t>
  </si>
  <si>
    <t>1. Antecedentes y tipos de globalización
2. Globalización y localización
3. Estado y globalización  
4. Relaciones internacionales y comunicación</t>
  </si>
  <si>
    <t>Total módulos del programa</t>
  </si>
  <si>
    <t>Total créditos programa</t>
  </si>
  <si>
    <t>Total créditos bloque institucional</t>
  </si>
  <si>
    <t>Total créditos bloque disciplinar</t>
  </si>
  <si>
    <t>Total créditos bloque electivo</t>
  </si>
  <si>
    <t>Verbos Competencias</t>
  </si>
  <si>
    <t>Actualizar</t>
  </si>
  <si>
    <t>Administrar</t>
  </si>
  <si>
    <t>Aplicar</t>
  </si>
  <si>
    <t>Asegurar</t>
  </si>
  <si>
    <t>Asesorar</t>
  </si>
  <si>
    <t>Auditar</t>
  </si>
  <si>
    <t>Comunicar</t>
  </si>
  <si>
    <t>Conducir</t>
  </si>
  <si>
    <t>Conocer</t>
  </si>
  <si>
    <t>Definir</t>
  </si>
  <si>
    <t>Desarrollar</t>
  </si>
  <si>
    <t>Dirigir</t>
  </si>
  <si>
    <t>Establecer</t>
  </si>
  <si>
    <t>Fiscalizar</t>
  </si>
  <si>
    <t>Formular</t>
  </si>
  <si>
    <t>Generar</t>
  </si>
  <si>
    <t>Gestionar</t>
  </si>
  <si>
    <t>Hacer</t>
  </si>
  <si>
    <t>Implementar</t>
  </si>
  <si>
    <t>Liderar</t>
  </si>
  <si>
    <t>Modelar</t>
  </si>
  <si>
    <t>Participar</t>
  </si>
  <si>
    <t>Presidir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</si>
  <si>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</si>
  <si>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</si>
  <si>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</si>
  <si>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</si>
  <si>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</si>
  <si>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</si>
  <si>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</si>
  <si>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</si>
  <si>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</si>
  <si>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</si>
  <si>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</si>
  <si>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</si>
  <si>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</si>
  <si>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</si>
  <si>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</si>
  <si>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</si>
  <si>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</si>
  <si>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</si>
  <si>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</si>
  <si>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</si>
  <si>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</si>
  <si>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</si>
  <si>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</si>
  <si>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</si>
  <si>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</si>
  <si>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</si>
  <si>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</si>
  <si>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</si>
  <si>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ImitaciónBAK</t>
  </si>
  <si>
    <t>ManipulaciónBAK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</si>
  <si>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</si>
  <si>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</si>
  <si>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</si>
  <si>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</si>
  <si>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</si>
  <si>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</si>
  <si>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</si>
  <si>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</si>
  <si>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</si>
  <si>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</si>
  <si>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</si>
  <si>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</si>
  <si>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</si>
  <si>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</si>
  <si>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</si>
  <si>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</si>
  <si>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</si>
  <si>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</si>
  <si>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</si>
  <si>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</si>
  <si>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</si>
  <si>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</si>
  <si>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</si>
  <si>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</si>
  <si>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</si>
  <si>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</si>
  <si>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</si>
  <si>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</si>
  <si>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</si>
  <si>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</si>
  <si>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</si>
  <si>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</si>
  <si>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</si>
  <si>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</si>
  <si>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</si>
  <si>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</si>
  <si>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</si>
  <si>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</si>
  <si>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</si>
  <si>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</si>
  <si>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</si>
  <si>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</si>
  <si>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</si>
  <si>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</si>
  <si>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</si>
  <si>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</si>
  <si>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</si>
  <si>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</si>
  <si>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</si>
  <si>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</si>
  <si>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</si>
  <si>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</si>
  <si>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</si>
  <si>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</si>
  <si>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</si>
  <si>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</si>
  <si>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</si>
  <si>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</si>
  <si>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</si>
  <si>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</si>
  <si>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</si>
  <si>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</si>
  <si>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</si>
  <si>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</si>
  <si>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</si>
  <si>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</si>
  <si>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</si>
  <si>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</si>
  <si>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</si>
  <si>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</si>
  <si>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</si>
  <si>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</si>
  <si>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</si>
  <si>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</si>
  <si>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</si>
  <si>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</si>
  <si>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</si>
  <si>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</si>
  <si>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</si>
  <si>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</si>
  <si>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</si>
  <si>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Ambicionar</t>
  </si>
  <si>
    <t>Considerar</t>
  </si>
  <si>
    <t>Demostrar</t>
  </si>
  <si>
    <t>Buscar similitudes</t>
  </si>
  <si>
    <t>Argumentar</t>
  </si>
  <si>
    <t>Mejorar</t>
  </si>
  <si>
    <t>Criticar</t>
  </si>
  <si>
    <t>Construir</t>
  </si>
  <si>
    <t>Aumentar</t>
  </si>
  <si>
    <t>Aprobar</t>
  </si>
  <si>
    <t>Anhelar</t>
  </si>
  <si>
    <t>Cuestionar</t>
  </si>
  <si>
    <t>Colaborar</t>
  </si>
  <si>
    <t>Discutir</t>
  </si>
  <si>
    <t>Cambiar</t>
  </si>
  <si>
    <t>Minimizar</t>
  </si>
  <si>
    <t>Deletrear</t>
  </si>
  <si>
    <t>Dar ejemplos</t>
  </si>
  <si>
    <t>Armar</t>
  </si>
  <si>
    <t>Comenzar</t>
  </si>
  <si>
    <t>Asisitir</t>
  </si>
  <si>
    <t>Defender</t>
  </si>
  <si>
    <t>Completar</t>
  </si>
  <si>
    <t>Ejemplificar</t>
  </si>
  <si>
    <t xml:space="preserve">Construir </t>
  </si>
  <si>
    <t>Centrarse</t>
  </si>
  <si>
    <t>ProcedimientosLK</t>
  </si>
  <si>
    <t>Debatir</t>
  </si>
  <si>
    <t>Determinar</t>
  </si>
  <si>
    <t>Atar</t>
  </si>
  <si>
    <t>Desmontar</t>
  </si>
  <si>
    <t>Cortar</t>
  </si>
  <si>
    <t>Correr</t>
  </si>
  <si>
    <t>Autorizar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</si>
  <si>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</si>
  <si>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</si>
  <si>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</si>
  <si>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</si>
  <si>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</si>
  <si>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</si>
  <si>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</si>
  <si>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</si>
  <si>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</si>
  <si>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</si>
  <si>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</si>
  <si>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</si>
  <si>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</si>
  <si>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</si>
  <si>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</si>
  <si>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</si>
  <si>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</si>
  <si>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</si>
  <si>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</si>
  <si>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</si>
  <si>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</si>
  <si>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</si>
  <si>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</si>
  <si>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</si>
  <si>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</si>
  <si>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</si>
  <si>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</si>
  <si>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</si>
  <si>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</si>
  <si>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</si>
  <si>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</si>
  <si>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</si>
  <si>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</si>
  <si>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</si>
  <si>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</si>
  <si>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</si>
  <si>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</si>
  <si>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</si>
  <si>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</si>
  <si>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</si>
  <si>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</si>
  <si>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Exteriorizar</t>
  </si>
  <si>
    <t>Controlar</t>
  </si>
  <si>
    <t>Listar</t>
  </si>
  <si>
    <t>Ilustrar</t>
  </si>
  <si>
    <t>Emplear</t>
  </si>
  <si>
    <t>Distinguir</t>
  </si>
  <si>
    <t>Convencer</t>
  </si>
  <si>
    <t>Simplificar</t>
  </si>
  <si>
    <t>Duplicar</t>
  </si>
  <si>
    <t>Detectar</t>
  </si>
  <si>
    <t>Crear</t>
  </si>
  <si>
    <t>Comprobar</t>
  </si>
  <si>
    <t>Dividir</t>
  </si>
  <si>
    <t>Disipar</t>
  </si>
  <si>
    <t>Contar</t>
  </si>
  <si>
    <t>Aunar</t>
  </si>
  <si>
    <t>Extraer</t>
  </si>
  <si>
    <t>Cooperar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</si>
  <si>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</si>
  <si>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</si>
  <si>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</si>
  <si>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</si>
  <si>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</si>
  <si>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</si>
  <si>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</si>
  <si>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</si>
  <si>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</si>
  <si>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</si>
  <si>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</si>
  <si>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</si>
  <si>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</si>
  <si>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</si>
  <si>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</si>
  <si>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</si>
  <si>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</si>
  <si>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</si>
  <si>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</si>
  <si>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</si>
  <si>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</si>
  <si>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</si>
  <si>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</si>
  <si>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</si>
  <si>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</si>
  <si>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</si>
  <si>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</si>
  <si>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</si>
  <si>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</si>
  <si>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</si>
  <si>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</si>
  <si>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</si>
  <si>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</si>
  <si>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</si>
  <si>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</si>
  <si>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</si>
  <si>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</si>
  <si>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</si>
  <si>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</si>
  <si>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</si>
  <si>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</si>
  <si>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</si>
  <si>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</si>
  <si>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</si>
  <si>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</si>
  <si>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</si>
  <si>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</si>
  <si>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</si>
  <si>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</si>
  <si>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</si>
  <si>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</si>
  <si>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</si>
  <si>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</si>
  <si>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</si>
  <si>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</si>
  <si>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</si>
  <si>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Creer</t>
  </si>
  <si>
    <t>Promover</t>
  </si>
  <si>
    <t>Juzgar</t>
  </si>
  <si>
    <t>Rastrear</t>
  </si>
  <si>
    <t>Predecir</t>
  </si>
  <si>
    <t>Organizar</t>
  </si>
  <si>
    <t>Entrenar</t>
  </si>
  <si>
    <t>Esculpir</t>
  </si>
  <si>
    <t>Escuchar</t>
  </si>
  <si>
    <t>Enumerar</t>
  </si>
  <si>
    <t>Cuidar</t>
  </si>
  <si>
    <t>Negociar</t>
  </si>
  <si>
    <t>Recitar</t>
  </si>
  <si>
    <t>Inspeccionar</t>
  </si>
  <si>
    <t>Descubrir</t>
  </si>
  <si>
    <t>Experimentar</t>
  </si>
  <si>
    <t>Envasar</t>
  </si>
  <si>
    <t>Extender</t>
  </si>
  <si>
    <t>Proteger</t>
  </si>
  <si>
    <t>Ofrecer</t>
  </si>
  <si>
    <t>Reconocer</t>
  </si>
  <si>
    <t>Relacionar</t>
  </si>
  <si>
    <t>Practicar</t>
  </si>
  <si>
    <t>Investigar</t>
  </si>
  <si>
    <t>AutoSistemaAK</t>
  </si>
  <si>
    <t>Mostar</t>
  </si>
  <si>
    <t>Culminar</t>
  </si>
  <si>
    <t>Cotejar</t>
  </si>
  <si>
    <t>Guiar</t>
  </si>
  <si>
    <t>Extirpar</t>
  </si>
  <si>
    <t>Hablar</t>
  </si>
  <si>
    <t>Ensamblar</t>
  </si>
  <si>
    <t>Resumir</t>
  </si>
  <si>
    <t>Motivar</t>
  </si>
  <si>
    <t>Indicar</t>
  </si>
  <si>
    <t>Inventariar</t>
  </si>
  <si>
    <t>Estampar</t>
  </si>
  <si>
    <t>Servir</t>
  </si>
  <si>
    <t>Revisar</t>
  </si>
  <si>
    <t>Numerar</t>
  </si>
  <si>
    <t>Estimular</t>
  </si>
  <si>
    <t>Relatar</t>
  </si>
  <si>
    <t>Soportar</t>
  </si>
  <si>
    <t>Repetir</t>
  </si>
  <si>
    <t>Traducir</t>
  </si>
  <si>
    <t>Seleccionar</t>
  </si>
  <si>
    <t>Ordenar</t>
  </si>
  <si>
    <t>Industrializar</t>
  </si>
  <si>
    <t>Informar</t>
  </si>
  <si>
    <t>Terminar</t>
  </si>
  <si>
    <t>Simular</t>
  </si>
  <si>
    <t>Obtener</t>
  </si>
  <si>
    <t>Medir</t>
  </si>
  <si>
    <t>Estudiar</t>
  </si>
  <si>
    <t>Instalar</t>
  </si>
  <si>
    <t>Interrogar</t>
  </si>
  <si>
    <t>Narrar</t>
  </si>
  <si>
    <t>Revelar</t>
  </si>
  <si>
    <t>Transferir</t>
  </si>
  <si>
    <t>Priorizar</t>
  </si>
  <si>
    <t>Figurar</t>
  </si>
  <si>
    <t>Edificar</t>
  </si>
  <si>
    <t>Fabricar</t>
  </si>
  <si>
    <t>Llevar</t>
  </si>
  <si>
    <t>Manejar</t>
  </si>
  <si>
    <t>Obrar recíprocamente</t>
  </si>
  <si>
    <t>Preocuparse de o por</t>
  </si>
  <si>
    <t>Unir</t>
  </si>
  <si>
    <t>Probar</t>
  </si>
  <si>
    <t>Proporcionar</t>
  </si>
  <si>
    <t>Razonar</t>
  </si>
  <si>
    <t>Hipotetizar</t>
  </si>
  <si>
    <t>Maniobrar</t>
  </si>
  <si>
    <t>Mecanizar</t>
  </si>
  <si>
    <t>Ocupar</t>
  </si>
  <si>
    <t>Referir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</si>
  <si>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</si>
  <si>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</si>
  <si>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</si>
  <si>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</si>
  <si>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</si>
  <si>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</si>
  <si>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</si>
  <si>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</si>
  <si>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</si>
  <si>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</si>
  <si>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</si>
  <si>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</si>
  <si>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</si>
  <si>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</si>
  <si>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</si>
  <si>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</si>
  <si>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</si>
  <si>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</si>
  <si>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</si>
  <si>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</si>
  <si>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</si>
  <si>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</si>
  <si>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</si>
  <si>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</si>
  <si>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</si>
  <si>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</si>
  <si>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</si>
  <si>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</si>
  <si>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</si>
  <si>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</si>
  <si>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</si>
  <si>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</si>
  <si>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</si>
  <si>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</si>
  <si>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</si>
  <si>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</si>
  <si>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</si>
  <si>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</si>
  <si>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</si>
  <si>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</si>
  <si>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</si>
  <si>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</si>
  <si>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</si>
  <si>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</si>
  <si>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</si>
  <si>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</si>
  <si>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</si>
  <si>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</si>
  <si>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</si>
  <si>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</si>
  <si>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</si>
  <si>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</si>
  <si>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</si>
  <si>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</si>
  <si>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</si>
  <si>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</si>
  <si>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</si>
  <si>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</si>
  <si>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</si>
  <si>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</si>
  <si>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</si>
  <si>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</si>
  <si>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</si>
  <si>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</si>
  <si>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</si>
  <si>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</si>
  <si>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</si>
  <si>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</si>
  <si>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</si>
  <si>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</si>
  <si>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</si>
  <si>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</si>
  <si>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</si>
  <si>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</si>
  <si>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</si>
  <si>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</si>
  <si>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</si>
  <si>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</si>
  <si>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</si>
  <si>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</si>
  <si>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</si>
  <si>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</si>
  <si>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</si>
  <si>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</si>
  <si>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Situar</t>
  </si>
  <si>
    <t>Tocar</t>
  </si>
  <si>
    <t>Electiva 2</t>
  </si>
  <si>
    <t>Electiva 3</t>
  </si>
  <si>
    <t>Electiva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</si>
</sst>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theme="1"/>
      <name val="Gill Sans MT"/>
      <family val="2"/>
    </font>
    <font>
      <b/>
      <sz val="10"/>
      <color rgb="FF000000"/>
      <name val="Gill Sans MT"/>
      <family val="2"/>
    </font>
    <font>
      <i/>
      <sz val="11"/>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style="medium">
        <color theme="0"/>
      </left>
      <right style="medium">
        <color theme="0"/>
      </right>
      <top style="medium">
        <color theme="0"/>
      </top>
      <bottom style="medium">
        <color theme="0"/>
      </bottom>
      <diagonal/>
    </border>
  </borders>
  <cellStyleXfs count="1">
    <xf numFmtId="0" fontId="0" fillId="0" borderId="0"/>
  </cellStyleXfs>
  <cellXfs count="183">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3" fillId="0" borderId="5" xfId="0" applyFont="1" applyBorder="1" applyAlignment="1">
      <alignment horizontal="left" vertical="center"/>
    </xf>
    <xf numFmtId="0" fontId="3" fillId="0" borderId="10" xfId="0" applyFont="1" applyBorder="1" applyAlignment="1">
      <alignment horizontal="left" vertical="center"/>
    </xf>
    <xf numFmtId="0" fontId="3" fillId="0" borderId="10"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4" fillId="0" borderId="10"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15" fillId="0" borderId="0" xfId="0" applyFont="1" applyAlignment="1">
      <alignment vertical="center" wrapText="1"/>
    </xf>
    <xf numFmtId="0" fontId="3" fillId="0" borderId="10" xfId="0" applyFont="1" applyBorder="1" applyAlignment="1">
      <alignment vertical="center" wrapText="1"/>
    </xf>
    <xf numFmtId="0" fontId="3" fillId="0" borderId="10"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0" borderId="10" xfId="0" applyFont="1" applyBorder="1" applyAlignment="1">
      <alignment horizontal="center" vertical="center" wrapText="1"/>
    </xf>
    <xf numFmtId="0" fontId="24" fillId="6" borderId="5" xfId="0" applyFont="1" applyFill="1" applyBorder="1" applyAlignment="1">
      <alignment horizontal="center" vertical="center" wrapText="1"/>
    </xf>
    <xf numFmtId="0" fontId="24" fillId="6" borderId="0" xfId="0" applyFont="1" applyFill="1" applyAlignment="1">
      <alignment horizontal="center" vertical="center" wrapText="1"/>
    </xf>
    <xf numFmtId="0" fontId="25" fillId="11" borderId="0" xfId="0" applyFont="1" applyFill="1" applyAlignment="1">
      <alignment horizontal="center" vertical="center"/>
    </xf>
    <xf numFmtId="0" fontId="26" fillId="11" borderId="0" xfId="0" applyFont="1" applyFill="1" applyAlignment="1">
      <alignment horizontal="center" vertical="center" wrapText="1"/>
    </xf>
    <xf numFmtId="0" fontId="25" fillId="11" borderId="0" xfId="0" applyFont="1" applyFill="1" applyAlignment="1">
      <alignment horizontal="center" vertical="center" wrapText="1"/>
    </xf>
    <xf numFmtId="0" fontId="3" fillId="10" borderId="7" xfId="0" applyFont="1" applyFill="1" applyBorder="1" applyAlignment="1">
      <alignment horizontal="center" vertical="center" wrapText="1"/>
    </xf>
    <xf numFmtId="0" fontId="8" fillId="0" borderId="0" xfId="0" applyFont="1"/>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0" xfId="0" applyFont="1" applyAlignment="1">
      <alignment vertical="center"/>
    </xf>
    <xf numFmtId="0" fontId="3" fillId="10" borderId="4" xfId="0" applyFont="1" applyFill="1" applyBorder="1" applyAlignment="1">
      <alignment horizontal="left" vertical="center"/>
    </xf>
    <xf numFmtId="0" fontId="17" fillId="6" borderId="7"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9"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4" fillId="0" borderId="10" xfId="0" applyFont="1" applyBorder="1" applyAlignment="1">
      <alignment horizontal="center"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wrapText="1"/>
    </xf>
    <xf numFmtId="0" fontId="9" fillId="0" borderId="10" xfId="0" applyFont="1" applyBorder="1" applyAlignment="1">
      <alignment horizontal="left" vertical="center" wrapText="1"/>
    </xf>
    <xf numFmtId="0" fontId="3" fillId="0" borderId="10" xfId="0" applyFont="1" applyBorder="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4" fillId="0" borderId="0" xfId="0" applyFont="1" applyAlignment="1">
      <alignment horizontal="left" vertical="center"/>
    </xf>
    <xf numFmtId="0" fontId="4" fillId="0" borderId="7" xfId="0" applyFont="1" applyBorder="1" applyAlignment="1">
      <alignment horizontal="left"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6" fillId="6" borderId="0" xfId="0" applyFont="1" applyFill="1" applyAlignment="1">
      <alignment horizontal="center" vertical="center" wrapText="1"/>
    </xf>
    <xf numFmtId="0" fontId="4" fillId="0" borderId="0" xfId="0" applyFont="1" applyAlignment="1">
      <alignment horizontal="center" vertical="center"/>
    </xf>
    <xf numFmtId="0" fontId="8" fillId="0" borderId="0" xfId="0" applyFont="1" applyAlignment="1">
      <alignment horizontal="center"/>
    </xf>
    <xf numFmtId="0" fontId="3" fillId="0" borderId="0" xfId="0" applyFont="1" applyAlignment="1">
      <alignment horizontal="center"/>
    </xf>
    <xf numFmtId="0" fontId="5" fillId="4" borderId="16"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3: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3: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3: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3: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3: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3: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5" totalsRowShown="0" headerRowDxfId="91" dataDxfId="90">
  <autoFilter ref="AD3:AD35" xr:uid="{08B46976-D2F4-4AEA-B0BA-6ECF06521BA8}"/>
  <sortState xmlns:xlrd2="http://schemas.microsoft.com/office/spreadsheetml/2017/richdata2" ref="AD4:AD35">
    <sortCondition ref="AD3:AD35"/>
  </sortState>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sortState xmlns:xlrd2="http://schemas.microsoft.com/office/spreadsheetml/2017/richdata2" ref="AE4:AE38">
    <sortCondition ref="AE3:AE38"/>
  </sortState>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topLeftCell="A3" zoomScaleNormal="100" workbookViewId="0"/>
  </sheetViews>
  <sheetFormatPr baseColWidth="10" defaultColWidth="76.26953125" defaultRowHeight="16.5" x14ac:dyDescent="0.35"/>
  <cols>
    <col min="1" max="1" width="23.1796875" style="24" customWidth="1"/>
    <col min="2" max="2" width="17.1796875" style="24" customWidth="1"/>
    <col min="3" max="4" width="52.81640625" style="24" customWidth="1"/>
    <col min="5" max="5" width="37.54296875" style="24" customWidth="1"/>
    <col min="6" max="6" width="37.54296875" style="12" customWidth="1"/>
    <col min="7" max="7" width="37.54296875" style="24" customWidth="1"/>
    <col min="8" max="8" width="67.7265625" style="24" customWidth="1"/>
    <col min="9" max="9" width="106.81640625" style="24" customWidth="1"/>
    <col min="10" max="10" width="72" style="24" customWidth="1"/>
    <col min="11" max="11" width="68.7265625" style="24" customWidth="1"/>
    <col min="12" max="16384" width="76.26953125" style="24"/>
  </cols>
  <sheetData>
    <row r="1" spans="1:11" s="20" customFormat="1" ht="42.5" x14ac:dyDescent="0.35">
      <c r="A1" s="18" t="s">
        <v>0</v>
      </c>
      <c r="B1" s="18" t="s">
        <v>1</v>
      </c>
      <c r="C1" s="18" t="s">
        <v>2</v>
      </c>
      <c r="D1" s="18" t="s">
        <v>3</v>
      </c>
      <c r="E1" s="136" t="s">
        <v>4</v>
      </c>
      <c r="F1" s="136"/>
      <c r="G1" s="136"/>
      <c r="H1" s="136" t="s">
        <v>5</v>
      </c>
      <c r="I1" s="136"/>
      <c r="J1" s="136"/>
      <c r="K1" s="19" t="s">
        <v>6</v>
      </c>
    </row>
    <row r="2" spans="1:11" s="20" customFormat="1" x14ac:dyDescent="0.35">
      <c r="A2" s="21" t="s">
        <v>7</v>
      </c>
      <c r="B2" s="21" t="s">
        <v>8</v>
      </c>
      <c r="C2" s="21" t="s">
        <v>9</v>
      </c>
      <c r="D2" s="21" t="s">
        <v>10</v>
      </c>
      <c r="E2" s="22" t="s">
        <v>11</v>
      </c>
      <c r="F2" s="22" t="s">
        <v>12</v>
      </c>
      <c r="G2" s="22" t="s">
        <v>13</v>
      </c>
      <c r="H2" s="22" t="s">
        <v>14</v>
      </c>
      <c r="I2" s="22" t="s">
        <v>15</v>
      </c>
      <c r="J2" s="96" t="s">
        <v>16</v>
      </c>
      <c r="K2" s="95" t="s">
        <v>17</v>
      </c>
    </row>
    <row r="3" spans="1:11" ht="72" customHeight="1" x14ac:dyDescent="0.35">
      <c r="A3" s="137" t="s">
        <v>18</v>
      </c>
      <c r="B3" s="137" t="s">
        <v>19</v>
      </c>
      <c r="C3" s="135" t="s">
        <v>20</v>
      </c>
      <c r="D3" s="135" t="s">
        <v>21</v>
      </c>
      <c r="E3" s="16" t="s">
        <v>22</v>
      </c>
      <c r="F3" s="23" t="s">
        <v>23</v>
      </c>
      <c r="G3" s="23" t="s">
        <v>24</v>
      </c>
      <c r="H3" s="135" t="s">
        <v>25</v>
      </c>
      <c r="I3" s="135" t="s">
        <v>26</v>
      </c>
      <c r="J3" s="134" t="s">
        <v>27</v>
      </c>
      <c r="K3" s="134" t="s">
        <v>28</v>
      </c>
    </row>
    <row r="4" spans="1:11" ht="72" customHeight="1" x14ac:dyDescent="0.35">
      <c r="A4" s="137"/>
      <c r="B4" s="137"/>
      <c r="C4" s="135"/>
      <c r="D4" s="135"/>
      <c r="E4" s="25" t="s">
        <v>29</v>
      </c>
      <c r="F4" s="25" t="s">
        <v>30</v>
      </c>
      <c r="G4" s="25" t="s">
        <v>31</v>
      </c>
      <c r="H4" s="135"/>
      <c r="I4" s="135"/>
      <c r="J4" s="135"/>
      <c r="K4" s="135"/>
    </row>
    <row r="5" spans="1:11" ht="72" customHeight="1" x14ac:dyDescent="0.35">
      <c r="A5" s="137"/>
      <c r="B5" s="137"/>
      <c r="C5" s="135"/>
      <c r="D5" s="135"/>
      <c r="E5" s="16" t="s">
        <v>32</v>
      </c>
      <c r="F5" s="16" t="s">
        <v>33</v>
      </c>
      <c r="G5" s="16" t="s">
        <v>34</v>
      </c>
      <c r="H5" s="135"/>
      <c r="I5" s="135"/>
      <c r="J5" s="135"/>
      <c r="K5" s="135"/>
    </row>
    <row r="6" spans="1:11" ht="72" customHeight="1" thickBot="1" x14ac:dyDescent="0.4">
      <c r="A6" s="137"/>
      <c r="B6" s="137"/>
      <c r="C6" s="135"/>
      <c r="D6" s="135"/>
      <c r="E6" s="99" t="s">
        <v>35</v>
      </c>
      <c r="F6" s="99" t="s">
        <v>36</v>
      </c>
      <c r="G6" s="99" t="s">
        <v>37</v>
      </c>
      <c r="H6" s="135"/>
      <c r="I6" s="135"/>
      <c r="J6" s="135"/>
      <c r="K6" s="135"/>
    </row>
    <row r="7" spans="1:11" ht="66" x14ac:dyDescent="0.35">
      <c r="A7" s="137"/>
      <c r="B7" s="137"/>
      <c r="C7" s="135"/>
      <c r="D7" s="135"/>
      <c r="E7" s="24" t="s">
        <v>38</v>
      </c>
      <c r="F7" s="24" t="s">
        <v>39</v>
      </c>
      <c r="G7" s="23" t="s">
        <v>40</v>
      </c>
      <c r="H7" s="16"/>
    </row>
    <row r="8" spans="1:11" x14ac:dyDescent="0.35">
      <c r="C8" s="23"/>
      <c r="H8" s="16"/>
    </row>
    <row r="9" spans="1:11" x14ac:dyDescent="0.35">
      <c r="E9" s="25"/>
      <c r="F9" s="16"/>
      <c r="G9" s="25"/>
      <c r="H9" s="16"/>
    </row>
    <row r="10" spans="1:11" x14ac:dyDescent="0.35">
      <c r="E10" s="16"/>
      <c r="F10" s="16"/>
      <c r="G10" s="16"/>
      <c r="H10" s="16"/>
    </row>
    <row r="11" spans="1:11" x14ac:dyDescent="0.35">
      <c r="E11" s="25"/>
      <c r="F11" s="25"/>
      <c r="G11" s="25"/>
      <c r="H11" s="16"/>
    </row>
    <row r="12" spans="1:11" x14ac:dyDescent="0.35">
      <c r="E12" s="25"/>
      <c r="F12" s="25"/>
      <c r="G12" s="25"/>
      <c r="H12" s="16"/>
    </row>
    <row r="13" spans="1:11" x14ac:dyDescent="0.35">
      <c r="E13" s="16"/>
      <c r="F13" s="16"/>
      <c r="H13" s="16"/>
    </row>
    <row r="14" spans="1:11" x14ac:dyDescent="0.35">
      <c r="E14" s="16"/>
      <c r="F14" s="16"/>
      <c r="H14" s="16"/>
      <c r="I14" s="23"/>
    </row>
    <row r="15" spans="1:11" x14ac:dyDescent="0.35">
      <c r="E15" s="16"/>
      <c r="F15" s="16"/>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topLeftCell="A2" zoomScaleNormal="100" workbookViewId="0">
      <selection activeCell="A2" sqref="A2"/>
    </sheetView>
  </sheetViews>
  <sheetFormatPr baseColWidth="10" defaultColWidth="11.453125" defaultRowHeight="16.5" x14ac:dyDescent="0.35"/>
  <cols>
    <col min="1" max="1" width="19" style="24" customWidth="1"/>
    <col min="2" max="2" width="18" style="24" customWidth="1"/>
    <col min="3" max="5" width="41.81640625" style="24" customWidth="1"/>
    <col min="6" max="6" width="90.453125" style="24" customWidth="1"/>
    <col min="7" max="7" width="32.453125" style="24" customWidth="1"/>
    <col min="8" max="16384" width="11.453125" style="24"/>
  </cols>
  <sheetData>
    <row r="1" spans="1:7" x14ac:dyDescent="0.35">
      <c r="A1" s="138" t="s">
        <v>41</v>
      </c>
      <c r="B1" s="139"/>
      <c r="C1" s="139"/>
      <c r="D1" s="139"/>
      <c r="E1" s="139"/>
      <c r="F1" s="139"/>
      <c r="G1" s="139"/>
    </row>
    <row r="2" spans="1:7" s="33" customFormat="1" ht="52" x14ac:dyDescent="0.35">
      <c r="A2" s="114" t="s">
        <v>42</v>
      </c>
      <c r="B2" s="115" t="s">
        <v>43</v>
      </c>
      <c r="C2" s="115" t="s">
        <v>44</v>
      </c>
      <c r="D2" s="115" t="s">
        <v>45</v>
      </c>
      <c r="E2" s="115" t="s">
        <v>46</v>
      </c>
      <c r="F2" s="116" t="s">
        <v>47</v>
      </c>
      <c r="G2" s="116" t="s">
        <v>48</v>
      </c>
    </row>
    <row r="3" spans="1:7" s="36" customFormat="1" ht="33" x14ac:dyDescent="0.35">
      <c r="A3" s="117" t="s">
        <v>49</v>
      </c>
      <c r="B3" s="118" t="s">
        <v>50</v>
      </c>
      <c r="C3" s="118" t="s">
        <v>51</v>
      </c>
      <c r="D3" s="118" t="s">
        <v>52</v>
      </c>
      <c r="E3" s="118" t="s">
        <v>53</v>
      </c>
      <c r="F3" s="119" t="s">
        <v>54</v>
      </c>
      <c r="G3" s="119" t="s">
        <v>55</v>
      </c>
    </row>
    <row r="4" spans="1:7" ht="33" x14ac:dyDescent="0.35">
      <c r="A4" s="20">
        <v>1</v>
      </c>
      <c r="B4" s="12" t="s">
        <v>56</v>
      </c>
      <c r="C4" s="24" t="s">
        <v>22</v>
      </c>
      <c r="D4" s="23" t="s">
        <v>23</v>
      </c>
      <c r="E4" s="23" t="s">
        <v>24</v>
      </c>
      <c r="F4" s="17" t="s">
        <v>57</v>
      </c>
      <c r="G4" s="17" t="s">
        <v>58</v>
      </c>
    </row>
    <row r="5" spans="1:7" s="23" customFormat="1" ht="49.5" x14ac:dyDescent="0.35">
      <c r="A5" s="41">
        <v>2</v>
      </c>
      <c r="B5" s="23" t="s">
        <v>59</v>
      </c>
      <c r="C5" s="23" t="s">
        <v>29</v>
      </c>
      <c r="D5" s="23" t="s">
        <v>30</v>
      </c>
      <c r="E5" s="23" t="s">
        <v>31</v>
      </c>
      <c r="F5" s="23" t="s">
        <v>60</v>
      </c>
      <c r="G5" s="23" t="s">
        <v>58</v>
      </c>
    </row>
    <row r="6" spans="1:7" s="107" customFormat="1" ht="33" x14ac:dyDescent="0.35">
      <c r="A6" s="35">
        <v>3</v>
      </c>
      <c r="B6" s="2" t="s">
        <v>61</v>
      </c>
      <c r="C6" s="23" t="s">
        <v>32</v>
      </c>
      <c r="D6" s="24" t="s">
        <v>33</v>
      </c>
      <c r="E6" s="24" t="s">
        <v>34</v>
      </c>
      <c r="F6" s="23" t="s">
        <v>62</v>
      </c>
      <c r="G6" s="23" t="s">
        <v>58</v>
      </c>
    </row>
    <row r="7" spans="1:7" ht="33" x14ac:dyDescent="0.35">
      <c r="A7" s="121">
        <v>4</v>
      </c>
      <c r="B7" s="109" t="s">
        <v>63</v>
      </c>
      <c r="C7" s="108" t="s">
        <v>35</v>
      </c>
      <c r="D7" s="108" t="s">
        <v>36</v>
      </c>
      <c r="E7" s="108" t="s">
        <v>37</v>
      </c>
      <c r="F7" s="108" t="s">
        <v>64</v>
      </c>
      <c r="G7" s="24" t="s">
        <v>58</v>
      </c>
    </row>
    <row r="8" spans="1:7" ht="49.5" x14ac:dyDescent="0.35">
      <c r="A8" s="20">
        <v>5</v>
      </c>
      <c r="B8" s="25" t="s">
        <v>65</v>
      </c>
      <c r="C8" s="24" t="s">
        <v>38</v>
      </c>
      <c r="D8" s="24" t="s">
        <v>39</v>
      </c>
      <c r="E8" s="23" t="s">
        <v>40</v>
      </c>
      <c r="F8" s="23" t="s">
        <v>66</v>
      </c>
      <c r="G8" s="31" t="s">
        <v>67</v>
      </c>
    </row>
    <row r="9" spans="1:7" x14ac:dyDescent="0.35">
      <c r="A9" s="20"/>
      <c r="C9" s="25"/>
      <c r="D9" s="25"/>
      <c r="E9" s="25"/>
      <c r="F9" s="23"/>
    </row>
    <row r="10" spans="1:7" x14ac:dyDescent="0.35">
      <c r="A10" s="20"/>
      <c r="C10" s="25"/>
      <c r="D10" s="25"/>
      <c r="E10" s="25"/>
      <c r="F10" s="23"/>
    </row>
    <row r="11" spans="1:7" x14ac:dyDescent="0.35">
      <c r="A11" s="20"/>
      <c r="C11" s="25"/>
      <c r="D11" s="25"/>
      <c r="E11" s="25"/>
      <c r="F11" s="23"/>
    </row>
    <row r="12" spans="1:7" x14ac:dyDescent="0.35">
      <c r="A12" s="20"/>
      <c r="C12" s="25"/>
      <c r="D12" s="25"/>
      <c r="E12" s="25"/>
      <c r="F12" s="23"/>
    </row>
    <row r="13" spans="1:7" x14ac:dyDescent="0.35">
      <c r="A13" s="20"/>
      <c r="C13" s="25"/>
      <c r="D13" s="25"/>
      <c r="E13" s="25"/>
      <c r="F13" s="23"/>
    </row>
  </sheetData>
  <mergeCells count="1">
    <mergeCell ref="A1:G1"/>
  </mergeCells>
  <dataValidations count="5">
    <dataValidation type="list" allowBlank="1" showInputMessage="1" showErrorMessage="1" sqref="F5" xr:uid="{296160A6-FB03-49EA-93B2-DD1CAF2E1EB2}">
      <formula1>Conocimientos</formula1>
    </dataValidation>
    <dataValidation type="list" allowBlank="1" showInputMessage="1" showErrorMessage="1" sqref="B4:B8" xr:uid="{7FF6EE86-2F70-4AF5-821E-634C08680A10}">
      <formula1>VerbosCompetencias</formula1>
    </dataValidation>
    <dataValidation type="list" allowBlank="1" showInputMessage="1" showErrorMessage="1" sqref="C4:C8" xr:uid="{871D8F05-97FC-4066-A517-7F0BC14DA2F8}">
      <formula1>Saber</formula1>
    </dataValidation>
    <dataValidation type="list" allowBlank="1" showInputMessage="1" showErrorMessage="1" sqref="D4:D8" xr:uid="{DB1977D0-7BD8-445E-95F2-364218A2ED78}">
      <formula1>Saberhacer</formula1>
    </dataValidation>
    <dataValidation type="list" allowBlank="1" showInputMessage="1" showErrorMessage="1" sqref="E4:E8" xr:uid="{7C46458C-F897-46B6-B4ED-73CF2BB371AE}">
      <formula1>saberser</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topLeftCell="C1" zoomScale="110" zoomScaleNormal="11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20" customWidth="1"/>
    <col min="3" max="3" width="23" style="24" customWidth="1"/>
    <col min="4" max="4" width="30.7265625" style="24" customWidth="1"/>
    <col min="5" max="5" width="25.54296875" style="24" customWidth="1"/>
    <col min="6" max="6" width="21.81640625" style="24" customWidth="1"/>
    <col min="7" max="7" width="27.453125" style="12" customWidth="1"/>
    <col min="8" max="8" width="20" style="12" customWidth="1"/>
    <col min="9" max="9" width="72" style="42" customWidth="1"/>
    <col min="10" max="16384" width="11.453125" style="16"/>
  </cols>
  <sheetData>
    <row r="1" spans="1:11" s="38" customFormat="1" ht="52" x14ac:dyDescent="0.35">
      <c r="A1" s="15" t="s">
        <v>68</v>
      </c>
      <c r="B1" s="15" t="s">
        <v>69</v>
      </c>
      <c r="C1" s="32" t="s">
        <v>70</v>
      </c>
      <c r="D1" s="112" t="s">
        <v>71</v>
      </c>
      <c r="E1" s="112" t="s">
        <v>72</v>
      </c>
      <c r="F1" s="32" t="s">
        <v>73</v>
      </c>
      <c r="G1" s="32" t="s">
        <v>74</v>
      </c>
      <c r="H1" s="32" t="s">
        <v>75</v>
      </c>
      <c r="I1" s="15" t="s">
        <v>76</v>
      </c>
    </row>
    <row r="2" spans="1:11" s="40" customFormat="1" x14ac:dyDescent="0.35">
      <c r="A2" s="37" t="s">
        <v>77</v>
      </c>
      <c r="B2" s="37" t="s">
        <v>78</v>
      </c>
      <c r="C2" s="34" t="s">
        <v>79</v>
      </c>
      <c r="D2" s="113" t="s">
        <v>80</v>
      </c>
      <c r="E2" s="113" t="s">
        <v>81</v>
      </c>
      <c r="F2" s="34" t="s">
        <v>82</v>
      </c>
      <c r="G2" s="34" t="s">
        <v>83</v>
      </c>
      <c r="H2" s="34" t="s">
        <v>84</v>
      </c>
      <c r="I2" s="37" t="s">
        <v>85</v>
      </c>
    </row>
    <row r="3" spans="1:11" ht="49.5" x14ac:dyDescent="0.35">
      <c r="A3" s="24" t="s">
        <v>57</v>
      </c>
      <c r="B3" s="20">
        <v>1</v>
      </c>
      <c r="C3" s="24" t="s">
        <v>11</v>
      </c>
      <c r="D3" s="24" t="s">
        <v>22</v>
      </c>
      <c r="E3" s="24" t="s">
        <v>86</v>
      </c>
      <c r="F3" s="12" t="s">
        <v>87</v>
      </c>
      <c r="G3" s="12" t="s">
        <v>88</v>
      </c>
      <c r="H3" s="12" t="s">
        <v>89</v>
      </c>
      <c r="I3" s="16" t="s">
        <v>90</v>
      </c>
    </row>
    <row r="4" spans="1:11" ht="49.5" x14ac:dyDescent="0.5">
      <c r="A4" s="24" t="s">
        <v>57</v>
      </c>
      <c r="B4" s="20">
        <v>4</v>
      </c>
      <c r="C4" s="24" t="s">
        <v>12</v>
      </c>
      <c r="D4" s="24" t="s">
        <v>23</v>
      </c>
      <c r="E4" s="24" t="s">
        <v>86</v>
      </c>
      <c r="F4" s="12" t="s">
        <v>91</v>
      </c>
      <c r="G4" s="12" t="s">
        <v>92</v>
      </c>
      <c r="H4" s="12" t="s">
        <v>56</v>
      </c>
      <c r="I4" s="23" t="s">
        <v>93</v>
      </c>
      <c r="K4" s="69"/>
    </row>
    <row r="5" spans="1:11" ht="50" thickBot="1" x14ac:dyDescent="0.4">
      <c r="A5" s="43" t="s">
        <v>57</v>
      </c>
      <c r="B5" s="29">
        <v>7</v>
      </c>
      <c r="C5" s="43" t="s">
        <v>13</v>
      </c>
      <c r="D5" s="43" t="s">
        <v>24</v>
      </c>
      <c r="E5" s="43" t="s">
        <v>86</v>
      </c>
      <c r="F5" s="44" t="s">
        <v>94</v>
      </c>
      <c r="G5" s="44" t="s">
        <v>95</v>
      </c>
      <c r="H5" s="44" t="s">
        <v>65</v>
      </c>
      <c r="I5" s="129" t="s">
        <v>96</v>
      </c>
    </row>
    <row r="6" spans="1:11" s="25" customFormat="1" ht="49.5" x14ac:dyDescent="0.35">
      <c r="A6" s="23" t="s">
        <v>60</v>
      </c>
      <c r="B6" s="41">
        <v>2</v>
      </c>
      <c r="C6" s="23" t="s">
        <v>11</v>
      </c>
      <c r="D6" s="23" t="s">
        <v>29</v>
      </c>
      <c r="E6" s="23" t="s">
        <v>86</v>
      </c>
      <c r="F6" s="2" t="s">
        <v>87</v>
      </c>
      <c r="G6" s="2" t="s">
        <v>97</v>
      </c>
      <c r="H6" s="2" t="s">
        <v>98</v>
      </c>
      <c r="I6" s="25" t="s">
        <v>99</v>
      </c>
    </row>
    <row r="7" spans="1:11" s="25" customFormat="1" ht="49.5" x14ac:dyDescent="0.35">
      <c r="A7" s="23" t="s">
        <v>60</v>
      </c>
      <c r="B7" s="41">
        <v>5</v>
      </c>
      <c r="C7" s="23" t="s">
        <v>12</v>
      </c>
      <c r="D7" s="23" t="s">
        <v>30</v>
      </c>
      <c r="E7" s="23" t="s">
        <v>86</v>
      </c>
      <c r="F7" s="2" t="s">
        <v>91</v>
      </c>
      <c r="G7" s="2" t="s">
        <v>100</v>
      </c>
      <c r="H7" s="2" t="s">
        <v>59</v>
      </c>
      <c r="I7" s="47" t="s">
        <v>101</v>
      </c>
    </row>
    <row r="8" spans="1:11" s="25" customFormat="1" ht="50" thickBot="1" x14ac:dyDescent="0.4">
      <c r="A8" s="45" t="s">
        <v>60</v>
      </c>
      <c r="B8" s="46">
        <v>7</v>
      </c>
      <c r="C8" s="45" t="s">
        <v>13</v>
      </c>
      <c r="D8" s="45" t="s">
        <v>31</v>
      </c>
      <c r="E8" s="45" t="s">
        <v>86</v>
      </c>
      <c r="F8" s="106" t="s">
        <v>94</v>
      </c>
      <c r="G8" s="106" t="s">
        <v>95</v>
      </c>
      <c r="H8" s="106" t="s">
        <v>65</v>
      </c>
      <c r="I8" s="129" t="s">
        <v>96</v>
      </c>
    </row>
    <row r="9" spans="1:11" s="28" customFormat="1" ht="49.5" x14ac:dyDescent="0.35">
      <c r="A9" s="23" t="s">
        <v>62</v>
      </c>
      <c r="B9" s="41">
        <v>3</v>
      </c>
      <c r="C9" s="23" t="s">
        <v>11</v>
      </c>
      <c r="D9" s="23" t="s">
        <v>32</v>
      </c>
      <c r="E9" s="24" t="s">
        <v>86</v>
      </c>
      <c r="F9" s="12" t="s">
        <v>87</v>
      </c>
      <c r="G9" s="12" t="s">
        <v>97</v>
      </c>
      <c r="H9" s="12" t="s">
        <v>65</v>
      </c>
      <c r="I9" s="16" t="s">
        <v>102</v>
      </c>
    </row>
    <row r="10" spans="1:11" s="28" customFormat="1" ht="49.5" x14ac:dyDescent="0.35">
      <c r="A10" s="23" t="s">
        <v>62</v>
      </c>
      <c r="B10" s="41">
        <v>6</v>
      </c>
      <c r="C10" s="23" t="s">
        <v>12</v>
      </c>
      <c r="D10" s="23" t="s">
        <v>33</v>
      </c>
      <c r="E10" s="24" t="s">
        <v>86</v>
      </c>
      <c r="F10" s="12" t="s">
        <v>91</v>
      </c>
      <c r="G10" s="12" t="s">
        <v>100</v>
      </c>
      <c r="H10" s="12" t="s">
        <v>103</v>
      </c>
      <c r="I10" s="23" t="s">
        <v>104</v>
      </c>
    </row>
    <row r="11" spans="1:11" s="28" customFormat="1" ht="50" thickBot="1" x14ac:dyDescent="0.4">
      <c r="A11" s="45" t="s">
        <v>62</v>
      </c>
      <c r="B11" s="46">
        <v>7</v>
      </c>
      <c r="C11" s="45" t="s">
        <v>13</v>
      </c>
      <c r="D11" s="45" t="s">
        <v>34</v>
      </c>
      <c r="E11" s="43" t="s">
        <v>86</v>
      </c>
      <c r="F11" s="44" t="s">
        <v>94</v>
      </c>
      <c r="G11" s="44" t="s">
        <v>95</v>
      </c>
      <c r="H11" s="44" t="s">
        <v>65</v>
      </c>
      <c r="I11" s="129" t="s">
        <v>96</v>
      </c>
    </row>
    <row r="12" spans="1:11" ht="49.5" x14ac:dyDescent="0.35">
      <c r="A12" s="23" t="s">
        <v>64</v>
      </c>
      <c r="B12" s="41">
        <v>2</v>
      </c>
      <c r="C12" s="23" t="s">
        <v>11</v>
      </c>
      <c r="D12" s="23" t="s">
        <v>35</v>
      </c>
      <c r="E12" s="24" t="s">
        <v>86</v>
      </c>
      <c r="F12" s="12" t="s">
        <v>87</v>
      </c>
      <c r="G12" s="12" t="s">
        <v>97</v>
      </c>
      <c r="H12" s="12" t="s">
        <v>98</v>
      </c>
      <c r="I12" s="16" t="s">
        <v>99</v>
      </c>
    </row>
    <row r="13" spans="1:11" ht="49.5" x14ac:dyDescent="0.35">
      <c r="A13" s="23" t="s">
        <v>64</v>
      </c>
      <c r="B13" s="41">
        <v>5</v>
      </c>
      <c r="C13" s="23" t="s">
        <v>12</v>
      </c>
      <c r="D13" s="23" t="s">
        <v>36</v>
      </c>
      <c r="E13" s="24" t="s">
        <v>86</v>
      </c>
      <c r="F13" s="12" t="s">
        <v>91</v>
      </c>
      <c r="G13" s="12" t="s">
        <v>100</v>
      </c>
      <c r="H13" s="12" t="s">
        <v>59</v>
      </c>
      <c r="I13" s="130" t="s">
        <v>101</v>
      </c>
    </row>
    <row r="14" spans="1:11" ht="50" thickBot="1" x14ac:dyDescent="0.4">
      <c r="A14" s="45" t="s">
        <v>64</v>
      </c>
      <c r="B14" s="46">
        <v>7</v>
      </c>
      <c r="C14" s="104" t="s">
        <v>13</v>
      </c>
      <c r="D14" s="45" t="s">
        <v>37</v>
      </c>
      <c r="E14" s="43" t="s">
        <v>86</v>
      </c>
      <c r="F14" s="44" t="s">
        <v>94</v>
      </c>
      <c r="G14" s="44" t="s">
        <v>95</v>
      </c>
      <c r="H14" s="44" t="s">
        <v>65</v>
      </c>
      <c r="I14" s="129" t="s">
        <v>96</v>
      </c>
    </row>
    <row r="15" spans="1:11" ht="49.5" x14ac:dyDescent="0.35">
      <c r="A15" s="23" t="s">
        <v>66</v>
      </c>
      <c r="B15" s="52">
        <v>8</v>
      </c>
      <c r="C15" s="23" t="s">
        <v>11</v>
      </c>
      <c r="D15" s="31" t="s">
        <v>38</v>
      </c>
      <c r="E15" s="51" t="s">
        <v>105</v>
      </c>
      <c r="F15" s="97" t="s">
        <v>106</v>
      </c>
      <c r="G15" s="97" t="s">
        <v>107</v>
      </c>
      <c r="H15" s="27" t="s">
        <v>108</v>
      </c>
      <c r="I15" s="16" t="s">
        <v>109</v>
      </c>
    </row>
    <row r="16" spans="1:11" x14ac:dyDescent="0.35">
      <c r="A16" s="23"/>
      <c r="C16" s="23"/>
      <c r="D16" s="23"/>
      <c r="E16" s="23"/>
      <c r="F16" s="23"/>
      <c r="G16" s="2"/>
      <c r="H16" s="2"/>
      <c r="I16" s="16"/>
    </row>
    <row r="17" spans="1:9" x14ac:dyDescent="0.35">
      <c r="A17" s="23"/>
      <c r="C17" s="23"/>
      <c r="D17" s="23"/>
      <c r="E17" s="23"/>
      <c r="F17" s="23"/>
      <c r="G17" s="2"/>
      <c r="H17" s="2"/>
      <c r="I17" s="16"/>
    </row>
    <row r="18" spans="1:9" x14ac:dyDescent="0.35">
      <c r="A18" s="23"/>
      <c r="C18" s="23"/>
      <c r="D18" s="23"/>
      <c r="E18" s="23"/>
      <c r="F18" s="23"/>
      <c r="G18" s="2"/>
      <c r="H18" s="2"/>
      <c r="I18" s="16"/>
    </row>
    <row r="19" spans="1:9" x14ac:dyDescent="0.35">
      <c r="A19" s="23"/>
      <c r="C19" s="23"/>
      <c r="D19" s="23"/>
      <c r="E19" s="23"/>
      <c r="F19" s="23"/>
      <c r="G19" s="2"/>
      <c r="H19" s="2"/>
      <c r="I19" s="23"/>
    </row>
    <row r="20" spans="1:9" x14ac:dyDescent="0.35">
      <c r="A20" s="23"/>
      <c r="C20" s="23"/>
      <c r="D20" s="23"/>
      <c r="E20" s="23"/>
      <c r="F20" s="23"/>
      <c r="G20" s="2"/>
      <c r="H20" s="2"/>
      <c r="I20" s="16"/>
    </row>
    <row r="21" spans="1:9" x14ac:dyDescent="0.35">
      <c r="A21" s="23"/>
      <c r="C21" s="23"/>
      <c r="D21" s="23"/>
      <c r="E21" s="23"/>
      <c r="F21" s="23"/>
      <c r="G21" s="2"/>
      <c r="H21" s="2"/>
      <c r="I21" s="23"/>
    </row>
    <row r="22" spans="1:9" x14ac:dyDescent="0.35">
      <c r="A22" s="23"/>
      <c r="C22" s="23"/>
      <c r="D22" s="23"/>
      <c r="E22" s="23"/>
      <c r="F22" s="23"/>
      <c r="G22" s="2"/>
      <c r="H22" s="2"/>
      <c r="I22" s="16"/>
    </row>
    <row r="24" spans="1:9" x14ac:dyDescent="0.5">
      <c r="A24" s="26"/>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6"/>
  <sheetViews>
    <sheetView zoomScaleNormal="100" workbookViewId="0"/>
  </sheetViews>
  <sheetFormatPr baseColWidth="10" defaultColWidth="11.453125" defaultRowHeight="16.5" x14ac:dyDescent="0.35"/>
  <cols>
    <col min="1" max="1" width="98.81640625" style="12" customWidth="1"/>
    <col min="2" max="2" width="55" style="53" customWidth="1"/>
    <col min="3" max="3" width="54.7265625" style="12" customWidth="1"/>
    <col min="4" max="4" width="61.54296875" style="12" customWidth="1"/>
    <col min="5" max="5" width="49.7265625" style="12" customWidth="1"/>
    <col min="6" max="6" width="47.7265625" style="12" customWidth="1"/>
    <col min="7" max="16384" width="11.453125" style="12"/>
  </cols>
  <sheetData>
    <row r="1" spans="1:6" ht="52" x14ac:dyDescent="0.35">
      <c r="A1" s="15" t="s">
        <v>110</v>
      </c>
      <c r="B1" s="15" t="s">
        <v>111</v>
      </c>
      <c r="C1" s="15" t="s">
        <v>112</v>
      </c>
      <c r="D1" s="15" t="s">
        <v>113</v>
      </c>
      <c r="E1" s="15" t="s">
        <v>114</v>
      </c>
      <c r="F1" s="15" t="s">
        <v>115</v>
      </c>
    </row>
    <row r="2" spans="1:6" x14ac:dyDescent="0.35">
      <c r="A2" s="37" t="s">
        <v>116</v>
      </c>
      <c r="B2" s="37" t="s">
        <v>117</v>
      </c>
      <c r="C2" s="37" t="s">
        <v>118</v>
      </c>
      <c r="D2" s="37" t="s">
        <v>119</v>
      </c>
      <c r="E2" s="37" t="s">
        <v>120</v>
      </c>
      <c r="F2" s="37" t="s">
        <v>121</v>
      </c>
    </row>
    <row r="3" spans="1:6" ht="33" x14ac:dyDescent="0.35">
      <c r="A3" s="17" t="s">
        <v>90</v>
      </c>
      <c r="B3" s="148" t="s">
        <v>122</v>
      </c>
      <c r="C3" s="151" t="s">
        <v>123</v>
      </c>
      <c r="D3" s="48" t="s">
        <v>124</v>
      </c>
      <c r="E3" s="147" t="s">
        <v>125</v>
      </c>
      <c r="F3" s="17" t="s">
        <v>126</v>
      </c>
    </row>
    <row r="4" spans="1:6" ht="33" x14ac:dyDescent="0.35">
      <c r="A4" s="24" t="s">
        <v>99</v>
      </c>
      <c r="B4" s="149"/>
      <c r="C4" s="152"/>
      <c r="D4" s="47" t="s">
        <v>127</v>
      </c>
      <c r="E4" s="141"/>
      <c r="F4" s="24" t="s">
        <v>128</v>
      </c>
    </row>
    <row r="5" spans="1:6" ht="33" x14ac:dyDescent="0.35">
      <c r="A5" s="24" t="s">
        <v>102</v>
      </c>
      <c r="B5" s="149"/>
      <c r="C5" s="152"/>
      <c r="D5" s="47" t="s">
        <v>129</v>
      </c>
      <c r="E5" s="141"/>
      <c r="F5" s="24" t="s">
        <v>130</v>
      </c>
    </row>
    <row r="6" spans="1:6" ht="33" x14ac:dyDescent="0.35">
      <c r="A6" s="24" t="s">
        <v>104</v>
      </c>
      <c r="B6" s="149"/>
      <c r="C6" s="152"/>
      <c r="D6" s="47"/>
      <c r="E6" s="141"/>
      <c r="F6" s="24"/>
    </row>
    <row r="7" spans="1:6" ht="33" x14ac:dyDescent="0.35">
      <c r="A7" s="43" t="s">
        <v>96</v>
      </c>
      <c r="B7" s="150"/>
      <c r="C7" s="153"/>
      <c r="D7" s="49"/>
      <c r="E7" s="142"/>
      <c r="F7" s="43"/>
    </row>
    <row r="8" spans="1:6" ht="33" x14ac:dyDescent="0.35">
      <c r="A8" s="51" t="s">
        <v>90</v>
      </c>
      <c r="B8" s="154" t="s">
        <v>131</v>
      </c>
      <c r="C8" s="155" t="s">
        <v>132</v>
      </c>
      <c r="D8" s="50" t="s">
        <v>124</v>
      </c>
      <c r="E8" s="140" t="s">
        <v>133</v>
      </c>
      <c r="F8" s="51" t="s">
        <v>126</v>
      </c>
    </row>
    <row r="9" spans="1:6" ht="33" x14ac:dyDescent="0.35">
      <c r="A9" s="24" t="s">
        <v>99</v>
      </c>
      <c r="B9" s="149"/>
      <c r="C9" s="152"/>
      <c r="D9" s="47" t="s">
        <v>127</v>
      </c>
      <c r="E9" s="141"/>
      <c r="F9" s="24" t="s">
        <v>128</v>
      </c>
    </row>
    <row r="10" spans="1:6" ht="33" x14ac:dyDescent="0.35">
      <c r="A10" s="24" t="s">
        <v>93</v>
      </c>
      <c r="B10" s="149"/>
      <c r="C10" s="152"/>
      <c r="D10" s="47" t="s">
        <v>129</v>
      </c>
      <c r="E10" s="141"/>
      <c r="F10" s="24" t="s">
        <v>130</v>
      </c>
    </row>
    <row r="11" spans="1:6" ht="33" x14ac:dyDescent="0.35">
      <c r="A11" s="24" t="s">
        <v>96</v>
      </c>
      <c r="B11" s="149"/>
      <c r="C11" s="152"/>
      <c r="D11" s="47"/>
      <c r="E11" s="141"/>
      <c r="F11" s="24"/>
    </row>
    <row r="12" spans="1:6" ht="33" x14ac:dyDescent="0.35">
      <c r="A12" s="51" t="s">
        <v>99</v>
      </c>
      <c r="B12" s="154" t="s">
        <v>134</v>
      </c>
      <c r="C12" s="156" t="s">
        <v>135</v>
      </c>
      <c r="D12" s="50" t="s">
        <v>124</v>
      </c>
      <c r="E12" s="140" t="s">
        <v>136</v>
      </c>
      <c r="F12" s="51" t="s">
        <v>126</v>
      </c>
    </row>
    <row r="13" spans="1:6" ht="33" x14ac:dyDescent="0.35">
      <c r="A13" s="24" t="s">
        <v>93</v>
      </c>
      <c r="B13" s="149"/>
      <c r="C13" s="157"/>
      <c r="D13" s="47" t="s">
        <v>127</v>
      </c>
      <c r="E13" s="141"/>
      <c r="F13" s="24" t="s">
        <v>128</v>
      </c>
    </row>
    <row r="14" spans="1:6" ht="33" x14ac:dyDescent="0.35">
      <c r="A14" s="24" t="s">
        <v>101</v>
      </c>
      <c r="B14" s="149"/>
      <c r="C14" s="157"/>
      <c r="D14" s="47" t="s">
        <v>129</v>
      </c>
      <c r="E14" s="141"/>
      <c r="F14" s="24" t="s">
        <v>130</v>
      </c>
    </row>
    <row r="15" spans="1:6" ht="33" x14ac:dyDescent="0.35">
      <c r="A15" s="24" t="s">
        <v>104</v>
      </c>
      <c r="B15" s="149"/>
      <c r="C15" s="157"/>
      <c r="D15" s="47"/>
      <c r="E15" s="141"/>
      <c r="F15" s="24"/>
    </row>
    <row r="16" spans="1:6" ht="33" x14ac:dyDescent="0.35">
      <c r="A16" s="43" t="s">
        <v>96</v>
      </c>
      <c r="B16" s="150"/>
      <c r="C16" s="158"/>
      <c r="D16" s="49"/>
      <c r="E16" s="142"/>
      <c r="F16" s="43"/>
    </row>
    <row r="17" spans="1:6" ht="33" x14ac:dyDescent="0.35">
      <c r="A17" s="24" t="s">
        <v>90</v>
      </c>
      <c r="B17" s="143" t="s">
        <v>137</v>
      </c>
      <c r="C17" s="145" t="s">
        <v>138</v>
      </c>
      <c r="D17" s="47" t="s">
        <v>124</v>
      </c>
      <c r="E17" s="140" t="s">
        <v>139</v>
      </c>
      <c r="F17" s="24" t="s">
        <v>126</v>
      </c>
    </row>
    <row r="18" spans="1:6" ht="33" x14ac:dyDescent="0.35">
      <c r="A18" s="24" t="s">
        <v>96</v>
      </c>
      <c r="B18" s="137"/>
      <c r="C18" s="135"/>
      <c r="D18" s="47" t="s">
        <v>127</v>
      </c>
      <c r="E18" s="141"/>
      <c r="F18" s="24" t="s">
        <v>128</v>
      </c>
    </row>
    <row r="19" spans="1:6" ht="33" x14ac:dyDescent="0.35">
      <c r="A19" s="24" t="s">
        <v>93</v>
      </c>
      <c r="B19" s="137"/>
      <c r="C19" s="135"/>
      <c r="D19" s="47" t="s">
        <v>140</v>
      </c>
      <c r="E19" s="141"/>
      <c r="F19" s="24" t="s">
        <v>130</v>
      </c>
    </row>
    <row r="20" spans="1:6" ht="33" x14ac:dyDescent="0.35">
      <c r="A20" s="24" t="s">
        <v>104</v>
      </c>
      <c r="B20" s="137"/>
      <c r="C20" s="135"/>
      <c r="E20" s="141"/>
    </row>
    <row r="21" spans="1:6" ht="33" x14ac:dyDescent="0.35">
      <c r="A21" s="43" t="s">
        <v>96</v>
      </c>
      <c r="B21" s="144"/>
      <c r="C21" s="146"/>
      <c r="D21" s="44"/>
      <c r="E21" s="142"/>
      <c r="F21" s="44"/>
    </row>
    <row r="22" spans="1:6" ht="33" x14ac:dyDescent="0.35">
      <c r="A22" s="51" t="s">
        <v>99</v>
      </c>
      <c r="B22" s="143" t="s">
        <v>141</v>
      </c>
      <c r="C22" s="145" t="s">
        <v>142</v>
      </c>
      <c r="D22" s="50" t="s">
        <v>124</v>
      </c>
      <c r="E22" s="140" t="s">
        <v>143</v>
      </c>
      <c r="F22" s="51" t="s">
        <v>126</v>
      </c>
    </row>
    <row r="23" spans="1:6" ht="33" x14ac:dyDescent="0.35">
      <c r="A23" s="24" t="s">
        <v>93</v>
      </c>
      <c r="B23" s="137"/>
      <c r="C23" s="135"/>
      <c r="D23" s="47" t="s">
        <v>127</v>
      </c>
      <c r="E23" s="141"/>
      <c r="F23" s="24" t="s">
        <v>128</v>
      </c>
    </row>
    <row r="24" spans="1:6" ht="33" x14ac:dyDescent="0.35">
      <c r="A24" s="24" t="s">
        <v>101</v>
      </c>
      <c r="B24" s="137"/>
      <c r="C24" s="135"/>
      <c r="D24" s="47" t="s">
        <v>129</v>
      </c>
      <c r="E24" s="141"/>
      <c r="F24" s="24" t="s">
        <v>130</v>
      </c>
    </row>
    <row r="25" spans="1:6" ht="33" x14ac:dyDescent="0.35">
      <c r="A25" s="24" t="s">
        <v>104</v>
      </c>
      <c r="B25" s="137"/>
      <c r="C25" s="135"/>
      <c r="E25" s="141"/>
    </row>
    <row r="26" spans="1:6" ht="33" x14ac:dyDescent="0.35">
      <c r="A26" s="43" t="s">
        <v>96</v>
      </c>
      <c r="B26" s="144"/>
      <c r="C26" s="146"/>
      <c r="D26" s="44"/>
      <c r="E26" s="142"/>
      <c r="F26" s="44"/>
    </row>
    <row r="27" spans="1:6" ht="33" x14ac:dyDescent="0.35">
      <c r="A27" s="24" t="s">
        <v>90</v>
      </c>
      <c r="B27" s="154" t="s">
        <v>144</v>
      </c>
      <c r="C27" s="160" t="s">
        <v>145</v>
      </c>
      <c r="D27" s="12" t="s">
        <v>127</v>
      </c>
      <c r="E27" s="140" t="s">
        <v>146</v>
      </c>
      <c r="F27" s="12" t="s">
        <v>128</v>
      </c>
    </row>
    <row r="28" spans="1:6" ht="33" x14ac:dyDescent="0.35">
      <c r="A28" s="24" t="s">
        <v>102</v>
      </c>
      <c r="B28" s="149"/>
      <c r="C28" s="161"/>
      <c r="D28" s="24" t="s">
        <v>147</v>
      </c>
      <c r="E28" s="141"/>
      <c r="F28" s="12" t="s">
        <v>130</v>
      </c>
    </row>
    <row r="29" spans="1:6" ht="33" x14ac:dyDescent="0.35">
      <c r="A29" s="24" t="s">
        <v>93</v>
      </c>
      <c r="B29" s="149"/>
      <c r="C29" s="161"/>
      <c r="D29" s="24"/>
      <c r="E29" s="141"/>
    </row>
    <row r="30" spans="1:6" ht="33" x14ac:dyDescent="0.35">
      <c r="A30" s="24" t="s">
        <v>104</v>
      </c>
      <c r="B30" s="149"/>
      <c r="C30" s="161"/>
      <c r="D30" s="24"/>
      <c r="E30" s="141"/>
    </row>
    <row r="31" spans="1:6" ht="33" x14ac:dyDescent="0.35">
      <c r="A31" s="108" t="s">
        <v>96</v>
      </c>
      <c r="B31" s="159"/>
      <c r="C31" s="162"/>
      <c r="D31" s="109"/>
      <c r="E31" s="163"/>
      <c r="F31" s="109"/>
    </row>
    <row r="32" spans="1:6" x14ac:dyDescent="0.35">
      <c r="A32" s="24"/>
      <c r="E32" s="131"/>
    </row>
    <row r="33" spans="1:1" x14ac:dyDescent="0.35">
      <c r="A33" s="24"/>
    </row>
    <row r="34" spans="1:1" x14ac:dyDescent="0.35">
      <c r="A34" s="24"/>
    </row>
    <row r="35" spans="1:1" x14ac:dyDescent="0.35">
      <c r="A35" s="24"/>
    </row>
    <row r="36" spans="1:1" x14ac:dyDescent="0.35">
      <c r="A36" s="24"/>
    </row>
  </sheetData>
  <mergeCells count="18">
    <mergeCell ref="B22:B26"/>
    <mergeCell ref="C22:C26"/>
    <mergeCell ref="B27:B31"/>
    <mergeCell ref="C27:C31"/>
    <mergeCell ref="E27:E31"/>
    <mergeCell ref="E22:E26"/>
    <mergeCell ref="E17:E21"/>
    <mergeCell ref="B17:B21"/>
    <mergeCell ref="C17:C21"/>
    <mergeCell ref="E3:E7"/>
    <mergeCell ref="E12:E16"/>
    <mergeCell ref="E8:E11"/>
    <mergeCell ref="B3:B7"/>
    <mergeCell ref="C3:C7"/>
    <mergeCell ref="B8:B11"/>
    <mergeCell ref="C8:C11"/>
    <mergeCell ref="B12:B16"/>
    <mergeCell ref="C12:C16"/>
  </mergeCells>
  <dataValidations disablePrompts="1" count="1">
    <dataValidation type="list" allowBlank="1" showInputMessage="1" showErrorMessage="1" sqref="A3:A36"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233"/>
  <sheetViews>
    <sheetView tabSelected="1" zoomScaleNormal="100" workbookViewId="0">
      <pane ySplit="1" topLeftCell="A2" activePane="bottomLeft" state="frozen"/>
      <selection activeCell="B1" sqref="B1"/>
      <selection pane="bottomLeft" activeCell="B3" sqref="B3"/>
    </sheetView>
  </sheetViews>
  <sheetFormatPr baseColWidth="10" defaultColWidth="58.7265625" defaultRowHeight="16" x14ac:dyDescent="0.35"/>
  <cols>
    <col min="1" max="1" width="14.453125" style="67" customWidth="1"/>
    <col min="2" max="2" width="73.453125" style="59" customWidth="1"/>
    <col min="3" max="3" width="14.26953125" style="54" customWidth="1"/>
    <col min="4" max="4" width="27" style="55" customWidth="1"/>
    <col min="5" max="5" width="58.7265625" style="67"/>
    <col min="6" max="6" width="18.81640625" style="54" customWidth="1"/>
    <col min="7" max="7" width="15.453125" style="54" customWidth="1"/>
    <col min="8" max="10" width="14.26953125" style="54" customWidth="1"/>
    <col min="11" max="12" width="22.81640625" style="54" customWidth="1"/>
    <col min="13" max="13" width="16.7265625" style="54" customWidth="1"/>
    <col min="14" max="14" width="41" style="67" customWidth="1"/>
    <col min="15" max="15" width="40.453125" style="67" customWidth="1"/>
    <col min="16" max="16" width="75.81640625" style="67" customWidth="1"/>
    <col min="17" max="17" width="72.453125" style="67" customWidth="1"/>
    <col min="18" max="18" width="4.90625" style="54" bestFit="1" customWidth="1"/>
    <col min="19" max="19" width="3.81640625" style="54" bestFit="1" customWidth="1"/>
    <col min="20" max="16384" width="58.7265625" style="54"/>
  </cols>
  <sheetData>
    <row r="1" spans="1:17" s="12" customFormat="1" ht="52" x14ac:dyDescent="0.35">
      <c r="A1" s="18" t="s">
        <v>148</v>
      </c>
      <c r="B1" s="18" t="s">
        <v>149</v>
      </c>
      <c r="C1" s="18" t="s">
        <v>150</v>
      </c>
      <c r="D1" s="18" t="s">
        <v>151</v>
      </c>
      <c r="E1" s="18" t="s">
        <v>152</v>
      </c>
      <c r="F1" s="18" t="s">
        <v>153</v>
      </c>
      <c r="G1" s="178" t="s">
        <v>154</v>
      </c>
      <c r="H1" s="178"/>
      <c r="I1" s="178"/>
      <c r="J1" s="18" t="s">
        <v>155</v>
      </c>
      <c r="K1" s="18" t="s">
        <v>156</v>
      </c>
      <c r="L1" s="18" t="s">
        <v>157</v>
      </c>
      <c r="M1" s="18" t="s">
        <v>158</v>
      </c>
      <c r="N1" s="18" t="s">
        <v>159</v>
      </c>
      <c r="O1" s="18" t="s">
        <v>160</v>
      </c>
      <c r="P1" s="18" t="s">
        <v>161</v>
      </c>
      <c r="Q1" s="18" t="s">
        <v>162</v>
      </c>
    </row>
    <row r="2" spans="1:17" s="12" customFormat="1" ht="33.5" thickBot="1" x14ac:dyDescent="0.4">
      <c r="A2" s="133" t="s">
        <v>163</v>
      </c>
      <c r="B2" s="39" t="s">
        <v>116</v>
      </c>
      <c r="C2" s="39" t="s">
        <v>164</v>
      </c>
      <c r="D2" s="39" t="s">
        <v>165</v>
      </c>
      <c r="E2" s="39" t="s">
        <v>166</v>
      </c>
      <c r="F2" s="39" t="s">
        <v>167</v>
      </c>
      <c r="G2" s="39" t="s">
        <v>168</v>
      </c>
      <c r="H2" s="39" t="s">
        <v>169</v>
      </c>
      <c r="I2" s="39" t="s">
        <v>170</v>
      </c>
      <c r="J2" s="39" t="s">
        <v>171</v>
      </c>
      <c r="K2" s="39" t="s">
        <v>172</v>
      </c>
      <c r="L2" s="39" t="s">
        <v>173</v>
      </c>
      <c r="M2" s="39" t="s">
        <v>174</v>
      </c>
      <c r="N2" s="39" t="s">
        <v>175</v>
      </c>
      <c r="O2" s="39" t="s">
        <v>176</v>
      </c>
      <c r="P2" s="39" t="s">
        <v>177</v>
      </c>
      <c r="Q2" s="39" t="s">
        <v>178</v>
      </c>
    </row>
    <row r="3" spans="1:17" s="53" customFormat="1" ht="264.5" thickBot="1" x14ac:dyDescent="0.4">
      <c r="A3" s="105" t="str">
        <f>_xlfn.XLOOKUP(B3,'Paso 3 Redacción RA '!I$3:I$15,'Paso 3 Redacción RA '!C$3:C$15,,0,1)</f>
        <v>Saber</v>
      </c>
      <c r="B3" s="94" t="s">
        <v>109</v>
      </c>
      <c r="C3" s="75">
        <v>1</v>
      </c>
      <c r="D3" s="76" t="s">
        <v>179</v>
      </c>
      <c r="E3" s="74" t="s">
        <v>180</v>
      </c>
      <c r="F3" s="75" t="s">
        <v>181</v>
      </c>
      <c r="G3" s="75" t="s">
        <v>182</v>
      </c>
      <c r="H3" s="75"/>
      <c r="I3" s="75"/>
      <c r="J3" s="75">
        <v>3</v>
      </c>
      <c r="K3" s="75">
        <f>12*J3</f>
        <v>36</v>
      </c>
      <c r="L3" s="75">
        <f>36*J3</f>
        <v>108</v>
      </c>
      <c r="M3" s="75">
        <f>SUM(K3:L3)</f>
        <v>144</v>
      </c>
      <c r="N3" s="78" t="s">
        <v>183</v>
      </c>
      <c r="O3" s="94" t="s">
        <v>184</v>
      </c>
      <c r="P3" s="100" t="s">
        <v>185</v>
      </c>
      <c r="Q3" s="74" t="s">
        <v>186</v>
      </c>
    </row>
    <row r="4" spans="1:17" s="53" customFormat="1" ht="330.5" thickBot="1" x14ac:dyDescent="0.4">
      <c r="A4" s="105" t="str">
        <f>_xlfn.XLOOKUP(B4,'Paso 3 Redacción RA '!I$3:I$15,'Paso 3 Redacción RA '!C$3:C$15,,0,1)</f>
        <v>Saber</v>
      </c>
      <c r="B4" s="94" t="s">
        <v>109</v>
      </c>
      <c r="C4" s="110">
        <v>1</v>
      </c>
      <c r="D4" s="111" t="s">
        <v>187</v>
      </c>
      <c r="E4" s="100" t="s">
        <v>188</v>
      </c>
      <c r="F4" s="111" t="s">
        <v>181</v>
      </c>
      <c r="G4" s="110" t="s">
        <v>182</v>
      </c>
      <c r="H4" s="110"/>
      <c r="I4" s="110"/>
      <c r="J4" s="110">
        <v>3</v>
      </c>
      <c r="K4" s="120">
        <f>12*J4</f>
        <v>36</v>
      </c>
      <c r="L4" s="120">
        <f>36*J4</f>
        <v>108</v>
      </c>
      <c r="M4" s="110">
        <f>SUM(K4:L4)</f>
        <v>144</v>
      </c>
      <c r="N4" s="94" t="s">
        <v>189</v>
      </c>
      <c r="O4" s="94" t="s">
        <v>184</v>
      </c>
      <c r="P4" s="94" t="s">
        <v>190</v>
      </c>
      <c r="Q4" s="94" t="s">
        <v>191</v>
      </c>
    </row>
    <row r="5" spans="1:17" s="53" customFormat="1" ht="49.5" x14ac:dyDescent="0.35">
      <c r="A5" s="27" t="str">
        <f>_xlfn.XLOOKUP(B5,'Paso 3 Redacción RA '!I$3:I$15,'Paso 3 Redacción RA '!C$3:C$15,,0,1)</f>
        <v>Saber</v>
      </c>
      <c r="B5" s="16" t="s">
        <v>90</v>
      </c>
      <c r="C5" s="176">
        <v>1</v>
      </c>
      <c r="D5" s="176" t="s">
        <v>192</v>
      </c>
      <c r="E5" s="166" t="s">
        <v>193</v>
      </c>
      <c r="F5" s="176" t="s">
        <v>194</v>
      </c>
      <c r="G5" s="176"/>
      <c r="H5" s="176" t="s">
        <v>182</v>
      </c>
      <c r="I5" s="176"/>
      <c r="J5" s="176">
        <v>3</v>
      </c>
      <c r="K5" s="176">
        <f>J5*12</f>
        <v>36</v>
      </c>
      <c r="L5" s="176">
        <f>36*J5</f>
        <v>108</v>
      </c>
      <c r="M5" s="176">
        <f>SUM(K5:L5)</f>
        <v>144</v>
      </c>
      <c r="N5" s="166" t="s">
        <v>195</v>
      </c>
      <c r="O5" s="166" t="s">
        <v>196</v>
      </c>
      <c r="P5" s="166" t="s">
        <v>197</v>
      </c>
      <c r="Q5" s="166" t="s">
        <v>191</v>
      </c>
    </row>
    <row r="6" spans="1:17" s="53" customFormat="1" ht="49.5" x14ac:dyDescent="0.35">
      <c r="A6" s="27" t="str">
        <f>_xlfn.XLOOKUP(B6,'Paso 3 Redacción RA '!I$3:I$15,'Paso 3 Redacción RA '!C$3:C$15,,0,1)</f>
        <v>Saber</v>
      </c>
      <c r="B6" s="16" t="s">
        <v>99</v>
      </c>
      <c r="C6" s="176"/>
      <c r="D6" s="176"/>
      <c r="E6" s="166"/>
      <c r="F6" s="176"/>
      <c r="G6" s="176"/>
      <c r="H6" s="176"/>
      <c r="I6" s="176"/>
      <c r="J6" s="176"/>
      <c r="K6" s="176"/>
      <c r="L6" s="176"/>
      <c r="M6" s="176"/>
      <c r="N6" s="166"/>
      <c r="O6" s="166"/>
      <c r="P6" s="166"/>
      <c r="Q6" s="166"/>
    </row>
    <row r="7" spans="1:17" s="53" customFormat="1" ht="49.5" x14ac:dyDescent="0.35">
      <c r="A7" s="27" t="str">
        <f>_xlfn.XLOOKUP(B7,'Paso 3 Redacción RA '!I$3:I$15,'Paso 3 Redacción RA '!C$3:C$15,,0,1)</f>
        <v>Saber</v>
      </c>
      <c r="B7" s="16" t="s">
        <v>102</v>
      </c>
      <c r="C7" s="176"/>
      <c r="D7" s="176"/>
      <c r="E7" s="166"/>
      <c r="F7" s="176"/>
      <c r="G7" s="176"/>
      <c r="H7" s="176"/>
      <c r="I7" s="176"/>
      <c r="J7" s="176"/>
      <c r="K7" s="176"/>
      <c r="L7" s="176"/>
      <c r="M7" s="176"/>
      <c r="N7" s="166"/>
      <c r="O7" s="166"/>
      <c r="P7" s="166"/>
      <c r="Q7" s="166"/>
    </row>
    <row r="8" spans="1:17" s="53" customFormat="1" ht="49.5" x14ac:dyDescent="0.35">
      <c r="A8" s="27" t="str">
        <f>_xlfn.XLOOKUP(B8,'Paso 3 Redacción RA '!I$3:I$15,'Paso 3 Redacción RA '!C$3:C$15,,0,1)</f>
        <v>Saberhacer</v>
      </c>
      <c r="B8" s="16" t="s">
        <v>101</v>
      </c>
      <c r="C8" s="176"/>
      <c r="D8" s="176"/>
      <c r="E8" s="166"/>
      <c r="F8" s="176"/>
      <c r="G8" s="176"/>
      <c r="H8" s="176"/>
      <c r="I8" s="176"/>
      <c r="J8" s="176"/>
      <c r="K8" s="176"/>
      <c r="L8" s="176"/>
      <c r="M8" s="176"/>
      <c r="N8" s="166"/>
      <c r="O8" s="166"/>
      <c r="P8" s="166"/>
      <c r="Q8" s="166"/>
    </row>
    <row r="9" spans="1:17" s="53" customFormat="1" ht="33" x14ac:dyDescent="0.35">
      <c r="A9" s="27" t="str">
        <f>_xlfn.XLOOKUP(B9,'Paso 3 Redacción RA '!I$3:I$15,'Paso 3 Redacción RA '!C$3:C$15,,0,1)</f>
        <v>Saberhacer</v>
      </c>
      <c r="B9" s="16" t="s">
        <v>104</v>
      </c>
      <c r="C9" s="176"/>
      <c r="D9" s="176"/>
      <c r="E9" s="166"/>
      <c r="F9" s="176"/>
      <c r="G9" s="176"/>
      <c r="H9" s="176"/>
      <c r="I9" s="176"/>
      <c r="J9" s="176"/>
      <c r="K9" s="176"/>
      <c r="L9" s="176"/>
      <c r="M9" s="176"/>
      <c r="N9" s="166"/>
      <c r="O9" s="166"/>
      <c r="P9" s="166"/>
      <c r="Q9" s="166"/>
    </row>
    <row r="10" spans="1:17" s="53" customFormat="1" ht="50" thickBot="1" x14ac:dyDescent="0.4">
      <c r="A10" s="98" t="str">
        <f>_xlfn.XLOOKUP(B10,'Paso 3 Redacción RA '!I$3:I$15,'Paso 3 Redacción RA '!C$3:C$15,,0,1)</f>
        <v>Saberser</v>
      </c>
      <c r="B10" s="30" t="s">
        <v>96</v>
      </c>
      <c r="C10" s="177"/>
      <c r="D10" s="177"/>
      <c r="E10" s="171"/>
      <c r="F10" s="177"/>
      <c r="G10" s="177"/>
      <c r="H10" s="177"/>
      <c r="I10" s="177"/>
      <c r="J10" s="177"/>
      <c r="K10" s="177"/>
      <c r="L10" s="177"/>
      <c r="M10" s="177"/>
      <c r="N10" s="171"/>
      <c r="O10" s="171"/>
      <c r="P10" s="171"/>
      <c r="Q10" s="171"/>
    </row>
    <row r="11" spans="1:17" s="53" customFormat="1" ht="49.5" x14ac:dyDescent="0.35">
      <c r="A11" s="27" t="str">
        <f>_xlfn.XLOOKUP(B11,'Paso 3 Redacción RA '!I$3:I$15,'Paso 3 Redacción RA '!C$3:C$15,,0,1)</f>
        <v>Saber</v>
      </c>
      <c r="B11" s="16" t="s">
        <v>99</v>
      </c>
      <c r="C11" s="175">
        <v>1</v>
      </c>
      <c r="D11" s="143" t="s">
        <v>198</v>
      </c>
      <c r="E11" s="145" t="s">
        <v>199</v>
      </c>
      <c r="F11" s="143" t="s">
        <v>181</v>
      </c>
      <c r="G11" s="143"/>
      <c r="H11" s="143" t="s">
        <v>182</v>
      </c>
      <c r="I11" s="143"/>
      <c r="J11" s="143">
        <v>4</v>
      </c>
      <c r="K11" s="143">
        <f>J11*12</f>
        <v>48</v>
      </c>
      <c r="L11" s="143">
        <f>36*J11</f>
        <v>144</v>
      </c>
      <c r="M11" s="143">
        <f>SUM(K11:L11)</f>
        <v>192</v>
      </c>
      <c r="N11" s="145" t="s">
        <v>200</v>
      </c>
      <c r="O11" s="145" t="s">
        <v>196</v>
      </c>
      <c r="P11" s="145" t="s">
        <v>201</v>
      </c>
      <c r="Q11" s="145" t="s">
        <v>191</v>
      </c>
    </row>
    <row r="12" spans="1:17" s="53" customFormat="1" ht="33" x14ac:dyDescent="0.35">
      <c r="A12" s="27" t="str">
        <f>_xlfn.XLOOKUP(B12,'Paso 3 Redacción RA '!I$3:I$15,'Paso 3 Redacción RA '!C$3:C$15,,0,1)</f>
        <v>Saberhacer</v>
      </c>
      <c r="B12" s="16" t="s">
        <v>93</v>
      </c>
      <c r="C12" s="176"/>
      <c r="D12" s="137"/>
      <c r="E12" s="135"/>
      <c r="F12" s="137"/>
      <c r="G12" s="137"/>
      <c r="H12" s="137"/>
      <c r="I12" s="137"/>
      <c r="J12" s="137"/>
      <c r="K12" s="137"/>
      <c r="L12" s="137"/>
      <c r="M12" s="137"/>
      <c r="N12" s="135"/>
      <c r="O12" s="135"/>
      <c r="P12" s="135"/>
      <c r="Q12" s="135"/>
    </row>
    <row r="13" spans="1:17" s="53" customFormat="1" ht="49.5" x14ac:dyDescent="0.35">
      <c r="A13" s="27" t="str">
        <f>_xlfn.XLOOKUP(B13,'Paso 3 Redacción RA '!I$3:I$15,'Paso 3 Redacción RA '!C$3:C$15,,0,1)</f>
        <v>Saberhacer</v>
      </c>
      <c r="B13" s="16" t="s">
        <v>101</v>
      </c>
      <c r="C13" s="176"/>
      <c r="D13" s="137"/>
      <c r="E13" s="135"/>
      <c r="F13" s="137"/>
      <c r="G13" s="137"/>
      <c r="H13" s="137"/>
      <c r="I13" s="137"/>
      <c r="J13" s="137"/>
      <c r="K13" s="137"/>
      <c r="L13" s="137"/>
      <c r="M13" s="137"/>
      <c r="N13" s="135"/>
      <c r="O13" s="135"/>
      <c r="P13" s="135"/>
      <c r="Q13" s="135"/>
    </row>
    <row r="14" spans="1:17" s="53" customFormat="1" ht="33" x14ac:dyDescent="0.35">
      <c r="A14" s="27" t="str">
        <f>_xlfn.XLOOKUP(B14,'Paso 3 Redacción RA '!I$3:I$15,'Paso 3 Redacción RA '!C$3:C$15,,0,1)</f>
        <v>Saberhacer</v>
      </c>
      <c r="B14" s="16" t="s">
        <v>104</v>
      </c>
      <c r="C14" s="176"/>
      <c r="D14" s="137"/>
      <c r="E14" s="135"/>
      <c r="F14" s="137"/>
      <c r="G14" s="137"/>
      <c r="H14" s="137"/>
      <c r="I14" s="137"/>
      <c r="J14" s="137"/>
      <c r="K14" s="137"/>
      <c r="L14" s="137"/>
      <c r="M14" s="137"/>
      <c r="N14" s="135"/>
      <c r="O14" s="135"/>
      <c r="P14" s="135"/>
      <c r="Q14" s="135"/>
    </row>
    <row r="15" spans="1:17" s="53" customFormat="1" ht="50" thickBot="1" x14ac:dyDescent="0.4">
      <c r="A15" s="98" t="str">
        <f>_xlfn.XLOOKUP(B15,'Paso 3 Redacción RA '!I$3:I$15,'Paso 3 Redacción RA '!C$3:C$15,,0,1)</f>
        <v>Saberser</v>
      </c>
      <c r="B15" s="30" t="s">
        <v>96</v>
      </c>
      <c r="C15" s="177"/>
      <c r="D15" s="144"/>
      <c r="E15" s="146"/>
      <c r="F15" s="144"/>
      <c r="G15" s="144"/>
      <c r="H15" s="144"/>
      <c r="I15" s="144"/>
      <c r="J15" s="144"/>
      <c r="K15" s="144"/>
      <c r="L15" s="144"/>
      <c r="M15" s="144"/>
      <c r="N15" s="146"/>
      <c r="O15" s="146"/>
      <c r="P15" s="146"/>
      <c r="Q15" s="146"/>
    </row>
    <row r="16" spans="1:17" s="53" customFormat="1" ht="49.5" x14ac:dyDescent="0.35">
      <c r="A16" s="27" t="str">
        <f>_xlfn.XLOOKUP(B16,'Paso 3 Redacción RA '!I$3:I$15,'Paso 3 Redacción RA '!C$3:C$15,,0,1)</f>
        <v>Saber</v>
      </c>
      <c r="B16" s="16" t="s">
        <v>90</v>
      </c>
      <c r="C16" s="175">
        <v>1</v>
      </c>
      <c r="D16" s="175" t="s">
        <v>202</v>
      </c>
      <c r="E16" s="168" t="s">
        <v>203</v>
      </c>
      <c r="F16" s="175" t="s">
        <v>194</v>
      </c>
      <c r="G16" s="175"/>
      <c r="H16" s="175" t="s">
        <v>182</v>
      </c>
      <c r="I16" s="175"/>
      <c r="J16" s="175">
        <v>3</v>
      </c>
      <c r="K16" s="175">
        <f>J16*12</f>
        <v>36</v>
      </c>
      <c r="L16" s="175">
        <f>36*J16</f>
        <v>108</v>
      </c>
      <c r="M16" s="175">
        <f>SUM(K16:L16)</f>
        <v>144</v>
      </c>
      <c r="N16" s="168" t="s">
        <v>204</v>
      </c>
      <c r="O16" s="168" t="s">
        <v>196</v>
      </c>
      <c r="P16" s="168" t="s">
        <v>197</v>
      </c>
      <c r="Q16" s="168" t="s">
        <v>191</v>
      </c>
    </row>
    <row r="17" spans="1:19" s="53" customFormat="1" ht="49.5" x14ac:dyDescent="0.35">
      <c r="A17" s="27" t="str">
        <f>_xlfn.XLOOKUP(B17,'Paso 3 Redacción RA '!I$3:I$15,'Paso 3 Redacción RA '!C$3:C$15,,0,1)</f>
        <v>Saber</v>
      </c>
      <c r="B17" s="16" t="s">
        <v>99</v>
      </c>
      <c r="C17" s="176"/>
      <c r="D17" s="176"/>
      <c r="E17" s="169"/>
      <c r="F17" s="176"/>
      <c r="G17" s="176"/>
      <c r="H17" s="176"/>
      <c r="I17" s="176"/>
      <c r="J17" s="176"/>
      <c r="K17" s="176"/>
      <c r="L17" s="176"/>
      <c r="M17" s="176"/>
      <c r="N17" s="169"/>
      <c r="O17" s="169"/>
      <c r="P17" s="169"/>
      <c r="Q17" s="169"/>
    </row>
    <row r="18" spans="1:19" s="53" customFormat="1" ht="33" x14ac:dyDescent="0.35">
      <c r="A18" s="27" t="str">
        <f>_xlfn.XLOOKUP(B18,'Paso 3 Redacción RA '!I$3:I$15,'Paso 3 Redacción RA '!C$3:C$15,,0,1)</f>
        <v>Saberhacer</v>
      </c>
      <c r="B18" s="16" t="s">
        <v>93</v>
      </c>
      <c r="C18" s="176"/>
      <c r="D18" s="176"/>
      <c r="E18" s="169"/>
      <c r="F18" s="176"/>
      <c r="G18" s="176"/>
      <c r="H18" s="176"/>
      <c r="I18" s="176"/>
      <c r="J18" s="176"/>
      <c r="K18" s="176"/>
      <c r="L18" s="176"/>
      <c r="M18" s="176"/>
      <c r="N18" s="169"/>
      <c r="O18" s="169"/>
      <c r="P18" s="169"/>
      <c r="Q18" s="169"/>
    </row>
    <row r="19" spans="1:19" s="53" customFormat="1" ht="49.5" x14ac:dyDescent="0.35">
      <c r="A19" s="27" t="str">
        <f>_xlfn.XLOOKUP(B19,'Paso 3 Redacción RA '!I$3:I$15,'Paso 3 Redacción RA '!C$3:C$15,,0,1)</f>
        <v>Saberhacer</v>
      </c>
      <c r="B19" s="16" t="s">
        <v>101</v>
      </c>
      <c r="C19" s="176"/>
      <c r="D19" s="176"/>
      <c r="E19" s="169"/>
      <c r="F19" s="176"/>
      <c r="G19" s="176"/>
      <c r="H19" s="176"/>
      <c r="I19" s="176"/>
      <c r="J19" s="176"/>
      <c r="K19" s="176"/>
      <c r="L19" s="176"/>
      <c r="M19" s="176"/>
      <c r="N19" s="169"/>
      <c r="O19" s="169"/>
      <c r="P19" s="169"/>
      <c r="Q19" s="169"/>
    </row>
    <row r="20" spans="1:19" s="53" customFormat="1" ht="50" thickBot="1" x14ac:dyDescent="0.4">
      <c r="A20" s="98" t="str">
        <f>_xlfn.XLOOKUP(B20,'Paso 3 Redacción RA '!I$3:I$15,'Paso 3 Redacción RA '!C$3:C$15,,0,1)</f>
        <v>Saberser</v>
      </c>
      <c r="B20" s="30" t="s">
        <v>96</v>
      </c>
      <c r="C20" s="177"/>
      <c r="D20" s="177"/>
      <c r="E20" s="170"/>
      <c r="F20" s="177"/>
      <c r="G20" s="177"/>
      <c r="H20" s="177"/>
      <c r="I20" s="177"/>
      <c r="J20" s="177"/>
      <c r="K20" s="177"/>
      <c r="L20" s="177"/>
      <c r="M20" s="177"/>
      <c r="N20" s="170"/>
      <c r="O20" s="170"/>
      <c r="P20" s="170"/>
      <c r="Q20" s="170"/>
      <c r="R20" s="53">
        <f>SUM(J3:J20)</f>
        <v>16</v>
      </c>
      <c r="S20" s="53">
        <f>COUNTA(D3:D20)</f>
        <v>5</v>
      </c>
    </row>
    <row r="21" spans="1:19" s="53" customFormat="1" ht="330.5" thickBot="1" x14ac:dyDescent="0.4">
      <c r="A21" s="105" t="str">
        <f>_xlfn.XLOOKUP(B21,'Paso 3 Redacción RA '!I$3:I$15,'Paso 3 Redacción RA '!C$3:C$15,,0,1)</f>
        <v>Saber</v>
      </c>
      <c r="B21" s="94" t="s">
        <v>109</v>
      </c>
      <c r="C21" s="75">
        <v>2</v>
      </c>
      <c r="D21" s="76" t="s">
        <v>205</v>
      </c>
      <c r="E21" s="74" t="s">
        <v>206</v>
      </c>
      <c r="F21" s="75" t="s">
        <v>181</v>
      </c>
      <c r="G21" s="76" t="s">
        <v>182</v>
      </c>
      <c r="H21" s="76"/>
      <c r="I21" s="76"/>
      <c r="J21" s="75">
        <v>3</v>
      </c>
      <c r="K21" s="75">
        <f>12*J21</f>
        <v>36</v>
      </c>
      <c r="L21" s="75">
        <f>36*J21</f>
        <v>108</v>
      </c>
      <c r="M21" s="75">
        <f>SUM(K21:L21)</f>
        <v>144</v>
      </c>
      <c r="N21" s="77" t="s">
        <v>207</v>
      </c>
      <c r="O21" s="100" t="s">
        <v>184</v>
      </c>
      <c r="P21" s="100" t="s">
        <v>190</v>
      </c>
      <c r="Q21" s="74" t="s">
        <v>191</v>
      </c>
    </row>
    <row r="22" spans="1:19" s="53" customFormat="1" ht="49.5" x14ac:dyDescent="0.35">
      <c r="A22" s="27" t="str">
        <f>_xlfn.XLOOKUP(B22,'Paso 3 Redacción RA '!I$3:I$15,'Paso 3 Redacción RA '!C$3:C$15,,0,1)</f>
        <v>Saber</v>
      </c>
      <c r="B22" s="16" t="s">
        <v>90</v>
      </c>
      <c r="C22" s="143">
        <v>2</v>
      </c>
      <c r="D22" s="143" t="s">
        <v>208</v>
      </c>
      <c r="E22" s="168" t="s">
        <v>209</v>
      </c>
      <c r="F22" s="143" t="s">
        <v>194</v>
      </c>
      <c r="G22" s="143"/>
      <c r="H22" s="143" t="s">
        <v>182</v>
      </c>
      <c r="I22" s="143"/>
      <c r="J22" s="143">
        <v>3</v>
      </c>
      <c r="K22" s="143">
        <f>J22*12</f>
        <v>36</v>
      </c>
      <c r="L22" s="143">
        <f>36*J22</f>
        <v>108</v>
      </c>
      <c r="M22" s="143">
        <f>SUM(K22:L22)</f>
        <v>144</v>
      </c>
      <c r="N22" s="168" t="s">
        <v>210</v>
      </c>
      <c r="O22" s="168" t="s">
        <v>196</v>
      </c>
      <c r="P22" s="168" t="s">
        <v>197</v>
      </c>
      <c r="Q22" s="168" t="s">
        <v>191</v>
      </c>
    </row>
    <row r="23" spans="1:19" s="53" customFormat="1" ht="49.5" x14ac:dyDescent="0.35">
      <c r="A23" s="27" t="str">
        <f>_xlfn.XLOOKUP(B23,'Paso 3 Redacción RA '!I$3:I$15,'Paso 3 Redacción RA '!C$3:C$15,,0,1)</f>
        <v>Saber</v>
      </c>
      <c r="B23" s="16" t="s">
        <v>99</v>
      </c>
      <c r="C23" s="137"/>
      <c r="D23" s="137"/>
      <c r="E23" s="169"/>
      <c r="F23" s="137"/>
      <c r="G23" s="137"/>
      <c r="H23" s="137"/>
      <c r="I23" s="137"/>
      <c r="J23" s="137"/>
      <c r="K23" s="137"/>
      <c r="L23" s="137"/>
      <c r="M23" s="137"/>
      <c r="N23" s="169"/>
      <c r="O23" s="169"/>
      <c r="P23" s="169"/>
      <c r="Q23" s="169"/>
    </row>
    <row r="24" spans="1:19" s="53" customFormat="1" ht="49.5" x14ac:dyDescent="0.35">
      <c r="A24" s="27" t="str">
        <f>_xlfn.XLOOKUP(B24,'Paso 3 Redacción RA '!I$3:I$15,'Paso 3 Redacción RA '!C$3:C$15,,0,1)</f>
        <v>Saber</v>
      </c>
      <c r="B24" s="16" t="s">
        <v>102</v>
      </c>
      <c r="C24" s="137"/>
      <c r="D24" s="137"/>
      <c r="E24" s="169"/>
      <c r="F24" s="137"/>
      <c r="G24" s="137"/>
      <c r="H24" s="137"/>
      <c r="I24" s="137"/>
      <c r="J24" s="137"/>
      <c r="K24" s="137"/>
      <c r="L24" s="137"/>
      <c r="M24" s="137"/>
      <c r="N24" s="169"/>
      <c r="O24" s="169"/>
      <c r="P24" s="169"/>
      <c r="Q24" s="169"/>
    </row>
    <row r="25" spans="1:19" s="53" customFormat="1" ht="33" x14ac:dyDescent="0.35">
      <c r="A25" s="27" t="str">
        <f>_xlfn.XLOOKUP(B25,'Paso 3 Redacción RA '!I$3:I$15,'Paso 3 Redacción RA '!C$3:C$15,,0,1)</f>
        <v>Saberhacer</v>
      </c>
      <c r="B25" s="16" t="s">
        <v>93</v>
      </c>
      <c r="C25" s="137"/>
      <c r="D25" s="137"/>
      <c r="E25" s="169"/>
      <c r="F25" s="137"/>
      <c r="G25" s="137"/>
      <c r="H25" s="137"/>
      <c r="I25" s="137"/>
      <c r="J25" s="137"/>
      <c r="K25" s="137"/>
      <c r="L25" s="137"/>
      <c r="M25" s="137"/>
      <c r="N25" s="169"/>
      <c r="O25" s="169"/>
      <c r="P25" s="169"/>
      <c r="Q25" s="169"/>
    </row>
    <row r="26" spans="1:19" s="53" customFormat="1" ht="49.5" x14ac:dyDescent="0.35">
      <c r="A26" s="27" t="str">
        <f>_xlfn.XLOOKUP(B26,'Paso 3 Redacción RA '!I$3:I$15,'Paso 3 Redacción RA '!C$3:C$15,,0,1)</f>
        <v>Saberhacer</v>
      </c>
      <c r="B26" s="16" t="s">
        <v>101</v>
      </c>
      <c r="C26" s="137"/>
      <c r="D26" s="137"/>
      <c r="E26" s="169"/>
      <c r="F26" s="137"/>
      <c r="G26" s="137"/>
      <c r="H26" s="137"/>
      <c r="I26" s="137"/>
      <c r="J26" s="137"/>
      <c r="K26" s="137"/>
      <c r="L26" s="137"/>
      <c r="M26" s="137"/>
      <c r="N26" s="169"/>
      <c r="O26" s="169"/>
      <c r="P26" s="169"/>
      <c r="Q26" s="169"/>
    </row>
    <row r="27" spans="1:19" s="53" customFormat="1" ht="33" x14ac:dyDescent="0.35">
      <c r="A27" s="27" t="str">
        <f>_xlfn.XLOOKUP(B27,'Paso 3 Redacción RA '!I$3:I$15,'Paso 3 Redacción RA '!C$3:C$15,,0,1)</f>
        <v>Saberhacer</v>
      </c>
      <c r="B27" s="16" t="s">
        <v>104</v>
      </c>
      <c r="C27" s="137"/>
      <c r="D27" s="137"/>
      <c r="E27" s="169"/>
      <c r="F27" s="137"/>
      <c r="G27" s="137"/>
      <c r="H27" s="137"/>
      <c r="I27" s="137"/>
      <c r="J27" s="137"/>
      <c r="K27" s="137"/>
      <c r="L27" s="137"/>
      <c r="M27" s="137"/>
      <c r="N27" s="169"/>
      <c r="O27" s="169"/>
      <c r="P27" s="169"/>
      <c r="Q27" s="169"/>
    </row>
    <row r="28" spans="1:19" s="53" customFormat="1" ht="50" thickBot="1" x14ac:dyDescent="0.4">
      <c r="A28" s="98" t="str">
        <f>_xlfn.XLOOKUP(B28,'Paso 3 Redacción RA '!I$3:I$15,'Paso 3 Redacción RA '!C$3:C$15,,0,1)</f>
        <v>Saberser</v>
      </c>
      <c r="B28" s="30" t="s">
        <v>96</v>
      </c>
      <c r="C28" s="144"/>
      <c r="D28" s="144"/>
      <c r="E28" s="170"/>
      <c r="F28" s="144"/>
      <c r="G28" s="144"/>
      <c r="H28" s="144"/>
      <c r="I28" s="144"/>
      <c r="J28" s="144"/>
      <c r="K28" s="144"/>
      <c r="L28" s="144"/>
      <c r="M28" s="144"/>
      <c r="N28" s="170"/>
      <c r="O28" s="170"/>
      <c r="P28" s="170"/>
      <c r="Q28" s="170"/>
    </row>
    <row r="29" spans="1:19" s="53" customFormat="1" ht="49.5" x14ac:dyDescent="0.35">
      <c r="A29" s="27" t="str">
        <f>_xlfn.XLOOKUP(B29,'Paso 3 Redacción RA '!I$3:I$15,'Paso 3 Redacción RA '!C$3:C$15,,0,1)</f>
        <v>Saber</v>
      </c>
      <c r="B29" s="16" t="s">
        <v>99</v>
      </c>
      <c r="C29" s="143">
        <v>2</v>
      </c>
      <c r="D29" s="143" t="s">
        <v>211</v>
      </c>
      <c r="E29" s="168" t="s">
        <v>212</v>
      </c>
      <c r="F29" s="143" t="s">
        <v>181</v>
      </c>
      <c r="G29" s="143"/>
      <c r="H29" s="143" t="s">
        <v>182</v>
      </c>
      <c r="I29" s="143"/>
      <c r="J29" s="143">
        <v>3</v>
      </c>
      <c r="K29" s="143">
        <f>J29*12</f>
        <v>36</v>
      </c>
      <c r="L29" s="143">
        <f>36*J29</f>
        <v>108</v>
      </c>
      <c r="M29" s="143">
        <f>SUM(K29:L29)</f>
        <v>144</v>
      </c>
      <c r="N29" s="168" t="s">
        <v>213</v>
      </c>
      <c r="O29" s="168" t="s">
        <v>196</v>
      </c>
      <c r="P29" s="168" t="s">
        <v>214</v>
      </c>
      <c r="Q29" s="168" t="s">
        <v>191</v>
      </c>
    </row>
    <row r="30" spans="1:19" s="53" customFormat="1" ht="33" x14ac:dyDescent="0.35">
      <c r="A30" s="27" t="str">
        <f>_xlfn.XLOOKUP(B30,'Paso 3 Redacción RA '!I$3:I$15,'Paso 3 Redacción RA '!C$3:C$15,,0,1)</f>
        <v>Saberhacer</v>
      </c>
      <c r="B30" s="16" t="s">
        <v>93</v>
      </c>
      <c r="C30" s="137"/>
      <c r="D30" s="137"/>
      <c r="E30" s="169"/>
      <c r="F30" s="137"/>
      <c r="G30" s="137"/>
      <c r="H30" s="137"/>
      <c r="I30" s="137"/>
      <c r="J30" s="137"/>
      <c r="K30" s="137"/>
      <c r="L30" s="137"/>
      <c r="M30" s="137"/>
      <c r="N30" s="169"/>
      <c r="O30" s="169"/>
      <c r="P30" s="169"/>
      <c r="Q30" s="169"/>
    </row>
    <row r="31" spans="1:19" s="53" customFormat="1" ht="49.5" x14ac:dyDescent="0.35">
      <c r="A31" s="27" t="str">
        <f>_xlfn.XLOOKUP(B31,'Paso 3 Redacción RA '!I$3:I$15,'Paso 3 Redacción RA '!C$3:C$15,,0,1)</f>
        <v>Saberhacer</v>
      </c>
      <c r="B31" s="16" t="s">
        <v>101</v>
      </c>
      <c r="C31" s="137"/>
      <c r="D31" s="137"/>
      <c r="E31" s="169"/>
      <c r="F31" s="137"/>
      <c r="G31" s="137"/>
      <c r="H31" s="137"/>
      <c r="I31" s="137"/>
      <c r="J31" s="137"/>
      <c r="K31" s="137"/>
      <c r="L31" s="137"/>
      <c r="M31" s="137"/>
      <c r="N31" s="169"/>
      <c r="O31" s="169"/>
      <c r="P31" s="169"/>
      <c r="Q31" s="169"/>
    </row>
    <row r="32" spans="1:19" s="53" customFormat="1" ht="33" x14ac:dyDescent="0.35">
      <c r="A32" s="27" t="str">
        <f>_xlfn.XLOOKUP(B32,'Paso 3 Redacción RA '!I$3:I$15,'Paso 3 Redacción RA '!C$3:C$15,,0,1)</f>
        <v>Saberhacer</v>
      </c>
      <c r="B32" s="16" t="s">
        <v>104</v>
      </c>
      <c r="C32" s="137"/>
      <c r="D32" s="137"/>
      <c r="E32" s="169"/>
      <c r="F32" s="137"/>
      <c r="G32" s="137"/>
      <c r="H32" s="137"/>
      <c r="I32" s="137"/>
      <c r="J32" s="137"/>
      <c r="K32" s="137"/>
      <c r="L32" s="137"/>
      <c r="M32" s="137"/>
      <c r="N32" s="169"/>
      <c r="O32" s="169"/>
      <c r="P32" s="169"/>
      <c r="Q32" s="169"/>
    </row>
    <row r="33" spans="1:19" s="53" customFormat="1" ht="50" thickBot="1" x14ac:dyDescent="0.4">
      <c r="A33" s="98" t="str">
        <f>_xlfn.XLOOKUP(B33,'Paso 3 Redacción RA '!I$3:I$15,'Paso 3 Redacción RA '!C$3:C$15,,0,1)</f>
        <v>Saberser</v>
      </c>
      <c r="B33" s="30" t="s">
        <v>96</v>
      </c>
      <c r="C33" s="144"/>
      <c r="D33" s="144"/>
      <c r="E33" s="170"/>
      <c r="F33" s="144"/>
      <c r="G33" s="144"/>
      <c r="H33" s="144"/>
      <c r="I33" s="144"/>
      <c r="J33" s="144"/>
      <c r="K33" s="144"/>
      <c r="L33" s="144"/>
      <c r="M33" s="144"/>
      <c r="N33" s="170"/>
      <c r="O33" s="170"/>
      <c r="P33" s="170"/>
      <c r="Q33" s="170"/>
    </row>
    <row r="34" spans="1:19" s="53" customFormat="1" ht="49.5" x14ac:dyDescent="0.35">
      <c r="A34" s="27" t="str">
        <f>_xlfn.XLOOKUP(B34,'Paso 3 Redacción RA '!I$3:I$15,'Paso 3 Redacción RA '!C$3:C$15,,0,1)</f>
        <v>Saber</v>
      </c>
      <c r="B34" s="16" t="s">
        <v>99</v>
      </c>
      <c r="C34" s="143">
        <v>2</v>
      </c>
      <c r="D34" s="143" t="s">
        <v>215</v>
      </c>
      <c r="E34" s="168" t="s">
        <v>216</v>
      </c>
      <c r="F34" s="143" t="s">
        <v>181</v>
      </c>
      <c r="G34" s="143"/>
      <c r="H34" s="143" t="s">
        <v>182</v>
      </c>
      <c r="I34" s="143"/>
      <c r="J34" s="143">
        <v>3</v>
      </c>
      <c r="K34" s="143">
        <f>J34*12</f>
        <v>36</v>
      </c>
      <c r="L34" s="143">
        <f>36*J34</f>
        <v>108</v>
      </c>
      <c r="M34" s="143">
        <f>SUM(K34:L34)</f>
        <v>144</v>
      </c>
      <c r="N34" s="168" t="s">
        <v>217</v>
      </c>
      <c r="O34" s="168" t="s">
        <v>196</v>
      </c>
      <c r="P34" s="168" t="s">
        <v>214</v>
      </c>
      <c r="Q34" s="168" t="s">
        <v>191</v>
      </c>
    </row>
    <row r="35" spans="1:19" s="53" customFormat="1" ht="33" x14ac:dyDescent="0.35">
      <c r="A35" s="27" t="str">
        <f>_xlfn.XLOOKUP(B35,'Paso 3 Redacción RA '!I$3:I$15,'Paso 3 Redacción RA '!C$3:C$15,,0,1)</f>
        <v>Saberhacer</v>
      </c>
      <c r="B35" s="16" t="s">
        <v>93</v>
      </c>
      <c r="C35" s="137"/>
      <c r="D35" s="137"/>
      <c r="E35" s="169"/>
      <c r="F35" s="137"/>
      <c r="G35" s="137"/>
      <c r="H35" s="137"/>
      <c r="I35" s="137"/>
      <c r="J35" s="137"/>
      <c r="K35" s="137"/>
      <c r="L35" s="137"/>
      <c r="M35" s="137"/>
      <c r="N35" s="169"/>
      <c r="O35" s="169"/>
      <c r="P35" s="169"/>
      <c r="Q35" s="169"/>
    </row>
    <row r="36" spans="1:19" s="53" customFormat="1" ht="49.5" x14ac:dyDescent="0.35">
      <c r="A36" s="27" t="str">
        <f>_xlfn.XLOOKUP(B36,'Paso 3 Redacción RA '!I$3:I$15,'Paso 3 Redacción RA '!C$3:C$15,,0,1)</f>
        <v>Saberhacer</v>
      </c>
      <c r="B36" s="16" t="s">
        <v>101</v>
      </c>
      <c r="C36" s="137"/>
      <c r="D36" s="137"/>
      <c r="E36" s="169"/>
      <c r="F36" s="137"/>
      <c r="G36" s="137"/>
      <c r="H36" s="137"/>
      <c r="I36" s="137"/>
      <c r="J36" s="137"/>
      <c r="K36" s="137"/>
      <c r="L36" s="137"/>
      <c r="M36" s="137"/>
      <c r="N36" s="169"/>
      <c r="O36" s="169"/>
      <c r="P36" s="169"/>
      <c r="Q36" s="169"/>
    </row>
    <row r="37" spans="1:19" s="53" customFormat="1" ht="33" x14ac:dyDescent="0.35">
      <c r="A37" s="27" t="str">
        <f>_xlfn.XLOOKUP(B37,'Paso 3 Redacción RA '!I$3:I$15,'Paso 3 Redacción RA '!C$3:C$15,,0,1)</f>
        <v>Saberhacer</v>
      </c>
      <c r="B37" s="16" t="s">
        <v>104</v>
      </c>
      <c r="C37" s="137"/>
      <c r="D37" s="137"/>
      <c r="E37" s="169"/>
      <c r="F37" s="137"/>
      <c r="G37" s="137"/>
      <c r="H37" s="137"/>
      <c r="I37" s="137"/>
      <c r="J37" s="137"/>
      <c r="K37" s="137"/>
      <c r="L37" s="137"/>
      <c r="M37" s="137"/>
      <c r="N37" s="169"/>
      <c r="O37" s="169"/>
      <c r="P37" s="169"/>
      <c r="Q37" s="169"/>
    </row>
    <row r="38" spans="1:19" s="53" customFormat="1" ht="50" thickBot="1" x14ac:dyDescent="0.4">
      <c r="A38" s="98" t="str">
        <f>_xlfn.XLOOKUP(B38,'Paso 3 Redacción RA '!I$3:I$15,'Paso 3 Redacción RA '!C$3:C$15,,0,1)</f>
        <v>Saberser</v>
      </c>
      <c r="B38" s="30" t="s">
        <v>96</v>
      </c>
      <c r="C38" s="144"/>
      <c r="D38" s="144"/>
      <c r="E38" s="170"/>
      <c r="F38" s="144"/>
      <c r="G38" s="144"/>
      <c r="H38" s="144"/>
      <c r="I38" s="144"/>
      <c r="J38" s="144"/>
      <c r="K38" s="144"/>
      <c r="L38" s="144"/>
      <c r="M38" s="144"/>
      <c r="N38" s="170"/>
      <c r="O38" s="170"/>
      <c r="P38" s="170"/>
      <c r="Q38" s="170"/>
    </row>
    <row r="39" spans="1:19" s="53" customFormat="1" ht="49.5" x14ac:dyDescent="0.35">
      <c r="A39" s="27" t="str">
        <f>_xlfn.XLOOKUP(B39,'Paso 3 Redacción RA '!I$3:I$15,'Paso 3 Redacción RA '!C$3:C$15,,0,1)</f>
        <v>Saber</v>
      </c>
      <c r="B39" s="16" t="s">
        <v>99</v>
      </c>
      <c r="C39" s="143">
        <v>2</v>
      </c>
      <c r="D39" s="143" t="s">
        <v>218</v>
      </c>
      <c r="E39" s="168" t="s">
        <v>219</v>
      </c>
      <c r="F39" s="143" t="s">
        <v>181</v>
      </c>
      <c r="G39" s="143"/>
      <c r="H39" s="143" t="s">
        <v>182</v>
      </c>
      <c r="I39" s="143"/>
      <c r="J39" s="143">
        <v>4</v>
      </c>
      <c r="K39" s="143">
        <f>J39*12</f>
        <v>48</v>
      </c>
      <c r="L39" s="143">
        <f>36*J39</f>
        <v>144</v>
      </c>
      <c r="M39" s="143">
        <f>SUM(K39:L39)</f>
        <v>192</v>
      </c>
      <c r="N39" s="168" t="s">
        <v>220</v>
      </c>
      <c r="O39" s="168" t="s">
        <v>196</v>
      </c>
      <c r="P39" s="168" t="s">
        <v>201</v>
      </c>
      <c r="Q39" s="168" t="s">
        <v>191</v>
      </c>
    </row>
    <row r="40" spans="1:19" s="53" customFormat="1" ht="33" x14ac:dyDescent="0.35">
      <c r="A40" s="27" t="str">
        <f>_xlfn.XLOOKUP(B40,'Paso 3 Redacción RA '!I$3:I$15,'Paso 3 Redacción RA '!C$3:C$15,,0,1)</f>
        <v>Saberhacer</v>
      </c>
      <c r="B40" s="16" t="s">
        <v>93</v>
      </c>
      <c r="C40" s="137"/>
      <c r="D40" s="137"/>
      <c r="E40" s="169"/>
      <c r="F40" s="137"/>
      <c r="G40" s="137"/>
      <c r="H40" s="137"/>
      <c r="I40" s="137"/>
      <c r="J40" s="137"/>
      <c r="K40" s="137"/>
      <c r="L40" s="137"/>
      <c r="M40" s="137"/>
      <c r="N40" s="169"/>
      <c r="O40" s="169"/>
      <c r="P40" s="169"/>
      <c r="Q40" s="169"/>
    </row>
    <row r="41" spans="1:19" s="53" customFormat="1" ht="49.5" x14ac:dyDescent="0.35">
      <c r="A41" s="27" t="str">
        <f>_xlfn.XLOOKUP(B41,'Paso 3 Redacción RA '!I$3:I$15,'Paso 3 Redacción RA '!C$3:C$15,,0,1)</f>
        <v>Saberhacer</v>
      </c>
      <c r="B41" s="16" t="s">
        <v>101</v>
      </c>
      <c r="C41" s="137"/>
      <c r="D41" s="137"/>
      <c r="E41" s="169"/>
      <c r="F41" s="137"/>
      <c r="G41" s="137"/>
      <c r="H41" s="137"/>
      <c r="I41" s="137"/>
      <c r="J41" s="137"/>
      <c r="K41" s="137"/>
      <c r="L41" s="137"/>
      <c r="M41" s="137"/>
      <c r="N41" s="169"/>
      <c r="O41" s="169"/>
      <c r="P41" s="169"/>
      <c r="Q41" s="169"/>
    </row>
    <row r="42" spans="1:19" s="53" customFormat="1" ht="33" x14ac:dyDescent="0.35">
      <c r="A42" s="27" t="str">
        <f>_xlfn.XLOOKUP(B42,'Paso 3 Redacción RA '!I$3:I$15,'Paso 3 Redacción RA '!C$3:C$15,,0,1)</f>
        <v>Saberhacer</v>
      </c>
      <c r="B42" s="16" t="s">
        <v>104</v>
      </c>
      <c r="C42" s="137"/>
      <c r="D42" s="137"/>
      <c r="E42" s="169"/>
      <c r="F42" s="137"/>
      <c r="G42" s="137"/>
      <c r="H42" s="137"/>
      <c r="I42" s="137"/>
      <c r="J42" s="137"/>
      <c r="K42" s="137"/>
      <c r="L42" s="137"/>
      <c r="M42" s="137"/>
      <c r="N42" s="169"/>
      <c r="O42" s="169"/>
      <c r="P42" s="169"/>
      <c r="Q42" s="169"/>
    </row>
    <row r="43" spans="1:19" s="53" customFormat="1" ht="50" thickBot="1" x14ac:dyDescent="0.4">
      <c r="A43" s="98" t="str">
        <f>_xlfn.XLOOKUP(B43,'Paso 3 Redacción RA '!I$3:I$15,'Paso 3 Redacción RA '!C$3:C$15,,0,1)</f>
        <v>Saberser</v>
      </c>
      <c r="B43" s="30" t="s">
        <v>96</v>
      </c>
      <c r="C43" s="144"/>
      <c r="D43" s="144"/>
      <c r="E43" s="170"/>
      <c r="F43" s="144"/>
      <c r="G43" s="144"/>
      <c r="H43" s="144"/>
      <c r="I43" s="144"/>
      <c r="J43" s="144"/>
      <c r="K43" s="144"/>
      <c r="L43" s="144"/>
      <c r="M43" s="144"/>
      <c r="N43" s="170"/>
      <c r="O43" s="170"/>
      <c r="P43" s="170"/>
      <c r="Q43" s="170"/>
      <c r="R43" s="53">
        <f>SUM(J21:J43)</f>
        <v>16</v>
      </c>
      <c r="S43" s="53">
        <f>COUNTA(D21:D43)</f>
        <v>5</v>
      </c>
    </row>
    <row r="44" spans="1:19" s="53" customFormat="1" ht="248" thickBot="1" x14ac:dyDescent="0.4">
      <c r="A44" s="105" t="str">
        <f>_xlfn.XLOOKUP(B44,'Paso 3 Redacción RA '!I$3:I$15,'Paso 3 Redacción RA '!C$3:C$15,,0,1)</f>
        <v>Saber</v>
      </c>
      <c r="B44" s="94" t="s">
        <v>109</v>
      </c>
      <c r="C44" s="75">
        <v>3</v>
      </c>
      <c r="D44" s="76" t="s">
        <v>221</v>
      </c>
      <c r="E44" s="74" t="s">
        <v>222</v>
      </c>
      <c r="F44" s="75" t="s">
        <v>181</v>
      </c>
      <c r="G44" s="76" t="s">
        <v>182</v>
      </c>
      <c r="H44" s="76"/>
      <c r="I44" s="76"/>
      <c r="J44" s="75">
        <v>3</v>
      </c>
      <c r="K44" s="75">
        <f>12*J44</f>
        <v>36</v>
      </c>
      <c r="L44" s="75">
        <f>36*J44</f>
        <v>108</v>
      </c>
      <c r="M44" s="75">
        <f>SUM(K44:L44)</f>
        <v>144</v>
      </c>
      <c r="N44" s="74" t="s">
        <v>223</v>
      </c>
      <c r="O44" s="100" t="s">
        <v>184</v>
      </c>
      <c r="P44" s="100" t="s">
        <v>224</v>
      </c>
      <c r="Q44" s="74" t="s">
        <v>191</v>
      </c>
    </row>
    <row r="45" spans="1:19" s="12" customFormat="1" ht="248" thickBot="1" x14ac:dyDescent="0.4">
      <c r="A45" s="105" t="str">
        <f>_xlfn.XLOOKUP(B45,'Paso 3 Redacción RA '!I$3:I$15,'Paso 3 Redacción RA '!C$3:C$15,,0,1)</f>
        <v>Saber</v>
      </c>
      <c r="B45" s="94" t="s">
        <v>109</v>
      </c>
      <c r="C45" s="79">
        <v>3</v>
      </c>
      <c r="D45" s="76" t="s">
        <v>225</v>
      </c>
      <c r="E45" s="74" t="s">
        <v>226</v>
      </c>
      <c r="F45" s="75" t="s">
        <v>181</v>
      </c>
      <c r="G45" s="75" t="s">
        <v>182</v>
      </c>
      <c r="H45" s="75"/>
      <c r="I45" s="75"/>
      <c r="J45" s="79">
        <v>3</v>
      </c>
      <c r="K45" s="75">
        <f>12*J45</f>
        <v>36</v>
      </c>
      <c r="L45" s="75">
        <f>36*J45</f>
        <v>108</v>
      </c>
      <c r="M45" s="75">
        <f>SUM(K45:L45)</f>
        <v>144</v>
      </c>
      <c r="N45" s="74" t="s">
        <v>227</v>
      </c>
      <c r="O45" s="94" t="s">
        <v>184</v>
      </c>
      <c r="P45" s="94" t="s">
        <v>228</v>
      </c>
      <c r="Q45" s="74" t="s">
        <v>191</v>
      </c>
    </row>
    <row r="46" spans="1:19" s="53" customFormat="1" ht="49.5" x14ac:dyDescent="0.35">
      <c r="A46" s="27" t="str">
        <f>_xlfn.XLOOKUP(B46,'Paso 3 Redacción RA '!I$3:I$15,'Paso 3 Redacción RA '!C$3:C$15,,0,1)</f>
        <v>Saber</v>
      </c>
      <c r="B46" s="16" t="s">
        <v>99</v>
      </c>
      <c r="C46" s="143">
        <v>3</v>
      </c>
      <c r="D46" s="143" t="s">
        <v>229</v>
      </c>
      <c r="E46" s="168" t="s">
        <v>230</v>
      </c>
      <c r="F46" s="143" t="s">
        <v>181</v>
      </c>
      <c r="G46" s="143"/>
      <c r="H46" s="143" t="s">
        <v>182</v>
      </c>
      <c r="I46" s="143"/>
      <c r="J46" s="143">
        <v>4</v>
      </c>
      <c r="K46" s="143">
        <f>J46*12</f>
        <v>48</v>
      </c>
      <c r="L46" s="143">
        <f>36*J46</f>
        <v>144</v>
      </c>
      <c r="M46" s="143">
        <f>SUM(K46:L46)</f>
        <v>192</v>
      </c>
      <c r="N46" s="168" t="s">
        <v>231</v>
      </c>
      <c r="O46" s="168" t="s">
        <v>196</v>
      </c>
      <c r="P46" s="160" t="s">
        <v>201</v>
      </c>
      <c r="Q46" s="168" t="s">
        <v>191</v>
      </c>
    </row>
    <row r="47" spans="1:19" s="53" customFormat="1" ht="33" x14ac:dyDescent="0.35">
      <c r="A47" s="27" t="str">
        <f>_xlfn.XLOOKUP(B47,'Paso 3 Redacción RA '!I$3:I$15,'Paso 3 Redacción RA '!C$3:C$15,,0,1)</f>
        <v>Saberhacer</v>
      </c>
      <c r="B47" s="16" t="s">
        <v>93</v>
      </c>
      <c r="C47" s="137"/>
      <c r="D47" s="137"/>
      <c r="E47" s="169"/>
      <c r="F47" s="137"/>
      <c r="G47" s="137"/>
      <c r="H47" s="137"/>
      <c r="I47" s="137"/>
      <c r="J47" s="137"/>
      <c r="K47" s="137"/>
      <c r="L47" s="137"/>
      <c r="M47" s="137"/>
      <c r="N47" s="169"/>
      <c r="O47" s="169"/>
      <c r="P47" s="173"/>
      <c r="Q47" s="169"/>
    </row>
    <row r="48" spans="1:19" s="53" customFormat="1" ht="49.5" x14ac:dyDescent="0.35">
      <c r="A48" s="27" t="str">
        <f>_xlfn.XLOOKUP(B48,'Paso 3 Redacción RA '!I$3:I$15,'Paso 3 Redacción RA '!C$3:C$15,,0,1)</f>
        <v>Saberhacer</v>
      </c>
      <c r="B48" s="16" t="s">
        <v>101</v>
      </c>
      <c r="C48" s="137"/>
      <c r="D48" s="137"/>
      <c r="E48" s="169"/>
      <c r="F48" s="137"/>
      <c r="G48" s="137"/>
      <c r="H48" s="137"/>
      <c r="I48" s="137"/>
      <c r="J48" s="137"/>
      <c r="K48" s="137"/>
      <c r="L48" s="137"/>
      <c r="M48" s="137"/>
      <c r="N48" s="169"/>
      <c r="O48" s="169"/>
      <c r="P48" s="173"/>
      <c r="Q48" s="169"/>
    </row>
    <row r="49" spans="1:19" s="53" customFormat="1" ht="33" x14ac:dyDescent="0.35">
      <c r="A49" s="27" t="str">
        <f>_xlfn.XLOOKUP(B49,'Paso 3 Redacción RA '!I$3:I$15,'Paso 3 Redacción RA '!C$3:C$15,,0,1)</f>
        <v>Saberhacer</v>
      </c>
      <c r="B49" s="16" t="s">
        <v>104</v>
      </c>
      <c r="C49" s="137"/>
      <c r="D49" s="137"/>
      <c r="E49" s="169"/>
      <c r="F49" s="137"/>
      <c r="G49" s="137"/>
      <c r="H49" s="137"/>
      <c r="I49" s="137"/>
      <c r="J49" s="137"/>
      <c r="K49" s="137"/>
      <c r="L49" s="137"/>
      <c r="M49" s="137"/>
      <c r="N49" s="169"/>
      <c r="O49" s="169"/>
      <c r="P49" s="173"/>
      <c r="Q49" s="169"/>
    </row>
    <row r="50" spans="1:19" s="53" customFormat="1" ht="50" thickBot="1" x14ac:dyDescent="0.4">
      <c r="A50" s="98" t="str">
        <f>_xlfn.XLOOKUP(B50,'Paso 3 Redacción RA '!I$3:I$15,'Paso 3 Redacción RA '!C$3:C$15,,0,1)</f>
        <v>Saberser</v>
      </c>
      <c r="B50" s="30" t="s">
        <v>96</v>
      </c>
      <c r="C50" s="144"/>
      <c r="D50" s="144"/>
      <c r="E50" s="170"/>
      <c r="F50" s="144"/>
      <c r="G50" s="144"/>
      <c r="H50" s="144"/>
      <c r="I50" s="144"/>
      <c r="J50" s="144"/>
      <c r="K50" s="144"/>
      <c r="L50" s="144"/>
      <c r="M50" s="144"/>
      <c r="N50" s="170"/>
      <c r="O50" s="170"/>
      <c r="P50" s="174"/>
      <c r="Q50" s="170"/>
    </row>
    <row r="51" spans="1:19" s="53" customFormat="1" ht="49.5" x14ac:dyDescent="0.35">
      <c r="A51" s="27" t="str">
        <f>_xlfn.XLOOKUP(B51,'Paso 3 Redacción RA '!I$3:I$15,'Paso 3 Redacción RA '!C$3:C$15,,0,1)</f>
        <v>Saber</v>
      </c>
      <c r="B51" s="16" t="s">
        <v>90</v>
      </c>
      <c r="C51" s="143">
        <v>3</v>
      </c>
      <c r="D51" s="143" t="s">
        <v>232</v>
      </c>
      <c r="E51" s="168" t="s">
        <v>233</v>
      </c>
      <c r="F51" s="143" t="s">
        <v>181</v>
      </c>
      <c r="G51" s="143"/>
      <c r="H51" s="143" t="s">
        <v>182</v>
      </c>
      <c r="I51" s="143"/>
      <c r="J51" s="143">
        <v>4</v>
      </c>
      <c r="K51" s="143">
        <f>J51*12</f>
        <v>48</v>
      </c>
      <c r="L51" s="143">
        <f>36*J51</f>
        <v>144</v>
      </c>
      <c r="M51" s="143">
        <f>SUM(K51:L51)</f>
        <v>192</v>
      </c>
      <c r="N51" s="168" t="s">
        <v>234</v>
      </c>
      <c r="O51" s="168" t="s">
        <v>196</v>
      </c>
      <c r="P51" s="168" t="s">
        <v>201</v>
      </c>
      <c r="Q51" s="168" t="s">
        <v>191</v>
      </c>
    </row>
    <row r="52" spans="1:19" s="53" customFormat="1" ht="49.5" x14ac:dyDescent="0.35">
      <c r="A52" s="27" t="str">
        <f>_xlfn.XLOOKUP(B52,'Paso 3 Redacción RA '!I$3:I$15,'Paso 3 Redacción RA '!C$3:C$15,,0,1)</f>
        <v>Saber</v>
      </c>
      <c r="B52" s="16" t="s">
        <v>102</v>
      </c>
      <c r="C52" s="137"/>
      <c r="D52" s="137"/>
      <c r="E52" s="169"/>
      <c r="F52" s="137"/>
      <c r="G52" s="137"/>
      <c r="H52" s="137"/>
      <c r="I52" s="137"/>
      <c r="J52" s="137"/>
      <c r="K52" s="137"/>
      <c r="L52" s="137"/>
      <c r="M52" s="137"/>
      <c r="N52" s="169"/>
      <c r="O52" s="169"/>
      <c r="P52" s="169"/>
      <c r="Q52" s="169"/>
    </row>
    <row r="53" spans="1:19" s="53" customFormat="1" ht="33" x14ac:dyDescent="0.35">
      <c r="A53" s="27" t="str">
        <f>_xlfn.XLOOKUP(B53,'Paso 3 Redacción RA '!I$3:I$15,'Paso 3 Redacción RA '!C$3:C$15,,0,1)</f>
        <v>Saberhacer</v>
      </c>
      <c r="B53" s="16" t="s">
        <v>93</v>
      </c>
      <c r="C53" s="137"/>
      <c r="D53" s="137"/>
      <c r="E53" s="169"/>
      <c r="F53" s="137"/>
      <c r="G53" s="137"/>
      <c r="H53" s="137"/>
      <c r="I53" s="137"/>
      <c r="J53" s="137"/>
      <c r="K53" s="137"/>
      <c r="L53" s="137"/>
      <c r="M53" s="137"/>
      <c r="N53" s="169"/>
      <c r="O53" s="169"/>
      <c r="P53" s="169"/>
      <c r="Q53" s="169"/>
    </row>
    <row r="54" spans="1:19" s="53" customFormat="1" ht="33" x14ac:dyDescent="0.35">
      <c r="A54" s="27" t="str">
        <f>_xlfn.XLOOKUP(B54,'Paso 3 Redacción RA '!I$3:I$15,'Paso 3 Redacción RA '!C$3:C$15,,0,1)</f>
        <v>Saberhacer</v>
      </c>
      <c r="B54" s="16" t="s">
        <v>104</v>
      </c>
      <c r="C54" s="137"/>
      <c r="D54" s="137"/>
      <c r="E54" s="169"/>
      <c r="F54" s="137"/>
      <c r="G54" s="137"/>
      <c r="H54" s="137"/>
      <c r="I54" s="137"/>
      <c r="J54" s="137"/>
      <c r="K54" s="137"/>
      <c r="L54" s="137"/>
      <c r="M54" s="137"/>
      <c r="N54" s="169"/>
      <c r="O54" s="169"/>
      <c r="P54" s="169"/>
      <c r="Q54" s="169"/>
    </row>
    <row r="55" spans="1:19" s="53" customFormat="1" ht="50" thickBot="1" x14ac:dyDescent="0.4">
      <c r="A55" s="98" t="str">
        <f>_xlfn.XLOOKUP(B55,'Paso 3 Redacción RA '!I$3:I$15,'Paso 3 Redacción RA '!C$3:C$15,,0,1)</f>
        <v>Saberser</v>
      </c>
      <c r="B55" s="30" t="s">
        <v>96</v>
      </c>
      <c r="C55" s="144"/>
      <c r="D55" s="144"/>
      <c r="E55" s="170"/>
      <c r="F55" s="144"/>
      <c r="G55" s="144"/>
      <c r="H55" s="144"/>
      <c r="I55" s="144"/>
      <c r="J55" s="144"/>
      <c r="K55" s="144"/>
      <c r="L55" s="144"/>
      <c r="M55" s="144"/>
      <c r="N55" s="170"/>
      <c r="O55" s="170"/>
      <c r="P55" s="170"/>
      <c r="Q55" s="170"/>
    </row>
    <row r="56" spans="1:19" s="53" customFormat="1" ht="49.5" x14ac:dyDescent="0.35">
      <c r="A56" s="27" t="str">
        <f>_xlfn.XLOOKUP(B56,'Paso 3 Redacción RA '!I$3:I$15,'Paso 3 Redacción RA '!C$3:C$15,,0,1)</f>
        <v>Saber</v>
      </c>
      <c r="B56" s="16" t="s">
        <v>99</v>
      </c>
      <c r="C56" s="143">
        <v>3</v>
      </c>
      <c r="D56" s="143" t="s">
        <v>235</v>
      </c>
      <c r="E56" s="168" t="s">
        <v>236</v>
      </c>
      <c r="F56" s="143" t="s">
        <v>181</v>
      </c>
      <c r="G56" s="143"/>
      <c r="H56" s="143" t="s">
        <v>182</v>
      </c>
      <c r="I56" s="143"/>
      <c r="J56" s="143">
        <v>3</v>
      </c>
      <c r="K56" s="143">
        <f>J56*12</f>
        <v>36</v>
      </c>
      <c r="L56" s="143">
        <f>36*J56</f>
        <v>108</v>
      </c>
      <c r="M56" s="143">
        <f>SUM(K56:L56)</f>
        <v>144</v>
      </c>
      <c r="N56" s="168" t="s">
        <v>237</v>
      </c>
      <c r="O56" s="168" t="s">
        <v>196</v>
      </c>
      <c r="P56" s="168" t="s">
        <v>214</v>
      </c>
      <c r="Q56" s="168" t="s">
        <v>191</v>
      </c>
    </row>
    <row r="57" spans="1:19" s="53" customFormat="1" ht="33" x14ac:dyDescent="0.35">
      <c r="A57" s="27" t="str">
        <f>_xlfn.XLOOKUP(B57,'Paso 3 Redacción RA '!I$3:I$15,'Paso 3 Redacción RA '!C$3:C$15,,0,1)</f>
        <v>Saberhacer</v>
      </c>
      <c r="B57" s="16" t="s">
        <v>93</v>
      </c>
      <c r="C57" s="137"/>
      <c r="D57" s="137"/>
      <c r="E57" s="169"/>
      <c r="F57" s="137"/>
      <c r="G57" s="137"/>
      <c r="H57" s="137"/>
      <c r="I57" s="137"/>
      <c r="J57" s="137"/>
      <c r="K57" s="137"/>
      <c r="L57" s="137"/>
      <c r="M57" s="137"/>
      <c r="N57" s="169"/>
      <c r="O57" s="169"/>
      <c r="P57" s="169"/>
      <c r="Q57" s="169"/>
    </row>
    <row r="58" spans="1:19" s="53" customFormat="1" ht="49.5" x14ac:dyDescent="0.35">
      <c r="A58" s="27" t="str">
        <f>_xlfn.XLOOKUP(B58,'Paso 3 Redacción RA '!I$3:I$15,'Paso 3 Redacción RA '!C$3:C$15,,0,1)</f>
        <v>Saberhacer</v>
      </c>
      <c r="B58" s="16" t="s">
        <v>101</v>
      </c>
      <c r="C58" s="137"/>
      <c r="D58" s="137"/>
      <c r="E58" s="169"/>
      <c r="F58" s="137"/>
      <c r="G58" s="137"/>
      <c r="H58" s="137"/>
      <c r="I58" s="137"/>
      <c r="J58" s="137"/>
      <c r="K58" s="137"/>
      <c r="L58" s="137"/>
      <c r="M58" s="137"/>
      <c r="N58" s="169"/>
      <c r="O58" s="169"/>
      <c r="P58" s="169"/>
      <c r="Q58" s="169"/>
    </row>
    <row r="59" spans="1:19" s="53" customFormat="1" ht="50" thickBot="1" x14ac:dyDescent="0.4">
      <c r="A59" s="98" t="str">
        <f>_xlfn.XLOOKUP(B59,'Paso 3 Redacción RA '!I$3:I$15,'Paso 3 Redacción RA '!C$3:C$15,,0,1)</f>
        <v>Saberser</v>
      </c>
      <c r="B59" s="30" t="s">
        <v>96</v>
      </c>
      <c r="C59" s="144"/>
      <c r="D59" s="144"/>
      <c r="E59" s="170"/>
      <c r="F59" s="144"/>
      <c r="G59" s="144"/>
      <c r="H59" s="144"/>
      <c r="I59" s="144"/>
      <c r="J59" s="144"/>
      <c r="K59" s="144"/>
      <c r="L59" s="144"/>
      <c r="M59" s="144"/>
      <c r="N59" s="170"/>
      <c r="O59" s="170"/>
      <c r="P59" s="170"/>
      <c r="Q59" s="170"/>
      <c r="R59" s="53">
        <f>SUM(J44:J59)</f>
        <v>17</v>
      </c>
      <c r="S59" s="53">
        <f>COUNTA(D44:D59)</f>
        <v>5</v>
      </c>
    </row>
    <row r="60" spans="1:19" s="53" customFormat="1" ht="248" thickBot="1" x14ac:dyDescent="0.4">
      <c r="A60" s="105" t="str">
        <f>_xlfn.XLOOKUP(B60,'Paso 3 Redacción RA '!I$3:I$15,'Paso 3 Redacción RA '!C$3:C$15,,0,1)</f>
        <v>Saber</v>
      </c>
      <c r="B60" s="94" t="s">
        <v>109</v>
      </c>
      <c r="C60" s="79">
        <v>4</v>
      </c>
      <c r="D60" s="75" t="s">
        <v>238</v>
      </c>
      <c r="E60" s="74" t="s">
        <v>239</v>
      </c>
      <c r="F60" s="75" t="s">
        <v>181</v>
      </c>
      <c r="G60" s="80" t="s">
        <v>182</v>
      </c>
      <c r="H60" s="80"/>
      <c r="I60" s="80"/>
      <c r="J60" s="76">
        <v>3</v>
      </c>
      <c r="K60" s="75">
        <f>12*J60</f>
        <v>36</v>
      </c>
      <c r="L60" s="75">
        <f>36*J60</f>
        <v>108</v>
      </c>
      <c r="M60" s="80">
        <f>SUM(K60:L60)</f>
        <v>144</v>
      </c>
      <c r="N60" s="81" t="s">
        <v>240</v>
      </c>
      <c r="O60" s="101" t="s">
        <v>184</v>
      </c>
      <c r="P60" s="101" t="s">
        <v>241</v>
      </c>
      <c r="Q60" s="82" t="s">
        <v>191</v>
      </c>
    </row>
    <row r="61" spans="1:19" s="53" customFormat="1" ht="49.5" x14ac:dyDescent="0.35">
      <c r="A61" s="27" t="str">
        <f>_xlfn.XLOOKUP(B61,'Paso 3 Redacción RA '!I$3:I$15,'Paso 3 Redacción RA '!C$3:C$15,,0,1)</f>
        <v>Saber</v>
      </c>
      <c r="B61" s="16" t="s">
        <v>90</v>
      </c>
      <c r="C61" s="143">
        <v>4</v>
      </c>
      <c r="D61" s="143" t="s">
        <v>242</v>
      </c>
      <c r="E61" s="168" t="s">
        <v>243</v>
      </c>
      <c r="F61" s="143" t="s">
        <v>194</v>
      </c>
      <c r="G61" s="143"/>
      <c r="H61" s="143" t="s">
        <v>182</v>
      </c>
      <c r="I61" s="143"/>
      <c r="J61" s="143">
        <v>3</v>
      </c>
      <c r="K61" s="143">
        <f>J61*12</f>
        <v>36</v>
      </c>
      <c r="L61" s="143">
        <f>36*J61</f>
        <v>108</v>
      </c>
      <c r="M61" s="143">
        <f>SUM(K61:L61)</f>
        <v>144</v>
      </c>
      <c r="N61" s="168" t="s">
        <v>244</v>
      </c>
      <c r="O61" s="168" t="s">
        <v>196</v>
      </c>
      <c r="P61" s="168" t="s">
        <v>197</v>
      </c>
      <c r="Q61" s="168" t="s">
        <v>191</v>
      </c>
    </row>
    <row r="62" spans="1:19" s="53" customFormat="1" ht="49.5" x14ac:dyDescent="0.35">
      <c r="A62" s="27" t="str">
        <f>_xlfn.XLOOKUP(B62,'Paso 3 Redacción RA '!I$3:I$15,'Paso 3 Redacción RA '!C$3:C$15,,0,1)</f>
        <v>Saber</v>
      </c>
      <c r="B62" s="16" t="s">
        <v>102</v>
      </c>
      <c r="C62" s="137"/>
      <c r="D62" s="137"/>
      <c r="E62" s="169"/>
      <c r="F62" s="137"/>
      <c r="G62" s="137"/>
      <c r="H62" s="137"/>
      <c r="I62" s="137"/>
      <c r="J62" s="137"/>
      <c r="K62" s="137"/>
      <c r="L62" s="137"/>
      <c r="M62" s="137"/>
      <c r="N62" s="169"/>
      <c r="O62" s="169"/>
      <c r="P62" s="169"/>
      <c r="Q62" s="169"/>
    </row>
    <row r="63" spans="1:19" s="53" customFormat="1" ht="33" x14ac:dyDescent="0.35">
      <c r="A63" s="27" t="str">
        <f>_xlfn.XLOOKUP(B63,'Paso 3 Redacción RA '!I$3:I$15,'Paso 3 Redacción RA '!C$3:C$15,,0,1)</f>
        <v>Saberhacer</v>
      </c>
      <c r="B63" s="16" t="s">
        <v>93</v>
      </c>
      <c r="C63" s="137"/>
      <c r="D63" s="137"/>
      <c r="E63" s="169"/>
      <c r="F63" s="137"/>
      <c r="G63" s="137"/>
      <c r="H63" s="137"/>
      <c r="I63" s="137"/>
      <c r="J63" s="137"/>
      <c r="K63" s="137"/>
      <c r="L63" s="137"/>
      <c r="M63" s="137"/>
      <c r="N63" s="169"/>
      <c r="O63" s="169"/>
      <c r="P63" s="169"/>
      <c r="Q63" s="169"/>
    </row>
    <row r="64" spans="1:19" s="53" customFormat="1" ht="33" x14ac:dyDescent="0.35">
      <c r="A64" s="27" t="str">
        <f>_xlfn.XLOOKUP(B64,'Paso 3 Redacción RA '!I$3:I$15,'Paso 3 Redacción RA '!C$3:C$15,,0,1)</f>
        <v>Saberhacer</v>
      </c>
      <c r="B64" s="16" t="s">
        <v>104</v>
      </c>
      <c r="C64" s="137"/>
      <c r="D64" s="137"/>
      <c r="E64" s="169"/>
      <c r="F64" s="137"/>
      <c r="G64" s="137"/>
      <c r="H64" s="137"/>
      <c r="I64" s="137"/>
      <c r="J64" s="137"/>
      <c r="K64" s="137"/>
      <c r="L64" s="137"/>
      <c r="M64" s="137"/>
      <c r="N64" s="169"/>
      <c r="O64" s="169"/>
      <c r="P64" s="169"/>
      <c r="Q64" s="169"/>
    </row>
    <row r="65" spans="1:19" s="53" customFormat="1" ht="50" thickBot="1" x14ac:dyDescent="0.4">
      <c r="A65" s="98" t="str">
        <f>_xlfn.XLOOKUP(B65,'Paso 3 Redacción RA '!I$3:I$15,'Paso 3 Redacción RA '!C$3:C$15,,0,1)</f>
        <v>Saberser</v>
      </c>
      <c r="B65" s="30" t="s">
        <v>96</v>
      </c>
      <c r="C65" s="144"/>
      <c r="D65" s="144"/>
      <c r="E65" s="170"/>
      <c r="F65" s="144"/>
      <c r="G65" s="144"/>
      <c r="H65" s="144"/>
      <c r="I65" s="144"/>
      <c r="J65" s="144"/>
      <c r="K65" s="144"/>
      <c r="L65" s="144"/>
      <c r="M65" s="144"/>
      <c r="N65" s="170"/>
      <c r="O65" s="170"/>
      <c r="P65" s="170"/>
      <c r="Q65" s="170"/>
    </row>
    <row r="66" spans="1:19" s="53" customFormat="1" ht="49.5" x14ac:dyDescent="0.35">
      <c r="A66" s="27" t="str">
        <f>_xlfn.XLOOKUP(B66,'Paso 3 Redacción RA '!I$3:I$15,'Paso 3 Redacción RA '!C$3:C$15,,0,1)</f>
        <v>Saber</v>
      </c>
      <c r="B66" s="16" t="s">
        <v>99</v>
      </c>
      <c r="C66" s="143">
        <v>4</v>
      </c>
      <c r="D66" s="143" t="s">
        <v>245</v>
      </c>
      <c r="E66" s="165" t="s">
        <v>246</v>
      </c>
      <c r="F66" s="143" t="s">
        <v>181</v>
      </c>
      <c r="G66" s="143"/>
      <c r="H66" s="143" t="s">
        <v>182</v>
      </c>
      <c r="I66" s="143"/>
      <c r="J66" s="143">
        <v>3</v>
      </c>
      <c r="K66" s="143">
        <f>J66*12</f>
        <v>36</v>
      </c>
      <c r="L66" s="143">
        <f>36*J66</f>
        <v>108</v>
      </c>
      <c r="M66" s="143">
        <f>SUM(K66:L66)</f>
        <v>144</v>
      </c>
      <c r="N66" s="168" t="s">
        <v>247</v>
      </c>
      <c r="O66" s="168" t="s">
        <v>196</v>
      </c>
      <c r="P66" s="168" t="s">
        <v>201</v>
      </c>
      <c r="Q66" s="168" t="s">
        <v>191</v>
      </c>
    </row>
    <row r="67" spans="1:19" s="53" customFormat="1" ht="33" x14ac:dyDescent="0.35">
      <c r="A67" s="27" t="str">
        <f>_xlfn.XLOOKUP(B67,'Paso 3 Redacción RA '!I$3:I$15,'Paso 3 Redacción RA '!C$3:C$15,,0,1)</f>
        <v>Saberhacer</v>
      </c>
      <c r="B67" s="16" t="s">
        <v>93</v>
      </c>
      <c r="C67" s="137"/>
      <c r="D67" s="137"/>
      <c r="E67" s="166"/>
      <c r="F67" s="137"/>
      <c r="G67" s="137"/>
      <c r="H67" s="137"/>
      <c r="I67" s="137"/>
      <c r="J67" s="137"/>
      <c r="K67" s="137"/>
      <c r="L67" s="137"/>
      <c r="M67" s="137"/>
      <c r="N67" s="169"/>
      <c r="O67" s="169"/>
      <c r="P67" s="169"/>
      <c r="Q67" s="169"/>
    </row>
    <row r="68" spans="1:19" s="53" customFormat="1" ht="49.5" x14ac:dyDescent="0.35">
      <c r="A68" s="27" t="str">
        <f>_xlfn.XLOOKUP(B68,'Paso 3 Redacción RA '!I$3:I$15,'Paso 3 Redacción RA '!C$3:C$15,,0,1)</f>
        <v>Saberhacer</v>
      </c>
      <c r="B68" s="16" t="s">
        <v>101</v>
      </c>
      <c r="C68" s="137"/>
      <c r="D68" s="137"/>
      <c r="E68" s="166"/>
      <c r="F68" s="137"/>
      <c r="G68" s="137"/>
      <c r="H68" s="137"/>
      <c r="I68" s="137"/>
      <c r="J68" s="137"/>
      <c r="K68" s="137"/>
      <c r="L68" s="137"/>
      <c r="M68" s="137"/>
      <c r="N68" s="169"/>
      <c r="O68" s="169"/>
      <c r="P68" s="169"/>
      <c r="Q68" s="169"/>
    </row>
    <row r="69" spans="1:19" s="53" customFormat="1" ht="33" x14ac:dyDescent="0.35">
      <c r="A69" s="27" t="str">
        <f>_xlfn.XLOOKUP(B69,'Paso 3 Redacción RA '!I$3:I$15,'Paso 3 Redacción RA '!C$3:C$15,,0,1)</f>
        <v>Saberhacer</v>
      </c>
      <c r="B69" s="16" t="s">
        <v>104</v>
      </c>
      <c r="C69" s="137"/>
      <c r="D69" s="137"/>
      <c r="E69" s="166"/>
      <c r="F69" s="137"/>
      <c r="G69" s="137"/>
      <c r="H69" s="137"/>
      <c r="I69" s="137"/>
      <c r="J69" s="137"/>
      <c r="K69" s="137"/>
      <c r="L69" s="137"/>
      <c r="M69" s="137"/>
      <c r="N69" s="169"/>
      <c r="O69" s="169"/>
      <c r="P69" s="169"/>
      <c r="Q69" s="169"/>
    </row>
    <row r="70" spans="1:19" s="53" customFormat="1" ht="50" thickBot="1" x14ac:dyDescent="0.4">
      <c r="A70" s="98" t="str">
        <f>_xlfn.XLOOKUP(B70,'Paso 3 Redacción RA '!I$3:I$15,'Paso 3 Redacción RA '!C$3:C$15,,0,1)</f>
        <v>Saberser</v>
      </c>
      <c r="B70" s="30" t="s">
        <v>96</v>
      </c>
      <c r="C70" s="144"/>
      <c r="D70" s="144"/>
      <c r="E70" s="171"/>
      <c r="F70" s="144"/>
      <c r="G70" s="144"/>
      <c r="H70" s="144"/>
      <c r="I70" s="144"/>
      <c r="J70" s="144"/>
      <c r="K70" s="144"/>
      <c r="L70" s="144"/>
      <c r="M70" s="144"/>
      <c r="N70" s="170"/>
      <c r="O70" s="170"/>
      <c r="P70" s="170"/>
      <c r="Q70" s="170"/>
    </row>
    <row r="71" spans="1:19" s="53" customFormat="1" ht="49.5" x14ac:dyDescent="0.35">
      <c r="A71" s="27" t="str">
        <f>_xlfn.XLOOKUP(B71,'Paso 3 Redacción RA '!I$3:I$15,'Paso 3 Redacción RA '!C$3:C$15,,0,1)</f>
        <v>Saber</v>
      </c>
      <c r="B71" s="16" t="s">
        <v>99</v>
      </c>
      <c r="C71" s="143">
        <v>4</v>
      </c>
      <c r="D71" s="143" t="s">
        <v>248</v>
      </c>
      <c r="E71" s="168" t="s">
        <v>249</v>
      </c>
      <c r="F71" s="143" t="s">
        <v>181</v>
      </c>
      <c r="G71" s="143"/>
      <c r="H71" s="143" t="s">
        <v>182</v>
      </c>
      <c r="I71" s="143"/>
      <c r="J71" s="143">
        <v>4</v>
      </c>
      <c r="K71" s="143">
        <f>J71*12</f>
        <v>48</v>
      </c>
      <c r="L71" s="143">
        <f>36*J71</f>
        <v>144</v>
      </c>
      <c r="M71" s="143">
        <f>SUM(K71:L71)</f>
        <v>192</v>
      </c>
      <c r="N71" s="168" t="s">
        <v>250</v>
      </c>
      <c r="O71" s="168" t="s">
        <v>196</v>
      </c>
      <c r="P71" s="168" t="s">
        <v>214</v>
      </c>
      <c r="Q71" s="168" t="s">
        <v>191</v>
      </c>
    </row>
    <row r="72" spans="1:19" s="53" customFormat="1" ht="33" x14ac:dyDescent="0.35">
      <c r="A72" s="27" t="str">
        <f>_xlfn.XLOOKUP(B72,'Paso 3 Redacción RA '!I$3:I$15,'Paso 3 Redacción RA '!C$3:C$15,,0,1)</f>
        <v>Saberhacer</v>
      </c>
      <c r="B72" s="16" t="s">
        <v>93</v>
      </c>
      <c r="C72" s="137"/>
      <c r="D72" s="137"/>
      <c r="E72" s="169"/>
      <c r="F72" s="137"/>
      <c r="G72" s="137"/>
      <c r="H72" s="137"/>
      <c r="I72" s="137"/>
      <c r="J72" s="137"/>
      <c r="K72" s="137"/>
      <c r="L72" s="137"/>
      <c r="M72" s="137"/>
      <c r="N72" s="169"/>
      <c r="O72" s="169"/>
      <c r="P72" s="169"/>
      <c r="Q72" s="169"/>
    </row>
    <row r="73" spans="1:19" s="53" customFormat="1" ht="49.5" x14ac:dyDescent="0.35">
      <c r="A73" s="27" t="str">
        <f>_xlfn.XLOOKUP(B73,'Paso 3 Redacción RA '!I$3:I$15,'Paso 3 Redacción RA '!C$3:C$15,,0,1)</f>
        <v>Saberhacer</v>
      </c>
      <c r="B73" s="16" t="s">
        <v>101</v>
      </c>
      <c r="C73" s="137"/>
      <c r="D73" s="137"/>
      <c r="E73" s="169"/>
      <c r="F73" s="137"/>
      <c r="G73" s="137"/>
      <c r="H73" s="137"/>
      <c r="I73" s="137"/>
      <c r="J73" s="137"/>
      <c r="K73" s="137"/>
      <c r="L73" s="137"/>
      <c r="M73" s="137"/>
      <c r="N73" s="169"/>
      <c r="O73" s="169"/>
      <c r="P73" s="169"/>
      <c r="Q73" s="169"/>
    </row>
    <row r="74" spans="1:19" s="53" customFormat="1" ht="33" x14ac:dyDescent="0.35">
      <c r="A74" s="27" t="str">
        <f>_xlfn.XLOOKUP(B74,'Paso 3 Redacción RA '!I$3:I$15,'Paso 3 Redacción RA '!C$3:C$15,,0,1)</f>
        <v>Saberhacer</v>
      </c>
      <c r="B74" s="16" t="s">
        <v>104</v>
      </c>
      <c r="C74" s="137"/>
      <c r="D74" s="137"/>
      <c r="E74" s="169"/>
      <c r="F74" s="137"/>
      <c r="G74" s="137"/>
      <c r="H74" s="137"/>
      <c r="I74" s="137"/>
      <c r="J74" s="137"/>
      <c r="K74" s="137"/>
      <c r="L74" s="137"/>
      <c r="M74" s="137"/>
      <c r="N74" s="169"/>
      <c r="O74" s="169"/>
      <c r="P74" s="169"/>
      <c r="Q74" s="169"/>
    </row>
    <row r="75" spans="1:19" s="53" customFormat="1" ht="50" thickBot="1" x14ac:dyDescent="0.4">
      <c r="A75" s="98" t="str">
        <f>_xlfn.XLOOKUP(B75,'Paso 3 Redacción RA '!I$3:I$15,'Paso 3 Redacción RA '!C$3:C$15,,0,1)</f>
        <v>Saberser</v>
      </c>
      <c r="B75" s="30" t="s">
        <v>96</v>
      </c>
      <c r="C75" s="144"/>
      <c r="D75" s="144"/>
      <c r="E75" s="170"/>
      <c r="F75" s="144"/>
      <c r="G75" s="144"/>
      <c r="H75" s="144"/>
      <c r="I75" s="144"/>
      <c r="J75" s="144"/>
      <c r="K75" s="144"/>
      <c r="L75" s="144"/>
      <c r="M75" s="144"/>
      <c r="N75" s="170"/>
      <c r="O75" s="170"/>
      <c r="P75" s="170"/>
      <c r="Q75" s="170"/>
    </row>
    <row r="76" spans="1:19" s="53" customFormat="1" ht="49.5" x14ac:dyDescent="0.35">
      <c r="A76" s="27" t="str">
        <f>_xlfn.XLOOKUP(B76,'Paso 3 Redacción RA '!I$3:I$15,'Paso 3 Redacción RA '!C$3:C$15,,0,1)</f>
        <v>Saber</v>
      </c>
      <c r="B76" s="16" t="s">
        <v>90</v>
      </c>
      <c r="C76" s="143">
        <v>4</v>
      </c>
      <c r="D76" s="143" t="s">
        <v>251</v>
      </c>
      <c r="E76" s="168" t="s">
        <v>252</v>
      </c>
      <c r="F76" s="143" t="s">
        <v>181</v>
      </c>
      <c r="G76" s="143"/>
      <c r="H76" s="143" t="s">
        <v>182</v>
      </c>
      <c r="I76" s="143"/>
      <c r="J76" s="143">
        <v>4</v>
      </c>
      <c r="K76" s="143">
        <f>J76*12</f>
        <v>48</v>
      </c>
      <c r="L76" s="143">
        <f>36*J76</f>
        <v>144</v>
      </c>
      <c r="M76" s="143">
        <f>SUM(K76:L76)</f>
        <v>192</v>
      </c>
      <c r="N76" s="168" t="s">
        <v>253</v>
      </c>
      <c r="O76" s="168" t="s">
        <v>196</v>
      </c>
      <c r="P76" s="168" t="s">
        <v>214</v>
      </c>
      <c r="Q76" s="168" t="s">
        <v>191</v>
      </c>
    </row>
    <row r="77" spans="1:19" s="53" customFormat="1" ht="49.5" x14ac:dyDescent="0.35">
      <c r="A77" s="27" t="str">
        <f>_xlfn.XLOOKUP(B77,'Paso 3 Redacción RA '!I$3:I$15,'Paso 3 Redacción RA '!C$3:C$15,,0,1)</f>
        <v>Saber</v>
      </c>
      <c r="B77" s="16" t="s">
        <v>102</v>
      </c>
      <c r="C77" s="137"/>
      <c r="D77" s="137"/>
      <c r="E77" s="169"/>
      <c r="F77" s="137"/>
      <c r="G77" s="137"/>
      <c r="H77" s="137"/>
      <c r="I77" s="137"/>
      <c r="J77" s="137"/>
      <c r="K77" s="137"/>
      <c r="L77" s="137"/>
      <c r="M77" s="137"/>
      <c r="N77" s="169"/>
      <c r="O77" s="169"/>
      <c r="P77" s="169"/>
      <c r="Q77" s="169"/>
    </row>
    <row r="78" spans="1:19" s="53" customFormat="1" ht="33" x14ac:dyDescent="0.35">
      <c r="A78" s="27" t="str">
        <f>_xlfn.XLOOKUP(B78,'Paso 3 Redacción RA '!I$3:I$15,'Paso 3 Redacción RA '!C$3:C$15,,0,1)</f>
        <v>Saberhacer</v>
      </c>
      <c r="B78" s="16" t="s">
        <v>93</v>
      </c>
      <c r="C78" s="137"/>
      <c r="D78" s="137"/>
      <c r="E78" s="169"/>
      <c r="F78" s="137"/>
      <c r="G78" s="137"/>
      <c r="H78" s="137"/>
      <c r="I78" s="137"/>
      <c r="J78" s="137"/>
      <c r="K78" s="137"/>
      <c r="L78" s="137"/>
      <c r="M78" s="137"/>
      <c r="N78" s="169"/>
      <c r="O78" s="169"/>
      <c r="P78" s="169"/>
      <c r="Q78" s="169"/>
    </row>
    <row r="79" spans="1:19" s="53" customFormat="1" ht="33" x14ac:dyDescent="0.35">
      <c r="A79" s="27" t="str">
        <f>_xlfn.XLOOKUP(B79,'Paso 3 Redacción RA '!I$3:I$15,'Paso 3 Redacción RA '!C$3:C$15,,0,1)</f>
        <v>Saberhacer</v>
      </c>
      <c r="B79" s="16" t="s">
        <v>104</v>
      </c>
      <c r="C79" s="137"/>
      <c r="D79" s="137"/>
      <c r="E79" s="169"/>
      <c r="F79" s="137"/>
      <c r="G79" s="137"/>
      <c r="H79" s="137"/>
      <c r="I79" s="137"/>
      <c r="J79" s="137"/>
      <c r="K79" s="137"/>
      <c r="L79" s="137"/>
      <c r="M79" s="137"/>
      <c r="N79" s="169"/>
      <c r="O79" s="169"/>
      <c r="P79" s="169"/>
      <c r="Q79" s="169"/>
    </row>
    <row r="80" spans="1:19" s="53" customFormat="1" ht="50" thickBot="1" x14ac:dyDescent="0.4">
      <c r="A80" s="98" t="str">
        <f>_xlfn.XLOOKUP(B80,'Paso 3 Redacción RA '!I$3:I$15,'Paso 3 Redacción RA '!C$3:C$15,,0,1)</f>
        <v>Saberser</v>
      </c>
      <c r="B80" s="30" t="s">
        <v>96</v>
      </c>
      <c r="C80" s="144"/>
      <c r="D80" s="144"/>
      <c r="E80" s="170"/>
      <c r="F80" s="144"/>
      <c r="G80" s="144"/>
      <c r="H80" s="144"/>
      <c r="I80" s="144"/>
      <c r="J80" s="144"/>
      <c r="K80" s="144"/>
      <c r="L80" s="144"/>
      <c r="M80" s="144"/>
      <c r="N80" s="170"/>
      <c r="O80" s="170"/>
      <c r="P80" s="170"/>
      <c r="Q80" s="170"/>
      <c r="R80" s="53">
        <f>SUM(J60:J80)</f>
        <v>17</v>
      </c>
      <c r="S80" s="53">
        <f>COUNTA(D60:D80)</f>
        <v>5</v>
      </c>
    </row>
    <row r="81" spans="1:17" s="53" customFormat="1" ht="49.5" x14ac:dyDescent="0.35">
      <c r="A81" s="27" t="str">
        <f>_xlfn.XLOOKUP(B81,'Paso 3 Redacción RA '!I$3:I$15,'Paso 3 Redacción RA '!C$3:C$15,,0,1)</f>
        <v>Saber</v>
      </c>
      <c r="B81" s="16" t="s">
        <v>90</v>
      </c>
      <c r="C81" s="143">
        <v>5</v>
      </c>
      <c r="D81" s="143" t="s">
        <v>254</v>
      </c>
      <c r="E81" s="168" t="s">
        <v>255</v>
      </c>
      <c r="F81" s="143" t="s">
        <v>194</v>
      </c>
      <c r="G81" s="143"/>
      <c r="H81" s="143" t="s">
        <v>182</v>
      </c>
      <c r="I81" s="143"/>
      <c r="J81" s="143">
        <v>3</v>
      </c>
      <c r="K81" s="143">
        <f>J81*12</f>
        <v>36</v>
      </c>
      <c r="L81" s="143">
        <f>36*J81</f>
        <v>108</v>
      </c>
      <c r="M81" s="143">
        <f>SUM(K81:L81)</f>
        <v>144</v>
      </c>
      <c r="N81" s="168" t="s">
        <v>256</v>
      </c>
      <c r="O81" s="168" t="s">
        <v>196</v>
      </c>
      <c r="P81" s="168" t="s">
        <v>197</v>
      </c>
      <c r="Q81" s="168" t="s">
        <v>191</v>
      </c>
    </row>
    <row r="82" spans="1:17" s="53" customFormat="1" ht="49.5" x14ac:dyDescent="0.35">
      <c r="A82" s="27" t="str">
        <f>_xlfn.XLOOKUP(B82,'Paso 3 Redacción RA '!I$3:I$15,'Paso 3 Redacción RA '!C$3:C$15,,0,1)</f>
        <v>Saber</v>
      </c>
      <c r="B82" s="16" t="s">
        <v>102</v>
      </c>
      <c r="C82" s="137"/>
      <c r="D82" s="137"/>
      <c r="E82" s="169"/>
      <c r="F82" s="137"/>
      <c r="G82" s="137"/>
      <c r="H82" s="137"/>
      <c r="I82" s="137"/>
      <c r="J82" s="137"/>
      <c r="K82" s="137"/>
      <c r="L82" s="137"/>
      <c r="M82" s="137"/>
      <c r="N82" s="169"/>
      <c r="O82" s="169"/>
      <c r="P82" s="169"/>
      <c r="Q82" s="169"/>
    </row>
    <row r="83" spans="1:17" s="53" customFormat="1" ht="33" x14ac:dyDescent="0.35">
      <c r="A83" s="27" t="str">
        <f>_xlfn.XLOOKUP(B83,'Paso 3 Redacción RA '!I$3:I$15,'Paso 3 Redacción RA '!C$3:C$15,,0,1)</f>
        <v>Saberhacer</v>
      </c>
      <c r="B83" s="16" t="s">
        <v>104</v>
      </c>
      <c r="C83" s="137"/>
      <c r="D83" s="137"/>
      <c r="E83" s="169"/>
      <c r="F83" s="137"/>
      <c r="G83" s="137"/>
      <c r="H83" s="137"/>
      <c r="I83" s="137"/>
      <c r="J83" s="137"/>
      <c r="K83" s="137"/>
      <c r="L83" s="137"/>
      <c r="M83" s="137"/>
      <c r="N83" s="169"/>
      <c r="O83" s="169"/>
      <c r="P83" s="169"/>
      <c r="Q83" s="169"/>
    </row>
    <row r="84" spans="1:17" s="53" customFormat="1" ht="50" thickBot="1" x14ac:dyDescent="0.4">
      <c r="A84" s="98" t="str">
        <f>_xlfn.XLOOKUP(B84,'Paso 3 Redacción RA '!I$3:I$15,'Paso 3 Redacción RA '!C$3:C$15,,0,1)</f>
        <v>Saberser</v>
      </c>
      <c r="B84" s="30" t="s">
        <v>96</v>
      </c>
      <c r="C84" s="144"/>
      <c r="D84" s="144"/>
      <c r="E84" s="170"/>
      <c r="F84" s="144"/>
      <c r="G84" s="144"/>
      <c r="H84" s="144"/>
      <c r="I84" s="144"/>
      <c r="J84" s="144"/>
      <c r="K84" s="144"/>
      <c r="L84" s="144"/>
      <c r="M84" s="144"/>
      <c r="N84" s="170"/>
      <c r="O84" s="170"/>
      <c r="P84" s="170"/>
      <c r="Q84" s="170"/>
    </row>
    <row r="85" spans="1:17" s="53" customFormat="1" ht="49.5" x14ac:dyDescent="0.35">
      <c r="A85" s="27" t="str">
        <f>_xlfn.XLOOKUP(B85,'Paso 3 Redacción RA '!I$3:I$15,'Paso 3 Redacción RA '!C$3:C$15,,0,1)</f>
        <v>Saber</v>
      </c>
      <c r="B85" s="16" t="s">
        <v>90</v>
      </c>
      <c r="C85" s="143">
        <v>5</v>
      </c>
      <c r="D85" s="143" t="s">
        <v>257</v>
      </c>
      <c r="E85" s="168" t="s">
        <v>258</v>
      </c>
      <c r="F85" s="143" t="s">
        <v>181</v>
      </c>
      <c r="G85" s="143"/>
      <c r="H85" s="143" t="s">
        <v>182</v>
      </c>
      <c r="I85" s="143"/>
      <c r="J85" s="143">
        <v>4</v>
      </c>
      <c r="K85" s="143">
        <f>J85*12</f>
        <v>48</v>
      </c>
      <c r="L85" s="143">
        <f>36*J85</f>
        <v>144</v>
      </c>
      <c r="M85" s="143">
        <f>SUM(K85:L85)</f>
        <v>192</v>
      </c>
      <c r="N85" s="168" t="s">
        <v>259</v>
      </c>
      <c r="O85" s="168" t="s">
        <v>196</v>
      </c>
      <c r="P85" s="168" t="s">
        <v>201</v>
      </c>
      <c r="Q85" s="168" t="s">
        <v>191</v>
      </c>
    </row>
    <row r="86" spans="1:17" s="53" customFormat="1" ht="49.5" x14ac:dyDescent="0.35">
      <c r="A86" s="27" t="str">
        <f>_xlfn.XLOOKUP(B86,'Paso 3 Redacción RA '!I$3:I$15,'Paso 3 Redacción RA '!C$3:C$15,,0,1)</f>
        <v>Saber</v>
      </c>
      <c r="B86" s="16" t="s">
        <v>99</v>
      </c>
      <c r="C86" s="137"/>
      <c r="D86" s="137"/>
      <c r="E86" s="169"/>
      <c r="F86" s="137"/>
      <c r="G86" s="137"/>
      <c r="H86" s="137"/>
      <c r="I86" s="137"/>
      <c r="J86" s="137"/>
      <c r="K86" s="137"/>
      <c r="L86" s="137"/>
      <c r="M86" s="137"/>
      <c r="N86" s="169"/>
      <c r="O86" s="169"/>
      <c r="P86" s="169"/>
      <c r="Q86" s="169"/>
    </row>
    <row r="87" spans="1:17" s="53" customFormat="1" ht="33" x14ac:dyDescent="0.35">
      <c r="A87" s="27" t="str">
        <f>_xlfn.XLOOKUP(B87,'Paso 3 Redacción RA '!I$3:I$15,'Paso 3 Redacción RA '!C$3:C$15,,0,1)</f>
        <v>Saberhacer</v>
      </c>
      <c r="B87" s="16" t="s">
        <v>93</v>
      </c>
      <c r="C87" s="137"/>
      <c r="D87" s="137"/>
      <c r="E87" s="169"/>
      <c r="F87" s="137"/>
      <c r="G87" s="137"/>
      <c r="H87" s="137"/>
      <c r="I87" s="137"/>
      <c r="J87" s="137"/>
      <c r="K87" s="137"/>
      <c r="L87" s="137"/>
      <c r="M87" s="137"/>
      <c r="N87" s="169"/>
      <c r="O87" s="169"/>
      <c r="P87" s="169"/>
      <c r="Q87" s="169"/>
    </row>
    <row r="88" spans="1:17" s="53" customFormat="1" ht="49.5" x14ac:dyDescent="0.35">
      <c r="A88" s="27" t="str">
        <f>_xlfn.XLOOKUP(B88,'Paso 3 Redacción RA '!I$3:I$15,'Paso 3 Redacción RA '!C$3:C$15,,0,1)</f>
        <v>Saberhacer</v>
      </c>
      <c r="B88" s="16" t="s">
        <v>101</v>
      </c>
      <c r="C88" s="137"/>
      <c r="D88" s="137"/>
      <c r="E88" s="169"/>
      <c r="F88" s="137"/>
      <c r="G88" s="137"/>
      <c r="H88" s="137"/>
      <c r="I88" s="137"/>
      <c r="J88" s="137"/>
      <c r="K88" s="137"/>
      <c r="L88" s="137"/>
      <c r="M88" s="137"/>
      <c r="N88" s="169"/>
      <c r="O88" s="169"/>
      <c r="P88" s="169"/>
      <c r="Q88" s="169"/>
    </row>
    <row r="89" spans="1:17" s="53" customFormat="1" ht="50" thickBot="1" x14ac:dyDescent="0.4">
      <c r="A89" s="98" t="str">
        <f>_xlfn.XLOOKUP(B89,'Paso 3 Redacción RA '!I$3:I$15,'Paso 3 Redacción RA '!C$3:C$15,,0,1)</f>
        <v>Saberser</v>
      </c>
      <c r="B89" s="30" t="s">
        <v>96</v>
      </c>
      <c r="C89" s="144"/>
      <c r="D89" s="144"/>
      <c r="E89" s="170"/>
      <c r="F89" s="144"/>
      <c r="G89" s="144"/>
      <c r="H89" s="144"/>
      <c r="I89" s="144"/>
      <c r="J89" s="144"/>
      <c r="K89" s="144"/>
      <c r="L89" s="144"/>
      <c r="M89" s="144"/>
      <c r="N89" s="170"/>
      <c r="O89" s="170"/>
      <c r="P89" s="170"/>
      <c r="Q89" s="170"/>
    </row>
    <row r="90" spans="1:17" s="53" customFormat="1" ht="49.5" x14ac:dyDescent="0.35">
      <c r="A90" s="27" t="str">
        <f>_xlfn.XLOOKUP(B90,'Paso 3 Redacción RA '!I$3:I$15,'Paso 3 Redacción RA '!C$3:C$15,,0,1)</f>
        <v>Saber</v>
      </c>
      <c r="B90" s="16" t="s">
        <v>90</v>
      </c>
      <c r="C90" s="143">
        <v>5</v>
      </c>
      <c r="D90" s="143" t="s">
        <v>260</v>
      </c>
      <c r="E90" s="168" t="s">
        <v>261</v>
      </c>
      <c r="F90" s="143" t="s">
        <v>181</v>
      </c>
      <c r="G90" s="143"/>
      <c r="H90" s="143" t="s">
        <v>182</v>
      </c>
      <c r="I90" s="143"/>
      <c r="J90" s="143">
        <v>4</v>
      </c>
      <c r="K90" s="143">
        <f>J90*12</f>
        <v>48</v>
      </c>
      <c r="L90" s="143">
        <f>36*J90</f>
        <v>144</v>
      </c>
      <c r="M90" s="143">
        <f>SUM(K90:L90)</f>
        <v>192</v>
      </c>
      <c r="N90" s="168" t="s">
        <v>262</v>
      </c>
      <c r="O90" s="168" t="s">
        <v>196</v>
      </c>
      <c r="P90" s="168" t="s">
        <v>214</v>
      </c>
      <c r="Q90" s="168" t="s">
        <v>191</v>
      </c>
    </row>
    <row r="91" spans="1:17" s="53" customFormat="1" ht="49.5" x14ac:dyDescent="0.35">
      <c r="A91" s="27" t="str">
        <f>_xlfn.XLOOKUP(B91,'Paso 3 Redacción RA '!I$3:I$15,'Paso 3 Redacción RA '!C$3:C$15,,0,1)</f>
        <v>Saber</v>
      </c>
      <c r="B91" s="16" t="s">
        <v>102</v>
      </c>
      <c r="C91" s="137"/>
      <c r="D91" s="137"/>
      <c r="E91" s="169"/>
      <c r="F91" s="137"/>
      <c r="G91" s="137"/>
      <c r="H91" s="137"/>
      <c r="I91" s="137"/>
      <c r="J91" s="137"/>
      <c r="K91" s="137"/>
      <c r="L91" s="137"/>
      <c r="M91" s="137"/>
      <c r="N91" s="169"/>
      <c r="O91" s="169"/>
      <c r="P91" s="169"/>
      <c r="Q91" s="169"/>
    </row>
    <row r="92" spans="1:17" s="53" customFormat="1" ht="33" x14ac:dyDescent="0.35">
      <c r="A92" s="27" t="str">
        <f>_xlfn.XLOOKUP(B92,'Paso 3 Redacción RA '!I$3:I$15,'Paso 3 Redacción RA '!C$3:C$15,,0,1)</f>
        <v>Saberhacer</v>
      </c>
      <c r="B92" s="16" t="s">
        <v>93</v>
      </c>
      <c r="C92" s="137"/>
      <c r="D92" s="137"/>
      <c r="E92" s="169"/>
      <c r="F92" s="137"/>
      <c r="G92" s="137"/>
      <c r="H92" s="137"/>
      <c r="I92" s="137"/>
      <c r="J92" s="137"/>
      <c r="K92" s="137"/>
      <c r="L92" s="137"/>
      <c r="M92" s="137"/>
      <c r="N92" s="169"/>
      <c r="O92" s="169"/>
      <c r="P92" s="169"/>
      <c r="Q92" s="169"/>
    </row>
    <row r="93" spans="1:17" s="53" customFormat="1" ht="33" x14ac:dyDescent="0.35">
      <c r="A93" s="27" t="str">
        <f>_xlfn.XLOOKUP(B93,'Paso 3 Redacción RA '!I$3:I$15,'Paso 3 Redacción RA '!C$3:C$15,,0,1)</f>
        <v>Saberhacer</v>
      </c>
      <c r="B93" s="16" t="s">
        <v>104</v>
      </c>
      <c r="C93" s="137"/>
      <c r="D93" s="137"/>
      <c r="E93" s="169"/>
      <c r="F93" s="137"/>
      <c r="G93" s="137"/>
      <c r="H93" s="137"/>
      <c r="I93" s="137"/>
      <c r="J93" s="137"/>
      <c r="K93" s="137"/>
      <c r="L93" s="137"/>
      <c r="M93" s="137"/>
      <c r="N93" s="169"/>
      <c r="O93" s="169"/>
      <c r="P93" s="169"/>
      <c r="Q93" s="169"/>
    </row>
    <row r="94" spans="1:17" s="53" customFormat="1" ht="50" thickBot="1" x14ac:dyDescent="0.4">
      <c r="A94" s="98" t="str">
        <f>_xlfn.XLOOKUP(B94,'Paso 3 Redacción RA '!I$3:I$15,'Paso 3 Redacción RA '!C$3:C$15,,0,1)</f>
        <v>Saberser</v>
      </c>
      <c r="B94" s="30" t="s">
        <v>96</v>
      </c>
      <c r="C94" s="144"/>
      <c r="D94" s="144"/>
      <c r="E94" s="172"/>
      <c r="F94" s="144"/>
      <c r="G94" s="144"/>
      <c r="H94" s="144"/>
      <c r="I94" s="144"/>
      <c r="J94" s="144"/>
      <c r="K94" s="144"/>
      <c r="L94" s="144"/>
      <c r="M94" s="144"/>
      <c r="N94" s="170"/>
      <c r="O94" s="170"/>
      <c r="P94" s="170"/>
      <c r="Q94" s="170"/>
    </row>
    <row r="95" spans="1:17" s="53" customFormat="1" ht="49.5" x14ac:dyDescent="0.35">
      <c r="A95" s="27" t="str">
        <f>_xlfn.XLOOKUP(B95,'Paso 3 Redacción RA '!I$3:I$15,'Paso 3 Redacción RA '!C$3:C$15,,0,1)</f>
        <v>Saber</v>
      </c>
      <c r="B95" s="16" t="s">
        <v>99</v>
      </c>
      <c r="C95" s="143">
        <v>5</v>
      </c>
      <c r="D95" s="143" t="s">
        <v>263</v>
      </c>
      <c r="E95" s="169" t="s">
        <v>264</v>
      </c>
      <c r="F95" s="143" t="s">
        <v>181</v>
      </c>
      <c r="G95" s="143"/>
      <c r="H95" s="143" t="s">
        <v>182</v>
      </c>
      <c r="I95" s="143"/>
      <c r="J95" s="143">
        <v>4</v>
      </c>
      <c r="K95" s="143">
        <f>J95*12</f>
        <v>48</v>
      </c>
      <c r="L95" s="143">
        <f>36*J95</f>
        <v>144</v>
      </c>
      <c r="M95" s="143">
        <f>SUM(K95:L95)</f>
        <v>192</v>
      </c>
      <c r="N95" s="168" t="s">
        <v>265</v>
      </c>
      <c r="O95" s="168" t="s">
        <v>196</v>
      </c>
      <c r="P95" s="168" t="s">
        <v>214</v>
      </c>
      <c r="Q95" s="168" t="s">
        <v>191</v>
      </c>
    </row>
    <row r="96" spans="1:17" s="53" customFormat="1" ht="33" x14ac:dyDescent="0.35">
      <c r="A96" s="27" t="str">
        <f>_xlfn.XLOOKUP(B96,'Paso 3 Redacción RA '!I$3:I$15,'Paso 3 Redacción RA '!C$3:C$15,,0,1)</f>
        <v>Saberhacer</v>
      </c>
      <c r="B96" s="16" t="s">
        <v>93</v>
      </c>
      <c r="C96" s="137"/>
      <c r="D96" s="137"/>
      <c r="E96" s="169"/>
      <c r="F96" s="137"/>
      <c r="G96" s="137"/>
      <c r="H96" s="137"/>
      <c r="I96" s="137"/>
      <c r="J96" s="137"/>
      <c r="K96" s="137"/>
      <c r="L96" s="137"/>
      <c r="M96" s="137"/>
      <c r="N96" s="169"/>
      <c r="O96" s="169"/>
      <c r="P96" s="169"/>
      <c r="Q96" s="169"/>
    </row>
    <row r="97" spans="1:19" s="53" customFormat="1" ht="49.5" x14ac:dyDescent="0.35">
      <c r="A97" s="27" t="str">
        <f>_xlfn.XLOOKUP(B97,'Paso 3 Redacción RA '!I$3:I$15,'Paso 3 Redacción RA '!C$3:C$15,,0,1)</f>
        <v>Saberhacer</v>
      </c>
      <c r="B97" s="16" t="s">
        <v>101</v>
      </c>
      <c r="C97" s="137"/>
      <c r="D97" s="137"/>
      <c r="E97" s="169"/>
      <c r="F97" s="137"/>
      <c r="G97" s="137"/>
      <c r="H97" s="137"/>
      <c r="I97" s="137"/>
      <c r="J97" s="137"/>
      <c r="K97" s="137"/>
      <c r="L97" s="137"/>
      <c r="M97" s="137"/>
      <c r="N97" s="169"/>
      <c r="O97" s="169"/>
      <c r="P97" s="169"/>
      <c r="Q97" s="169"/>
    </row>
    <row r="98" spans="1:19" s="53" customFormat="1" ht="33" x14ac:dyDescent="0.35">
      <c r="A98" s="27" t="str">
        <f>_xlfn.XLOOKUP(B98,'Paso 3 Redacción RA '!I$3:I$15,'Paso 3 Redacción RA '!C$3:C$15,,0,1)</f>
        <v>Saberhacer</v>
      </c>
      <c r="B98" s="16" t="s">
        <v>104</v>
      </c>
      <c r="C98" s="137"/>
      <c r="D98" s="137"/>
      <c r="E98" s="169"/>
      <c r="F98" s="137"/>
      <c r="G98" s="137"/>
      <c r="H98" s="137"/>
      <c r="I98" s="137"/>
      <c r="J98" s="137"/>
      <c r="K98" s="137"/>
      <c r="L98" s="137"/>
      <c r="M98" s="137"/>
      <c r="N98" s="169"/>
      <c r="O98" s="169"/>
      <c r="P98" s="169"/>
      <c r="Q98" s="169"/>
    </row>
    <row r="99" spans="1:19" s="53" customFormat="1" ht="50" thickBot="1" x14ac:dyDescent="0.4">
      <c r="A99" s="98" t="str">
        <f>_xlfn.XLOOKUP(B99,'Paso 3 Redacción RA '!I$3:I$15,'Paso 3 Redacción RA '!C$3:C$15,,0,1)</f>
        <v>Saberser</v>
      </c>
      <c r="B99" s="30" t="s">
        <v>96</v>
      </c>
      <c r="C99" s="144"/>
      <c r="D99" s="144"/>
      <c r="E99" s="172"/>
      <c r="F99" s="164"/>
      <c r="G99" s="164"/>
      <c r="H99" s="164"/>
      <c r="I99" s="164"/>
      <c r="J99" s="164"/>
      <c r="K99" s="144"/>
      <c r="L99" s="144"/>
      <c r="M99" s="164"/>
      <c r="N99" s="172"/>
      <c r="O99" s="170"/>
      <c r="P99" s="170"/>
      <c r="Q99" s="170"/>
    </row>
    <row r="100" spans="1:19" s="53" customFormat="1" ht="49.5" x14ac:dyDescent="0.35">
      <c r="A100" s="27" t="str">
        <f>_xlfn.XLOOKUP(B100,'Paso 3 Redacción RA '!I$3:I$15,'Paso 3 Redacción RA '!C$3:C$15,,0,1)</f>
        <v>Saber</v>
      </c>
      <c r="B100" s="16" t="s">
        <v>90</v>
      </c>
      <c r="C100" s="143">
        <v>5</v>
      </c>
      <c r="D100" s="143" t="s">
        <v>266</v>
      </c>
      <c r="E100" s="169" t="s">
        <v>267</v>
      </c>
      <c r="F100" s="137" t="s">
        <v>181</v>
      </c>
      <c r="G100" s="137"/>
      <c r="H100" s="137" t="s">
        <v>182</v>
      </c>
      <c r="I100" s="137"/>
      <c r="J100" s="137">
        <v>3</v>
      </c>
      <c r="K100" s="143">
        <f>J100*12</f>
        <v>36</v>
      </c>
      <c r="L100" s="143">
        <f>36*J100</f>
        <v>108</v>
      </c>
      <c r="M100" s="137">
        <f>SUM(K100:L100)</f>
        <v>144</v>
      </c>
      <c r="N100" s="169" t="s">
        <v>268</v>
      </c>
      <c r="O100" s="168" t="s">
        <v>196</v>
      </c>
      <c r="P100" s="168" t="s">
        <v>201</v>
      </c>
      <c r="Q100" s="168" t="s">
        <v>191</v>
      </c>
    </row>
    <row r="101" spans="1:19" s="53" customFormat="1" ht="49.5" x14ac:dyDescent="0.35">
      <c r="A101" s="27" t="str">
        <f>_xlfn.XLOOKUP(B101,'Paso 3 Redacción RA '!I$3:I$15,'Paso 3 Redacción RA '!C$3:C$15,,0,1)</f>
        <v>Saber</v>
      </c>
      <c r="B101" s="16" t="s">
        <v>102</v>
      </c>
      <c r="C101" s="137"/>
      <c r="D101" s="137"/>
      <c r="E101" s="169"/>
      <c r="F101" s="137"/>
      <c r="G101" s="137"/>
      <c r="H101" s="137"/>
      <c r="I101" s="137"/>
      <c r="J101" s="137"/>
      <c r="K101" s="137"/>
      <c r="L101" s="137"/>
      <c r="M101" s="137"/>
      <c r="N101" s="169"/>
      <c r="O101" s="169"/>
      <c r="P101" s="169"/>
      <c r="Q101" s="169"/>
    </row>
    <row r="102" spans="1:19" s="53" customFormat="1" ht="33" x14ac:dyDescent="0.35">
      <c r="A102" s="27" t="str">
        <f>_xlfn.XLOOKUP(B102,'Paso 3 Redacción RA '!I$3:I$15,'Paso 3 Redacción RA '!C$3:C$15,,0,1)</f>
        <v>Saberhacer</v>
      </c>
      <c r="B102" s="16" t="s">
        <v>93</v>
      </c>
      <c r="C102" s="137"/>
      <c r="D102" s="137"/>
      <c r="E102" s="169"/>
      <c r="F102" s="137"/>
      <c r="G102" s="137"/>
      <c r="H102" s="137"/>
      <c r="I102" s="137"/>
      <c r="J102" s="137"/>
      <c r="K102" s="137"/>
      <c r="L102" s="137"/>
      <c r="M102" s="137"/>
      <c r="N102" s="169"/>
      <c r="O102" s="169"/>
      <c r="P102" s="169"/>
      <c r="Q102" s="169"/>
    </row>
    <row r="103" spans="1:19" s="53" customFormat="1" ht="33" x14ac:dyDescent="0.35">
      <c r="A103" s="27" t="str">
        <f>_xlfn.XLOOKUP(B103,'Paso 3 Redacción RA '!I$3:I$15,'Paso 3 Redacción RA '!C$3:C$15,,0,1)</f>
        <v>Saberhacer</v>
      </c>
      <c r="B103" s="16" t="s">
        <v>104</v>
      </c>
      <c r="C103" s="137"/>
      <c r="D103" s="137"/>
      <c r="E103" s="169"/>
      <c r="F103" s="137"/>
      <c r="G103" s="137"/>
      <c r="H103" s="137"/>
      <c r="I103" s="137"/>
      <c r="J103" s="137"/>
      <c r="K103" s="137"/>
      <c r="L103" s="137"/>
      <c r="M103" s="137"/>
      <c r="N103" s="169"/>
      <c r="O103" s="169"/>
      <c r="P103" s="169"/>
      <c r="Q103" s="169"/>
    </row>
    <row r="104" spans="1:19" s="53" customFormat="1" ht="50" thickBot="1" x14ac:dyDescent="0.4">
      <c r="A104" s="98" t="str">
        <f>_xlfn.XLOOKUP(B104,'Paso 3 Redacción RA '!I$3:I$15,'Paso 3 Redacción RA '!C$3:C$15,,0,1)</f>
        <v>Saberser</v>
      </c>
      <c r="B104" s="30" t="s">
        <v>96</v>
      </c>
      <c r="C104" s="144"/>
      <c r="D104" s="144"/>
      <c r="E104" s="170"/>
      <c r="F104" s="144"/>
      <c r="G104" s="144"/>
      <c r="H104" s="144"/>
      <c r="I104" s="144"/>
      <c r="J104" s="144"/>
      <c r="K104" s="144"/>
      <c r="L104" s="144"/>
      <c r="M104" s="144"/>
      <c r="N104" s="170"/>
      <c r="O104" s="170"/>
      <c r="P104" s="170"/>
      <c r="Q104" s="170"/>
      <c r="R104" s="53">
        <f>SUM(J81:J104)</f>
        <v>18</v>
      </c>
      <c r="S104" s="53">
        <f>COUNTA(D81:D104)</f>
        <v>5</v>
      </c>
    </row>
    <row r="105" spans="1:19" s="53" customFormat="1" ht="49.5" x14ac:dyDescent="0.35">
      <c r="A105" s="27" t="str">
        <f>_xlfn.XLOOKUP(B105,'Paso 3 Redacción RA '!I$3:I$15,'Paso 3 Redacción RA '!C$3:C$15,,0,1)</f>
        <v>Saber</v>
      </c>
      <c r="B105" s="16" t="s">
        <v>102</v>
      </c>
      <c r="C105" s="143">
        <v>6</v>
      </c>
      <c r="D105" s="143" t="s">
        <v>269</v>
      </c>
      <c r="E105" s="168" t="s">
        <v>270</v>
      </c>
      <c r="F105" s="143" t="s">
        <v>181</v>
      </c>
      <c r="G105" s="143"/>
      <c r="H105" s="143" t="s">
        <v>182</v>
      </c>
      <c r="I105" s="143"/>
      <c r="J105" s="143">
        <v>4</v>
      </c>
      <c r="K105" s="143">
        <f>J105*12</f>
        <v>48</v>
      </c>
      <c r="L105" s="143">
        <f>36*J105</f>
        <v>144</v>
      </c>
      <c r="M105" s="143">
        <f>SUM(K105:L105)</f>
        <v>192</v>
      </c>
      <c r="N105" s="168" t="s">
        <v>271</v>
      </c>
      <c r="O105" s="168" t="s">
        <v>196</v>
      </c>
      <c r="P105" s="168" t="s">
        <v>214</v>
      </c>
      <c r="Q105" s="168" t="s">
        <v>191</v>
      </c>
    </row>
    <row r="106" spans="1:19" s="53" customFormat="1" ht="33" x14ac:dyDescent="0.35">
      <c r="A106" s="27" t="str">
        <f>_xlfn.XLOOKUP(B106,'Paso 3 Redacción RA '!I$3:I$15,'Paso 3 Redacción RA '!C$3:C$15,,0,1)</f>
        <v>Saberhacer</v>
      </c>
      <c r="B106" s="16" t="s">
        <v>93</v>
      </c>
      <c r="C106" s="137"/>
      <c r="D106" s="137"/>
      <c r="E106" s="169"/>
      <c r="F106" s="137"/>
      <c r="G106" s="137"/>
      <c r="H106" s="137"/>
      <c r="I106" s="137"/>
      <c r="J106" s="137"/>
      <c r="K106" s="137"/>
      <c r="L106" s="137"/>
      <c r="M106" s="137"/>
      <c r="N106" s="169"/>
      <c r="O106" s="169"/>
      <c r="P106" s="169"/>
      <c r="Q106" s="169"/>
    </row>
    <row r="107" spans="1:19" s="53" customFormat="1" ht="49.5" x14ac:dyDescent="0.35">
      <c r="A107" s="27" t="str">
        <f>_xlfn.XLOOKUP(B107,'Paso 3 Redacción RA '!I$3:I$15,'Paso 3 Redacción RA '!C$3:C$15,,0,1)</f>
        <v>Saberhacer</v>
      </c>
      <c r="B107" s="16" t="s">
        <v>101</v>
      </c>
      <c r="C107" s="137"/>
      <c r="D107" s="137"/>
      <c r="E107" s="169"/>
      <c r="F107" s="137"/>
      <c r="G107" s="137"/>
      <c r="H107" s="137"/>
      <c r="I107" s="137"/>
      <c r="J107" s="137"/>
      <c r="K107" s="137"/>
      <c r="L107" s="137"/>
      <c r="M107" s="137"/>
      <c r="N107" s="169"/>
      <c r="O107" s="169"/>
      <c r="P107" s="169"/>
      <c r="Q107" s="169"/>
    </row>
    <row r="108" spans="1:19" s="53" customFormat="1" ht="33" x14ac:dyDescent="0.35">
      <c r="A108" s="27" t="str">
        <f>_xlfn.XLOOKUP(B108,'Paso 3 Redacción RA '!I$3:I$15,'Paso 3 Redacción RA '!C$3:C$15,,0,1)</f>
        <v>Saberhacer</v>
      </c>
      <c r="B108" s="16" t="s">
        <v>104</v>
      </c>
      <c r="C108" s="137"/>
      <c r="D108" s="137"/>
      <c r="E108" s="169"/>
      <c r="F108" s="137"/>
      <c r="G108" s="137"/>
      <c r="H108" s="137"/>
      <c r="I108" s="137"/>
      <c r="J108" s="137"/>
      <c r="K108" s="137"/>
      <c r="L108" s="137"/>
      <c r="M108" s="137"/>
      <c r="N108" s="169"/>
      <c r="O108" s="169"/>
      <c r="P108" s="169"/>
      <c r="Q108" s="169"/>
    </row>
    <row r="109" spans="1:19" s="53" customFormat="1" ht="50" thickBot="1" x14ac:dyDescent="0.4">
      <c r="A109" s="98" t="str">
        <f>_xlfn.XLOOKUP(B109,'Paso 3 Redacción RA '!I$3:I$15,'Paso 3 Redacción RA '!C$3:C$15,,0,1)</f>
        <v>Saberser</v>
      </c>
      <c r="B109" s="30" t="s">
        <v>96</v>
      </c>
      <c r="C109" s="144"/>
      <c r="D109" s="144"/>
      <c r="E109" s="170"/>
      <c r="F109" s="144"/>
      <c r="G109" s="144"/>
      <c r="H109" s="144"/>
      <c r="I109" s="144"/>
      <c r="J109" s="144"/>
      <c r="K109" s="144"/>
      <c r="L109" s="144"/>
      <c r="M109" s="144"/>
      <c r="N109" s="170"/>
      <c r="O109" s="170"/>
      <c r="P109" s="170"/>
      <c r="Q109" s="170"/>
    </row>
    <row r="110" spans="1:19" s="53" customFormat="1" ht="49.5" x14ac:dyDescent="0.35">
      <c r="A110" s="27" t="str">
        <f>_xlfn.XLOOKUP(B110,'Paso 3 Redacción RA '!I$3:I$15,'Paso 3 Redacción RA '!C$3:C$15,,0,1)</f>
        <v>Saber</v>
      </c>
      <c r="B110" s="16" t="s">
        <v>90</v>
      </c>
      <c r="C110" s="143">
        <v>6</v>
      </c>
      <c r="D110" s="143" t="s">
        <v>272</v>
      </c>
      <c r="E110" s="168" t="s">
        <v>273</v>
      </c>
      <c r="F110" s="143" t="s">
        <v>181</v>
      </c>
      <c r="G110" s="143"/>
      <c r="H110" s="143" t="s">
        <v>182</v>
      </c>
      <c r="I110" s="143"/>
      <c r="J110" s="143">
        <v>4</v>
      </c>
      <c r="K110" s="143">
        <f>J110*12</f>
        <v>48</v>
      </c>
      <c r="L110" s="143">
        <f>36*J110</f>
        <v>144</v>
      </c>
      <c r="M110" s="143">
        <f>SUM(K110:L110)</f>
        <v>192</v>
      </c>
      <c r="N110" s="168" t="s">
        <v>274</v>
      </c>
      <c r="O110" s="168" t="s">
        <v>196</v>
      </c>
      <c r="P110" s="168" t="s">
        <v>201</v>
      </c>
      <c r="Q110" s="168" t="s">
        <v>191</v>
      </c>
    </row>
    <row r="111" spans="1:19" s="53" customFormat="1" ht="49.5" x14ac:dyDescent="0.35">
      <c r="A111" s="27" t="str">
        <f>_xlfn.XLOOKUP(B111,'Paso 3 Redacción RA '!I$3:I$15,'Paso 3 Redacción RA '!C$3:C$15,,0,1)</f>
        <v>Saber</v>
      </c>
      <c r="B111" s="16" t="s">
        <v>99</v>
      </c>
      <c r="C111" s="137"/>
      <c r="D111" s="137"/>
      <c r="E111" s="169"/>
      <c r="F111" s="137"/>
      <c r="G111" s="137"/>
      <c r="H111" s="137"/>
      <c r="I111" s="137"/>
      <c r="J111" s="137"/>
      <c r="K111" s="137"/>
      <c r="L111" s="137"/>
      <c r="M111" s="137"/>
      <c r="N111" s="169"/>
      <c r="O111" s="169"/>
      <c r="P111" s="169"/>
      <c r="Q111" s="169"/>
    </row>
    <row r="112" spans="1:19" s="53" customFormat="1" ht="33" x14ac:dyDescent="0.35">
      <c r="A112" s="27" t="str">
        <f>_xlfn.XLOOKUP(B112,'Paso 3 Redacción RA '!I$3:I$15,'Paso 3 Redacción RA '!C$3:C$15,,0,1)</f>
        <v>Saberhacer</v>
      </c>
      <c r="B112" s="16" t="s">
        <v>93</v>
      </c>
      <c r="C112" s="137"/>
      <c r="D112" s="137"/>
      <c r="E112" s="169"/>
      <c r="F112" s="137"/>
      <c r="G112" s="137"/>
      <c r="H112" s="137"/>
      <c r="I112" s="137"/>
      <c r="J112" s="137"/>
      <c r="K112" s="137"/>
      <c r="L112" s="137"/>
      <c r="M112" s="137"/>
      <c r="N112" s="169"/>
      <c r="O112" s="169"/>
      <c r="P112" s="169"/>
      <c r="Q112" s="169"/>
    </row>
    <row r="113" spans="1:19" s="53" customFormat="1" ht="49.5" x14ac:dyDescent="0.35">
      <c r="A113" s="27" t="str">
        <f>_xlfn.XLOOKUP(B113,'Paso 3 Redacción RA '!I$3:I$15,'Paso 3 Redacción RA '!C$3:C$15,,0,1)</f>
        <v>Saberhacer</v>
      </c>
      <c r="B113" s="16" t="s">
        <v>101</v>
      </c>
      <c r="C113" s="137"/>
      <c r="D113" s="137"/>
      <c r="E113" s="169"/>
      <c r="F113" s="137"/>
      <c r="G113" s="137"/>
      <c r="H113" s="137"/>
      <c r="I113" s="137"/>
      <c r="J113" s="137"/>
      <c r="K113" s="137"/>
      <c r="L113" s="137"/>
      <c r="M113" s="137"/>
      <c r="N113" s="169"/>
      <c r="O113" s="169"/>
      <c r="P113" s="169"/>
      <c r="Q113" s="169"/>
    </row>
    <row r="114" spans="1:19" s="53" customFormat="1" ht="50" thickBot="1" x14ac:dyDescent="0.4">
      <c r="A114" s="98" t="str">
        <f>_xlfn.XLOOKUP(B114,'Paso 3 Redacción RA '!I$3:I$15,'Paso 3 Redacción RA '!C$3:C$15,,0,1)</f>
        <v>Saberser</v>
      </c>
      <c r="B114" s="30" t="s">
        <v>96</v>
      </c>
      <c r="C114" s="144"/>
      <c r="D114" s="144"/>
      <c r="E114" s="170"/>
      <c r="F114" s="144"/>
      <c r="G114" s="144"/>
      <c r="H114" s="144"/>
      <c r="I114" s="144"/>
      <c r="J114" s="144"/>
      <c r="K114" s="144"/>
      <c r="L114" s="144"/>
      <c r="M114" s="144"/>
      <c r="N114" s="170"/>
      <c r="O114" s="170"/>
      <c r="P114" s="170"/>
      <c r="Q114" s="170"/>
    </row>
    <row r="115" spans="1:19" s="53" customFormat="1" ht="49.5" x14ac:dyDescent="0.35">
      <c r="A115" s="27" t="str">
        <f>_xlfn.XLOOKUP(B115,'Paso 3 Redacción RA '!I$3:I$15,'Paso 3 Redacción RA '!C$3:C$15,,0,1)</f>
        <v>Saber</v>
      </c>
      <c r="B115" s="16" t="s">
        <v>90</v>
      </c>
      <c r="C115" s="143">
        <v>6</v>
      </c>
      <c r="D115" s="143" t="s">
        <v>275</v>
      </c>
      <c r="E115" s="168" t="s">
        <v>276</v>
      </c>
      <c r="F115" s="143" t="s">
        <v>181</v>
      </c>
      <c r="G115" s="143"/>
      <c r="H115" s="143" t="s">
        <v>182</v>
      </c>
      <c r="I115" s="143"/>
      <c r="J115" s="143">
        <v>4</v>
      </c>
      <c r="K115" s="143">
        <f>J115*12</f>
        <v>48</v>
      </c>
      <c r="L115" s="143">
        <f>36*J115</f>
        <v>144</v>
      </c>
      <c r="M115" s="143">
        <f>SUM(K115:L115)</f>
        <v>192</v>
      </c>
      <c r="N115" s="168" t="s">
        <v>277</v>
      </c>
      <c r="O115" s="168" t="s">
        <v>196</v>
      </c>
      <c r="P115" s="168" t="s">
        <v>201</v>
      </c>
      <c r="Q115" s="168" t="s">
        <v>191</v>
      </c>
    </row>
    <row r="116" spans="1:19" s="53" customFormat="1" ht="49.5" x14ac:dyDescent="0.35">
      <c r="A116" s="27" t="str">
        <f>_xlfn.XLOOKUP(B116,'Paso 3 Redacción RA '!I$3:I$15,'Paso 3 Redacción RA '!C$3:C$15,,0,1)</f>
        <v>Saber</v>
      </c>
      <c r="B116" s="16" t="s">
        <v>99</v>
      </c>
      <c r="C116" s="137"/>
      <c r="D116" s="137"/>
      <c r="E116" s="169"/>
      <c r="F116" s="137"/>
      <c r="G116" s="137"/>
      <c r="H116" s="137"/>
      <c r="I116" s="137"/>
      <c r="J116" s="137"/>
      <c r="K116" s="137"/>
      <c r="L116" s="137"/>
      <c r="M116" s="137"/>
      <c r="N116" s="169"/>
      <c r="O116" s="169"/>
      <c r="P116" s="169"/>
      <c r="Q116" s="169"/>
    </row>
    <row r="117" spans="1:19" s="53" customFormat="1" ht="33" x14ac:dyDescent="0.35">
      <c r="A117" s="27" t="str">
        <f>_xlfn.XLOOKUP(B117,'Paso 3 Redacción RA '!I$3:I$15,'Paso 3 Redacción RA '!C$3:C$15,,0,1)</f>
        <v>Saberhacer</v>
      </c>
      <c r="B117" s="16" t="s">
        <v>93</v>
      </c>
      <c r="C117" s="137"/>
      <c r="D117" s="137"/>
      <c r="E117" s="169"/>
      <c r="F117" s="137"/>
      <c r="G117" s="137"/>
      <c r="H117" s="137"/>
      <c r="I117" s="137"/>
      <c r="J117" s="137"/>
      <c r="K117" s="137"/>
      <c r="L117" s="137"/>
      <c r="M117" s="137"/>
      <c r="N117" s="169"/>
      <c r="O117" s="169"/>
      <c r="P117" s="169"/>
      <c r="Q117" s="169"/>
    </row>
    <row r="118" spans="1:19" s="53" customFormat="1" ht="49.5" x14ac:dyDescent="0.35">
      <c r="A118" s="27" t="str">
        <f>_xlfn.XLOOKUP(B118,'Paso 3 Redacción RA '!I$3:I$15,'Paso 3 Redacción RA '!C$3:C$15,,0,1)</f>
        <v>Saberhacer</v>
      </c>
      <c r="B118" s="16" t="s">
        <v>101</v>
      </c>
      <c r="C118" s="137"/>
      <c r="D118" s="137"/>
      <c r="E118" s="169"/>
      <c r="F118" s="137"/>
      <c r="G118" s="137"/>
      <c r="H118" s="137"/>
      <c r="I118" s="137"/>
      <c r="J118" s="137"/>
      <c r="K118" s="137"/>
      <c r="L118" s="137"/>
      <c r="M118" s="137"/>
      <c r="N118" s="169"/>
      <c r="O118" s="169"/>
      <c r="P118" s="169"/>
      <c r="Q118" s="169"/>
    </row>
    <row r="119" spans="1:19" s="53" customFormat="1" ht="50" thickBot="1" x14ac:dyDescent="0.4">
      <c r="A119" s="98" t="str">
        <f>_xlfn.XLOOKUP(B119,'Paso 3 Redacción RA '!I$3:I$15,'Paso 3 Redacción RA '!C$3:C$15,,0,1)</f>
        <v>Saberser</v>
      </c>
      <c r="B119" s="30" t="s">
        <v>96</v>
      </c>
      <c r="C119" s="144"/>
      <c r="D119" s="144"/>
      <c r="E119" s="170"/>
      <c r="F119" s="144"/>
      <c r="G119" s="144"/>
      <c r="H119" s="144"/>
      <c r="I119" s="144"/>
      <c r="J119" s="144"/>
      <c r="K119" s="144"/>
      <c r="L119" s="144"/>
      <c r="M119" s="144"/>
      <c r="N119" s="170"/>
      <c r="O119" s="170"/>
      <c r="P119" s="170"/>
      <c r="Q119" s="170"/>
    </row>
    <row r="120" spans="1:19" s="53" customFormat="1" ht="49.5" x14ac:dyDescent="0.35">
      <c r="A120" s="27" t="str">
        <f>_xlfn.XLOOKUP(B120,'Paso 3 Redacción RA '!I$3:I$15,'Paso 3 Redacción RA '!C$3:C$15,,0,1)</f>
        <v>Saber</v>
      </c>
      <c r="B120" s="16" t="s">
        <v>90</v>
      </c>
      <c r="C120" s="143">
        <v>6</v>
      </c>
      <c r="D120" s="143" t="s">
        <v>278</v>
      </c>
      <c r="E120" s="168" t="s">
        <v>279</v>
      </c>
      <c r="F120" s="143" t="s">
        <v>194</v>
      </c>
      <c r="G120" s="143"/>
      <c r="H120" s="143" t="s">
        <v>182</v>
      </c>
      <c r="I120" s="143"/>
      <c r="J120" s="143">
        <v>4</v>
      </c>
      <c r="K120" s="143">
        <f>J120*12</f>
        <v>48</v>
      </c>
      <c r="L120" s="143">
        <f>36*J120</f>
        <v>144</v>
      </c>
      <c r="M120" s="143">
        <f>SUM(K120:L120)</f>
        <v>192</v>
      </c>
      <c r="N120" s="168" t="s">
        <v>280</v>
      </c>
      <c r="O120" s="168" t="s">
        <v>196</v>
      </c>
      <c r="P120" s="168" t="s">
        <v>197</v>
      </c>
      <c r="Q120" s="168" t="s">
        <v>191</v>
      </c>
    </row>
    <row r="121" spans="1:19" s="53" customFormat="1" ht="49.5" x14ac:dyDescent="0.35">
      <c r="A121" s="27" t="str">
        <f>_xlfn.XLOOKUP(B121,'Paso 3 Redacción RA '!I$3:I$15,'Paso 3 Redacción RA '!C$3:C$15,,0,1)</f>
        <v>Saber</v>
      </c>
      <c r="B121" s="16" t="s">
        <v>102</v>
      </c>
      <c r="C121" s="137"/>
      <c r="D121" s="137"/>
      <c r="E121" s="169"/>
      <c r="F121" s="137"/>
      <c r="G121" s="137"/>
      <c r="H121" s="137"/>
      <c r="I121" s="137"/>
      <c r="J121" s="137"/>
      <c r="K121" s="137"/>
      <c r="L121" s="137"/>
      <c r="M121" s="137"/>
      <c r="N121" s="169"/>
      <c r="O121" s="169"/>
      <c r="P121" s="169"/>
      <c r="Q121" s="169"/>
    </row>
    <row r="122" spans="1:19" s="53" customFormat="1" ht="33" x14ac:dyDescent="0.35">
      <c r="A122" s="27" t="str">
        <f>_xlfn.XLOOKUP(B122,'Paso 3 Redacción RA '!I$3:I$15,'Paso 3 Redacción RA '!C$3:C$15,,0,1)</f>
        <v>Saberhacer</v>
      </c>
      <c r="B122" s="16" t="s">
        <v>93</v>
      </c>
      <c r="C122" s="137"/>
      <c r="D122" s="137"/>
      <c r="E122" s="169"/>
      <c r="F122" s="137"/>
      <c r="G122" s="137"/>
      <c r="H122" s="137"/>
      <c r="I122" s="137"/>
      <c r="J122" s="137"/>
      <c r="K122" s="137"/>
      <c r="L122" s="137"/>
      <c r="M122" s="137"/>
      <c r="N122" s="169"/>
      <c r="O122" s="169"/>
      <c r="P122" s="169"/>
      <c r="Q122" s="169"/>
    </row>
    <row r="123" spans="1:19" s="53" customFormat="1" ht="33" x14ac:dyDescent="0.35">
      <c r="A123" s="27" t="str">
        <f>_xlfn.XLOOKUP(B123,'Paso 3 Redacción RA '!I$3:I$15,'Paso 3 Redacción RA '!C$3:C$15,,0,1)</f>
        <v>Saberhacer</v>
      </c>
      <c r="B123" s="16" t="s">
        <v>104</v>
      </c>
      <c r="C123" s="137"/>
      <c r="D123" s="137"/>
      <c r="E123" s="169"/>
      <c r="F123" s="137"/>
      <c r="G123" s="137"/>
      <c r="H123" s="137"/>
      <c r="I123" s="137"/>
      <c r="J123" s="137"/>
      <c r="K123" s="137"/>
      <c r="L123" s="137"/>
      <c r="M123" s="137"/>
      <c r="N123" s="169"/>
      <c r="O123" s="169"/>
      <c r="P123" s="169"/>
      <c r="Q123" s="169"/>
    </row>
    <row r="124" spans="1:19" s="53" customFormat="1" ht="50" thickBot="1" x14ac:dyDescent="0.4">
      <c r="A124" s="98" t="str">
        <f>_xlfn.XLOOKUP(B124,'Paso 3 Redacción RA '!I$3:I$15,'Paso 3 Redacción RA '!C$3:C$15,,0,1)</f>
        <v>Saberser</v>
      </c>
      <c r="B124" s="30" t="s">
        <v>96</v>
      </c>
      <c r="C124" s="144"/>
      <c r="D124" s="144"/>
      <c r="E124" s="170"/>
      <c r="F124" s="144"/>
      <c r="G124" s="144"/>
      <c r="H124" s="144"/>
      <c r="I124" s="144"/>
      <c r="J124" s="144"/>
      <c r="K124" s="144"/>
      <c r="L124" s="144"/>
      <c r="M124" s="144"/>
      <c r="N124" s="170"/>
      <c r="O124" s="170"/>
      <c r="P124" s="170"/>
      <c r="Q124" s="170"/>
      <c r="R124" s="53">
        <f>SUM(J105:J124)</f>
        <v>16</v>
      </c>
      <c r="S124" s="53">
        <f>COUNTA(D105:D124)</f>
        <v>4</v>
      </c>
    </row>
    <row r="125" spans="1:19" s="53" customFormat="1" ht="49.5" x14ac:dyDescent="0.35">
      <c r="A125" s="27" t="str">
        <f>_xlfn.XLOOKUP(B125,'Paso 3 Redacción RA '!I$3:I$15,'Paso 3 Redacción RA '!C$3:C$15,,0,1)</f>
        <v>Saber</v>
      </c>
      <c r="B125" s="16" t="s">
        <v>90</v>
      </c>
      <c r="C125" s="143">
        <v>7</v>
      </c>
      <c r="D125" s="143" t="s">
        <v>281</v>
      </c>
      <c r="E125" s="168" t="s">
        <v>282</v>
      </c>
      <c r="F125" s="143" t="s">
        <v>181</v>
      </c>
      <c r="G125" s="143"/>
      <c r="H125" s="143" t="s">
        <v>182</v>
      </c>
      <c r="I125" s="143"/>
      <c r="J125" s="143">
        <v>4</v>
      </c>
      <c r="K125" s="143">
        <f>J125*12</f>
        <v>48</v>
      </c>
      <c r="L125" s="143">
        <f>36*J125</f>
        <v>144</v>
      </c>
      <c r="M125" s="143">
        <f>SUM(K125:L125)</f>
        <v>192</v>
      </c>
      <c r="N125" s="168" t="s">
        <v>283</v>
      </c>
      <c r="O125" s="168" t="s">
        <v>196</v>
      </c>
      <c r="P125" s="168" t="s">
        <v>201</v>
      </c>
      <c r="Q125" s="168" t="s">
        <v>191</v>
      </c>
    </row>
    <row r="126" spans="1:19" s="53" customFormat="1" ht="49.5" x14ac:dyDescent="0.35">
      <c r="A126" s="27" t="str">
        <f>_xlfn.XLOOKUP(B126,'Paso 3 Redacción RA '!I$3:I$15,'Paso 3 Redacción RA '!C$3:C$15,,0,1)</f>
        <v>Saberser</v>
      </c>
      <c r="B126" s="16" t="s">
        <v>96</v>
      </c>
      <c r="C126" s="137"/>
      <c r="D126" s="137"/>
      <c r="E126" s="169"/>
      <c r="F126" s="137"/>
      <c r="G126" s="137"/>
      <c r="H126" s="137"/>
      <c r="I126" s="137"/>
      <c r="J126" s="137"/>
      <c r="K126" s="137"/>
      <c r="L126" s="137"/>
      <c r="M126" s="137"/>
      <c r="N126" s="169"/>
      <c r="O126" s="169"/>
      <c r="P126" s="169"/>
      <c r="Q126" s="169"/>
    </row>
    <row r="127" spans="1:19" s="53" customFormat="1" ht="33" x14ac:dyDescent="0.35">
      <c r="A127" s="27" t="str">
        <f>_xlfn.XLOOKUP(B127,'Paso 3 Redacción RA '!I$3:I$15,'Paso 3 Redacción RA '!C$3:C$15,,0,1)</f>
        <v>Saberhacer</v>
      </c>
      <c r="B127" s="16" t="s">
        <v>93</v>
      </c>
      <c r="C127" s="137"/>
      <c r="D127" s="137"/>
      <c r="E127" s="169"/>
      <c r="F127" s="137"/>
      <c r="G127" s="137"/>
      <c r="H127" s="137"/>
      <c r="I127" s="137"/>
      <c r="J127" s="137"/>
      <c r="K127" s="137"/>
      <c r="L127" s="137"/>
      <c r="M127" s="137"/>
      <c r="N127" s="169"/>
      <c r="O127" s="169"/>
      <c r="P127" s="169"/>
      <c r="Q127" s="169"/>
    </row>
    <row r="128" spans="1:19" s="53" customFormat="1" ht="33" x14ac:dyDescent="0.35">
      <c r="A128" s="27" t="str">
        <f>_xlfn.XLOOKUP(B128,'Paso 3 Redacción RA '!I$3:I$15,'Paso 3 Redacción RA '!C$3:C$15,,0,1)</f>
        <v>Saberhacer</v>
      </c>
      <c r="B128" s="16" t="s">
        <v>104</v>
      </c>
      <c r="C128" s="137"/>
      <c r="D128" s="137"/>
      <c r="E128" s="169"/>
      <c r="F128" s="137"/>
      <c r="G128" s="137"/>
      <c r="H128" s="137"/>
      <c r="I128" s="137"/>
      <c r="J128" s="137"/>
      <c r="K128" s="137"/>
      <c r="L128" s="137"/>
      <c r="M128" s="137"/>
      <c r="N128" s="169"/>
      <c r="O128" s="169"/>
      <c r="P128" s="169"/>
      <c r="Q128" s="169"/>
    </row>
    <row r="129" spans="1:19" s="53" customFormat="1" ht="50" thickBot="1" x14ac:dyDescent="0.4">
      <c r="A129" s="98" t="str">
        <f>_xlfn.XLOOKUP(B129,'Paso 3 Redacción RA '!I$3:I$15,'Paso 3 Redacción RA '!C$3:C$15,,0,1)</f>
        <v>Saberser</v>
      </c>
      <c r="B129" s="30" t="s">
        <v>96</v>
      </c>
      <c r="C129" s="144"/>
      <c r="D129" s="144"/>
      <c r="E129" s="170"/>
      <c r="F129" s="144"/>
      <c r="G129" s="144"/>
      <c r="H129" s="144"/>
      <c r="I129" s="144"/>
      <c r="J129" s="144"/>
      <c r="K129" s="144"/>
      <c r="L129" s="144"/>
      <c r="M129" s="144"/>
      <c r="N129" s="170"/>
      <c r="O129" s="170"/>
      <c r="P129" s="170"/>
      <c r="Q129" s="170"/>
    </row>
    <row r="130" spans="1:19" s="53" customFormat="1" ht="49.5" x14ac:dyDescent="0.35">
      <c r="A130" s="27" t="str">
        <f>_xlfn.XLOOKUP(B130,'Paso 3 Redacción RA '!I$3:I$15,'Paso 3 Redacción RA '!C$3:C$15,,0,1)</f>
        <v>Saber</v>
      </c>
      <c r="B130" s="16" t="s">
        <v>99</v>
      </c>
      <c r="C130" s="143">
        <v>7</v>
      </c>
      <c r="D130" s="143" t="s">
        <v>284</v>
      </c>
      <c r="E130" s="165" t="s">
        <v>285</v>
      </c>
      <c r="F130" s="143" t="s">
        <v>181</v>
      </c>
      <c r="G130" s="143"/>
      <c r="H130" s="143" t="s">
        <v>182</v>
      </c>
      <c r="I130" s="143"/>
      <c r="J130" s="143">
        <v>4</v>
      </c>
      <c r="K130" s="143">
        <f>J130*12</f>
        <v>48</v>
      </c>
      <c r="L130" s="143">
        <f>36*J130</f>
        <v>144</v>
      </c>
      <c r="M130" s="143">
        <f>SUM(K130:L130)</f>
        <v>192</v>
      </c>
      <c r="N130" s="168" t="s">
        <v>286</v>
      </c>
      <c r="O130" s="168" t="s">
        <v>196</v>
      </c>
      <c r="P130" s="168" t="s">
        <v>214</v>
      </c>
      <c r="Q130" s="168" t="s">
        <v>191</v>
      </c>
    </row>
    <row r="131" spans="1:19" s="53" customFormat="1" ht="33" x14ac:dyDescent="0.35">
      <c r="A131" s="27" t="str">
        <f>_xlfn.XLOOKUP(B131,'Paso 3 Redacción RA '!I$3:I$15,'Paso 3 Redacción RA '!C$3:C$15,,0,1)</f>
        <v>Saberhacer</v>
      </c>
      <c r="B131" s="16" t="s">
        <v>93</v>
      </c>
      <c r="C131" s="137"/>
      <c r="D131" s="137"/>
      <c r="E131" s="166"/>
      <c r="F131" s="137"/>
      <c r="G131" s="137"/>
      <c r="H131" s="137"/>
      <c r="I131" s="137"/>
      <c r="J131" s="137"/>
      <c r="K131" s="137"/>
      <c r="L131" s="137"/>
      <c r="M131" s="137"/>
      <c r="N131" s="169"/>
      <c r="O131" s="169"/>
      <c r="P131" s="169"/>
      <c r="Q131" s="169"/>
    </row>
    <row r="132" spans="1:19" s="53" customFormat="1" ht="49.5" x14ac:dyDescent="0.35">
      <c r="A132" s="27" t="str">
        <f>_xlfn.XLOOKUP(B132,'Paso 3 Redacción RA '!I$3:I$15,'Paso 3 Redacción RA '!C$3:C$15,,0,1)</f>
        <v>Saberhacer</v>
      </c>
      <c r="B132" s="16" t="s">
        <v>101</v>
      </c>
      <c r="C132" s="137"/>
      <c r="D132" s="137"/>
      <c r="E132" s="166"/>
      <c r="F132" s="137"/>
      <c r="G132" s="137"/>
      <c r="H132" s="137"/>
      <c r="I132" s="137"/>
      <c r="J132" s="137"/>
      <c r="K132" s="137"/>
      <c r="L132" s="137"/>
      <c r="M132" s="137"/>
      <c r="N132" s="169"/>
      <c r="O132" s="169"/>
      <c r="P132" s="169"/>
      <c r="Q132" s="169"/>
    </row>
    <row r="133" spans="1:19" s="53" customFormat="1" ht="33" x14ac:dyDescent="0.35">
      <c r="A133" s="27" t="str">
        <f>_xlfn.XLOOKUP(B133,'Paso 3 Redacción RA '!I$3:I$15,'Paso 3 Redacción RA '!C$3:C$15,,0,1)</f>
        <v>Saberhacer</v>
      </c>
      <c r="B133" s="16" t="s">
        <v>104</v>
      </c>
      <c r="C133" s="137"/>
      <c r="D133" s="137"/>
      <c r="E133" s="166"/>
      <c r="F133" s="137"/>
      <c r="G133" s="137"/>
      <c r="H133" s="137"/>
      <c r="I133" s="137"/>
      <c r="J133" s="137"/>
      <c r="K133" s="137"/>
      <c r="L133" s="137"/>
      <c r="M133" s="137"/>
      <c r="N133" s="169"/>
      <c r="O133" s="169"/>
      <c r="P133" s="169"/>
      <c r="Q133" s="169"/>
    </row>
    <row r="134" spans="1:19" s="53" customFormat="1" ht="50" thickBot="1" x14ac:dyDescent="0.4">
      <c r="A134" s="98" t="str">
        <f>_xlfn.XLOOKUP(B134,'Paso 3 Redacción RA '!I$3:I$15,'Paso 3 Redacción RA '!C$3:C$15,,0,1)</f>
        <v>Saberser</v>
      </c>
      <c r="B134" s="30" t="s">
        <v>96</v>
      </c>
      <c r="C134" s="144"/>
      <c r="D134" s="144"/>
      <c r="E134" s="171"/>
      <c r="F134" s="144"/>
      <c r="G134" s="144"/>
      <c r="H134" s="144"/>
      <c r="I134" s="144"/>
      <c r="J134" s="144"/>
      <c r="K134" s="144"/>
      <c r="L134" s="144"/>
      <c r="M134" s="144"/>
      <c r="N134" s="170"/>
      <c r="O134" s="170"/>
      <c r="P134" s="170"/>
      <c r="Q134" s="170"/>
    </row>
    <row r="135" spans="1:19" s="53" customFormat="1" ht="49.5" x14ac:dyDescent="0.35">
      <c r="A135" s="27" t="str">
        <f>_xlfn.XLOOKUP(B135,'Paso 3 Redacción RA '!I$3:I$15,'Paso 3 Redacción RA '!C$3:C$15,,0,1)</f>
        <v>Saber</v>
      </c>
      <c r="B135" s="16" t="s">
        <v>90</v>
      </c>
      <c r="C135" s="143">
        <v>7</v>
      </c>
      <c r="D135" s="143" t="s">
        <v>287</v>
      </c>
      <c r="E135" s="168" t="s">
        <v>288</v>
      </c>
      <c r="F135" s="143" t="s">
        <v>181</v>
      </c>
      <c r="G135" s="143"/>
      <c r="H135" s="143" t="s">
        <v>182</v>
      </c>
      <c r="I135" s="143"/>
      <c r="J135" s="143">
        <v>4</v>
      </c>
      <c r="K135" s="143">
        <f>J135*12</f>
        <v>48</v>
      </c>
      <c r="L135" s="143">
        <f>36*J135</f>
        <v>144</v>
      </c>
      <c r="M135" s="143">
        <f>SUM(K135:L135)</f>
        <v>192</v>
      </c>
      <c r="N135" s="168" t="s">
        <v>289</v>
      </c>
      <c r="O135" s="168" t="s">
        <v>196</v>
      </c>
      <c r="P135" s="168" t="s">
        <v>214</v>
      </c>
      <c r="Q135" s="168" t="s">
        <v>191</v>
      </c>
    </row>
    <row r="136" spans="1:19" s="53" customFormat="1" ht="49.5" x14ac:dyDescent="0.35">
      <c r="A136" s="27" t="str">
        <f>_xlfn.XLOOKUP(B136,'Paso 3 Redacción RA '!I$3:I$15,'Paso 3 Redacción RA '!C$3:C$15,,0,1)</f>
        <v>Saber</v>
      </c>
      <c r="B136" s="16" t="s">
        <v>102</v>
      </c>
      <c r="C136" s="137"/>
      <c r="D136" s="137"/>
      <c r="E136" s="169"/>
      <c r="F136" s="137"/>
      <c r="G136" s="137"/>
      <c r="H136" s="137"/>
      <c r="I136" s="137"/>
      <c r="J136" s="137"/>
      <c r="K136" s="137"/>
      <c r="L136" s="137"/>
      <c r="M136" s="137"/>
      <c r="N136" s="169"/>
      <c r="O136" s="169"/>
      <c r="P136" s="169"/>
      <c r="Q136" s="169"/>
    </row>
    <row r="137" spans="1:19" s="53" customFormat="1" ht="33" x14ac:dyDescent="0.35">
      <c r="A137" s="27" t="str">
        <f>_xlfn.XLOOKUP(B137,'Paso 3 Redacción RA '!I$3:I$15,'Paso 3 Redacción RA '!C$3:C$15,,0,1)</f>
        <v>Saberhacer</v>
      </c>
      <c r="B137" s="16" t="s">
        <v>93</v>
      </c>
      <c r="C137" s="137"/>
      <c r="D137" s="137"/>
      <c r="E137" s="169"/>
      <c r="F137" s="137"/>
      <c r="G137" s="137"/>
      <c r="H137" s="137"/>
      <c r="I137" s="137"/>
      <c r="J137" s="137"/>
      <c r="K137" s="137"/>
      <c r="L137" s="137"/>
      <c r="M137" s="137"/>
      <c r="N137" s="169"/>
      <c r="O137" s="169"/>
      <c r="P137" s="169"/>
      <c r="Q137" s="169"/>
    </row>
    <row r="138" spans="1:19" s="53" customFormat="1" ht="33" x14ac:dyDescent="0.35">
      <c r="A138" s="27" t="str">
        <f>_xlfn.XLOOKUP(B138,'Paso 3 Redacción RA '!I$3:I$15,'Paso 3 Redacción RA '!C$3:C$15,,0,1)</f>
        <v>Saberhacer</v>
      </c>
      <c r="B138" s="16" t="s">
        <v>104</v>
      </c>
      <c r="C138" s="137"/>
      <c r="D138" s="137"/>
      <c r="E138" s="169"/>
      <c r="F138" s="137"/>
      <c r="G138" s="137"/>
      <c r="H138" s="137"/>
      <c r="I138" s="137"/>
      <c r="J138" s="137"/>
      <c r="K138" s="137"/>
      <c r="L138" s="137"/>
      <c r="M138" s="137"/>
      <c r="N138" s="169"/>
      <c r="O138" s="169"/>
      <c r="P138" s="169"/>
      <c r="Q138" s="169"/>
    </row>
    <row r="139" spans="1:19" s="53" customFormat="1" ht="50" thickBot="1" x14ac:dyDescent="0.4">
      <c r="A139" s="98" t="str">
        <f>_xlfn.XLOOKUP(B139,'Paso 3 Redacción RA '!I$3:I$15,'Paso 3 Redacción RA '!C$3:C$15,,0,1)</f>
        <v>Saberser</v>
      </c>
      <c r="B139" s="30" t="s">
        <v>96</v>
      </c>
      <c r="C139" s="144"/>
      <c r="D139" s="144"/>
      <c r="E139" s="170"/>
      <c r="F139" s="144"/>
      <c r="G139" s="144"/>
      <c r="H139" s="144"/>
      <c r="I139" s="144"/>
      <c r="J139" s="144"/>
      <c r="K139" s="144"/>
      <c r="L139" s="144"/>
      <c r="M139" s="164"/>
      <c r="N139" s="170"/>
      <c r="O139" s="170"/>
      <c r="P139" s="170"/>
      <c r="Q139" s="170"/>
    </row>
    <row r="140" spans="1:19" s="53" customFormat="1" ht="17" thickBot="1" x14ac:dyDescent="0.4">
      <c r="A140" s="132"/>
      <c r="B140" s="83"/>
      <c r="C140" s="84">
        <v>7</v>
      </c>
      <c r="D140" s="85" t="s">
        <v>290</v>
      </c>
      <c r="E140" s="86"/>
      <c r="F140" s="85"/>
      <c r="G140" s="87"/>
      <c r="H140" s="87"/>
      <c r="I140" s="87" t="s">
        <v>182</v>
      </c>
      <c r="J140" s="87">
        <v>3</v>
      </c>
      <c r="K140" s="85">
        <f>J140*12</f>
        <v>36</v>
      </c>
      <c r="L140" s="85">
        <f>36*J140</f>
        <v>108</v>
      </c>
      <c r="M140" s="127">
        <f>SUM(K140:L140)</f>
        <v>144</v>
      </c>
      <c r="N140" s="88"/>
      <c r="O140" s="88"/>
      <c r="P140" s="88"/>
      <c r="Q140" s="89"/>
      <c r="S140" s="53">
        <f>COUNTA(D125:D141)</f>
        <v>5</v>
      </c>
    </row>
    <row r="141" spans="1:19" s="53" customFormat="1" ht="17" thickBot="1" x14ac:dyDescent="0.4">
      <c r="A141" s="132"/>
      <c r="B141" s="83"/>
      <c r="C141" s="84">
        <v>7</v>
      </c>
      <c r="D141" s="85" t="s">
        <v>750</v>
      </c>
      <c r="E141" s="83"/>
      <c r="F141" s="85"/>
      <c r="G141" s="85"/>
      <c r="H141" s="85"/>
      <c r="I141" s="85" t="s">
        <v>182</v>
      </c>
      <c r="J141" s="85">
        <v>3</v>
      </c>
      <c r="K141" s="85">
        <f>J141*12</f>
        <v>36</v>
      </c>
      <c r="L141" s="85">
        <f>36*J141</f>
        <v>108</v>
      </c>
      <c r="M141" s="85">
        <f>SUM(K141:L141)</f>
        <v>144</v>
      </c>
      <c r="N141" s="83"/>
      <c r="O141" s="83"/>
      <c r="P141" s="83"/>
      <c r="Q141" s="89"/>
      <c r="R141" s="53">
        <f>SUM(J125:J141)</f>
        <v>18</v>
      </c>
    </row>
    <row r="142" spans="1:19" s="53" customFormat="1" ht="49.5" x14ac:dyDescent="0.35">
      <c r="A142" s="27" t="str">
        <f>_xlfn.XLOOKUP(B142,'Paso 3 Redacción RA '!I$3:I$15,'Paso 3 Redacción RA '!C$3:C$15,,0,1)</f>
        <v>Saber</v>
      </c>
      <c r="B142" s="16" t="s">
        <v>90</v>
      </c>
      <c r="C142" s="143">
        <v>8</v>
      </c>
      <c r="D142" s="143" t="s">
        <v>291</v>
      </c>
      <c r="E142" s="168" t="s">
        <v>292</v>
      </c>
      <c r="F142" s="143" t="s">
        <v>293</v>
      </c>
      <c r="G142" s="143"/>
      <c r="H142" s="143" t="s">
        <v>182</v>
      </c>
      <c r="I142" s="143"/>
      <c r="J142" s="143">
        <v>7</v>
      </c>
      <c r="K142" s="143">
        <f>J142*12</f>
        <v>84</v>
      </c>
      <c r="L142" s="143">
        <f>36*J142</f>
        <v>252</v>
      </c>
      <c r="M142" s="143">
        <f>SUM(K142:L142)</f>
        <v>336</v>
      </c>
      <c r="N142" s="168" t="s">
        <v>294</v>
      </c>
      <c r="O142" s="168" t="s">
        <v>196</v>
      </c>
      <c r="P142" s="168" t="s">
        <v>295</v>
      </c>
      <c r="Q142" s="168" t="s">
        <v>191</v>
      </c>
    </row>
    <row r="143" spans="1:19" s="53" customFormat="1" ht="49.5" x14ac:dyDescent="0.35">
      <c r="A143" s="27" t="str">
        <f>_xlfn.XLOOKUP(B143,'Paso 3 Redacción RA '!I$3:I$15,'Paso 3 Redacción RA '!C$3:C$15,,0,1)</f>
        <v>Saber</v>
      </c>
      <c r="B143" s="16" t="s">
        <v>99</v>
      </c>
      <c r="C143" s="137"/>
      <c r="D143" s="137"/>
      <c r="E143" s="169"/>
      <c r="F143" s="137"/>
      <c r="G143" s="137"/>
      <c r="H143" s="137"/>
      <c r="I143" s="137"/>
      <c r="J143" s="137"/>
      <c r="K143" s="137"/>
      <c r="L143" s="137"/>
      <c r="M143" s="137"/>
      <c r="N143" s="169"/>
      <c r="O143" s="169"/>
      <c r="P143" s="169"/>
      <c r="Q143" s="169"/>
    </row>
    <row r="144" spans="1:19" s="53" customFormat="1" ht="49.5" x14ac:dyDescent="0.35">
      <c r="A144" s="27" t="str">
        <f>_xlfn.XLOOKUP(B144,'Paso 3 Redacción RA '!I$3:I$15,'Paso 3 Redacción RA '!C$3:C$15,,0,1)</f>
        <v>Saber</v>
      </c>
      <c r="B144" s="16" t="s">
        <v>102</v>
      </c>
      <c r="C144" s="137"/>
      <c r="D144" s="137"/>
      <c r="E144" s="169"/>
      <c r="F144" s="137"/>
      <c r="G144" s="137"/>
      <c r="H144" s="137"/>
      <c r="I144" s="137"/>
      <c r="J144" s="137"/>
      <c r="K144" s="137"/>
      <c r="L144" s="137"/>
      <c r="M144" s="137"/>
      <c r="N144" s="169"/>
      <c r="O144" s="169"/>
      <c r="P144" s="169"/>
      <c r="Q144" s="169"/>
    </row>
    <row r="145" spans="1:19" s="53" customFormat="1" ht="33" x14ac:dyDescent="0.35">
      <c r="A145" s="27" t="str">
        <f>_xlfn.XLOOKUP(B145,'Paso 3 Redacción RA '!I$3:I$15,'Paso 3 Redacción RA '!C$3:C$15,,0,1)</f>
        <v>Saberhacer</v>
      </c>
      <c r="B145" s="16" t="s">
        <v>93</v>
      </c>
      <c r="C145" s="137"/>
      <c r="D145" s="137"/>
      <c r="E145" s="169"/>
      <c r="F145" s="137"/>
      <c r="G145" s="137"/>
      <c r="H145" s="137"/>
      <c r="I145" s="137"/>
      <c r="J145" s="137"/>
      <c r="K145" s="137"/>
      <c r="L145" s="137"/>
      <c r="M145" s="137"/>
      <c r="N145" s="169"/>
      <c r="O145" s="169"/>
      <c r="P145" s="169"/>
      <c r="Q145" s="169"/>
    </row>
    <row r="146" spans="1:19" s="53" customFormat="1" ht="49.5" x14ac:dyDescent="0.35">
      <c r="A146" s="27" t="str">
        <f>_xlfn.XLOOKUP(B146,'Paso 3 Redacción RA '!I$3:I$15,'Paso 3 Redacción RA '!C$3:C$15,,0,1)</f>
        <v>Saberhacer</v>
      </c>
      <c r="B146" s="16" t="s">
        <v>101</v>
      </c>
      <c r="C146" s="137"/>
      <c r="D146" s="137"/>
      <c r="E146" s="169"/>
      <c r="F146" s="137"/>
      <c r="G146" s="137"/>
      <c r="H146" s="137"/>
      <c r="I146" s="137"/>
      <c r="J146" s="137"/>
      <c r="K146" s="137"/>
      <c r="L146" s="137"/>
      <c r="M146" s="137"/>
      <c r="N146" s="169"/>
      <c r="O146" s="169"/>
      <c r="P146" s="169"/>
      <c r="Q146" s="169"/>
    </row>
    <row r="147" spans="1:19" s="53" customFormat="1" ht="33" x14ac:dyDescent="0.35">
      <c r="A147" s="27" t="str">
        <f>_xlfn.XLOOKUP(B147,'Paso 3 Redacción RA '!I$3:I$15,'Paso 3 Redacción RA '!C$3:C$15,,0,1)</f>
        <v>Saberhacer</v>
      </c>
      <c r="B147" s="16" t="s">
        <v>104</v>
      </c>
      <c r="C147" s="137"/>
      <c r="D147" s="137"/>
      <c r="E147" s="169"/>
      <c r="F147" s="137"/>
      <c r="G147" s="137"/>
      <c r="H147" s="137"/>
      <c r="I147" s="137"/>
      <c r="J147" s="137"/>
      <c r="K147" s="137"/>
      <c r="L147" s="137"/>
      <c r="M147" s="137"/>
      <c r="N147" s="169"/>
      <c r="O147" s="169"/>
      <c r="P147" s="169"/>
      <c r="Q147" s="169"/>
    </row>
    <row r="148" spans="1:19" s="53" customFormat="1" ht="50" thickBot="1" x14ac:dyDescent="0.4">
      <c r="A148" s="98" t="str">
        <f>_xlfn.XLOOKUP(B148,'Paso 3 Redacción RA '!I$3:I$15,'Paso 3 Redacción RA '!C$3:C$15,,0,1)</f>
        <v>Saberser</v>
      </c>
      <c r="B148" s="30" t="s">
        <v>96</v>
      </c>
      <c r="C148" s="144"/>
      <c r="D148" s="144"/>
      <c r="E148" s="170"/>
      <c r="F148" s="144"/>
      <c r="G148" s="144"/>
      <c r="H148" s="144"/>
      <c r="I148" s="144"/>
      <c r="J148" s="144"/>
      <c r="K148" s="144"/>
      <c r="L148" s="144"/>
      <c r="M148" s="144"/>
      <c r="N148" s="170"/>
      <c r="O148" s="170"/>
      <c r="P148" s="170"/>
      <c r="Q148" s="170"/>
    </row>
    <row r="149" spans="1:19" s="53" customFormat="1" ht="49.5" x14ac:dyDescent="0.35">
      <c r="A149" s="27" t="str">
        <f>_xlfn.XLOOKUP(B149,'Paso 3 Redacción RA '!I$3:I$15,'Paso 3 Redacción RA '!C$3:C$15,,0,1)</f>
        <v>Saber</v>
      </c>
      <c r="B149" s="16" t="s">
        <v>90</v>
      </c>
      <c r="C149" s="143">
        <v>8</v>
      </c>
      <c r="D149" s="143" t="s">
        <v>296</v>
      </c>
      <c r="E149" s="165" t="s">
        <v>297</v>
      </c>
      <c r="F149" s="143" t="s">
        <v>181</v>
      </c>
      <c r="G149" s="143"/>
      <c r="H149" s="143" t="s">
        <v>182</v>
      </c>
      <c r="I149" s="143"/>
      <c r="J149" s="143">
        <v>4</v>
      </c>
      <c r="K149" s="143">
        <f>J149*12</f>
        <v>48</v>
      </c>
      <c r="L149" s="143">
        <f>36*J149</f>
        <v>144</v>
      </c>
      <c r="M149" s="143">
        <f>SUM(K149:L149)</f>
        <v>192</v>
      </c>
      <c r="N149" s="168" t="s">
        <v>298</v>
      </c>
      <c r="O149" s="168" t="s">
        <v>196</v>
      </c>
      <c r="P149" s="168" t="s">
        <v>214</v>
      </c>
      <c r="Q149" s="168" t="s">
        <v>191</v>
      </c>
    </row>
    <row r="150" spans="1:19" s="53" customFormat="1" ht="49.5" x14ac:dyDescent="0.35">
      <c r="A150" s="27" t="str">
        <f>_xlfn.XLOOKUP(B150,'Paso 3 Redacción RA '!I$3:I$15,'Paso 3 Redacción RA '!C$3:C$15,,0,1)</f>
        <v>Saberser</v>
      </c>
      <c r="B150" s="16" t="s">
        <v>96</v>
      </c>
      <c r="C150" s="137"/>
      <c r="D150" s="137"/>
      <c r="E150" s="166"/>
      <c r="F150" s="137"/>
      <c r="G150" s="137"/>
      <c r="H150" s="137"/>
      <c r="I150" s="137"/>
      <c r="J150" s="137"/>
      <c r="K150" s="137"/>
      <c r="L150" s="137"/>
      <c r="M150" s="137"/>
      <c r="N150" s="169"/>
      <c r="O150" s="169"/>
      <c r="P150" s="169"/>
      <c r="Q150" s="169"/>
    </row>
    <row r="151" spans="1:19" s="53" customFormat="1" ht="33" x14ac:dyDescent="0.35">
      <c r="A151" s="27" t="str">
        <f>_xlfn.XLOOKUP(B151,'Paso 3 Redacción RA '!I$3:I$15,'Paso 3 Redacción RA '!C$3:C$15,,0,1)</f>
        <v>Saberhacer</v>
      </c>
      <c r="B151" s="16" t="s">
        <v>93</v>
      </c>
      <c r="C151" s="137"/>
      <c r="D151" s="137"/>
      <c r="E151" s="166"/>
      <c r="F151" s="137"/>
      <c r="G151" s="137"/>
      <c r="H151" s="137"/>
      <c r="I151" s="137"/>
      <c r="J151" s="137"/>
      <c r="K151" s="137"/>
      <c r="L151" s="137"/>
      <c r="M151" s="137"/>
      <c r="N151" s="169"/>
      <c r="O151" s="169"/>
      <c r="P151" s="169"/>
      <c r="Q151" s="169"/>
    </row>
    <row r="152" spans="1:19" s="53" customFormat="1" ht="33" x14ac:dyDescent="0.35">
      <c r="A152" s="27" t="str">
        <f>_xlfn.XLOOKUP(B152,'Paso 3 Redacción RA '!I$3:I$15,'Paso 3 Redacción RA '!C$3:C$15,,0,1)</f>
        <v>Saberhacer</v>
      </c>
      <c r="B152" s="16" t="s">
        <v>104</v>
      </c>
      <c r="C152" s="137"/>
      <c r="D152" s="137"/>
      <c r="E152" s="166"/>
      <c r="F152" s="137"/>
      <c r="G152" s="137"/>
      <c r="H152" s="137"/>
      <c r="I152" s="137"/>
      <c r="J152" s="137"/>
      <c r="K152" s="137"/>
      <c r="L152" s="137"/>
      <c r="M152" s="137"/>
      <c r="N152" s="169"/>
      <c r="O152" s="169"/>
      <c r="P152" s="169"/>
      <c r="Q152" s="169"/>
    </row>
    <row r="153" spans="1:19" s="53" customFormat="1" ht="50" thickBot="1" x14ac:dyDescent="0.4">
      <c r="A153" s="98" t="str">
        <f>_xlfn.XLOOKUP(B153,'Paso 3 Redacción RA '!I$3:I$15,'Paso 3 Redacción RA '!C$3:C$15,,0,1)</f>
        <v>Saberser</v>
      </c>
      <c r="B153" s="30" t="s">
        <v>96</v>
      </c>
      <c r="C153" s="144"/>
      <c r="D153" s="164"/>
      <c r="E153" s="167"/>
      <c r="F153" s="144"/>
      <c r="G153" s="144"/>
      <c r="H153" s="144"/>
      <c r="I153" s="144"/>
      <c r="J153" s="144"/>
      <c r="K153" s="144"/>
      <c r="L153" s="144"/>
      <c r="M153" s="144"/>
      <c r="N153" s="170"/>
      <c r="O153" s="170"/>
      <c r="P153" s="170"/>
      <c r="Q153" s="170"/>
    </row>
    <row r="154" spans="1:19" s="53" customFormat="1" ht="17" thickBot="1" x14ac:dyDescent="0.4">
      <c r="A154" s="132"/>
      <c r="B154" s="90"/>
      <c r="C154" s="91">
        <v>8</v>
      </c>
      <c r="D154" s="92" t="s">
        <v>751</v>
      </c>
      <c r="E154" s="90"/>
      <c r="F154" s="92"/>
      <c r="G154" s="92"/>
      <c r="H154" s="92"/>
      <c r="I154" s="92" t="s">
        <v>182</v>
      </c>
      <c r="J154" s="92">
        <v>3</v>
      </c>
      <c r="K154" s="85">
        <f>J154*12</f>
        <v>36</v>
      </c>
      <c r="L154" s="85">
        <f>36*J154</f>
        <v>108</v>
      </c>
      <c r="M154" s="92">
        <f>SUM(K154:L154)</f>
        <v>144</v>
      </c>
      <c r="N154" s="90"/>
      <c r="O154" s="90"/>
      <c r="P154" s="90"/>
      <c r="Q154" s="93"/>
    </row>
    <row r="155" spans="1:19" s="53" customFormat="1" ht="17" thickBot="1" x14ac:dyDescent="0.4">
      <c r="A155" s="132"/>
      <c r="B155" s="83"/>
      <c r="C155" s="84">
        <v>8</v>
      </c>
      <c r="D155" s="85" t="s">
        <v>752</v>
      </c>
      <c r="E155" s="83"/>
      <c r="F155" s="85"/>
      <c r="G155" s="85"/>
      <c r="H155" s="85"/>
      <c r="I155" s="85" t="s">
        <v>182</v>
      </c>
      <c r="J155" s="85">
        <v>3</v>
      </c>
      <c r="K155" s="85">
        <f>J155*12</f>
        <v>36</v>
      </c>
      <c r="L155" s="85">
        <f>36*J155</f>
        <v>108</v>
      </c>
      <c r="M155" s="85">
        <f>SUM(K155:L155)</f>
        <v>144</v>
      </c>
      <c r="N155" s="83"/>
      <c r="O155" s="83"/>
      <c r="P155" s="83"/>
      <c r="Q155" s="83"/>
      <c r="R155" s="53">
        <f>SUM(J142:J155)</f>
        <v>17</v>
      </c>
      <c r="S155" s="53">
        <f>COUNTA(D142:D155)</f>
        <v>4</v>
      </c>
    </row>
    <row r="156" spans="1:19" s="53" customFormat="1" ht="32" x14ac:dyDescent="0.35">
      <c r="A156" s="27"/>
      <c r="B156" s="16"/>
      <c r="C156" s="122" t="s">
        <v>299</v>
      </c>
      <c r="D156" s="124">
        <f>COUNTA(D3:D155)</f>
        <v>38</v>
      </c>
      <c r="E156" s="16"/>
      <c r="F156" s="20"/>
      <c r="G156" s="20"/>
      <c r="H156" s="20"/>
      <c r="I156" s="123" t="s">
        <v>300</v>
      </c>
      <c r="J156" s="125">
        <f>SUM(J3:J155)</f>
        <v>135</v>
      </c>
      <c r="K156" s="102"/>
      <c r="L156" s="33"/>
      <c r="M156" s="20"/>
      <c r="N156" s="16"/>
      <c r="O156" s="16"/>
      <c r="P156" s="16"/>
      <c r="Q156" s="16"/>
      <c r="R156" s="53">
        <f>SUM(R155,R141,R124,R104,R80,R59,R43,R20)</f>
        <v>135</v>
      </c>
      <c r="S156" s="53">
        <f>SUM(S3:S155)</f>
        <v>38</v>
      </c>
    </row>
    <row r="157" spans="1:19" s="53" customFormat="1" ht="48" x14ac:dyDescent="0.35">
      <c r="A157" s="27"/>
      <c r="B157" s="16"/>
      <c r="D157" s="20"/>
      <c r="E157" s="16"/>
      <c r="F157" s="20"/>
      <c r="G157" s="20"/>
      <c r="H157" s="20"/>
      <c r="I157" s="123" t="s">
        <v>301</v>
      </c>
      <c r="J157" s="125">
        <f>SUMIF(G3:G155,"X",J3:J155)</f>
        <v>18</v>
      </c>
      <c r="K157" s="102"/>
      <c r="L157" s="55"/>
      <c r="M157" s="20"/>
      <c r="N157" s="16"/>
      <c r="O157" s="16"/>
      <c r="P157" s="16"/>
      <c r="Q157" s="16"/>
    </row>
    <row r="158" spans="1:19" s="53" customFormat="1" ht="48" x14ac:dyDescent="0.35">
      <c r="A158" s="27"/>
      <c r="B158" s="16"/>
      <c r="D158" s="35"/>
      <c r="E158" s="70"/>
      <c r="F158" s="35"/>
      <c r="G158" s="71"/>
      <c r="H158" s="71"/>
      <c r="I158" s="123" t="s">
        <v>302</v>
      </c>
      <c r="J158" s="125">
        <f>SUMIF(H4:H155,"X",J4:J155)</f>
        <v>105</v>
      </c>
      <c r="K158" s="102"/>
      <c r="L158" s="55"/>
      <c r="M158" s="71"/>
      <c r="N158" s="25"/>
      <c r="O158" s="72"/>
      <c r="P158" s="72"/>
      <c r="Q158" s="72"/>
    </row>
    <row r="159" spans="1:19" s="53" customFormat="1" ht="32" x14ac:dyDescent="0.35">
      <c r="A159" s="27"/>
      <c r="B159" s="16"/>
      <c r="D159" s="35"/>
      <c r="E159" s="70"/>
      <c r="F159" s="35"/>
      <c r="G159" s="71"/>
      <c r="H159" s="71"/>
      <c r="I159" s="123" t="s">
        <v>303</v>
      </c>
      <c r="J159" s="126">
        <f>SUMIF(I5:I155,"X",J5:J155)</f>
        <v>12</v>
      </c>
      <c r="K159" s="103"/>
      <c r="L159" s="55"/>
      <c r="M159" s="71"/>
      <c r="N159" s="25"/>
      <c r="O159" s="72"/>
      <c r="P159" s="72"/>
      <c r="Q159" s="72"/>
    </row>
    <row r="160" spans="1:19" s="53" customFormat="1" ht="16.5" x14ac:dyDescent="0.35">
      <c r="A160" s="27"/>
      <c r="B160" s="16"/>
      <c r="D160" s="35"/>
      <c r="E160" s="70"/>
      <c r="F160" s="35"/>
      <c r="G160" s="71"/>
      <c r="H160" s="71"/>
      <c r="I160" s="71"/>
      <c r="J160" s="71"/>
      <c r="K160" s="71"/>
      <c r="L160" s="71"/>
      <c r="M160" s="71"/>
      <c r="N160" s="25"/>
      <c r="O160" s="72"/>
      <c r="P160" s="72"/>
      <c r="Q160" s="72"/>
    </row>
    <row r="161" spans="1:17" s="53" customFormat="1" ht="16.5" x14ac:dyDescent="0.35">
      <c r="A161" s="27"/>
      <c r="B161" s="16"/>
      <c r="D161" s="35"/>
      <c r="E161" s="70"/>
      <c r="F161" s="35"/>
      <c r="G161" s="71"/>
      <c r="H161" s="71"/>
      <c r="I161" s="71"/>
      <c r="J161" s="71"/>
      <c r="K161" s="71"/>
      <c r="L161" s="71"/>
      <c r="M161" s="71"/>
      <c r="N161" s="25"/>
      <c r="O161" s="72"/>
      <c r="P161" s="72"/>
      <c r="Q161" s="72"/>
    </row>
    <row r="162" spans="1:17" s="53" customFormat="1" ht="16.5" x14ac:dyDescent="0.35">
      <c r="A162" s="27"/>
      <c r="B162" s="16"/>
      <c r="D162" s="20"/>
      <c r="E162" s="16"/>
      <c r="F162" s="20"/>
      <c r="G162" s="20"/>
      <c r="H162" s="20"/>
      <c r="I162" s="20"/>
      <c r="J162" s="20"/>
      <c r="K162" s="20"/>
      <c r="L162" s="20"/>
      <c r="M162" s="20"/>
      <c r="N162" s="16"/>
      <c r="O162" s="16"/>
      <c r="P162" s="16"/>
      <c r="Q162" s="16"/>
    </row>
    <row r="163" spans="1:17" s="53" customFormat="1" ht="16.5" x14ac:dyDescent="0.35">
      <c r="A163" s="27"/>
      <c r="B163" s="16"/>
      <c r="D163" s="20"/>
      <c r="E163" s="16"/>
      <c r="F163" s="20"/>
      <c r="G163" s="20"/>
      <c r="H163" s="20"/>
      <c r="I163" s="20"/>
      <c r="J163" s="20"/>
      <c r="K163" s="20"/>
      <c r="L163" s="20"/>
      <c r="M163" s="20"/>
      <c r="N163" s="16"/>
      <c r="O163" s="16"/>
      <c r="P163" s="16"/>
      <c r="Q163" s="16"/>
    </row>
    <row r="164" spans="1:17" s="53" customFormat="1" ht="16.5" x14ac:dyDescent="0.35">
      <c r="A164" s="27"/>
      <c r="B164" s="16"/>
      <c r="D164" s="20"/>
      <c r="E164" s="16"/>
      <c r="F164" s="20"/>
      <c r="G164" s="20"/>
      <c r="H164" s="20"/>
      <c r="I164" s="20"/>
      <c r="J164" s="20"/>
      <c r="K164" s="20"/>
      <c r="L164" s="20"/>
      <c r="M164" s="20"/>
      <c r="N164" s="16"/>
      <c r="O164" s="16"/>
      <c r="P164" s="16"/>
      <c r="Q164" s="16"/>
    </row>
    <row r="165" spans="1:17" s="53" customFormat="1" ht="16.5" x14ac:dyDescent="0.35">
      <c r="A165" s="27"/>
      <c r="B165" s="16"/>
      <c r="D165" s="20"/>
      <c r="E165" s="16"/>
      <c r="F165" s="20"/>
      <c r="G165" s="71"/>
      <c r="H165" s="71"/>
      <c r="I165" s="71"/>
      <c r="J165" s="71"/>
      <c r="K165" s="71"/>
      <c r="L165" s="71"/>
      <c r="M165" s="71"/>
      <c r="N165" s="16"/>
      <c r="O165" s="16"/>
      <c r="P165" s="16"/>
      <c r="Q165" s="16"/>
    </row>
    <row r="166" spans="1:17" s="53" customFormat="1" ht="16.5" x14ac:dyDescent="0.35">
      <c r="A166" s="27"/>
      <c r="B166" s="16"/>
      <c r="D166" s="20"/>
      <c r="E166" s="16"/>
      <c r="F166" s="20"/>
      <c r="G166" s="71"/>
      <c r="H166" s="71"/>
      <c r="I166" s="71"/>
      <c r="J166" s="71"/>
      <c r="K166" s="71"/>
      <c r="L166" s="71"/>
      <c r="M166" s="71"/>
      <c r="N166" s="16"/>
      <c r="O166" s="16"/>
      <c r="P166" s="16"/>
      <c r="Q166" s="16"/>
    </row>
    <row r="167" spans="1:17" s="53" customFormat="1" ht="16.5" x14ac:dyDescent="0.35">
      <c r="A167" s="27"/>
      <c r="B167" s="16"/>
      <c r="D167" s="20"/>
      <c r="E167" s="16"/>
      <c r="F167" s="20"/>
      <c r="G167" s="71"/>
      <c r="H167" s="71"/>
      <c r="I167" s="71"/>
      <c r="J167" s="71"/>
      <c r="K167" s="71"/>
      <c r="L167" s="71"/>
      <c r="M167" s="71"/>
      <c r="N167" s="16"/>
      <c r="O167" s="16"/>
      <c r="P167" s="16"/>
      <c r="Q167" s="16"/>
    </row>
    <row r="168" spans="1:17" s="53" customFormat="1" ht="16.5" x14ac:dyDescent="0.35">
      <c r="A168" s="27"/>
      <c r="B168" s="16"/>
      <c r="D168" s="20"/>
      <c r="E168" s="16"/>
      <c r="F168" s="20"/>
      <c r="G168" s="20"/>
      <c r="H168" s="20"/>
      <c r="I168" s="20"/>
      <c r="J168" s="20"/>
      <c r="K168" s="20"/>
      <c r="L168" s="20"/>
      <c r="M168" s="20"/>
      <c r="N168" s="16"/>
      <c r="O168" s="16"/>
      <c r="P168" s="16"/>
      <c r="Q168" s="16"/>
    </row>
    <row r="169" spans="1:17" s="53" customFormat="1" ht="16.5" x14ac:dyDescent="0.35">
      <c r="A169" s="27"/>
      <c r="B169" s="16"/>
      <c r="D169" s="20"/>
      <c r="E169" s="16"/>
      <c r="F169" s="20"/>
      <c r="G169" s="20"/>
      <c r="H169" s="20"/>
      <c r="I169" s="20"/>
      <c r="J169" s="20"/>
      <c r="K169" s="20"/>
      <c r="L169" s="20"/>
      <c r="M169" s="20"/>
      <c r="N169" s="16"/>
      <c r="O169" s="16"/>
      <c r="P169" s="16"/>
      <c r="Q169" s="16"/>
    </row>
    <row r="170" spans="1:17" s="53" customFormat="1" ht="16.5" x14ac:dyDescent="0.35">
      <c r="A170" s="27"/>
      <c r="B170" s="16"/>
      <c r="D170" s="20"/>
      <c r="E170" s="16"/>
      <c r="F170" s="20"/>
      <c r="G170" s="20"/>
      <c r="H170" s="20"/>
      <c r="I170" s="20"/>
      <c r="J170" s="20"/>
      <c r="K170" s="20"/>
      <c r="L170" s="20"/>
      <c r="M170" s="20"/>
      <c r="N170" s="16"/>
      <c r="O170" s="16"/>
      <c r="P170" s="16"/>
      <c r="Q170" s="16"/>
    </row>
    <row r="171" spans="1:17" s="53" customFormat="1" ht="16.5" x14ac:dyDescent="0.35">
      <c r="A171" s="27"/>
      <c r="B171" s="16"/>
      <c r="D171" s="20"/>
      <c r="E171" s="16"/>
      <c r="F171" s="20"/>
      <c r="G171" s="20"/>
      <c r="H171" s="20"/>
      <c r="I171" s="20"/>
      <c r="J171" s="20"/>
      <c r="K171" s="20"/>
      <c r="L171" s="20"/>
      <c r="M171" s="20"/>
      <c r="N171" s="16"/>
      <c r="O171" s="16"/>
      <c r="P171" s="16"/>
      <c r="Q171" s="16"/>
    </row>
    <row r="172" spans="1:17" s="53" customFormat="1" ht="16.5" x14ac:dyDescent="0.35">
      <c r="A172" s="27"/>
      <c r="B172" s="25"/>
      <c r="D172" s="20"/>
      <c r="E172" s="25"/>
      <c r="F172" s="20"/>
      <c r="G172" s="41"/>
      <c r="H172" s="41"/>
      <c r="I172" s="41"/>
      <c r="J172" s="41"/>
      <c r="K172" s="41"/>
      <c r="L172" s="41"/>
      <c r="M172" s="41"/>
      <c r="N172" s="25"/>
      <c r="O172" s="25"/>
      <c r="P172" s="25"/>
      <c r="Q172" s="25"/>
    </row>
    <row r="173" spans="1:17" s="53" customFormat="1" ht="16.5" x14ac:dyDescent="0.35">
      <c r="A173" s="27"/>
      <c r="B173" s="25"/>
      <c r="D173" s="20"/>
      <c r="E173" s="25"/>
      <c r="F173" s="20"/>
      <c r="G173" s="41"/>
      <c r="H173" s="41"/>
      <c r="I173" s="41"/>
      <c r="J173" s="41"/>
      <c r="K173" s="41"/>
      <c r="L173" s="41"/>
      <c r="M173" s="41"/>
      <c r="N173" s="25"/>
      <c r="O173" s="25"/>
      <c r="P173" s="25"/>
      <c r="Q173" s="25"/>
    </row>
    <row r="174" spans="1:17" s="53" customFormat="1" ht="16.5" x14ac:dyDescent="0.35">
      <c r="A174" s="27"/>
      <c r="B174" s="25"/>
      <c r="D174" s="20"/>
      <c r="E174" s="25"/>
      <c r="F174" s="20"/>
      <c r="G174" s="41"/>
      <c r="H174" s="41"/>
      <c r="I174" s="41"/>
      <c r="J174" s="41"/>
      <c r="K174" s="41"/>
      <c r="L174" s="41"/>
      <c r="M174" s="41"/>
      <c r="N174" s="25"/>
      <c r="O174" s="25"/>
      <c r="P174" s="25"/>
      <c r="Q174" s="25"/>
    </row>
    <row r="175" spans="1:17" s="53" customFormat="1" ht="16.5" x14ac:dyDescent="0.35">
      <c r="A175" s="27"/>
      <c r="B175" s="25"/>
      <c r="D175" s="20"/>
      <c r="E175" s="25"/>
      <c r="F175" s="20"/>
      <c r="G175" s="41"/>
      <c r="H175" s="41"/>
      <c r="I175" s="41"/>
      <c r="J175" s="41"/>
      <c r="K175" s="41"/>
      <c r="L175" s="41"/>
      <c r="M175" s="41"/>
      <c r="N175" s="25"/>
      <c r="O175" s="25"/>
      <c r="P175" s="25"/>
      <c r="Q175" s="25"/>
    </row>
    <row r="176" spans="1:17" s="53" customFormat="1" ht="16.5" x14ac:dyDescent="0.35">
      <c r="A176" s="27"/>
      <c r="B176" s="16"/>
      <c r="D176" s="35"/>
      <c r="E176" s="70"/>
      <c r="F176" s="35"/>
      <c r="G176" s="71"/>
      <c r="H176" s="71"/>
      <c r="I176" s="71"/>
      <c r="J176" s="71"/>
      <c r="K176" s="71"/>
      <c r="L176" s="71"/>
      <c r="M176" s="71"/>
      <c r="N176" s="72"/>
      <c r="O176" s="72"/>
      <c r="P176" s="72"/>
      <c r="Q176" s="72"/>
    </row>
    <row r="177" spans="1:17" s="53" customFormat="1" ht="16.5" x14ac:dyDescent="0.35">
      <c r="A177" s="27"/>
      <c r="B177" s="16"/>
      <c r="D177" s="35"/>
      <c r="E177" s="70"/>
      <c r="F177" s="35"/>
      <c r="G177" s="71"/>
      <c r="H177" s="71"/>
      <c r="I177" s="71"/>
      <c r="J177" s="71"/>
      <c r="K177" s="71"/>
      <c r="L177" s="71"/>
      <c r="M177" s="71"/>
      <c r="N177" s="72"/>
      <c r="O177" s="72"/>
      <c r="P177" s="72"/>
      <c r="Q177" s="72"/>
    </row>
    <row r="178" spans="1:17" s="53" customFormat="1" ht="16.5" x14ac:dyDescent="0.35">
      <c r="A178" s="27"/>
      <c r="B178" s="16"/>
      <c r="D178" s="35"/>
      <c r="E178" s="70"/>
      <c r="F178" s="35"/>
      <c r="G178" s="71"/>
      <c r="H178" s="71"/>
      <c r="I178" s="71"/>
      <c r="J178" s="71"/>
      <c r="K178" s="71"/>
      <c r="L178" s="71"/>
      <c r="M178" s="71"/>
      <c r="N178" s="72"/>
      <c r="O178" s="72"/>
      <c r="P178" s="72"/>
      <c r="Q178" s="72"/>
    </row>
    <row r="179" spans="1:17" s="53" customFormat="1" ht="16.5" x14ac:dyDescent="0.35">
      <c r="A179" s="27"/>
      <c r="B179" s="16"/>
      <c r="D179" s="35"/>
      <c r="E179" s="70"/>
      <c r="F179" s="35"/>
      <c r="G179" s="71"/>
      <c r="H179" s="71"/>
      <c r="I179" s="71"/>
      <c r="J179" s="71"/>
      <c r="K179" s="71"/>
      <c r="L179" s="71"/>
      <c r="M179" s="71"/>
      <c r="N179" s="72"/>
      <c r="O179" s="72"/>
      <c r="P179" s="72"/>
      <c r="Q179" s="72"/>
    </row>
    <row r="180" spans="1:17" s="53" customFormat="1" ht="16.5" x14ac:dyDescent="0.35">
      <c r="A180" s="27"/>
      <c r="B180" s="16"/>
      <c r="D180" s="20"/>
      <c r="E180" s="16"/>
      <c r="F180" s="20"/>
      <c r="L180" s="13"/>
      <c r="M180" s="13"/>
      <c r="N180" s="16"/>
      <c r="O180" s="16"/>
      <c r="P180" s="16"/>
      <c r="Q180" s="16"/>
    </row>
    <row r="181" spans="1:17" s="53" customFormat="1" ht="16.5" x14ac:dyDescent="0.35">
      <c r="A181" s="27"/>
      <c r="B181" s="16"/>
      <c r="D181" s="20"/>
      <c r="E181" s="16"/>
      <c r="F181" s="20"/>
      <c r="L181" s="13"/>
      <c r="M181" s="13"/>
      <c r="N181" s="16"/>
      <c r="O181" s="16"/>
      <c r="P181" s="16"/>
      <c r="Q181" s="16"/>
    </row>
    <row r="182" spans="1:17" s="53" customFormat="1" ht="16.5" x14ac:dyDescent="0.35">
      <c r="A182" s="27"/>
      <c r="B182" s="16"/>
      <c r="D182" s="20"/>
      <c r="E182" s="16"/>
      <c r="F182" s="20"/>
      <c r="L182" s="13"/>
      <c r="M182" s="13"/>
      <c r="N182" s="16"/>
      <c r="O182" s="16"/>
      <c r="P182" s="16"/>
      <c r="Q182" s="16"/>
    </row>
    <row r="183" spans="1:17" s="53" customFormat="1" ht="16.5" x14ac:dyDescent="0.35">
      <c r="A183" s="27"/>
      <c r="B183" s="16"/>
      <c r="D183" s="20"/>
      <c r="E183" s="16"/>
      <c r="F183" s="20"/>
      <c r="L183" s="13"/>
      <c r="M183" s="13"/>
      <c r="N183" s="16"/>
      <c r="O183" s="16"/>
      <c r="P183" s="16"/>
      <c r="Q183" s="16"/>
    </row>
    <row r="184" spans="1:17" s="53" customFormat="1" ht="16.5" x14ac:dyDescent="0.35">
      <c r="A184" s="27"/>
      <c r="B184" s="16"/>
      <c r="D184" s="20"/>
      <c r="E184" s="73"/>
      <c r="F184" s="20"/>
      <c r="G184" s="71"/>
      <c r="H184" s="71"/>
      <c r="I184" s="71"/>
      <c r="J184" s="71"/>
      <c r="K184" s="71"/>
      <c r="L184" s="71"/>
      <c r="M184" s="71"/>
      <c r="N184" s="73"/>
      <c r="O184" s="73"/>
      <c r="P184" s="73"/>
      <c r="Q184" s="73"/>
    </row>
    <row r="185" spans="1:17" s="53" customFormat="1" ht="16.5" x14ac:dyDescent="0.35">
      <c r="A185" s="27"/>
      <c r="B185" s="16"/>
      <c r="D185" s="35"/>
      <c r="E185" s="70"/>
      <c r="F185" s="35"/>
      <c r="G185" s="71"/>
      <c r="H185" s="71"/>
      <c r="I185" s="71"/>
      <c r="J185" s="71"/>
      <c r="K185" s="71"/>
      <c r="L185" s="71"/>
      <c r="M185" s="71"/>
      <c r="N185" s="72"/>
      <c r="O185" s="72"/>
      <c r="P185" s="72"/>
      <c r="Q185" s="72"/>
    </row>
    <row r="186" spans="1:17" s="53" customFormat="1" ht="16.5" x14ac:dyDescent="0.35">
      <c r="A186" s="27"/>
      <c r="B186" s="16"/>
      <c r="D186" s="35"/>
      <c r="E186" s="70"/>
      <c r="F186" s="35"/>
      <c r="G186" s="71"/>
      <c r="H186" s="71"/>
      <c r="I186" s="71"/>
      <c r="J186" s="71"/>
      <c r="K186" s="71"/>
      <c r="L186" s="71"/>
      <c r="M186" s="71"/>
      <c r="N186" s="72"/>
      <c r="O186" s="72"/>
      <c r="P186" s="72"/>
      <c r="Q186" s="72"/>
    </row>
    <row r="187" spans="1:17" s="53" customFormat="1" ht="16.5" x14ac:dyDescent="0.35">
      <c r="A187" s="27"/>
      <c r="B187" s="16"/>
      <c r="D187" s="35"/>
      <c r="E187" s="70"/>
      <c r="F187" s="35"/>
      <c r="G187" s="71"/>
      <c r="H187" s="71"/>
      <c r="I187" s="71"/>
      <c r="J187" s="71"/>
      <c r="K187" s="71"/>
      <c r="L187" s="71"/>
      <c r="M187" s="71"/>
      <c r="N187" s="72"/>
      <c r="O187" s="72"/>
      <c r="P187" s="72"/>
      <c r="Q187" s="72"/>
    </row>
    <row r="188" spans="1:17" s="53" customFormat="1" ht="16.5" x14ac:dyDescent="0.35">
      <c r="A188" s="27"/>
      <c r="B188" s="16"/>
      <c r="D188" s="35"/>
      <c r="E188" s="70"/>
      <c r="F188" s="35"/>
      <c r="G188" s="71"/>
      <c r="H188" s="71"/>
      <c r="I188" s="71"/>
      <c r="J188" s="71"/>
      <c r="K188" s="71"/>
      <c r="L188" s="71"/>
      <c r="M188" s="71"/>
      <c r="N188" s="72"/>
      <c r="O188" s="72"/>
      <c r="P188" s="72"/>
      <c r="Q188" s="72"/>
    </row>
    <row r="189" spans="1:17" s="53" customFormat="1" ht="16.5" x14ac:dyDescent="0.35">
      <c r="A189" s="27"/>
      <c r="B189" s="16"/>
      <c r="D189" s="20"/>
      <c r="E189" s="70"/>
      <c r="F189" s="20"/>
      <c r="G189" s="71"/>
      <c r="H189" s="71"/>
      <c r="I189" s="71"/>
      <c r="J189" s="71"/>
      <c r="K189" s="71"/>
      <c r="L189" s="71"/>
      <c r="M189" s="71"/>
      <c r="N189" s="72"/>
      <c r="O189" s="72"/>
      <c r="P189" s="72"/>
      <c r="Q189" s="72"/>
    </row>
    <row r="190" spans="1:17" s="53" customFormat="1" ht="16.5" x14ac:dyDescent="0.35">
      <c r="A190" s="27"/>
      <c r="B190" s="16"/>
      <c r="D190" s="20"/>
      <c r="E190" s="70"/>
      <c r="F190" s="20"/>
      <c r="G190" s="71"/>
      <c r="H190" s="71"/>
      <c r="I190" s="71"/>
      <c r="J190" s="71"/>
      <c r="K190" s="71"/>
      <c r="L190" s="71"/>
      <c r="M190" s="71"/>
      <c r="N190" s="72"/>
      <c r="O190" s="72"/>
      <c r="P190" s="72"/>
      <c r="Q190" s="72"/>
    </row>
    <row r="191" spans="1:17" s="53" customFormat="1" ht="16.5" x14ac:dyDescent="0.35">
      <c r="A191" s="27"/>
      <c r="B191" s="16"/>
      <c r="D191" s="20"/>
      <c r="E191" s="70"/>
      <c r="F191" s="20"/>
      <c r="G191" s="71"/>
      <c r="H191" s="71"/>
      <c r="I191" s="71"/>
      <c r="J191" s="71"/>
      <c r="K191" s="71"/>
      <c r="L191" s="71"/>
      <c r="M191" s="71"/>
      <c r="N191" s="72"/>
      <c r="O191" s="72"/>
      <c r="P191" s="72"/>
      <c r="Q191" s="72"/>
    </row>
    <row r="192" spans="1:17" s="53" customFormat="1" ht="16.5" x14ac:dyDescent="0.35">
      <c r="A192" s="27"/>
      <c r="B192" s="16"/>
      <c r="D192" s="20"/>
      <c r="E192" s="70"/>
      <c r="F192" s="20"/>
      <c r="G192" s="71"/>
      <c r="H192" s="71"/>
      <c r="I192" s="71"/>
      <c r="J192" s="71"/>
      <c r="K192" s="71"/>
      <c r="L192" s="71"/>
      <c r="M192" s="71"/>
      <c r="N192" s="72"/>
      <c r="O192" s="72"/>
      <c r="P192" s="72"/>
      <c r="Q192" s="72"/>
    </row>
    <row r="193" spans="1:17" s="53" customFormat="1" ht="16.5" x14ac:dyDescent="0.35">
      <c r="A193" s="27"/>
      <c r="B193" s="16"/>
      <c r="D193" s="20"/>
      <c r="E193" s="16"/>
      <c r="F193" s="20"/>
      <c r="L193" s="13"/>
      <c r="M193" s="13"/>
      <c r="N193" s="16"/>
      <c r="O193" s="16"/>
      <c r="P193" s="16"/>
      <c r="Q193" s="16"/>
    </row>
    <row r="194" spans="1:17" x14ac:dyDescent="0.35">
      <c r="E194" s="59"/>
      <c r="F194" s="55"/>
      <c r="L194" s="60"/>
      <c r="M194" s="60"/>
      <c r="N194" s="59"/>
      <c r="O194" s="59"/>
      <c r="P194" s="59"/>
      <c r="Q194" s="59"/>
    </row>
    <row r="195" spans="1:17" x14ac:dyDescent="0.35">
      <c r="E195" s="59"/>
      <c r="F195" s="55"/>
      <c r="L195" s="60"/>
      <c r="M195" s="60"/>
      <c r="N195" s="59"/>
      <c r="O195" s="59"/>
      <c r="P195" s="59"/>
      <c r="Q195" s="59"/>
    </row>
    <row r="196" spans="1:17" x14ac:dyDescent="0.35">
      <c r="E196" s="59"/>
      <c r="F196" s="55"/>
      <c r="L196" s="60"/>
      <c r="M196" s="60"/>
      <c r="N196" s="59"/>
      <c r="O196" s="59"/>
      <c r="P196" s="59"/>
      <c r="Q196" s="59"/>
    </row>
    <row r="197" spans="1:17" x14ac:dyDescent="0.35">
      <c r="E197" s="63"/>
      <c r="F197" s="55"/>
      <c r="G197" s="57"/>
      <c r="H197" s="57"/>
      <c r="I197" s="57"/>
      <c r="J197" s="57"/>
      <c r="K197" s="57"/>
      <c r="L197" s="57"/>
      <c r="M197" s="57"/>
      <c r="N197" s="63"/>
      <c r="O197" s="63"/>
      <c r="P197" s="63"/>
      <c r="Q197" s="63"/>
    </row>
    <row r="198" spans="1:17" x14ac:dyDescent="0.35">
      <c r="E198" s="64"/>
      <c r="F198" s="55"/>
      <c r="G198" s="65"/>
      <c r="H198" s="65"/>
      <c r="I198" s="65"/>
      <c r="J198" s="62"/>
      <c r="K198" s="62"/>
      <c r="L198" s="62"/>
      <c r="M198" s="62"/>
      <c r="N198" s="64"/>
      <c r="O198" s="64"/>
      <c r="P198" s="64"/>
      <c r="Q198" s="64"/>
    </row>
    <row r="199" spans="1:17" x14ac:dyDescent="0.35">
      <c r="E199" s="56"/>
      <c r="F199" s="55"/>
      <c r="G199" s="57"/>
      <c r="H199" s="57"/>
      <c r="I199" s="57"/>
      <c r="J199" s="57"/>
      <c r="K199" s="57"/>
      <c r="L199" s="57"/>
      <c r="M199" s="57"/>
      <c r="N199" s="68"/>
      <c r="O199" s="68"/>
      <c r="P199" s="68"/>
      <c r="Q199" s="68"/>
    </row>
    <row r="200" spans="1:17" x14ac:dyDescent="0.35">
      <c r="E200" s="56"/>
      <c r="F200" s="55"/>
      <c r="G200" s="57"/>
      <c r="H200" s="57"/>
      <c r="I200" s="57"/>
      <c r="J200" s="57"/>
      <c r="K200" s="57"/>
      <c r="L200" s="57"/>
      <c r="M200" s="57"/>
      <c r="N200" s="68"/>
      <c r="O200" s="68"/>
      <c r="P200" s="68"/>
      <c r="Q200" s="68"/>
    </row>
    <row r="201" spans="1:17" x14ac:dyDescent="0.35">
      <c r="E201" s="56"/>
      <c r="F201" s="55"/>
      <c r="G201" s="57"/>
      <c r="H201" s="57"/>
      <c r="I201" s="57"/>
      <c r="J201" s="57"/>
      <c r="K201" s="57"/>
      <c r="L201" s="57"/>
      <c r="M201" s="57"/>
      <c r="N201" s="68"/>
      <c r="O201" s="68"/>
      <c r="P201" s="68"/>
      <c r="Q201" s="68"/>
    </row>
    <row r="202" spans="1:17" x14ac:dyDescent="0.35">
      <c r="E202" s="56"/>
      <c r="F202" s="55"/>
      <c r="G202" s="57"/>
      <c r="H202" s="57"/>
      <c r="I202" s="57"/>
      <c r="J202" s="57"/>
      <c r="K202" s="57"/>
      <c r="L202" s="57"/>
      <c r="M202" s="57"/>
      <c r="N202" s="68"/>
      <c r="O202" s="68"/>
      <c r="P202" s="68"/>
      <c r="Q202" s="68"/>
    </row>
    <row r="203" spans="1:17" x14ac:dyDescent="0.35">
      <c r="E203" s="59"/>
      <c r="F203" s="55"/>
      <c r="G203" s="60"/>
      <c r="H203" s="60"/>
      <c r="I203" s="60"/>
      <c r="J203" s="60"/>
      <c r="K203" s="60"/>
      <c r="L203" s="60"/>
      <c r="M203" s="60"/>
      <c r="N203" s="58"/>
      <c r="O203" s="59"/>
      <c r="P203" s="59"/>
      <c r="Q203" s="59"/>
    </row>
    <row r="204" spans="1:17" x14ac:dyDescent="0.35">
      <c r="E204" s="59"/>
      <c r="F204" s="55"/>
      <c r="G204" s="60"/>
      <c r="H204" s="60"/>
      <c r="I204" s="60"/>
      <c r="J204" s="60"/>
      <c r="K204" s="60"/>
      <c r="L204" s="60"/>
      <c r="M204" s="60"/>
      <c r="N204" s="58"/>
      <c r="O204" s="59"/>
      <c r="P204" s="59"/>
      <c r="Q204" s="59"/>
    </row>
    <row r="205" spans="1:17" x14ac:dyDescent="0.35">
      <c r="E205" s="59"/>
      <c r="F205" s="55"/>
      <c r="G205" s="60"/>
      <c r="H205" s="60"/>
      <c r="I205" s="60"/>
      <c r="J205" s="60"/>
      <c r="K205" s="60"/>
      <c r="L205" s="60"/>
      <c r="M205" s="60"/>
      <c r="N205" s="58"/>
      <c r="O205" s="59"/>
      <c r="P205" s="59"/>
      <c r="Q205" s="59"/>
    </row>
    <row r="206" spans="1:17" x14ac:dyDescent="0.35">
      <c r="E206" s="59"/>
      <c r="F206" s="55"/>
      <c r="G206" s="60"/>
      <c r="H206" s="60"/>
      <c r="I206" s="60"/>
      <c r="J206" s="60"/>
      <c r="K206" s="60"/>
      <c r="L206" s="60"/>
      <c r="M206" s="60"/>
      <c r="N206" s="58"/>
      <c r="O206" s="59"/>
      <c r="P206" s="59"/>
      <c r="Q206" s="59"/>
    </row>
    <row r="207" spans="1:17" x14ac:dyDescent="0.35">
      <c r="E207" s="59"/>
      <c r="F207" s="55"/>
      <c r="I207" s="55"/>
      <c r="N207" s="59"/>
      <c r="O207" s="59"/>
      <c r="P207" s="59"/>
      <c r="Q207" s="59"/>
    </row>
    <row r="208" spans="1:17" x14ac:dyDescent="0.35">
      <c r="E208" s="59"/>
      <c r="F208" s="55"/>
      <c r="I208" s="55"/>
      <c r="N208" s="59"/>
      <c r="O208" s="59"/>
      <c r="P208" s="59"/>
      <c r="Q208" s="59"/>
    </row>
    <row r="209" spans="5:17" x14ac:dyDescent="0.35">
      <c r="E209" s="59"/>
      <c r="F209" s="55"/>
      <c r="I209" s="55"/>
      <c r="N209" s="59"/>
      <c r="O209" s="59"/>
      <c r="P209" s="59"/>
      <c r="Q209" s="59"/>
    </row>
    <row r="210" spans="5:17" x14ac:dyDescent="0.35">
      <c r="E210" s="59"/>
      <c r="F210" s="55"/>
      <c r="I210" s="55"/>
      <c r="N210" s="59"/>
      <c r="O210" s="59"/>
      <c r="P210" s="59"/>
      <c r="Q210" s="59"/>
    </row>
    <row r="211" spans="5:17" x14ac:dyDescent="0.35">
      <c r="E211" s="66"/>
      <c r="F211" s="55"/>
      <c r="G211" s="57"/>
      <c r="H211" s="57"/>
      <c r="I211" s="57"/>
      <c r="J211" s="57"/>
      <c r="K211" s="57"/>
      <c r="L211" s="57"/>
      <c r="M211" s="57"/>
      <c r="N211" s="58"/>
      <c r="O211" s="58"/>
      <c r="P211" s="58"/>
      <c r="Q211" s="58"/>
    </row>
    <row r="212" spans="5:17" x14ac:dyDescent="0.35">
      <c r="E212" s="66"/>
      <c r="F212" s="55"/>
      <c r="G212" s="57"/>
      <c r="H212" s="57"/>
      <c r="I212" s="57"/>
      <c r="J212" s="57"/>
      <c r="K212" s="57"/>
      <c r="L212" s="57"/>
      <c r="M212" s="57"/>
      <c r="N212" s="58"/>
      <c r="O212" s="58"/>
      <c r="P212" s="58"/>
      <c r="Q212" s="58"/>
    </row>
    <row r="213" spans="5:17" x14ac:dyDescent="0.35">
      <c r="E213" s="66"/>
      <c r="F213" s="55"/>
      <c r="G213" s="57"/>
      <c r="H213" s="57"/>
      <c r="I213" s="57"/>
      <c r="J213" s="57"/>
      <c r="K213" s="57"/>
      <c r="L213" s="57"/>
      <c r="M213" s="57"/>
      <c r="N213" s="58"/>
      <c r="O213" s="58"/>
      <c r="P213" s="58"/>
      <c r="Q213" s="58"/>
    </row>
    <row r="214" spans="5:17" x14ac:dyDescent="0.35">
      <c r="E214" s="56"/>
      <c r="F214" s="55"/>
      <c r="G214" s="57"/>
      <c r="H214" s="57"/>
      <c r="I214" s="57"/>
      <c r="J214" s="57"/>
      <c r="K214" s="57"/>
      <c r="L214" s="57"/>
      <c r="M214" s="57"/>
      <c r="N214" s="68"/>
      <c r="O214" s="68"/>
      <c r="P214" s="68"/>
      <c r="Q214" s="68"/>
    </row>
    <row r="215" spans="5:17" x14ac:dyDescent="0.35">
      <c r="E215" s="56"/>
      <c r="F215" s="55"/>
      <c r="G215" s="57"/>
      <c r="H215" s="57"/>
      <c r="I215" s="57"/>
      <c r="J215" s="57"/>
      <c r="K215" s="57"/>
      <c r="L215" s="57"/>
      <c r="M215" s="57"/>
      <c r="N215" s="68"/>
      <c r="O215" s="68"/>
      <c r="P215" s="68"/>
      <c r="Q215" s="68"/>
    </row>
    <row r="216" spans="5:17" x14ac:dyDescent="0.35">
      <c r="E216" s="56"/>
      <c r="F216" s="55"/>
      <c r="G216" s="57"/>
      <c r="H216" s="57"/>
      <c r="I216" s="57"/>
      <c r="J216" s="57"/>
      <c r="K216" s="57"/>
      <c r="L216" s="57"/>
      <c r="M216" s="57"/>
      <c r="N216" s="68"/>
      <c r="O216" s="68"/>
      <c r="P216" s="68"/>
      <c r="Q216" s="68"/>
    </row>
    <row r="217" spans="5:17" x14ac:dyDescent="0.35">
      <c r="E217" s="56"/>
      <c r="F217" s="55"/>
      <c r="G217" s="57"/>
      <c r="H217" s="57"/>
      <c r="I217" s="57"/>
      <c r="J217" s="57"/>
      <c r="K217" s="57"/>
      <c r="L217" s="57"/>
      <c r="M217" s="57"/>
      <c r="N217" s="68"/>
      <c r="O217" s="68"/>
      <c r="P217" s="68"/>
      <c r="Q217" s="68"/>
    </row>
    <row r="218" spans="5:17" x14ac:dyDescent="0.35">
      <c r="E218" s="56"/>
      <c r="F218" s="55"/>
      <c r="G218" s="57"/>
      <c r="H218" s="57"/>
      <c r="I218" s="57"/>
      <c r="J218" s="57"/>
      <c r="K218" s="57"/>
      <c r="L218" s="57"/>
      <c r="M218" s="57"/>
      <c r="N218" s="68"/>
      <c r="O218" s="68"/>
      <c r="P218" s="68"/>
      <c r="Q218" s="68"/>
    </row>
    <row r="219" spans="5:17" x14ac:dyDescent="0.35">
      <c r="E219" s="56"/>
      <c r="F219" s="55"/>
      <c r="G219" s="57"/>
      <c r="H219" s="57"/>
      <c r="I219" s="57"/>
      <c r="J219" s="57"/>
      <c r="K219" s="57"/>
      <c r="L219" s="57"/>
      <c r="M219" s="57"/>
      <c r="N219" s="68"/>
      <c r="O219" s="68"/>
      <c r="P219" s="68"/>
      <c r="Q219" s="68"/>
    </row>
    <row r="220" spans="5:17" x14ac:dyDescent="0.35">
      <c r="E220" s="56"/>
      <c r="F220" s="55"/>
      <c r="G220" s="57"/>
      <c r="H220" s="57"/>
      <c r="I220" s="57"/>
      <c r="J220" s="57"/>
      <c r="K220" s="57"/>
      <c r="L220" s="57"/>
      <c r="M220" s="57"/>
      <c r="N220" s="68"/>
      <c r="O220" s="68"/>
      <c r="P220" s="68"/>
      <c r="Q220" s="68"/>
    </row>
    <row r="221" spans="5:17" x14ac:dyDescent="0.35">
      <c r="E221" s="56"/>
      <c r="F221" s="55"/>
      <c r="G221" s="57"/>
      <c r="H221" s="57"/>
      <c r="I221" s="57"/>
      <c r="J221" s="57"/>
      <c r="K221" s="57"/>
      <c r="L221" s="57"/>
      <c r="M221" s="57"/>
      <c r="N221" s="68"/>
      <c r="O221" s="68"/>
      <c r="P221" s="68"/>
      <c r="Q221" s="68"/>
    </row>
    <row r="222" spans="5:17" x14ac:dyDescent="0.35">
      <c r="E222" s="56"/>
      <c r="F222" s="55"/>
      <c r="G222" s="57"/>
      <c r="H222" s="57"/>
      <c r="I222" s="57"/>
      <c r="J222" s="57"/>
      <c r="K222" s="57"/>
      <c r="L222" s="57"/>
      <c r="M222" s="57"/>
      <c r="N222" s="68"/>
      <c r="O222" s="68"/>
      <c r="P222" s="68"/>
      <c r="Q222" s="68"/>
    </row>
    <row r="223" spans="5:17" x14ac:dyDescent="0.35">
      <c r="E223" s="56"/>
      <c r="F223" s="55"/>
      <c r="G223" s="57"/>
      <c r="H223" s="57"/>
      <c r="I223" s="57"/>
      <c r="J223" s="57"/>
      <c r="K223" s="57"/>
      <c r="L223" s="57"/>
      <c r="M223" s="57"/>
      <c r="N223" s="68"/>
      <c r="O223" s="68"/>
      <c r="P223" s="68"/>
      <c r="Q223" s="68"/>
    </row>
    <row r="224" spans="5:17" x14ac:dyDescent="0.35">
      <c r="E224" s="56"/>
      <c r="F224" s="55"/>
      <c r="G224" s="57"/>
      <c r="H224" s="57"/>
      <c r="I224" s="57"/>
      <c r="J224" s="57"/>
      <c r="K224" s="57"/>
      <c r="L224" s="57"/>
      <c r="M224" s="57"/>
      <c r="N224" s="68"/>
      <c r="O224" s="68"/>
      <c r="P224" s="68"/>
      <c r="Q224" s="68"/>
    </row>
    <row r="225" spans="4:17" x14ac:dyDescent="0.35">
      <c r="E225" s="56"/>
      <c r="F225" s="55"/>
      <c r="G225" s="57"/>
      <c r="H225" s="57"/>
      <c r="I225" s="57"/>
      <c r="J225" s="57"/>
      <c r="K225" s="57"/>
      <c r="L225" s="57"/>
      <c r="M225" s="57"/>
      <c r="N225" s="68"/>
      <c r="O225" s="68"/>
      <c r="P225" s="68"/>
      <c r="Q225" s="68"/>
    </row>
    <row r="226" spans="4:17" x14ac:dyDescent="0.35">
      <c r="E226" s="56"/>
      <c r="F226" s="55"/>
      <c r="G226" s="57"/>
      <c r="H226" s="57"/>
      <c r="I226" s="57"/>
      <c r="J226" s="57"/>
      <c r="K226" s="57"/>
      <c r="L226" s="57"/>
      <c r="M226" s="57"/>
      <c r="N226" s="68"/>
      <c r="O226" s="68"/>
      <c r="P226" s="68"/>
      <c r="Q226" s="68"/>
    </row>
    <row r="227" spans="4:17" x14ac:dyDescent="0.35">
      <c r="E227" s="56"/>
      <c r="F227" s="55"/>
      <c r="G227" s="57"/>
      <c r="H227" s="57"/>
      <c r="I227" s="57"/>
      <c r="J227" s="57"/>
      <c r="K227" s="57"/>
      <c r="L227" s="57"/>
      <c r="M227" s="57"/>
      <c r="N227" s="68"/>
      <c r="O227" s="68"/>
      <c r="P227" s="68"/>
      <c r="Q227" s="68"/>
    </row>
    <row r="228" spans="4:17" x14ac:dyDescent="0.35">
      <c r="E228" s="56"/>
      <c r="F228" s="55"/>
      <c r="G228" s="57"/>
      <c r="H228" s="57"/>
      <c r="I228" s="57"/>
      <c r="J228" s="57"/>
      <c r="K228" s="57"/>
      <c r="L228" s="57"/>
      <c r="M228" s="57"/>
      <c r="N228" s="68"/>
      <c r="O228" s="68"/>
      <c r="P228" s="68"/>
      <c r="Q228" s="68"/>
    </row>
    <row r="229" spans="4:17" x14ac:dyDescent="0.35">
      <c r="E229" s="56"/>
      <c r="F229" s="55"/>
      <c r="G229" s="57"/>
      <c r="H229" s="57"/>
      <c r="I229" s="57"/>
      <c r="J229" s="57"/>
      <c r="K229" s="57"/>
      <c r="L229" s="57"/>
      <c r="M229" s="57"/>
      <c r="N229" s="68"/>
      <c r="O229" s="68"/>
      <c r="P229" s="68"/>
      <c r="Q229" s="68"/>
    </row>
    <row r="230" spans="4:17" x14ac:dyDescent="0.35">
      <c r="D230" s="61"/>
      <c r="E230" s="56"/>
      <c r="F230" s="61"/>
      <c r="G230" s="57"/>
      <c r="H230" s="57"/>
      <c r="I230" s="57"/>
      <c r="J230" s="57"/>
      <c r="K230" s="57"/>
      <c r="L230" s="57"/>
      <c r="M230" s="57"/>
      <c r="N230" s="68"/>
      <c r="O230" s="68"/>
      <c r="P230" s="68"/>
      <c r="Q230" s="68"/>
    </row>
    <row r="231" spans="4:17" x14ac:dyDescent="0.35">
      <c r="D231" s="61"/>
      <c r="E231" s="56"/>
      <c r="F231" s="61"/>
      <c r="G231" s="57"/>
      <c r="H231" s="57"/>
      <c r="I231" s="57"/>
      <c r="J231" s="57"/>
      <c r="K231" s="57"/>
      <c r="L231" s="57"/>
      <c r="M231" s="57"/>
      <c r="N231" s="68"/>
      <c r="O231" s="68"/>
      <c r="P231" s="68"/>
      <c r="Q231" s="68"/>
    </row>
    <row r="232" spans="4:17" x14ac:dyDescent="0.35">
      <c r="D232" s="61"/>
      <c r="E232" s="56"/>
      <c r="F232" s="61"/>
      <c r="G232" s="57"/>
      <c r="H232" s="57"/>
      <c r="I232" s="57"/>
      <c r="J232" s="57"/>
      <c r="K232" s="57"/>
      <c r="L232" s="57"/>
      <c r="M232" s="57"/>
      <c r="N232" s="68"/>
      <c r="O232" s="68"/>
      <c r="P232" s="68"/>
      <c r="Q232" s="68"/>
    </row>
    <row r="233" spans="4:17" x14ac:dyDescent="0.35">
      <c r="D233" s="61"/>
      <c r="E233" s="56"/>
      <c r="F233" s="61"/>
      <c r="G233" s="57"/>
      <c r="H233" s="57"/>
      <c r="I233" s="57"/>
      <c r="J233" s="57"/>
      <c r="K233" s="57"/>
      <c r="L233" s="57"/>
      <c r="M233" s="57"/>
      <c r="N233" s="68"/>
      <c r="O233" s="68"/>
      <c r="P233" s="68"/>
      <c r="Q233" s="68"/>
    </row>
  </sheetData>
  <autoFilter ref="A1:Q159" xr:uid="{06CB1331-AF3E-489A-B433-09E21B4DF482}">
    <filterColumn colId="6" showButton="0"/>
    <filterColumn colId="7" showButton="0"/>
  </autoFilter>
  <mergeCells count="421">
    <mergeCell ref="N5:N10"/>
    <mergeCell ref="O11:O15"/>
    <mergeCell ref="P11:P15"/>
    <mergeCell ref="Q11:Q15"/>
    <mergeCell ref="G1:I1"/>
    <mergeCell ref="C5:C10"/>
    <mergeCell ref="D5:D10"/>
    <mergeCell ref="F5:F10"/>
    <mergeCell ref="G5:G10"/>
    <mergeCell ref="H5:H10"/>
    <mergeCell ref="I5:I10"/>
    <mergeCell ref="O5:O10"/>
    <mergeCell ref="P5:P10"/>
    <mergeCell ref="G16:G20"/>
    <mergeCell ref="H16:H20"/>
    <mergeCell ref="I16:I20"/>
    <mergeCell ref="J16:J20"/>
    <mergeCell ref="K16:K20"/>
    <mergeCell ref="L16:L20"/>
    <mergeCell ref="Q5:Q10"/>
    <mergeCell ref="E5:E10"/>
    <mergeCell ref="C11:C15"/>
    <mergeCell ref="D11:D15"/>
    <mergeCell ref="E11:E15"/>
    <mergeCell ref="F11:F15"/>
    <mergeCell ref="G11:G15"/>
    <mergeCell ref="H11:H15"/>
    <mergeCell ref="I11:I15"/>
    <mergeCell ref="J11:J15"/>
    <mergeCell ref="K11:K15"/>
    <mergeCell ref="L11:L15"/>
    <mergeCell ref="M11:M15"/>
    <mergeCell ref="N11:N15"/>
    <mergeCell ref="J5:J10"/>
    <mergeCell ref="K5:K10"/>
    <mergeCell ref="L5:L10"/>
    <mergeCell ref="M5:M10"/>
    <mergeCell ref="M16:M20"/>
    <mergeCell ref="E16:E20"/>
    <mergeCell ref="N16:N20"/>
    <mergeCell ref="O16:O20"/>
    <mergeCell ref="P16:P20"/>
    <mergeCell ref="Q16:Q20"/>
    <mergeCell ref="C22:C28"/>
    <mergeCell ref="D22:D28"/>
    <mergeCell ref="E22:E28"/>
    <mergeCell ref="F22:F28"/>
    <mergeCell ref="G22:G28"/>
    <mergeCell ref="M22:M28"/>
    <mergeCell ref="N22:N28"/>
    <mergeCell ref="O22:O28"/>
    <mergeCell ref="P22:P28"/>
    <mergeCell ref="Q22:Q28"/>
    <mergeCell ref="H22:H28"/>
    <mergeCell ref="I22:I28"/>
    <mergeCell ref="J22:J28"/>
    <mergeCell ref="K22:K28"/>
    <mergeCell ref="L22:L28"/>
    <mergeCell ref="C16:C20"/>
    <mergeCell ref="D16:D20"/>
    <mergeCell ref="F16:F20"/>
    <mergeCell ref="Q29:Q33"/>
    <mergeCell ref="H29:H33"/>
    <mergeCell ref="I29:I33"/>
    <mergeCell ref="J29:J33"/>
    <mergeCell ref="K29:K33"/>
    <mergeCell ref="L29:L33"/>
    <mergeCell ref="C29:C33"/>
    <mergeCell ref="D29:D33"/>
    <mergeCell ref="E29:E33"/>
    <mergeCell ref="F29:F33"/>
    <mergeCell ref="G29:G33"/>
    <mergeCell ref="C34:C38"/>
    <mergeCell ref="D34:D38"/>
    <mergeCell ref="E34:E38"/>
    <mergeCell ref="F34:F38"/>
    <mergeCell ref="G34:G38"/>
    <mergeCell ref="M29:M33"/>
    <mergeCell ref="N29:N33"/>
    <mergeCell ref="O29:O33"/>
    <mergeCell ref="P29:P33"/>
    <mergeCell ref="M34:M38"/>
    <mergeCell ref="N34:N38"/>
    <mergeCell ref="O34:O38"/>
    <mergeCell ref="P34:P38"/>
    <mergeCell ref="Q34:Q38"/>
    <mergeCell ref="H34:H38"/>
    <mergeCell ref="I34:I38"/>
    <mergeCell ref="J34:J38"/>
    <mergeCell ref="K34:K38"/>
    <mergeCell ref="L34:L38"/>
    <mergeCell ref="Q39:Q43"/>
    <mergeCell ref="H39:H43"/>
    <mergeCell ref="I39:I43"/>
    <mergeCell ref="J39:J43"/>
    <mergeCell ref="K39:K43"/>
    <mergeCell ref="L39:L43"/>
    <mergeCell ref="M39:M43"/>
    <mergeCell ref="N39:N43"/>
    <mergeCell ref="O39:O43"/>
    <mergeCell ref="P39:P43"/>
    <mergeCell ref="C39:C43"/>
    <mergeCell ref="D39:D43"/>
    <mergeCell ref="E39:E43"/>
    <mergeCell ref="F39:F43"/>
    <mergeCell ref="G39:G43"/>
    <mergeCell ref="Q46:Q50"/>
    <mergeCell ref="H46:H50"/>
    <mergeCell ref="I46:I50"/>
    <mergeCell ref="J46:J50"/>
    <mergeCell ref="K46:K50"/>
    <mergeCell ref="L46:L50"/>
    <mergeCell ref="C46:C50"/>
    <mergeCell ref="D46:D50"/>
    <mergeCell ref="E46:E50"/>
    <mergeCell ref="F46:F50"/>
    <mergeCell ref="G46:G50"/>
    <mergeCell ref="C51:C55"/>
    <mergeCell ref="D51:D55"/>
    <mergeCell ref="E51:E55"/>
    <mergeCell ref="F51:F55"/>
    <mergeCell ref="G51:G55"/>
    <mergeCell ref="M46:M50"/>
    <mergeCell ref="N46:N50"/>
    <mergeCell ref="O46:O50"/>
    <mergeCell ref="P46:P50"/>
    <mergeCell ref="M51:M55"/>
    <mergeCell ref="N51:N55"/>
    <mergeCell ref="O51:O55"/>
    <mergeCell ref="P51:P55"/>
    <mergeCell ref="Q51:Q55"/>
    <mergeCell ref="H51:H55"/>
    <mergeCell ref="I51:I55"/>
    <mergeCell ref="J51:J55"/>
    <mergeCell ref="K51:K55"/>
    <mergeCell ref="L51:L55"/>
    <mergeCell ref="Q56:Q59"/>
    <mergeCell ref="I56:I59"/>
    <mergeCell ref="J56:J59"/>
    <mergeCell ref="K56:K59"/>
    <mergeCell ref="L56:L59"/>
    <mergeCell ref="M56:M59"/>
    <mergeCell ref="C56:C59"/>
    <mergeCell ref="N56:N59"/>
    <mergeCell ref="O56:O59"/>
    <mergeCell ref="P56:P59"/>
    <mergeCell ref="C66:C70"/>
    <mergeCell ref="D66:D70"/>
    <mergeCell ref="E66:E70"/>
    <mergeCell ref="F66:F70"/>
    <mergeCell ref="G66:G70"/>
    <mergeCell ref="M66:M70"/>
    <mergeCell ref="N66:N70"/>
    <mergeCell ref="O66:O70"/>
    <mergeCell ref="P66:P70"/>
    <mergeCell ref="D56:D59"/>
    <mergeCell ref="E56:E59"/>
    <mergeCell ref="F56:F59"/>
    <mergeCell ref="G56:G59"/>
    <mergeCell ref="H56:H59"/>
    <mergeCell ref="C61:C65"/>
    <mergeCell ref="D61:D65"/>
    <mergeCell ref="E61:E65"/>
    <mergeCell ref="F61:F65"/>
    <mergeCell ref="G61:G65"/>
    <mergeCell ref="H61:H65"/>
    <mergeCell ref="I61:I65"/>
    <mergeCell ref="J61:J65"/>
    <mergeCell ref="K61:K65"/>
    <mergeCell ref="L61:L65"/>
    <mergeCell ref="M61:M65"/>
    <mergeCell ref="N61:N65"/>
    <mergeCell ref="O61:O65"/>
    <mergeCell ref="P61:P65"/>
    <mergeCell ref="Q61:Q65"/>
    <mergeCell ref="Q66:Q70"/>
    <mergeCell ref="H66:H70"/>
    <mergeCell ref="I66:I70"/>
    <mergeCell ref="J66:J70"/>
    <mergeCell ref="K66:K70"/>
    <mergeCell ref="L66:L70"/>
    <mergeCell ref="Q71:Q75"/>
    <mergeCell ref="H71:H75"/>
    <mergeCell ref="I71:I75"/>
    <mergeCell ref="J71:J75"/>
    <mergeCell ref="K71:K75"/>
    <mergeCell ref="L71:L75"/>
    <mergeCell ref="M71:M75"/>
    <mergeCell ref="N71:N75"/>
    <mergeCell ref="O71:O75"/>
    <mergeCell ref="P71:P75"/>
    <mergeCell ref="C71:C75"/>
    <mergeCell ref="D71:D75"/>
    <mergeCell ref="E71:E75"/>
    <mergeCell ref="F71:F75"/>
    <mergeCell ref="G71:G75"/>
    <mergeCell ref="C76:C80"/>
    <mergeCell ref="D76:D80"/>
    <mergeCell ref="E76:E80"/>
    <mergeCell ref="F76:F80"/>
    <mergeCell ref="G76:G80"/>
    <mergeCell ref="M76:M80"/>
    <mergeCell ref="N76:N80"/>
    <mergeCell ref="O76:O80"/>
    <mergeCell ref="P76:P80"/>
    <mergeCell ref="Q76:Q80"/>
    <mergeCell ref="H76:H80"/>
    <mergeCell ref="I76:I80"/>
    <mergeCell ref="J76:J80"/>
    <mergeCell ref="K76:K80"/>
    <mergeCell ref="L76:L80"/>
    <mergeCell ref="C81:C84"/>
    <mergeCell ref="D81:D84"/>
    <mergeCell ref="E81:E84"/>
    <mergeCell ref="F81:F84"/>
    <mergeCell ref="G81:G84"/>
    <mergeCell ref="M81:M84"/>
    <mergeCell ref="N81:N84"/>
    <mergeCell ref="O81:O84"/>
    <mergeCell ref="P81:P84"/>
    <mergeCell ref="Q81:Q84"/>
    <mergeCell ref="H81:H84"/>
    <mergeCell ref="I81:I84"/>
    <mergeCell ref="J81:J84"/>
    <mergeCell ref="K81:K84"/>
    <mergeCell ref="L81:L84"/>
    <mergeCell ref="Q85:Q89"/>
    <mergeCell ref="H85:H89"/>
    <mergeCell ref="I85:I89"/>
    <mergeCell ref="J85:J89"/>
    <mergeCell ref="K85:K89"/>
    <mergeCell ref="L85:L89"/>
    <mergeCell ref="M85:M89"/>
    <mergeCell ref="N85:N89"/>
    <mergeCell ref="O85:O89"/>
    <mergeCell ref="P85:P89"/>
    <mergeCell ref="C85:C89"/>
    <mergeCell ref="D85:D89"/>
    <mergeCell ref="E85:E89"/>
    <mergeCell ref="F85:F89"/>
    <mergeCell ref="G85:G89"/>
    <mergeCell ref="C90:C94"/>
    <mergeCell ref="D90:D94"/>
    <mergeCell ref="E90:E94"/>
    <mergeCell ref="F90:F94"/>
    <mergeCell ref="G90:G94"/>
    <mergeCell ref="M90:M94"/>
    <mergeCell ref="N90:N94"/>
    <mergeCell ref="O90:O94"/>
    <mergeCell ref="P90:P94"/>
    <mergeCell ref="Q90:Q94"/>
    <mergeCell ref="H90:H94"/>
    <mergeCell ref="I90:I94"/>
    <mergeCell ref="J90:J94"/>
    <mergeCell ref="K90:K94"/>
    <mergeCell ref="L90:L94"/>
    <mergeCell ref="Q95:Q99"/>
    <mergeCell ref="H95:H99"/>
    <mergeCell ref="I95:I99"/>
    <mergeCell ref="J95:J99"/>
    <mergeCell ref="K95:K99"/>
    <mergeCell ref="L95:L99"/>
    <mergeCell ref="C95:C99"/>
    <mergeCell ref="D95:D99"/>
    <mergeCell ref="E95:E99"/>
    <mergeCell ref="F95:F99"/>
    <mergeCell ref="G95:G99"/>
    <mergeCell ref="F100:F104"/>
    <mergeCell ref="G100:G104"/>
    <mergeCell ref="M95:M99"/>
    <mergeCell ref="N95:N99"/>
    <mergeCell ref="O95:O99"/>
    <mergeCell ref="P95:P99"/>
    <mergeCell ref="M100:M104"/>
    <mergeCell ref="N100:N104"/>
    <mergeCell ref="O100:O104"/>
    <mergeCell ref="P100:P104"/>
    <mergeCell ref="Q100:Q104"/>
    <mergeCell ref="H100:H104"/>
    <mergeCell ref="I100:I104"/>
    <mergeCell ref="J100:J104"/>
    <mergeCell ref="K100:K104"/>
    <mergeCell ref="L100:L104"/>
    <mergeCell ref="C105:C109"/>
    <mergeCell ref="D105:D109"/>
    <mergeCell ref="E105:E109"/>
    <mergeCell ref="F105:F109"/>
    <mergeCell ref="G105:G109"/>
    <mergeCell ref="M105:M109"/>
    <mergeCell ref="N105:N109"/>
    <mergeCell ref="O105:O109"/>
    <mergeCell ref="P105:P109"/>
    <mergeCell ref="Q105:Q109"/>
    <mergeCell ref="H105:H109"/>
    <mergeCell ref="I105:I109"/>
    <mergeCell ref="J105:J109"/>
    <mergeCell ref="K105:K109"/>
    <mergeCell ref="L105:L109"/>
    <mergeCell ref="C100:C104"/>
    <mergeCell ref="D100:D104"/>
    <mergeCell ref="E100:E104"/>
    <mergeCell ref="Q110:Q114"/>
    <mergeCell ref="H110:H114"/>
    <mergeCell ref="I110:I114"/>
    <mergeCell ref="J110:J114"/>
    <mergeCell ref="K110:K114"/>
    <mergeCell ref="L110:L114"/>
    <mergeCell ref="C110:C114"/>
    <mergeCell ref="D110:D114"/>
    <mergeCell ref="E110:E114"/>
    <mergeCell ref="F110:F114"/>
    <mergeCell ref="G110:G114"/>
    <mergeCell ref="C115:C119"/>
    <mergeCell ref="D115:D119"/>
    <mergeCell ref="E115:E119"/>
    <mergeCell ref="F115:F119"/>
    <mergeCell ref="G115:G119"/>
    <mergeCell ref="M110:M114"/>
    <mergeCell ref="N110:N114"/>
    <mergeCell ref="O110:O114"/>
    <mergeCell ref="P110:P114"/>
    <mergeCell ref="M115:M119"/>
    <mergeCell ref="N115:N119"/>
    <mergeCell ref="O115:O119"/>
    <mergeCell ref="P115:P119"/>
    <mergeCell ref="Q115:Q119"/>
    <mergeCell ref="H115:H119"/>
    <mergeCell ref="I115:I119"/>
    <mergeCell ref="J115:J119"/>
    <mergeCell ref="K115:K119"/>
    <mergeCell ref="L115:L119"/>
    <mergeCell ref="Q120:Q124"/>
    <mergeCell ref="H120:H124"/>
    <mergeCell ref="I120:I124"/>
    <mergeCell ref="J120:J124"/>
    <mergeCell ref="K120:K124"/>
    <mergeCell ref="L120:L124"/>
    <mergeCell ref="M120:M124"/>
    <mergeCell ref="N120:N124"/>
    <mergeCell ref="O120:O124"/>
    <mergeCell ref="P120:P124"/>
    <mergeCell ref="C120:C124"/>
    <mergeCell ref="D120:D124"/>
    <mergeCell ref="E120:E124"/>
    <mergeCell ref="F120:F124"/>
    <mergeCell ref="G120:G124"/>
    <mergeCell ref="C125:C129"/>
    <mergeCell ref="D125:D129"/>
    <mergeCell ref="E125:E129"/>
    <mergeCell ref="F125:F129"/>
    <mergeCell ref="G125:G129"/>
    <mergeCell ref="O130:O134"/>
    <mergeCell ref="P130:P134"/>
    <mergeCell ref="M125:M129"/>
    <mergeCell ref="N125:N129"/>
    <mergeCell ref="O125:O129"/>
    <mergeCell ref="P125:P129"/>
    <mergeCell ref="Q125:Q129"/>
    <mergeCell ref="H125:H129"/>
    <mergeCell ref="I125:I129"/>
    <mergeCell ref="J125:J129"/>
    <mergeCell ref="K125:K129"/>
    <mergeCell ref="L125:L129"/>
    <mergeCell ref="Q135:Q139"/>
    <mergeCell ref="H135:H139"/>
    <mergeCell ref="I135:I139"/>
    <mergeCell ref="J135:J139"/>
    <mergeCell ref="K135:K139"/>
    <mergeCell ref="L135:L139"/>
    <mergeCell ref="C130:C134"/>
    <mergeCell ref="D130:D134"/>
    <mergeCell ref="E130:E134"/>
    <mergeCell ref="F130:F134"/>
    <mergeCell ref="G130:G134"/>
    <mergeCell ref="C135:C139"/>
    <mergeCell ref="D135:D139"/>
    <mergeCell ref="E135:E139"/>
    <mergeCell ref="F135:F139"/>
    <mergeCell ref="G135:G139"/>
    <mergeCell ref="Q130:Q134"/>
    <mergeCell ref="H130:H134"/>
    <mergeCell ref="I130:I134"/>
    <mergeCell ref="J130:J134"/>
    <mergeCell ref="K130:K134"/>
    <mergeCell ref="L130:L134"/>
    <mergeCell ref="M130:M134"/>
    <mergeCell ref="N130:N134"/>
    <mergeCell ref="F142:F148"/>
    <mergeCell ref="G142:G148"/>
    <mergeCell ref="M142:M148"/>
    <mergeCell ref="N142:N148"/>
    <mergeCell ref="O142:O148"/>
    <mergeCell ref="P142:P148"/>
    <mergeCell ref="M135:M139"/>
    <mergeCell ref="N135:N139"/>
    <mergeCell ref="O135:O139"/>
    <mergeCell ref="P135:P139"/>
    <mergeCell ref="C149:C153"/>
    <mergeCell ref="D149:D153"/>
    <mergeCell ref="E149:E153"/>
    <mergeCell ref="F149:F153"/>
    <mergeCell ref="G149:G153"/>
    <mergeCell ref="Q142:Q148"/>
    <mergeCell ref="H142:H148"/>
    <mergeCell ref="I142:I148"/>
    <mergeCell ref="J142:J148"/>
    <mergeCell ref="K142:K148"/>
    <mergeCell ref="L142:L148"/>
    <mergeCell ref="Q149:Q153"/>
    <mergeCell ref="H149:H153"/>
    <mergeCell ref="I149:I153"/>
    <mergeCell ref="J149:J153"/>
    <mergeCell ref="K149:K153"/>
    <mergeCell ref="L149:L153"/>
    <mergeCell ref="M149:M153"/>
    <mergeCell ref="N149:N153"/>
    <mergeCell ref="O149:O153"/>
    <mergeCell ref="P149:P153"/>
    <mergeCell ref="C142:C148"/>
    <mergeCell ref="D142:D148"/>
    <mergeCell ref="E142:E148"/>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B199:B233 B28 B33 B38 B55 B65 B75 B80 B84 B89 B94 B99 B104 B109 B114 B119 B124 B129 B134 B148 B3 B50 B59:B60 B70 B139:B141 B20:B21 B153:B197 B43:B45</xm:sqref>
        </x14:dataValidation>
        <x14:dataValidation type="list" allowBlank="1" showInputMessage="1" showErrorMessage="1" xr:uid="{C9DFEA4C-E456-40FA-A0B8-26962CF02348}">
          <x14:formula1>
            <xm:f>'Paso 3 Redacción RA '!$I$3:$I$15</xm:f>
          </x14:formula1>
          <xm:sqref>B16:B19 B22:B27 B29:B32 B34:B37 B4:B14 B46:B49 B51:B54 B56:B58 B61:B64 B66:B69 B71:B74 B76:B79 B81:B83 B85:B88 B90:B93 B95:B98 B100:B103 B105:B108 B110:B113 B115:B118 B120:B123 B125:B128 B130:B133 B135:B138 B142:B147 B149:B152 B39:B42</xm:sqref>
        </x14:dataValidation>
        <x14:dataValidation type="list" allowBlank="1" showInputMessage="1" showErrorMessage="1" xr:uid="{30DD22C5-FBF6-44B0-BCFD-32788D298910}">
          <x14:formula1>
            <xm:f>'Paso 3 Redacción RA '!$I$1:$I$15</xm:f>
          </x14:formula1>
          <xm:sqref>B15 B60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election activeCell="B12" sqref="B12"/>
    </sheetView>
  </sheetViews>
  <sheetFormatPr baseColWidth="10" defaultColWidth="11.453125" defaultRowHeight="14.5" x14ac:dyDescent="0.35"/>
  <cols>
    <col min="2" max="2" width="27.1796875" customWidth="1"/>
  </cols>
  <sheetData>
    <row r="1" spans="2:2" ht="16.5" x14ac:dyDescent="0.5">
      <c r="B1" s="1" t="s">
        <v>304</v>
      </c>
    </row>
    <row r="2" spans="2:2" ht="16.5" x14ac:dyDescent="0.5">
      <c r="B2" s="1" t="s">
        <v>305</v>
      </c>
    </row>
    <row r="3" spans="2:2" ht="16.5" x14ac:dyDescent="0.5">
      <c r="B3" s="1" t="s">
        <v>306</v>
      </c>
    </row>
    <row r="4" spans="2:2" ht="16.5" x14ac:dyDescent="0.5">
      <c r="B4" s="1" t="s">
        <v>65</v>
      </c>
    </row>
    <row r="5" spans="2:2" ht="16.5" x14ac:dyDescent="0.5">
      <c r="B5" s="1" t="s">
        <v>307</v>
      </c>
    </row>
    <row r="6" spans="2:2" ht="16.5" x14ac:dyDescent="0.5">
      <c r="B6" s="1" t="s">
        <v>308</v>
      </c>
    </row>
    <row r="7" spans="2:2" ht="16.5" x14ac:dyDescent="0.5">
      <c r="B7" s="1" t="s">
        <v>309</v>
      </c>
    </row>
    <row r="8" spans="2:2" ht="16.5" x14ac:dyDescent="0.5">
      <c r="B8" s="1" t="s">
        <v>310</v>
      </c>
    </row>
    <row r="9" spans="2:2" ht="16.5" x14ac:dyDescent="0.5">
      <c r="B9" s="1" t="s">
        <v>311</v>
      </c>
    </row>
    <row r="10" spans="2:2" ht="16.5" x14ac:dyDescent="0.5">
      <c r="B10" s="1" t="s">
        <v>312</v>
      </c>
    </row>
    <row r="11" spans="2:2" ht="16.5" x14ac:dyDescent="0.5">
      <c r="B11" s="1" t="s">
        <v>313</v>
      </c>
    </row>
    <row r="12" spans="2:2" ht="16.5" x14ac:dyDescent="0.5">
      <c r="B12" s="1" t="s">
        <v>61</v>
      </c>
    </row>
    <row r="13" spans="2:2" ht="16.5" x14ac:dyDescent="0.5">
      <c r="B13" s="1" t="s">
        <v>314</v>
      </c>
    </row>
    <row r="14" spans="2:2" ht="16.5" x14ac:dyDescent="0.5">
      <c r="B14" s="1" t="s">
        <v>315</v>
      </c>
    </row>
    <row r="15" spans="2:2" ht="16.5" x14ac:dyDescent="0.5">
      <c r="B15" s="1" t="s">
        <v>316</v>
      </c>
    </row>
    <row r="16" spans="2:2" ht="16.5" x14ac:dyDescent="0.5">
      <c r="B16" s="1" t="s">
        <v>56</v>
      </c>
    </row>
    <row r="17" spans="2:2" ht="16.5" x14ac:dyDescent="0.5">
      <c r="B17" s="1" t="s">
        <v>63</v>
      </c>
    </row>
    <row r="18" spans="2:2" ht="16.5" x14ac:dyDescent="0.5">
      <c r="B18" s="1" t="s">
        <v>317</v>
      </c>
    </row>
    <row r="19" spans="2:2" ht="16.5" x14ac:dyDescent="0.5">
      <c r="B19" s="1" t="s">
        <v>89</v>
      </c>
    </row>
    <row r="20" spans="2:2" ht="16.5" x14ac:dyDescent="0.5">
      <c r="B20" s="1" t="s">
        <v>318</v>
      </c>
    </row>
    <row r="21" spans="2:2" ht="16.5" x14ac:dyDescent="0.5">
      <c r="B21" s="1" t="s">
        <v>319</v>
      </c>
    </row>
    <row r="22" spans="2:2" ht="16.5" x14ac:dyDescent="0.5">
      <c r="B22" s="1" t="s">
        <v>320</v>
      </c>
    </row>
    <row r="23" spans="2:2" ht="16.5" x14ac:dyDescent="0.5">
      <c r="B23" s="1" t="s">
        <v>321</v>
      </c>
    </row>
    <row r="24" spans="2:2" ht="16.5" x14ac:dyDescent="0.5">
      <c r="B24" s="1" t="s">
        <v>322</v>
      </c>
    </row>
    <row r="25" spans="2:2" ht="16.5" x14ac:dyDescent="0.5">
      <c r="B25" s="1" t="s">
        <v>323</v>
      </c>
    </row>
    <row r="26" spans="2:2" ht="16.5" x14ac:dyDescent="0.5">
      <c r="B26" s="1" t="s">
        <v>324</v>
      </c>
    </row>
    <row r="27" spans="2:2" ht="16.5" x14ac:dyDescent="0.5">
      <c r="B27" s="1" t="s">
        <v>325</v>
      </c>
    </row>
    <row r="28" spans="2:2" ht="16.5" x14ac:dyDescent="0.5">
      <c r="B28" s="1" t="s">
        <v>326</v>
      </c>
    </row>
    <row r="29" spans="2:2" ht="16.5" x14ac:dyDescent="0.5">
      <c r="B29" s="1" t="s">
        <v>103</v>
      </c>
    </row>
    <row r="30" spans="2:2" ht="16.5" x14ac:dyDescent="0.5">
      <c r="B30" s="1" t="s">
        <v>327</v>
      </c>
    </row>
    <row r="31" spans="2:2" ht="16.5" x14ac:dyDescent="0.5">
      <c r="B31" s="1" t="s">
        <v>59</v>
      </c>
    </row>
    <row r="32" spans="2:2" ht="16.5" x14ac:dyDescent="0.5">
      <c r="B32" s="1" t="s">
        <v>328</v>
      </c>
    </row>
    <row r="33" spans="2:2" ht="16.5" x14ac:dyDescent="0.5">
      <c r="B33" s="1" t="s">
        <v>329</v>
      </c>
    </row>
    <row r="34" spans="2:2" ht="16.5" x14ac:dyDescent="0.5">
      <c r="B34" s="1" t="s">
        <v>330</v>
      </c>
    </row>
    <row r="35" spans="2:2" ht="16.5" x14ac:dyDescent="0.5">
      <c r="B35" s="1" t="s">
        <v>331</v>
      </c>
    </row>
    <row r="36" spans="2:2" ht="16.5" x14ac:dyDescent="0.5">
      <c r="B36" s="1" t="s">
        <v>332</v>
      </c>
    </row>
    <row r="37" spans="2:2" ht="16.5" x14ac:dyDescent="0.5">
      <c r="B37" s="1" t="s">
        <v>333</v>
      </c>
    </row>
    <row r="38" spans="2:2" ht="16.5" x14ac:dyDescent="0.5">
      <c r="B38" s="1" t="s">
        <v>334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M1" zoomScale="66" workbookViewId="0">
      <selection activeCell="AE39" sqref="AE39"/>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ht="17" thickBot="1" x14ac:dyDescent="0.55000000000000004">
      <c r="S1" s="180" t="s">
        <v>335</v>
      </c>
      <c r="T1" s="180"/>
      <c r="U1" s="180"/>
      <c r="V1" s="180"/>
      <c r="W1" s="180"/>
      <c r="X1" s="180"/>
      <c r="Y1" s="180"/>
      <c r="Z1" s="180"/>
      <c r="AA1" s="180"/>
      <c r="AB1" s="180"/>
      <c r="AC1" s="180"/>
      <c r="AD1" s="180"/>
      <c r="AE1" s="180"/>
      <c r="AF1" s="180"/>
      <c r="AG1" s="180"/>
      <c r="AH1" s="14"/>
      <c r="AI1" s="14"/>
      <c r="AJ1" s="14"/>
      <c r="AL1" s="181" t="s">
        <v>336</v>
      </c>
      <c r="AM1" s="181"/>
      <c r="AN1" s="181"/>
      <c r="AO1" s="181"/>
      <c r="AP1" s="181"/>
      <c r="AQ1" s="181"/>
      <c r="AR1" s="14"/>
      <c r="AS1" s="14"/>
      <c r="AT1" s="180" t="s">
        <v>337</v>
      </c>
      <c r="AU1" s="180"/>
      <c r="AV1" s="180"/>
      <c r="AW1" s="180"/>
      <c r="AX1" s="180"/>
      <c r="AY1" s="180"/>
      <c r="AZ1" s="14"/>
      <c r="BC1" s="14"/>
    </row>
    <row r="2" spans="1:55" ht="17" thickBot="1" x14ac:dyDescent="0.55000000000000004">
      <c r="L2" s="180" t="s">
        <v>338</v>
      </c>
      <c r="M2" s="180"/>
      <c r="N2" s="180"/>
      <c r="O2" s="180"/>
      <c r="P2" s="180"/>
      <c r="Q2" s="180"/>
      <c r="S2" s="182" t="s">
        <v>339</v>
      </c>
      <c r="T2" s="182"/>
      <c r="U2" s="182"/>
      <c r="V2" s="182"/>
      <c r="W2" s="182"/>
      <c r="X2" s="182"/>
      <c r="Y2" s="182" t="s">
        <v>340</v>
      </c>
      <c r="Z2" s="182"/>
      <c r="AA2" s="182"/>
      <c r="AB2" s="182"/>
      <c r="AC2" s="182" t="s">
        <v>341</v>
      </c>
      <c r="AD2" s="182"/>
      <c r="AE2" s="182"/>
      <c r="AF2" s="182"/>
      <c r="AG2" s="182"/>
      <c r="AH2" s="14"/>
      <c r="AI2" s="14"/>
      <c r="AJ2" s="14"/>
      <c r="AL2" s="181"/>
      <c r="AM2" s="181"/>
      <c r="AN2" s="181"/>
      <c r="AO2" s="181"/>
      <c r="AP2" s="181"/>
      <c r="AQ2" s="181"/>
      <c r="AR2" s="14"/>
      <c r="AS2" s="14"/>
      <c r="AT2" s="14"/>
      <c r="AU2" s="14"/>
      <c r="AV2" s="14"/>
      <c r="AW2" s="14"/>
      <c r="AX2" s="14"/>
      <c r="AY2" s="14"/>
      <c r="AZ2" s="14"/>
      <c r="BC2" s="14"/>
    </row>
    <row r="3" spans="1:55" x14ac:dyDescent="0.5">
      <c r="A3" s="1" t="s">
        <v>342</v>
      </c>
      <c r="C3" s="1" t="s">
        <v>86</v>
      </c>
      <c r="D3" s="1" t="s">
        <v>343</v>
      </c>
      <c r="E3" s="1" t="s">
        <v>344</v>
      </c>
      <c r="G3" s="128" t="s">
        <v>106</v>
      </c>
      <c r="H3" s="128" t="s">
        <v>345</v>
      </c>
      <c r="I3" s="128" t="s">
        <v>346</v>
      </c>
      <c r="L3" s="1" t="s">
        <v>347</v>
      </c>
      <c r="M3" s="1" t="s">
        <v>107</v>
      </c>
      <c r="N3" s="1" t="s">
        <v>348</v>
      </c>
      <c r="O3" s="1" t="s">
        <v>349</v>
      </c>
      <c r="P3" s="1" t="s">
        <v>350</v>
      </c>
      <c r="Q3" s="1" t="s">
        <v>351</v>
      </c>
      <c r="S3" s="1" t="s">
        <v>352</v>
      </c>
      <c r="T3" s="1" t="s">
        <v>353</v>
      </c>
      <c r="U3" s="1" t="s">
        <v>354</v>
      </c>
      <c r="V3" s="1" t="s">
        <v>97</v>
      </c>
      <c r="W3" s="1" t="s">
        <v>355</v>
      </c>
      <c r="X3" s="1" t="s">
        <v>88</v>
      </c>
      <c r="Y3" s="1" t="s">
        <v>356</v>
      </c>
      <c r="Z3" s="1" t="s">
        <v>357</v>
      </c>
      <c r="AA3" s="1" t="s">
        <v>100</v>
      </c>
      <c r="AB3" s="1" t="s">
        <v>92</v>
      </c>
      <c r="AC3" s="1" t="s">
        <v>358</v>
      </c>
      <c r="AD3" s="1" t="s">
        <v>95</v>
      </c>
      <c r="AE3" s="1" t="s">
        <v>359</v>
      </c>
      <c r="AF3" s="1" t="s">
        <v>360</v>
      </c>
      <c r="AG3" s="1" t="s">
        <v>361</v>
      </c>
      <c r="AL3" s="179" t="s">
        <v>362</v>
      </c>
      <c r="AM3" s="179"/>
      <c r="AN3" s="179"/>
      <c r="AO3" s="179" t="s">
        <v>363</v>
      </c>
      <c r="AP3" s="179"/>
      <c r="AQ3" s="179"/>
      <c r="AR3" s="13"/>
      <c r="AS3" s="13"/>
      <c r="AT3" s="13"/>
      <c r="AU3" s="13"/>
      <c r="AV3" s="13"/>
      <c r="AW3" s="13"/>
      <c r="AX3" s="13"/>
      <c r="AY3" s="13"/>
      <c r="AZ3" s="13"/>
      <c r="BC3" s="13"/>
    </row>
    <row r="4" spans="1:55" x14ac:dyDescent="0.5">
      <c r="A4" s="1" t="s">
        <v>105</v>
      </c>
      <c r="C4" s="1" t="s">
        <v>87</v>
      </c>
      <c r="D4" s="1" t="s">
        <v>364</v>
      </c>
      <c r="E4" s="1" t="s">
        <v>365</v>
      </c>
      <c r="G4" s="1" t="s">
        <v>347</v>
      </c>
      <c r="H4" s="1" t="s">
        <v>347</v>
      </c>
      <c r="I4" s="1" t="s">
        <v>347</v>
      </c>
      <c r="L4" s="1" t="s">
        <v>366</v>
      </c>
      <c r="M4" s="1" t="s">
        <v>310</v>
      </c>
      <c r="N4" s="1" t="s">
        <v>307</v>
      </c>
      <c r="O4" s="1" t="s">
        <v>367</v>
      </c>
      <c r="P4" s="1" t="s">
        <v>368</v>
      </c>
      <c r="Q4" s="1" t="s">
        <v>369</v>
      </c>
      <c r="S4" s="1" t="s">
        <v>366</v>
      </c>
      <c r="T4" s="1" t="s">
        <v>310</v>
      </c>
      <c r="U4" s="1" t="s">
        <v>307</v>
      </c>
      <c r="V4" s="1" t="s">
        <v>367</v>
      </c>
      <c r="W4" s="1" t="s">
        <v>368</v>
      </c>
      <c r="X4" s="1" t="s">
        <v>369</v>
      </c>
      <c r="Y4" s="1" t="s">
        <v>370</v>
      </c>
      <c r="Z4" s="1" t="s">
        <v>371</v>
      </c>
      <c r="AA4" s="1" t="s">
        <v>372</v>
      </c>
      <c r="AB4" s="1" t="s">
        <v>373</v>
      </c>
      <c r="AC4" s="1" t="s">
        <v>374</v>
      </c>
      <c r="AD4" s="1" t="s">
        <v>370</v>
      </c>
      <c r="AE4" s="1" t="s">
        <v>374</v>
      </c>
      <c r="AF4" s="1" t="s">
        <v>375</v>
      </c>
      <c r="AG4" s="1" t="s">
        <v>376</v>
      </c>
      <c r="AL4" s="3" t="s">
        <v>377</v>
      </c>
      <c r="AM4" s="3" t="s">
        <v>378</v>
      </c>
      <c r="AN4" s="3" t="s">
        <v>379</v>
      </c>
      <c r="AO4" s="3" t="s">
        <v>380</v>
      </c>
      <c r="AP4" s="4" t="s">
        <v>381</v>
      </c>
      <c r="AQ4" s="3" t="s">
        <v>382</v>
      </c>
      <c r="AR4" s="13"/>
      <c r="AS4" s="13"/>
      <c r="AT4" s="1" t="s">
        <v>383</v>
      </c>
      <c r="AU4" s="1" t="s">
        <v>384</v>
      </c>
      <c r="AV4" s="1" t="s">
        <v>385</v>
      </c>
      <c r="AW4" s="1" t="s">
        <v>386</v>
      </c>
      <c r="AX4" s="1" t="s">
        <v>387</v>
      </c>
      <c r="AY4" s="1" t="s">
        <v>388</v>
      </c>
      <c r="AZ4" s="13"/>
      <c r="BC4" s="13"/>
    </row>
    <row r="5" spans="1:55" x14ac:dyDescent="0.5">
      <c r="A5" s="1" t="s">
        <v>86</v>
      </c>
      <c r="C5" s="1" t="s">
        <v>91</v>
      </c>
      <c r="D5" s="1" t="s">
        <v>389</v>
      </c>
      <c r="E5" s="1" t="s">
        <v>390</v>
      </c>
      <c r="G5" s="1" t="s">
        <v>107</v>
      </c>
      <c r="H5" s="1" t="s">
        <v>107</v>
      </c>
      <c r="I5" s="1" t="s">
        <v>107</v>
      </c>
      <c r="L5" s="1" t="s">
        <v>391</v>
      </c>
      <c r="M5" s="1" t="s">
        <v>392</v>
      </c>
      <c r="N5" s="1" t="s">
        <v>393</v>
      </c>
      <c r="O5" s="1" t="s">
        <v>65</v>
      </c>
      <c r="P5" s="1" t="s">
        <v>306</v>
      </c>
      <c r="Q5" s="1" t="s">
        <v>394</v>
      </c>
      <c r="S5" s="1" t="s">
        <v>391</v>
      </c>
      <c r="T5" s="1" t="s">
        <v>392</v>
      </c>
      <c r="U5" s="1" t="s">
        <v>393</v>
      </c>
      <c r="V5" s="1" t="s">
        <v>65</v>
      </c>
      <c r="W5" s="1" t="s">
        <v>306</v>
      </c>
      <c r="X5" s="1" t="s">
        <v>394</v>
      </c>
      <c r="Y5" s="1" t="s">
        <v>368</v>
      </c>
      <c r="Z5" s="1" t="s">
        <v>367</v>
      </c>
      <c r="AA5" s="1" t="s">
        <v>395</v>
      </c>
      <c r="AB5" s="1" t="s">
        <v>396</v>
      </c>
      <c r="AC5" s="1" t="s">
        <v>397</v>
      </c>
      <c r="AD5" s="1" t="s">
        <v>398</v>
      </c>
      <c r="AE5" s="1" t="s">
        <v>399</v>
      </c>
      <c r="AF5" s="1" t="s">
        <v>400</v>
      </c>
      <c r="AG5" s="1" t="s">
        <v>401</v>
      </c>
      <c r="AL5" s="2" t="s">
        <v>402</v>
      </c>
      <c r="AM5" s="2" t="s">
        <v>403</v>
      </c>
      <c r="AN5" s="2" t="s">
        <v>395</v>
      </c>
      <c r="AO5" s="2" t="s">
        <v>404</v>
      </c>
      <c r="AP5" s="2" t="s">
        <v>368</v>
      </c>
      <c r="AQ5" s="2" t="s">
        <v>315</v>
      </c>
      <c r="AR5" s="2"/>
      <c r="AS5" s="2"/>
      <c r="AT5" s="5" t="s">
        <v>402</v>
      </c>
      <c r="AU5" s="7" t="s">
        <v>310</v>
      </c>
      <c r="AV5" s="5" t="s">
        <v>404</v>
      </c>
      <c r="AW5" s="5" t="s">
        <v>395</v>
      </c>
      <c r="AX5" s="7" t="s">
        <v>374</v>
      </c>
      <c r="AY5" s="7" t="s">
        <v>374</v>
      </c>
      <c r="AZ5" s="2"/>
      <c r="BC5" s="2"/>
    </row>
    <row r="6" spans="1:55" x14ac:dyDescent="0.5">
      <c r="A6" s="1" t="s">
        <v>343</v>
      </c>
      <c r="C6" s="1" t="s">
        <v>94</v>
      </c>
      <c r="D6" s="1" t="s">
        <v>405</v>
      </c>
      <c r="E6" s="1" t="s">
        <v>406</v>
      </c>
      <c r="G6" s="1" t="s">
        <v>348</v>
      </c>
      <c r="H6" s="1" t="s">
        <v>348</v>
      </c>
      <c r="I6" s="1" t="s">
        <v>348</v>
      </c>
      <c r="L6" s="1" t="s">
        <v>407</v>
      </c>
      <c r="M6" s="1" t="s">
        <v>408</v>
      </c>
      <c r="N6" s="1" t="s">
        <v>409</v>
      </c>
      <c r="O6" s="1" t="s">
        <v>410</v>
      </c>
      <c r="P6" s="1" t="s">
        <v>373</v>
      </c>
      <c r="Q6" s="1" t="s">
        <v>411</v>
      </c>
      <c r="S6" s="1" t="s">
        <v>407</v>
      </c>
      <c r="T6" s="1" t="s">
        <v>408</v>
      </c>
      <c r="U6" s="1" t="s">
        <v>409</v>
      </c>
      <c r="V6" s="1" t="s">
        <v>410</v>
      </c>
      <c r="W6" s="1" t="s">
        <v>373</v>
      </c>
      <c r="X6" s="1" t="s">
        <v>411</v>
      </c>
      <c r="Y6" s="1" t="s">
        <v>412</v>
      </c>
      <c r="Z6" s="1" t="s">
        <v>412</v>
      </c>
      <c r="AA6" s="1" t="s">
        <v>412</v>
      </c>
      <c r="AB6" s="1" t="s">
        <v>403</v>
      </c>
      <c r="AC6" s="1" t="s">
        <v>413</v>
      </c>
      <c r="AD6" s="1" t="s">
        <v>402</v>
      </c>
      <c r="AE6" s="1" t="s">
        <v>402</v>
      </c>
      <c r="AF6" s="1" t="s">
        <v>373</v>
      </c>
      <c r="AG6" s="1" t="s">
        <v>414</v>
      </c>
      <c r="AL6" s="2" t="s">
        <v>407</v>
      </c>
      <c r="AM6" s="2" t="s">
        <v>98</v>
      </c>
      <c r="AN6" s="2" t="s">
        <v>404</v>
      </c>
      <c r="AO6" s="2" t="s">
        <v>367</v>
      </c>
      <c r="AP6" s="2" t="s">
        <v>415</v>
      </c>
      <c r="AQ6" s="2" t="s">
        <v>416</v>
      </c>
      <c r="AR6" s="2"/>
      <c r="AS6" s="2"/>
      <c r="AT6" s="6" t="s">
        <v>407</v>
      </c>
      <c r="AU6" s="8" t="s">
        <v>392</v>
      </c>
      <c r="AV6" s="7" t="s">
        <v>367</v>
      </c>
      <c r="AW6" s="6" t="s">
        <v>404</v>
      </c>
      <c r="AX6" s="8" t="s">
        <v>375</v>
      </c>
      <c r="AY6" s="7" t="s">
        <v>399</v>
      </c>
      <c r="AZ6" s="2"/>
      <c r="BC6" s="2"/>
    </row>
    <row r="7" spans="1:55" x14ac:dyDescent="0.5">
      <c r="A7" s="1" t="s">
        <v>344</v>
      </c>
      <c r="D7" s="1" t="s">
        <v>417</v>
      </c>
      <c r="G7" s="1" t="s">
        <v>349</v>
      </c>
      <c r="H7" s="1" t="s">
        <v>349</v>
      </c>
      <c r="I7" s="1" t="s">
        <v>349</v>
      </c>
      <c r="L7" s="1" t="s">
        <v>418</v>
      </c>
      <c r="M7" s="1" t="s">
        <v>311</v>
      </c>
      <c r="N7" s="1" t="s">
        <v>419</v>
      </c>
      <c r="O7" s="1" t="s">
        <v>420</v>
      </c>
      <c r="P7" s="1" t="s">
        <v>373</v>
      </c>
      <c r="Q7" s="1" t="s">
        <v>421</v>
      </c>
      <c r="S7" s="1" t="s">
        <v>418</v>
      </c>
      <c r="T7" s="1" t="s">
        <v>311</v>
      </c>
      <c r="U7" s="1" t="s">
        <v>419</v>
      </c>
      <c r="V7" s="1" t="s">
        <v>420</v>
      </c>
      <c r="W7" s="1" t="s">
        <v>373</v>
      </c>
      <c r="X7" s="1" t="s">
        <v>421</v>
      </c>
      <c r="Y7" s="1" t="s">
        <v>421</v>
      </c>
      <c r="Z7" s="1" t="s">
        <v>422</v>
      </c>
      <c r="AA7" s="1" t="s">
        <v>423</v>
      </c>
      <c r="AB7" s="1" t="s">
        <v>424</v>
      </c>
      <c r="AC7" s="1" t="s">
        <v>307</v>
      </c>
      <c r="AD7" s="1" t="s">
        <v>65</v>
      </c>
      <c r="AE7" s="1" t="s">
        <v>425</v>
      </c>
      <c r="AF7" s="1" t="s">
        <v>426</v>
      </c>
      <c r="AG7" s="1" t="s">
        <v>427</v>
      </c>
      <c r="AL7" s="2" t="s">
        <v>428</v>
      </c>
      <c r="AM7" s="2" t="s">
        <v>429</v>
      </c>
      <c r="AN7" s="2" t="s">
        <v>410</v>
      </c>
      <c r="AO7" s="2" t="s">
        <v>430</v>
      </c>
      <c r="AP7" s="2" t="s">
        <v>414</v>
      </c>
      <c r="AQ7" s="2" t="s">
        <v>431</v>
      </c>
      <c r="AR7" s="2"/>
      <c r="AS7" s="2"/>
      <c r="AT7" s="5" t="s">
        <v>428</v>
      </c>
      <c r="AU7" s="1" t="s">
        <v>403</v>
      </c>
      <c r="AV7" s="8" t="s">
        <v>65</v>
      </c>
      <c r="AW7" s="7" t="s">
        <v>307</v>
      </c>
      <c r="AX7" s="7" t="s">
        <v>399</v>
      </c>
      <c r="AY7" s="7" t="s">
        <v>401</v>
      </c>
      <c r="AZ7" s="2"/>
      <c r="BC7" s="2"/>
    </row>
    <row r="8" spans="1:55" x14ac:dyDescent="0.5">
      <c r="G8" s="1" t="s">
        <v>350</v>
      </c>
      <c r="H8" s="1" t="s">
        <v>350</v>
      </c>
      <c r="I8" s="1" t="s">
        <v>350</v>
      </c>
      <c r="L8" s="1" t="s">
        <v>432</v>
      </c>
      <c r="M8" s="1" t="s">
        <v>433</v>
      </c>
      <c r="N8" s="1" t="s">
        <v>312</v>
      </c>
      <c r="O8" s="1" t="s">
        <v>98</v>
      </c>
      <c r="P8" s="1" t="s">
        <v>434</v>
      </c>
      <c r="Q8" s="1" t="s">
        <v>435</v>
      </c>
      <c r="S8" s="1" t="s">
        <v>432</v>
      </c>
      <c r="T8" s="1" t="s">
        <v>433</v>
      </c>
      <c r="U8" s="1" t="s">
        <v>312</v>
      </c>
      <c r="V8" s="1" t="s">
        <v>98</v>
      </c>
      <c r="W8" s="1" t="s">
        <v>434</v>
      </c>
      <c r="X8" s="1" t="s">
        <v>435</v>
      </c>
      <c r="Y8" s="1" t="s">
        <v>65</v>
      </c>
      <c r="Z8" s="1" t="s">
        <v>373</v>
      </c>
      <c r="AA8" s="1" t="s">
        <v>436</v>
      </c>
      <c r="AB8" s="1" t="s">
        <v>437</v>
      </c>
      <c r="AC8" s="1" t="s">
        <v>438</v>
      </c>
      <c r="AD8" s="1" t="s">
        <v>307</v>
      </c>
      <c r="AE8" s="1" t="s">
        <v>439</v>
      </c>
      <c r="AF8" s="1" t="s">
        <v>440</v>
      </c>
      <c r="AG8" s="1" t="s">
        <v>420</v>
      </c>
      <c r="AL8" s="2" t="s">
        <v>432</v>
      </c>
      <c r="AM8" s="2" t="s">
        <v>441</v>
      </c>
      <c r="AN8" s="2" t="s">
        <v>420</v>
      </c>
      <c r="AO8" s="2" t="s">
        <v>442</v>
      </c>
      <c r="AP8" s="2" t="s">
        <v>443</v>
      </c>
      <c r="AQ8" s="2" t="s">
        <v>444</v>
      </c>
      <c r="AR8" s="2"/>
      <c r="AS8" s="2"/>
      <c r="AT8" s="6" t="s">
        <v>432</v>
      </c>
      <c r="AU8" s="7" t="s">
        <v>408</v>
      </c>
      <c r="AV8" s="7" t="s">
        <v>307</v>
      </c>
      <c r="AW8" s="5" t="s">
        <v>410</v>
      </c>
      <c r="AX8" s="8" t="s">
        <v>401</v>
      </c>
      <c r="AY8" s="7" t="s">
        <v>425</v>
      </c>
      <c r="AZ8" s="2"/>
      <c r="BC8" s="2"/>
    </row>
    <row r="9" spans="1:55" x14ac:dyDescent="0.5">
      <c r="G9" s="1" t="s">
        <v>351</v>
      </c>
      <c r="H9" s="1" t="s">
        <v>351</v>
      </c>
      <c r="I9" s="1" t="s">
        <v>351</v>
      </c>
      <c r="L9" s="1" t="s">
        <v>314</v>
      </c>
      <c r="M9" s="1" t="s">
        <v>445</v>
      </c>
      <c r="N9" s="1" t="s">
        <v>446</v>
      </c>
      <c r="O9" s="1" t="s">
        <v>440</v>
      </c>
      <c r="P9" s="1" t="s">
        <v>447</v>
      </c>
      <c r="Q9" s="1" t="s">
        <v>308</v>
      </c>
      <c r="S9" s="1" t="s">
        <v>314</v>
      </c>
      <c r="T9" s="1" t="s">
        <v>445</v>
      </c>
      <c r="U9" s="1" t="s">
        <v>446</v>
      </c>
      <c r="V9" s="1" t="s">
        <v>440</v>
      </c>
      <c r="W9" s="1" t="s">
        <v>447</v>
      </c>
      <c r="X9" s="1" t="s">
        <v>308</v>
      </c>
      <c r="Y9" s="1" t="s">
        <v>307</v>
      </c>
      <c r="Z9" s="1" t="s">
        <v>437</v>
      </c>
      <c r="AA9" s="1" t="s">
        <v>437</v>
      </c>
      <c r="AB9" s="1" t="s">
        <v>419</v>
      </c>
      <c r="AC9" s="1" t="s">
        <v>438</v>
      </c>
      <c r="AD9" s="1" t="s">
        <v>448</v>
      </c>
      <c r="AE9" s="1" t="s">
        <v>449</v>
      </c>
      <c r="AF9" s="1" t="s">
        <v>450</v>
      </c>
      <c r="AG9" s="1" t="s">
        <v>451</v>
      </c>
      <c r="AL9" s="2" t="s">
        <v>314</v>
      </c>
      <c r="AM9" s="2" t="s">
        <v>452</v>
      </c>
      <c r="AN9" s="2" t="s">
        <v>426</v>
      </c>
      <c r="AO9" s="2" t="s">
        <v>420</v>
      </c>
      <c r="AP9" s="2" t="s">
        <v>453</v>
      </c>
      <c r="AQ9" s="2" t="s">
        <v>454</v>
      </c>
      <c r="AR9" s="2"/>
      <c r="AS9" s="2"/>
      <c r="AT9" s="5" t="s">
        <v>314</v>
      </c>
      <c r="AU9" s="6" t="s">
        <v>98</v>
      </c>
      <c r="AV9" s="7" t="s">
        <v>430</v>
      </c>
      <c r="AW9" s="8" t="s">
        <v>393</v>
      </c>
      <c r="AX9" s="8" t="s">
        <v>402</v>
      </c>
      <c r="AY9" s="8" t="s">
        <v>439</v>
      </c>
      <c r="AZ9" s="2"/>
      <c r="BC9" s="2"/>
    </row>
    <row r="10" spans="1:55" x14ac:dyDescent="0.5">
      <c r="L10" s="1" t="s">
        <v>455</v>
      </c>
      <c r="M10" s="1" t="s">
        <v>456</v>
      </c>
      <c r="N10" s="1" t="s">
        <v>441</v>
      </c>
      <c r="O10" s="1" t="s">
        <v>429</v>
      </c>
      <c r="P10" s="1" t="s">
        <v>410</v>
      </c>
      <c r="Q10" s="1" t="s">
        <v>309</v>
      </c>
      <c r="S10" s="1" t="s">
        <v>455</v>
      </c>
      <c r="T10" s="1" t="s">
        <v>456</v>
      </c>
      <c r="U10" s="1" t="s">
        <v>441</v>
      </c>
      <c r="V10" s="1" t="s">
        <v>429</v>
      </c>
      <c r="W10" s="1" t="s">
        <v>410</v>
      </c>
      <c r="X10" s="1" t="s">
        <v>309</v>
      </c>
      <c r="Y10" s="1" t="s">
        <v>457</v>
      </c>
      <c r="Z10" s="1" t="s">
        <v>312</v>
      </c>
      <c r="AA10" s="1" t="s">
        <v>458</v>
      </c>
      <c r="AB10" s="1" t="s">
        <v>312</v>
      </c>
      <c r="AC10" s="1" t="s">
        <v>459</v>
      </c>
      <c r="AD10" s="1" t="s">
        <v>308</v>
      </c>
      <c r="AE10" s="1" t="s">
        <v>414</v>
      </c>
      <c r="AF10" s="1" t="s">
        <v>460</v>
      </c>
      <c r="AG10" s="1" t="s">
        <v>461</v>
      </c>
      <c r="AL10" s="2" t="s">
        <v>455</v>
      </c>
      <c r="AM10" s="2" t="s">
        <v>462</v>
      </c>
      <c r="AN10" s="2" t="s">
        <v>463</v>
      </c>
      <c r="AO10" s="2" t="s">
        <v>464</v>
      </c>
      <c r="AP10" s="2" t="s">
        <v>409</v>
      </c>
      <c r="AQ10" s="2" t="s">
        <v>325</v>
      </c>
      <c r="AR10" s="2"/>
      <c r="AS10" s="2"/>
      <c r="AT10" s="6" t="s">
        <v>455</v>
      </c>
      <c r="AU10" s="8" t="s">
        <v>311</v>
      </c>
      <c r="AV10" s="8" t="s">
        <v>442</v>
      </c>
      <c r="AW10" s="6" t="s">
        <v>420</v>
      </c>
      <c r="AX10" s="8" t="s">
        <v>425</v>
      </c>
      <c r="AY10" s="7" t="s">
        <v>449</v>
      </c>
      <c r="AZ10" s="2"/>
      <c r="BC10" s="2"/>
    </row>
    <row r="11" spans="1:55" x14ac:dyDescent="0.5">
      <c r="G11" s="128" t="s">
        <v>364</v>
      </c>
      <c r="H11" s="128" t="s">
        <v>389</v>
      </c>
      <c r="I11" s="128" t="s">
        <v>465</v>
      </c>
      <c r="J11" s="128" t="s">
        <v>417</v>
      </c>
      <c r="L11" s="1" t="s">
        <v>441</v>
      </c>
      <c r="M11" s="1" t="s">
        <v>466</v>
      </c>
      <c r="N11" s="1" t="s">
        <v>467</v>
      </c>
      <c r="O11" s="1" t="s">
        <v>445</v>
      </c>
      <c r="P11" s="1" t="s">
        <v>419</v>
      </c>
      <c r="Q11" s="1" t="s">
        <v>468</v>
      </c>
      <c r="S11" s="1" t="s">
        <v>441</v>
      </c>
      <c r="T11" s="1" t="s">
        <v>466</v>
      </c>
      <c r="U11" s="1" t="s">
        <v>467</v>
      </c>
      <c r="V11" s="1" t="s">
        <v>445</v>
      </c>
      <c r="W11" s="1" t="s">
        <v>419</v>
      </c>
      <c r="X11" s="1" t="s">
        <v>468</v>
      </c>
      <c r="Y11" s="1" t="s">
        <v>373</v>
      </c>
      <c r="Z11" s="1" t="s">
        <v>469</v>
      </c>
      <c r="AA11" s="1" t="s">
        <v>470</v>
      </c>
      <c r="AB11" s="1" t="s">
        <v>471</v>
      </c>
      <c r="AC11" s="1" t="s">
        <v>427</v>
      </c>
      <c r="AD11" s="1" t="s">
        <v>472</v>
      </c>
      <c r="AE11" s="1" t="s">
        <v>438</v>
      </c>
      <c r="AF11" s="1" t="s">
        <v>314</v>
      </c>
      <c r="AG11" s="1" t="s">
        <v>473</v>
      </c>
      <c r="AL11" s="2" t="s">
        <v>474</v>
      </c>
      <c r="AM11" s="2" t="s">
        <v>475</v>
      </c>
      <c r="AN11" s="2" t="s">
        <v>441</v>
      </c>
      <c r="AO11" s="2" t="s">
        <v>98</v>
      </c>
      <c r="AP11" s="2" t="s">
        <v>98</v>
      </c>
      <c r="AQ11" s="2" t="s">
        <v>476</v>
      </c>
      <c r="AR11" s="2"/>
      <c r="AS11" s="2"/>
      <c r="AT11" s="5" t="s">
        <v>474</v>
      </c>
      <c r="AU11" s="5" t="s">
        <v>429</v>
      </c>
      <c r="AV11" s="7" t="s">
        <v>410</v>
      </c>
      <c r="AW11" s="7" t="s">
        <v>409</v>
      </c>
      <c r="AX11" s="8" t="s">
        <v>439</v>
      </c>
      <c r="AY11" s="7" t="s">
        <v>400</v>
      </c>
      <c r="AZ11" s="2"/>
      <c r="BC11" s="2"/>
    </row>
    <row r="12" spans="1:55" x14ac:dyDescent="0.5">
      <c r="G12" s="1" t="s">
        <v>377</v>
      </c>
      <c r="H12" s="1" t="s">
        <v>377</v>
      </c>
      <c r="I12" s="1" t="s">
        <v>377</v>
      </c>
      <c r="J12" s="1" t="s">
        <v>377</v>
      </c>
      <c r="L12" s="1" t="s">
        <v>477</v>
      </c>
      <c r="M12" s="1" t="s">
        <v>477</v>
      </c>
      <c r="N12" s="1" t="s">
        <v>478</v>
      </c>
      <c r="O12" s="1" t="s">
        <v>450</v>
      </c>
      <c r="P12" s="1" t="s">
        <v>479</v>
      </c>
      <c r="Q12" s="1" t="s">
        <v>410</v>
      </c>
      <c r="S12" s="1" t="s">
        <v>477</v>
      </c>
      <c r="T12" s="1" t="s">
        <v>477</v>
      </c>
      <c r="U12" s="1" t="s">
        <v>478</v>
      </c>
      <c r="V12" s="1" t="s">
        <v>450</v>
      </c>
      <c r="W12" s="1" t="s">
        <v>479</v>
      </c>
      <c r="X12" s="1" t="s">
        <v>410</v>
      </c>
      <c r="Y12" s="1" t="s">
        <v>308</v>
      </c>
      <c r="Z12" s="1" t="s">
        <v>478</v>
      </c>
      <c r="AA12" s="1" t="s">
        <v>480</v>
      </c>
      <c r="AB12" s="1" t="s">
        <v>481</v>
      </c>
      <c r="AC12" s="1" t="s">
        <v>403</v>
      </c>
      <c r="AD12" s="1" t="s">
        <v>403</v>
      </c>
      <c r="AE12" s="1" t="s">
        <v>448</v>
      </c>
      <c r="AF12" s="1" t="s">
        <v>482</v>
      </c>
      <c r="AG12" s="1" t="s">
        <v>312</v>
      </c>
      <c r="AL12" s="2" t="s">
        <v>483</v>
      </c>
      <c r="AM12" s="2" t="s">
        <v>484</v>
      </c>
      <c r="AN12" s="2" t="s">
        <v>315</v>
      </c>
      <c r="AO12" s="2" t="s">
        <v>485</v>
      </c>
      <c r="AP12" s="2" t="s">
        <v>486</v>
      </c>
      <c r="AQ12" s="2" t="s">
        <v>487</v>
      </c>
      <c r="AR12" s="2"/>
      <c r="AS12" s="2"/>
      <c r="AT12" s="6" t="s">
        <v>483</v>
      </c>
      <c r="AU12" s="7" t="s">
        <v>433</v>
      </c>
      <c r="AV12" s="8" t="s">
        <v>393</v>
      </c>
      <c r="AW12" s="8" t="s">
        <v>419</v>
      </c>
      <c r="AX12" s="7" t="s">
        <v>449</v>
      </c>
      <c r="AY12" s="8" t="s">
        <v>438</v>
      </c>
      <c r="AZ12" s="2"/>
      <c r="BC12" s="2"/>
    </row>
    <row r="13" spans="1:55" x14ac:dyDescent="0.5">
      <c r="G13" s="1" t="s">
        <v>378</v>
      </c>
      <c r="H13" s="1" t="s">
        <v>378</v>
      </c>
      <c r="I13" s="1" t="s">
        <v>378</v>
      </c>
      <c r="J13" s="1" t="s">
        <v>378</v>
      </c>
      <c r="L13" s="1" t="s">
        <v>483</v>
      </c>
      <c r="M13" s="1" t="s">
        <v>482</v>
      </c>
      <c r="N13" s="1" t="s">
        <v>488</v>
      </c>
      <c r="O13" s="1" t="s">
        <v>466</v>
      </c>
      <c r="P13" s="1" t="s">
        <v>489</v>
      </c>
      <c r="Q13" s="1" t="s">
        <v>490</v>
      </c>
      <c r="S13" s="1" t="s">
        <v>483</v>
      </c>
      <c r="T13" s="1" t="s">
        <v>482</v>
      </c>
      <c r="U13" s="1" t="s">
        <v>488</v>
      </c>
      <c r="V13" s="1" t="s">
        <v>466</v>
      </c>
      <c r="W13" s="1" t="s">
        <v>489</v>
      </c>
      <c r="X13" s="1" t="s">
        <v>490</v>
      </c>
      <c r="Y13" s="1" t="s">
        <v>491</v>
      </c>
      <c r="Z13" s="1" t="s">
        <v>492</v>
      </c>
      <c r="AA13" s="1" t="s">
        <v>493</v>
      </c>
      <c r="AB13" s="1" t="s">
        <v>494</v>
      </c>
      <c r="AC13" s="1" t="s">
        <v>312</v>
      </c>
      <c r="AD13" s="1" t="s">
        <v>451</v>
      </c>
      <c r="AE13" s="1" t="s">
        <v>495</v>
      </c>
      <c r="AF13" s="1" t="s">
        <v>467</v>
      </c>
      <c r="AG13" s="1" t="s">
        <v>496</v>
      </c>
      <c r="AL13" s="2" t="s">
        <v>497</v>
      </c>
      <c r="AM13" s="2" t="s">
        <v>498</v>
      </c>
      <c r="AN13" s="2" t="s">
        <v>499</v>
      </c>
      <c r="AO13" s="2" t="s">
        <v>500</v>
      </c>
      <c r="AP13" s="2" t="s">
        <v>419</v>
      </c>
      <c r="AQ13" s="2" t="s">
        <v>501</v>
      </c>
      <c r="AR13" s="2"/>
      <c r="AS13" s="2"/>
      <c r="AT13" s="5" t="s">
        <v>497</v>
      </c>
      <c r="AU13" s="8" t="s">
        <v>445</v>
      </c>
      <c r="AV13" s="8" t="s">
        <v>420</v>
      </c>
      <c r="AW13" s="7" t="s">
        <v>312</v>
      </c>
      <c r="AX13" s="8" t="s">
        <v>400</v>
      </c>
      <c r="AY13" s="7" t="s">
        <v>448</v>
      </c>
      <c r="AZ13" s="2"/>
      <c r="BC13" s="2"/>
    </row>
    <row r="14" spans="1:55" x14ac:dyDescent="0.5">
      <c r="G14" s="1" t="s">
        <v>379</v>
      </c>
      <c r="H14" s="1" t="s">
        <v>379</v>
      </c>
      <c r="I14" s="1" t="s">
        <v>379</v>
      </c>
      <c r="J14" s="1" t="s">
        <v>379</v>
      </c>
      <c r="L14" s="1" t="s">
        <v>502</v>
      </c>
      <c r="M14" s="1" t="s">
        <v>478</v>
      </c>
      <c r="N14" s="1" t="s">
        <v>56</v>
      </c>
      <c r="O14" s="1" t="s">
        <v>503</v>
      </c>
      <c r="P14" s="1" t="s">
        <v>426</v>
      </c>
      <c r="Q14" s="1" t="s">
        <v>504</v>
      </c>
      <c r="S14" s="1" t="s">
        <v>502</v>
      </c>
      <c r="T14" s="1" t="s">
        <v>478</v>
      </c>
      <c r="U14" s="1" t="s">
        <v>56</v>
      </c>
      <c r="V14" s="1" t="s">
        <v>503</v>
      </c>
      <c r="W14" s="1" t="s">
        <v>426</v>
      </c>
      <c r="X14" s="1" t="s">
        <v>504</v>
      </c>
      <c r="Y14" s="1" t="s">
        <v>453</v>
      </c>
      <c r="Z14" s="1" t="s">
        <v>316</v>
      </c>
      <c r="AA14" s="1" t="s">
        <v>316</v>
      </c>
      <c r="AB14" s="1" t="s">
        <v>492</v>
      </c>
      <c r="AC14" s="1" t="s">
        <v>480</v>
      </c>
      <c r="AD14" s="1" t="s">
        <v>311</v>
      </c>
      <c r="AE14" s="1" t="s">
        <v>505</v>
      </c>
      <c r="AF14" s="1" t="s">
        <v>506</v>
      </c>
      <c r="AG14" s="1" t="s">
        <v>507</v>
      </c>
      <c r="AL14" s="2" t="s">
        <v>508</v>
      </c>
      <c r="AM14" s="2" t="s">
        <v>509</v>
      </c>
      <c r="AN14" s="2" t="s">
        <v>483</v>
      </c>
      <c r="AO14" s="2" t="s">
        <v>510</v>
      </c>
      <c r="AP14" s="2" t="s">
        <v>446</v>
      </c>
      <c r="AQ14" s="2" t="s">
        <v>511</v>
      </c>
      <c r="AR14" s="2"/>
      <c r="AS14" s="2"/>
      <c r="AT14" s="6" t="s">
        <v>508</v>
      </c>
      <c r="AU14" s="7" t="s">
        <v>456</v>
      </c>
      <c r="AV14" s="6" t="s">
        <v>464</v>
      </c>
      <c r="AW14" s="5" t="s">
        <v>426</v>
      </c>
      <c r="AX14" s="8" t="s">
        <v>414</v>
      </c>
      <c r="AY14" s="7" t="s">
        <v>495</v>
      </c>
      <c r="AZ14" s="2"/>
      <c r="BC14" s="2"/>
    </row>
    <row r="15" spans="1:55" x14ac:dyDescent="0.5">
      <c r="G15" s="1" t="s">
        <v>380</v>
      </c>
      <c r="H15" s="1" t="s">
        <v>380</v>
      </c>
      <c r="I15" s="1" t="s">
        <v>380</v>
      </c>
      <c r="J15" s="1" t="s">
        <v>380</v>
      </c>
      <c r="L15" s="1" t="s">
        <v>497</v>
      </c>
      <c r="M15" s="1" t="s">
        <v>452</v>
      </c>
      <c r="N15" s="1" t="s">
        <v>499</v>
      </c>
      <c r="O15" s="1" t="s">
        <v>315</v>
      </c>
      <c r="P15" s="1" t="s">
        <v>446</v>
      </c>
      <c r="Q15" s="1" t="s">
        <v>403</v>
      </c>
      <c r="S15" s="1" t="s">
        <v>497</v>
      </c>
      <c r="T15" s="1" t="s">
        <v>452</v>
      </c>
      <c r="U15" s="1" t="s">
        <v>499</v>
      </c>
      <c r="V15" s="1" t="s">
        <v>315</v>
      </c>
      <c r="W15" s="1" t="s">
        <v>446</v>
      </c>
      <c r="X15" s="1" t="s">
        <v>403</v>
      </c>
      <c r="Y15" s="1" t="s">
        <v>98</v>
      </c>
      <c r="Z15" s="1" t="s">
        <v>512</v>
      </c>
      <c r="AA15" s="1" t="s">
        <v>513</v>
      </c>
      <c r="AB15" s="1" t="s">
        <v>56</v>
      </c>
      <c r="AC15" s="1" t="s">
        <v>432</v>
      </c>
      <c r="AD15" s="1" t="s">
        <v>313</v>
      </c>
      <c r="AE15" s="1" t="s">
        <v>427</v>
      </c>
      <c r="AF15" s="1" t="s">
        <v>514</v>
      </c>
      <c r="AG15" s="1" t="s">
        <v>515</v>
      </c>
      <c r="AL15" s="2" t="s">
        <v>516</v>
      </c>
      <c r="AM15" s="2" t="s">
        <v>517</v>
      </c>
      <c r="AN15" s="2" t="s">
        <v>518</v>
      </c>
      <c r="AO15" s="2" t="s">
        <v>519</v>
      </c>
      <c r="AP15" s="2" t="s">
        <v>520</v>
      </c>
      <c r="AQ15" s="2" t="s">
        <v>521</v>
      </c>
      <c r="AR15" s="2"/>
      <c r="AS15" s="2"/>
      <c r="AT15" s="5" t="s">
        <v>516</v>
      </c>
      <c r="AU15" s="8" t="s">
        <v>466</v>
      </c>
      <c r="AV15" s="7" t="s">
        <v>409</v>
      </c>
      <c r="AW15" s="8" t="s">
        <v>446</v>
      </c>
      <c r="AX15" s="8" t="s">
        <v>438</v>
      </c>
      <c r="AY15" s="7" t="s">
        <v>505</v>
      </c>
      <c r="AZ15" s="2"/>
      <c r="BC15" s="2"/>
    </row>
    <row r="16" spans="1:55" x14ac:dyDescent="0.5">
      <c r="G16" s="1" t="s">
        <v>381</v>
      </c>
      <c r="H16" s="1" t="s">
        <v>381</v>
      </c>
      <c r="I16" s="1" t="s">
        <v>381</v>
      </c>
      <c r="J16" s="1" t="s">
        <v>381</v>
      </c>
      <c r="L16" s="1" t="s">
        <v>317</v>
      </c>
      <c r="M16" s="1" t="s">
        <v>56</v>
      </c>
      <c r="N16" s="1" t="s">
        <v>522</v>
      </c>
      <c r="O16" s="1" t="s">
        <v>523</v>
      </c>
      <c r="P16" s="1" t="s">
        <v>524</v>
      </c>
      <c r="Q16" s="1" t="s">
        <v>479</v>
      </c>
      <c r="S16" s="1" t="s">
        <v>317</v>
      </c>
      <c r="T16" s="1" t="s">
        <v>56</v>
      </c>
      <c r="U16" s="1" t="s">
        <v>522</v>
      </c>
      <c r="V16" s="1" t="s">
        <v>523</v>
      </c>
      <c r="W16" s="1" t="s">
        <v>524</v>
      </c>
      <c r="X16" s="1" t="s">
        <v>479</v>
      </c>
      <c r="Y16" s="1" t="s">
        <v>525</v>
      </c>
      <c r="Z16" s="1" t="s">
        <v>499</v>
      </c>
      <c r="AA16" s="1" t="s">
        <v>526</v>
      </c>
      <c r="AB16" s="1" t="s">
        <v>527</v>
      </c>
      <c r="AC16" s="1" t="s">
        <v>523</v>
      </c>
      <c r="AD16" s="1" t="s">
        <v>528</v>
      </c>
      <c r="AE16" s="1" t="s">
        <v>529</v>
      </c>
      <c r="AF16" s="1" t="s">
        <v>530</v>
      </c>
      <c r="AG16" s="1" t="s">
        <v>531</v>
      </c>
      <c r="AL16" s="2" t="s">
        <v>532</v>
      </c>
      <c r="AM16" s="2" t="s">
        <v>533</v>
      </c>
      <c r="AN16" s="2" t="s">
        <v>502</v>
      </c>
      <c r="AO16" s="2" t="s">
        <v>526</v>
      </c>
      <c r="AP16" s="2" t="s">
        <v>524</v>
      </c>
      <c r="AQ16" s="2" t="s">
        <v>534</v>
      </c>
      <c r="AR16" s="2"/>
      <c r="AS16" s="2"/>
      <c r="AT16" s="6" t="s">
        <v>532</v>
      </c>
      <c r="AU16" s="6" t="s">
        <v>441</v>
      </c>
      <c r="AV16" s="7" t="s">
        <v>98</v>
      </c>
      <c r="AW16" s="5" t="s">
        <v>441</v>
      </c>
      <c r="AX16" s="8" t="s">
        <v>448</v>
      </c>
      <c r="AY16" s="7" t="s">
        <v>427</v>
      </c>
      <c r="AZ16" s="2"/>
      <c r="BC16" s="2"/>
    </row>
    <row r="17" spans="7:55" x14ac:dyDescent="0.5">
      <c r="G17" s="1" t="s">
        <v>382</v>
      </c>
      <c r="H17" s="1" t="s">
        <v>382</v>
      </c>
      <c r="I17" s="1" t="s">
        <v>382</v>
      </c>
      <c r="J17" s="1" t="s">
        <v>382</v>
      </c>
      <c r="L17" s="1" t="s">
        <v>535</v>
      </c>
      <c r="M17" s="1" t="s">
        <v>317</v>
      </c>
      <c r="N17" s="1" t="s">
        <v>483</v>
      </c>
      <c r="O17" s="1" t="s">
        <v>536</v>
      </c>
      <c r="P17" s="1" t="s">
        <v>537</v>
      </c>
      <c r="Q17" s="1" t="s">
        <v>489</v>
      </c>
      <c r="S17" s="1" t="s">
        <v>535</v>
      </c>
      <c r="T17" s="1" t="s">
        <v>317</v>
      </c>
      <c r="U17" s="1" t="s">
        <v>483</v>
      </c>
      <c r="V17" s="1" t="s">
        <v>536</v>
      </c>
      <c r="W17" s="1" t="s">
        <v>537</v>
      </c>
      <c r="X17" s="1" t="s">
        <v>489</v>
      </c>
      <c r="Y17" s="1" t="s">
        <v>538</v>
      </c>
      <c r="Z17" s="1" t="s">
        <v>539</v>
      </c>
      <c r="AA17" s="1" t="s">
        <v>539</v>
      </c>
      <c r="AB17" s="1" t="s">
        <v>539</v>
      </c>
      <c r="AC17" s="1" t="s">
        <v>492</v>
      </c>
      <c r="AD17" s="1" t="s">
        <v>531</v>
      </c>
      <c r="AE17" s="1" t="s">
        <v>403</v>
      </c>
      <c r="AF17" s="1" t="s">
        <v>540</v>
      </c>
      <c r="AG17" s="1" t="s">
        <v>480</v>
      </c>
      <c r="AL17" s="2" t="s">
        <v>541</v>
      </c>
      <c r="AM17" s="2" t="s">
        <v>542</v>
      </c>
      <c r="AN17" s="2" t="s">
        <v>543</v>
      </c>
      <c r="AO17" s="2" t="s">
        <v>483</v>
      </c>
      <c r="AP17" s="2" t="s">
        <v>445</v>
      </c>
      <c r="AQ17" s="2" t="s">
        <v>544</v>
      </c>
      <c r="AR17" s="2"/>
      <c r="AS17" s="2"/>
      <c r="AT17" s="5" t="s">
        <v>541</v>
      </c>
      <c r="AU17" s="7" t="s">
        <v>477</v>
      </c>
      <c r="AV17" s="8" t="s">
        <v>419</v>
      </c>
      <c r="AW17" s="6" t="s">
        <v>315</v>
      </c>
      <c r="AX17" s="8" t="s">
        <v>373</v>
      </c>
      <c r="AY17" s="7" t="s">
        <v>420</v>
      </c>
      <c r="AZ17" s="2"/>
      <c r="BC17" s="2"/>
    </row>
    <row r="18" spans="7:55" x14ac:dyDescent="0.5">
      <c r="L18" s="1" t="s">
        <v>545</v>
      </c>
      <c r="M18" s="1" t="s">
        <v>545</v>
      </c>
      <c r="N18" s="1" t="s">
        <v>546</v>
      </c>
      <c r="O18" s="1" t="s">
        <v>510</v>
      </c>
      <c r="P18" s="1" t="s">
        <v>503</v>
      </c>
      <c r="Q18" s="1" t="s">
        <v>547</v>
      </c>
      <c r="S18" s="1" t="s">
        <v>545</v>
      </c>
      <c r="T18" s="1" t="s">
        <v>545</v>
      </c>
      <c r="U18" s="1" t="s">
        <v>546</v>
      </c>
      <c r="V18" s="1" t="s">
        <v>510</v>
      </c>
      <c r="W18" s="1" t="s">
        <v>503</v>
      </c>
      <c r="X18" s="1" t="s">
        <v>547</v>
      </c>
      <c r="Y18" s="1" t="s">
        <v>312</v>
      </c>
      <c r="Z18" s="1" t="s">
        <v>548</v>
      </c>
      <c r="AA18" s="1" t="s">
        <v>549</v>
      </c>
      <c r="AB18" s="1" t="s">
        <v>550</v>
      </c>
      <c r="AC18" s="1" t="s">
        <v>316</v>
      </c>
      <c r="AD18" s="1" t="s">
        <v>432</v>
      </c>
      <c r="AE18" s="1" t="s">
        <v>551</v>
      </c>
      <c r="AF18" s="1" t="s">
        <v>319</v>
      </c>
      <c r="AG18" s="1" t="s">
        <v>488</v>
      </c>
      <c r="AL18" s="2" t="s">
        <v>552</v>
      </c>
      <c r="AM18" s="2" t="s">
        <v>553</v>
      </c>
      <c r="AN18" s="2" t="s">
        <v>554</v>
      </c>
      <c r="AO18" s="2" t="s">
        <v>555</v>
      </c>
      <c r="AP18" s="2" t="s">
        <v>466</v>
      </c>
      <c r="AQ18" s="2" t="s">
        <v>556</v>
      </c>
      <c r="AR18" s="2"/>
      <c r="AS18" s="2"/>
      <c r="AT18" s="6" t="s">
        <v>552</v>
      </c>
      <c r="AU18" s="8" t="s">
        <v>482</v>
      </c>
      <c r="AV18" s="7" t="s">
        <v>312</v>
      </c>
      <c r="AW18" s="5" t="s">
        <v>467</v>
      </c>
      <c r="AX18" s="8" t="s">
        <v>495</v>
      </c>
      <c r="AY18" s="7" t="s">
        <v>403</v>
      </c>
      <c r="AZ18" s="2"/>
      <c r="BC18" s="2"/>
    </row>
    <row r="19" spans="7:55" x14ac:dyDescent="0.5">
      <c r="G19" s="128" t="s">
        <v>365</v>
      </c>
      <c r="H19" s="128" t="s">
        <v>557</v>
      </c>
      <c r="I19" s="128" t="s">
        <v>406</v>
      </c>
      <c r="L19" s="1" t="s">
        <v>545</v>
      </c>
      <c r="M19" s="1" t="s">
        <v>484</v>
      </c>
      <c r="N19" s="1" t="s">
        <v>518</v>
      </c>
      <c r="O19" s="1" t="s">
        <v>506</v>
      </c>
      <c r="P19" s="1" t="s">
        <v>558</v>
      </c>
      <c r="Q19" s="1" t="s">
        <v>559</v>
      </c>
      <c r="S19" s="1" t="s">
        <v>545</v>
      </c>
      <c r="T19" s="1" t="s">
        <v>484</v>
      </c>
      <c r="U19" s="1" t="s">
        <v>518</v>
      </c>
      <c r="V19" s="1" t="s">
        <v>506</v>
      </c>
      <c r="W19" s="1" t="s">
        <v>558</v>
      </c>
      <c r="X19" s="1" t="s">
        <v>559</v>
      </c>
      <c r="Y19" s="1" t="s">
        <v>446</v>
      </c>
      <c r="Z19" s="1" t="s">
        <v>560</v>
      </c>
      <c r="AA19" s="1" t="s">
        <v>561</v>
      </c>
      <c r="AB19" s="1" t="s">
        <v>518</v>
      </c>
      <c r="AC19" s="1" t="s">
        <v>519</v>
      </c>
      <c r="AD19" s="1" t="s">
        <v>441</v>
      </c>
      <c r="AE19" s="1" t="s">
        <v>562</v>
      </c>
      <c r="AF19" s="1" t="s">
        <v>108</v>
      </c>
      <c r="AG19" s="1" t="s">
        <v>519</v>
      </c>
      <c r="AL19" s="2" t="s">
        <v>563</v>
      </c>
      <c r="AM19" s="2" t="s">
        <v>552</v>
      </c>
      <c r="AN19" s="2" t="s">
        <v>108</v>
      </c>
      <c r="AO19" s="2" t="s">
        <v>564</v>
      </c>
      <c r="AP19" s="2" t="s">
        <v>537</v>
      </c>
      <c r="AQ19" s="2" t="s">
        <v>565</v>
      </c>
      <c r="AR19" s="2"/>
      <c r="AS19" s="2"/>
      <c r="AT19" s="5" t="s">
        <v>563</v>
      </c>
      <c r="AU19" s="7" t="s">
        <v>478</v>
      </c>
      <c r="AV19" s="8" t="s">
        <v>440</v>
      </c>
      <c r="AW19" s="5" t="s">
        <v>478</v>
      </c>
      <c r="AX19" s="7" t="s">
        <v>505</v>
      </c>
      <c r="AY19" s="7" t="s">
        <v>461</v>
      </c>
      <c r="AZ19" s="2"/>
      <c r="BC19" s="2"/>
    </row>
    <row r="20" spans="7:55" x14ac:dyDescent="0.5">
      <c r="G20" s="1" t="s">
        <v>383</v>
      </c>
      <c r="H20" s="1" t="s">
        <v>383</v>
      </c>
      <c r="I20" s="1" t="s">
        <v>383</v>
      </c>
      <c r="L20" s="1" t="s">
        <v>566</v>
      </c>
      <c r="M20" s="1" t="s">
        <v>567</v>
      </c>
      <c r="N20" s="1" t="s">
        <v>475</v>
      </c>
      <c r="O20" s="1" t="s">
        <v>488</v>
      </c>
      <c r="P20" s="1" t="s">
        <v>315</v>
      </c>
      <c r="Q20" s="1" t="s">
        <v>568</v>
      </c>
      <c r="S20" s="1" t="s">
        <v>566</v>
      </c>
      <c r="T20" s="1" t="s">
        <v>567</v>
      </c>
      <c r="U20" s="1" t="s">
        <v>475</v>
      </c>
      <c r="V20" s="1" t="s">
        <v>488</v>
      </c>
      <c r="W20" s="1" t="s">
        <v>315</v>
      </c>
      <c r="X20" s="1" t="s">
        <v>568</v>
      </c>
      <c r="Y20" s="1" t="s">
        <v>528</v>
      </c>
      <c r="Z20" s="1" t="s">
        <v>502</v>
      </c>
      <c r="AA20" s="1" t="s">
        <v>561</v>
      </c>
      <c r="AB20" s="1" t="s">
        <v>569</v>
      </c>
      <c r="AC20" s="1" t="s">
        <v>483</v>
      </c>
      <c r="AD20" s="1" t="s">
        <v>452</v>
      </c>
      <c r="AE20" s="1" t="s">
        <v>570</v>
      </c>
      <c r="AF20" s="1" t="s">
        <v>571</v>
      </c>
      <c r="AG20" s="1" t="s">
        <v>549</v>
      </c>
      <c r="AL20" s="2" t="s">
        <v>572</v>
      </c>
      <c r="AM20" s="2" t="s">
        <v>572</v>
      </c>
      <c r="AN20" s="2" t="s">
        <v>553</v>
      </c>
      <c r="AO20" s="2" t="s">
        <v>317</v>
      </c>
      <c r="AP20" s="2" t="s">
        <v>503</v>
      </c>
      <c r="AQ20" s="2" t="s">
        <v>331</v>
      </c>
      <c r="AR20" s="2"/>
      <c r="AS20" s="2"/>
      <c r="AT20" s="6" t="s">
        <v>572</v>
      </c>
      <c r="AU20" s="5" t="s">
        <v>452</v>
      </c>
      <c r="AV20" s="8" t="s">
        <v>446</v>
      </c>
      <c r="AW20" s="5" t="s">
        <v>488</v>
      </c>
      <c r="AX20" s="7" t="s">
        <v>427</v>
      </c>
      <c r="AY20" s="7" t="s">
        <v>562</v>
      </c>
      <c r="AZ20" s="2"/>
      <c r="BC20" s="2"/>
    </row>
    <row r="21" spans="7:55" x14ac:dyDescent="0.5">
      <c r="G21" s="1" t="s">
        <v>384</v>
      </c>
      <c r="H21" s="1" t="s">
        <v>384</v>
      </c>
      <c r="I21" s="1" t="s">
        <v>384</v>
      </c>
      <c r="L21" s="1" t="s">
        <v>322</v>
      </c>
      <c r="M21" s="1" t="s">
        <v>498</v>
      </c>
      <c r="N21" s="1" t="s">
        <v>573</v>
      </c>
      <c r="O21" s="1" t="s">
        <v>519</v>
      </c>
      <c r="P21" s="1" t="s">
        <v>477</v>
      </c>
      <c r="Q21" s="1" t="s">
        <v>515</v>
      </c>
      <c r="S21" s="1" t="s">
        <v>322</v>
      </c>
      <c r="T21" s="1" t="s">
        <v>498</v>
      </c>
      <c r="U21" s="1" t="s">
        <v>573</v>
      </c>
      <c r="V21" s="1" t="s">
        <v>519</v>
      </c>
      <c r="W21" s="1" t="s">
        <v>477</v>
      </c>
      <c r="X21" s="1" t="s">
        <v>515</v>
      </c>
      <c r="Y21" s="1" t="s">
        <v>429</v>
      </c>
      <c r="Z21" s="1" t="s">
        <v>545</v>
      </c>
      <c r="AA21" s="1" t="s">
        <v>574</v>
      </c>
      <c r="AB21" s="1" t="s">
        <v>575</v>
      </c>
      <c r="AC21" s="1" t="s">
        <v>518</v>
      </c>
      <c r="AD21" s="1" t="s">
        <v>519</v>
      </c>
      <c r="AE21" s="1" t="s">
        <v>576</v>
      </c>
      <c r="AF21" s="1" t="s">
        <v>577</v>
      </c>
      <c r="AG21" s="1" t="s">
        <v>578</v>
      </c>
      <c r="AL21" s="2" t="s">
        <v>579</v>
      </c>
      <c r="AM21" s="2" t="s">
        <v>580</v>
      </c>
      <c r="AN21" s="2" t="s">
        <v>581</v>
      </c>
      <c r="AO21" s="2" t="s">
        <v>545</v>
      </c>
      <c r="AP21" s="2" t="s">
        <v>460</v>
      </c>
      <c r="AQ21" s="2" t="s">
        <v>582</v>
      </c>
      <c r="AR21" s="2"/>
      <c r="AS21" s="2"/>
      <c r="AT21" s="5" t="s">
        <v>579</v>
      </c>
      <c r="AU21" s="7" t="s">
        <v>56</v>
      </c>
      <c r="AV21" s="7" t="s">
        <v>429</v>
      </c>
      <c r="AW21" s="5" t="s">
        <v>56</v>
      </c>
      <c r="AX21" s="8" t="s">
        <v>529</v>
      </c>
      <c r="AY21" s="7" t="s">
        <v>312</v>
      </c>
      <c r="AZ21" s="2"/>
      <c r="BC21" s="2"/>
    </row>
    <row r="22" spans="7:55" x14ac:dyDescent="0.5">
      <c r="G22" s="1" t="s">
        <v>385</v>
      </c>
      <c r="H22" s="1" t="s">
        <v>385</v>
      </c>
      <c r="I22" s="1" t="s">
        <v>385</v>
      </c>
      <c r="L22" s="1" t="s">
        <v>108</v>
      </c>
      <c r="M22" s="1" t="s">
        <v>530</v>
      </c>
      <c r="N22" s="1" t="s">
        <v>583</v>
      </c>
      <c r="O22" s="1" t="s">
        <v>583</v>
      </c>
      <c r="P22" s="1" t="s">
        <v>584</v>
      </c>
      <c r="Q22" s="1" t="s">
        <v>585</v>
      </c>
      <c r="S22" s="1" t="s">
        <v>108</v>
      </c>
      <c r="T22" s="1" t="s">
        <v>530</v>
      </c>
      <c r="U22" s="1" t="s">
        <v>583</v>
      </c>
      <c r="V22" s="1" t="s">
        <v>583</v>
      </c>
      <c r="W22" s="1" t="s">
        <v>584</v>
      </c>
      <c r="X22" s="1" t="s">
        <v>585</v>
      </c>
      <c r="Y22" s="1" t="s">
        <v>515</v>
      </c>
      <c r="Z22" s="1" t="s">
        <v>586</v>
      </c>
      <c r="AA22" s="1" t="s">
        <v>555</v>
      </c>
      <c r="AB22" s="1" t="s">
        <v>578</v>
      </c>
      <c r="AC22" s="1" t="s">
        <v>587</v>
      </c>
      <c r="AD22" s="1" t="s">
        <v>483</v>
      </c>
      <c r="AE22" s="1" t="s">
        <v>588</v>
      </c>
      <c r="AF22" s="1" t="s">
        <v>589</v>
      </c>
      <c r="AG22" s="1" t="s">
        <v>590</v>
      </c>
      <c r="AL22" s="2" t="s">
        <v>591</v>
      </c>
      <c r="AM22" s="2" t="s">
        <v>592</v>
      </c>
      <c r="AN22" s="2" t="s">
        <v>593</v>
      </c>
      <c r="AO22" s="2" t="s">
        <v>533</v>
      </c>
      <c r="AP22" s="2" t="s">
        <v>441</v>
      </c>
      <c r="AT22" s="5" t="s">
        <v>580</v>
      </c>
      <c r="AU22" s="7" t="s">
        <v>462</v>
      </c>
      <c r="AV22" s="8" t="s">
        <v>485</v>
      </c>
      <c r="AW22" s="5" t="s">
        <v>499</v>
      </c>
      <c r="AX22" s="8" t="s">
        <v>420</v>
      </c>
      <c r="AY22" s="7" t="s">
        <v>426</v>
      </c>
    </row>
    <row r="23" spans="7:55" x14ac:dyDescent="0.5">
      <c r="G23" s="1" t="s">
        <v>386</v>
      </c>
      <c r="H23" s="1" t="s">
        <v>386</v>
      </c>
      <c r="I23" s="1" t="s">
        <v>386</v>
      </c>
      <c r="L23" s="1" t="s">
        <v>517</v>
      </c>
      <c r="M23" s="1" t="s">
        <v>509</v>
      </c>
      <c r="N23" s="1" t="s">
        <v>583</v>
      </c>
      <c r="O23" s="1" t="s">
        <v>545</v>
      </c>
      <c r="P23" s="1" t="s">
        <v>316</v>
      </c>
      <c r="Q23" s="1" t="s">
        <v>445</v>
      </c>
      <c r="S23" s="1" t="s">
        <v>517</v>
      </c>
      <c r="T23" s="1" t="s">
        <v>509</v>
      </c>
      <c r="U23" s="1" t="s">
        <v>583</v>
      </c>
      <c r="V23" s="1" t="s">
        <v>545</v>
      </c>
      <c r="W23" s="1" t="s">
        <v>316</v>
      </c>
      <c r="X23" s="1" t="s">
        <v>445</v>
      </c>
      <c r="Y23" s="1" t="s">
        <v>61</v>
      </c>
      <c r="Z23" s="1" t="s">
        <v>498</v>
      </c>
      <c r="AA23" s="1" t="s">
        <v>594</v>
      </c>
      <c r="AB23" s="1" t="s">
        <v>595</v>
      </c>
      <c r="AC23" s="1" t="s">
        <v>596</v>
      </c>
      <c r="AD23" s="1" t="s">
        <v>597</v>
      </c>
      <c r="AE23" s="1" t="s">
        <v>598</v>
      </c>
      <c r="AF23" s="1" t="s">
        <v>501</v>
      </c>
      <c r="AG23" s="1" t="s">
        <v>599</v>
      </c>
      <c r="AL23" s="2" t="s">
        <v>600</v>
      </c>
      <c r="AM23" s="2" t="s">
        <v>577</v>
      </c>
      <c r="AN23" s="2" t="s">
        <v>103</v>
      </c>
      <c r="AO23" s="2" t="s">
        <v>601</v>
      </c>
      <c r="AP23" s="2" t="s">
        <v>602</v>
      </c>
      <c r="AT23" s="6" t="s">
        <v>591</v>
      </c>
      <c r="AU23" s="7" t="s">
        <v>475</v>
      </c>
      <c r="AV23" s="8" t="s">
        <v>445</v>
      </c>
      <c r="AW23" s="7" t="s">
        <v>522</v>
      </c>
      <c r="AX23" s="7" t="s">
        <v>403</v>
      </c>
      <c r="AY23" s="7" t="s">
        <v>440</v>
      </c>
    </row>
    <row r="24" spans="7:55" x14ac:dyDescent="0.5">
      <c r="G24" s="1" t="s">
        <v>387</v>
      </c>
      <c r="H24" s="1" t="s">
        <v>387</v>
      </c>
      <c r="I24" s="1" t="s">
        <v>387</v>
      </c>
      <c r="L24" s="1" t="s">
        <v>516</v>
      </c>
      <c r="M24" s="1" t="s">
        <v>322</v>
      </c>
      <c r="N24" s="1" t="s">
        <v>89</v>
      </c>
      <c r="O24" s="1" t="s">
        <v>603</v>
      </c>
      <c r="P24" s="1" t="s">
        <v>56</v>
      </c>
      <c r="Q24" s="1" t="s">
        <v>450</v>
      </c>
      <c r="S24" s="1" t="s">
        <v>516</v>
      </c>
      <c r="T24" s="1" t="s">
        <v>322</v>
      </c>
      <c r="U24" s="1" t="s">
        <v>89</v>
      </c>
      <c r="V24" s="1" t="s">
        <v>603</v>
      </c>
      <c r="W24" s="1" t="s">
        <v>56</v>
      </c>
      <c r="X24" s="1" t="s">
        <v>450</v>
      </c>
      <c r="Y24" s="1" t="s">
        <v>470</v>
      </c>
      <c r="Z24" s="1" t="s">
        <v>530</v>
      </c>
      <c r="AA24" s="1" t="s">
        <v>604</v>
      </c>
      <c r="AB24" s="1" t="s">
        <v>605</v>
      </c>
      <c r="AC24" s="1" t="s">
        <v>573</v>
      </c>
      <c r="AD24" s="1" t="s">
        <v>587</v>
      </c>
      <c r="AE24" s="1" t="s">
        <v>483</v>
      </c>
      <c r="AF24" s="1" t="s">
        <v>606</v>
      </c>
      <c r="AG24" s="1" t="s">
        <v>607</v>
      </c>
      <c r="AL24" s="2" t="s">
        <v>608</v>
      </c>
      <c r="AM24" s="2" t="s">
        <v>609</v>
      </c>
      <c r="AN24" s="2" t="s">
        <v>610</v>
      </c>
      <c r="AO24" s="2" t="s">
        <v>611</v>
      </c>
      <c r="AP24" s="2" t="s">
        <v>56</v>
      </c>
      <c r="AT24" s="5" t="s">
        <v>600</v>
      </c>
      <c r="AU24" s="7" t="s">
        <v>317</v>
      </c>
      <c r="AV24" s="7" t="s">
        <v>450</v>
      </c>
      <c r="AW24" s="6" t="s">
        <v>483</v>
      </c>
      <c r="AX24" s="7" t="s">
        <v>451</v>
      </c>
      <c r="AY24" s="7" t="s">
        <v>496</v>
      </c>
    </row>
    <row r="25" spans="7:55" x14ac:dyDescent="0.5">
      <c r="G25" s="1" t="s">
        <v>612</v>
      </c>
      <c r="H25" s="1" t="s">
        <v>612</v>
      </c>
      <c r="I25" s="1" t="s">
        <v>612</v>
      </c>
      <c r="L25" s="1" t="s">
        <v>613</v>
      </c>
      <c r="M25" s="1" t="s">
        <v>108</v>
      </c>
      <c r="N25" s="1" t="s">
        <v>603</v>
      </c>
      <c r="O25" s="1" t="s">
        <v>601</v>
      </c>
      <c r="P25" s="1" t="s">
        <v>549</v>
      </c>
      <c r="Q25" s="1" t="s">
        <v>614</v>
      </c>
      <c r="S25" s="1" t="s">
        <v>613</v>
      </c>
      <c r="T25" s="1" t="s">
        <v>108</v>
      </c>
      <c r="U25" s="1" t="s">
        <v>603</v>
      </c>
      <c r="V25" s="1" t="s">
        <v>601</v>
      </c>
      <c r="W25" s="1" t="s">
        <v>549</v>
      </c>
      <c r="X25" s="1" t="s">
        <v>614</v>
      </c>
      <c r="Y25" s="1" t="s">
        <v>615</v>
      </c>
      <c r="Z25" s="1" t="s">
        <v>616</v>
      </c>
      <c r="AA25" s="1" t="s">
        <v>317</v>
      </c>
      <c r="AB25" s="1" t="s">
        <v>617</v>
      </c>
      <c r="AC25" s="1" t="s">
        <v>89</v>
      </c>
      <c r="AD25" s="1" t="s">
        <v>618</v>
      </c>
      <c r="AE25" s="1" t="s">
        <v>619</v>
      </c>
      <c r="AF25" s="1" t="s">
        <v>608</v>
      </c>
      <c r="AG25" s="1" t="s">
        <v>326</v>
      </c>
      <c r="AL25" s="2" t="s">
        <v>609</v>
      </c>
      <c r="AM25" s="2" t="s">
        <v>620</v>
      </c>
      <c r="AN25" s="2" t="s">
        <v>328</v>
      </c>
      <c r="AO25" s="2" t="s">
        <v>621</v>
      </c>
      <c r="AP25" s="2" t="s">
        <v>573</v>
      </c>
      <c r="AT25" s="6" t="s">
        <v>608</v>
      </c>
      <c r="AU25" s="7" t="s">
        <v>545</v>
      </c>
      <c r="AV25" s="8" t="s">
        <v>466</v>
      </c>
      <c r="AW25" s="7" t="s">
        <v>546</v>
      </c>
      <c r="AX25" s="7" t="s">
        <v>551</v>
      </c>
      <c r="AY25" s="7" t="s">
        <v>507</v>
      </c>
    </row>
    <row r="26" spans="7:55" x14ac:dyDescent="0.5">
      <c r="L26" s="1" t="s">
        <v>563</v>
      </c>
      <c r="M26" s="1" t="s">
        <v>622</v>
      </c>
      <c r="N26" s="1" t="s">
        <v>517</v>
      </c>
      <c r="O26" s="1" t="s">
        <v>623</v>
      </c>
      <c r="P26" s="1" t="s">
        <v>619</v>
      </c>
      <c r="Q26" s="1" t="s">
        <v>466</v>
      </c>
      <c r="S26" s="1" t="s">
        <v>563</v>
      </c>
      <c r="T26" s="1" t="s">
        <v>622</v>
      </c>
      <c r="U26" s="1" t="s">
        <v>517</v>
      </c>
      <c r="V26" s="1" t="s">
        <v>623</v>
      </c>
      <c r="W26" s="1" t="s">
        <v>619</v>
      </c>
      <c r="X26" s="1" t="s">
        <v>466</v>
      </c>
      <c r="Y26" s="1" t="s">
        <v>441</v>
      </c>
      <c r="Z26" s="1" t="s">
        <v>322</v>
      </c>
      <c r="AA26" s="1" t="s">
        <v>624</v>
      </c>
      <c r="AB26" s="1" t="s">
        <v>322</v>
      </c>
      <c r="AC26" s="1" t="s">
        <v>545</v>
      </c>
      <c r="AD26" s="1" t="s">
        <v>322</v>
      </c>
      <c r="AE26" s="1" t="s">
        <v>587</v>
      </c>
      <c r="AF26" s="1" t="s">
        <v>609</v>
      </c>
      <c r="AG26" s="1" t="s">
        <v>625</v>
      </c>
      <c r="AL26" s="2" t="s">
        <v>609</v>
      </c>
      <c r="AM26" s="2" t="s">
        <v>626</v>
      </c>
      <c r="AN26" s="2" t="s">
        <v>620</v>
      </c>
      <c r="AO26" s="2" t="s">
        <v>572</v>
      </c>
      <c r="AP26" s="2" t="s">
        <v>89</v>
      </c>
      <c r="AT26" s="5" t="s">
        <v>609</v>
      </c>
      <c r="AU26" s="7" t="s">
        <v>484</v>
      </c>
      <c r="AV26" s="7" t="s">
        <v>503</v>
      </c>
      <c r="AW26" s="8" t="s">
        <v>518</v>
      </c>
      <c r="AX26" s="7" t="s">
        <v>461</v>
      </c>
      <c r="AY26" s="7" t="s">
        <v>450</v>
      </c>
    </row>
    <row r="27" spans="7:55" x14ac:dyDescent="0.5">
      <c r="L27" s="1" t="s">
        <v>627</v>
      </c>
      <c r="M27" s="1" t="s">
        <v>533</v>
      </c>
      <c r="N27" s="1" t="s">
        <v>622</v>
      </c>
      <c r="O27" s="1" t="s">
        <v>611</v>
      </c>
      <c r="P27" s="1" t="s">
        <v>497</v>
      </c>
      <c r="Q27" s="1" t="s">
        <v>537</v>
      </c>
      <c r="S27" s="1" t="s">
        <v>627</v>
      </c>
      <c r="T27" s="1" t="s">
        <v>533</v>
      </c>
      <c r="U27" s="1" t="s">
        <v>622</v>
      </c>
      <c r="V27" s="1" t="s">
        <v>611</v>
      </c>
      <c r="W27" s="1" t="s">
        <v>497</v>
      </c>
      <c r="X27" s="1" t="s">
        <v>537</v>
      </c>
      <c r="Y27" s="1" t="s">
        <v>523</v>
      </c>
      <c r="Z27" s="1" t="s">
        <v>108</v>
      </c>
      <c r="AA27" s="1" t="s">
        <v>628</v>
      </c>
      <c r="AB27" s="1" t="s">
        <v>323</v>
      </c>
      <c r="AC27" s="1" t="s">
        <v>616</v>
      </c>
      <c r="AD27" s="1" t="s">
        <v>622</v>
      </c>
      <c r="AE27" s="1" t="s">
        <v>573</v>
      </c>
      <c r="AF27" s="1" t="s">
        <v>629</v>
      </c>
      <c r="AG27" s="1" t="s">
        <v>630</v>
      </c>
      <c r="AL27" s="2" t="s">
        <v>631</v>
      </c>
      <c r="AM27" s="2" t="s">
        <v>632</v>
      </c>
      <c r="AN27" s="2" t="s">
        <v>633</v>
      </c>
      <c r="AO27" s="2" t="s">
        <v>634</v>
      </c>
      <c r="AP27" s="2" t="s">
        <v>603</v>
      </c>
      <c r="AT27" s="10" t="s">
        <v>631</v>
      </c>
      <c r="AU27" s="7" t="s">
        <v>567</v>
      </c>
      <c r="AV27" s="7" t="s">
        <v>441</v>
      </c>
      <c r="AW27" s="6" t="s">
        <v>502</v>
      </c>
      <c r="AX27" s="8" t="s">
        <v>473</v>
      </c>
      <c r="AY27" s="7" t="s">
        <v>598</v>
      </c>
    </row>
    <row r="28" spans="7:55" x14ac:dyDescent="0.5">
      <c r="L28" s="1" t="s">
        <v>572</v>
      </c>
      <c r="M28" s="1" t="s">
        <v>553</v>
      </c>
      <c r="N28" s="1" t="s">
        <v>553</v>
      </c>
      <c r="O28" s="1" t="s">
        <v>516</v>
      </c>
      <c r="P28" s="1" t="s">
        <v>317</v>
      </c>
      <c r="Q28" s="1" t="s">
        <v>503</v>
      </c>
      <c r="S28" s="1" t="s">
        <v>572</v>
      </c>
      <c r="T28" s="1" t="s">
        <v>553</v>
      </c>
      <c r="U28" s="1" t="s">
        <v>553</v>
      </c>
      <c r="V28" s="1" t="s">
        <v>516</v>
      </c>
      <c r="W28" s="1" t="s">
        <v>317</v>
      </c>
      <c r="X28" s="1" t="s">
        <v>503</v>
      </c>
      <c r="Y28" s="1" t="s">
        <v>492</v>
      </c>
      <c r="Z28" s="1" t="s">
        <v>601</v>
      </c>
      <c r="AA28" s="1" t="s">
        <v>89</v>
      </c>
      <c r="AB28" s="1" t="s">
        <v>635</v>
      </c>
      <c r="AC28" s="1" t="s">
        <v>322</v>
      </c>
      <c r="AD28" s="1" t="s">
        <v>636</v>
      </c>
      <c r="AE28" s="1" t="s">
        <v>628</v>
      </c>
      <c r="AF28" s="1" t="s">
        <v>620</v>
      </c>
      <c r="AG28" s="1" t="s">
        <v>637</v>
      </c>
      <c r="AL28" s="2"/>
      <c r="AM28" s="2"/>
      <c r="AN28" s="2" t="s">
        <v>638</v>
      </c>
      <c r="AO28" s="2" t="s">
        <v>577</v>
      </c>
      <c r="AP28" s="2" t="s">
        <v>484</v>
      </c>
      <c r="AT28" s="10"/>
      <c r="AU28" s="7" t="s">
        <v>498</v>
      </c>
      <c r="AV28" s="8" t="s">
        <v>315</v>
      </c>
      <c r="AW28" s="5" t="s">
        <v>543</v>
      </c>
      <c r="AX28" s="7" t="s">
        <v>562</v>
      </c>
      <c r="AY28" s="7" t="s">
        <v>480</v>
      </c>
    </row>
    <row r="29" spans="7:55" x14ac:dyDescent="0.5">
      <c r="L29" s="1" t="s">
        <v>639</v>
      </c>
      <c r="M29" s="1" t="s">
        <v>623</v>
      </c>
      <c r="N29" s="1" t="s">
        <v>611</v>
      </c>
      <c r="O29" s="1" t="s">
        <v>640</v>
      </c>
      <c r="P29" s="1" t="s">
        <v>641</v>
      </c>
      <c r="Q29" s="1" t="s">
        <v>460</v>
      </c>
      <c r="S29" s="1" t="s">
        <v>639</v>
      </c>
      <c r="T29" s="1" t="s">
        <v>623</v>
      </c>
      <c r="U29" s="1" t="s">
        <v>611</v>
      </c>
      <c r="V29" s="1" t="s">
        <v>640</v>
      </c>
      <c r="W29" s="1" t="s">
        <v>641</v>
      </c>
      <c r="X29" s="1" t="s">
        <v>460</v>
      </c>
      <c r="Y29" s="1" t="s">
        <v>513</v>
      </c>
      <c r="Z29" s="1" t="s">
        <v>642</v>
      </c>
      <c r="AA29" s="1" t="s">
        <v>530</v>
      </c>
      <c r="AB29" s="1" t="s">
        <v>601</v>
      </c>
      <c r="AC29" s="1" t="s">
        <v>643</v>
      </c>
      <c r="AD29" s="1" t="s">
        <v>644</v>
      </c>
      <c r="AE29" s="1" t="s">
        <v>326</v>
      </c>
      <c r="AF29" s="1" t="s">
        <v>645</v>
      </c>
      <c r="AG29" s="1" t="s">
        <v>334</v>
      </c>
      <c r="AL29" s="2"/>
      <c r="AN29" s="2" t="s">
        <v>646</v>
      </c>
      <c r="AO29" s="2" t="s">
        <v>647</v>
      </c>
      <c r="AP29" s="2" t="s">
        <v>605</v>
      </c>
      <c r="AU29" s="7" t="s">
        <v>530</v>
      </c>
      <c r="AV29" s="7" t="s">
        <v>500</v>
      </c>
      <c r="AW29" s="7" t="s">
        <v>475</v>
      </c>
      <c r="AX29" s="7" t="s">
        <v>312</v>
      </c>
      <c r="AY29" s="7" t="s">
        <v>460</v>
      </c>
    </row>
    <row r="30" spans="7:55" x14ac:dyDescent="0.5">
      <c r="L30" s="1" t="s">
        <v>634</v>
      </c>
      <c r="M30" s="1" t="s">
        <v>532</v>
      </c>
      <c r="N30" s="1" t="s">
        <v>516</v>
      </c>
      <c r="O30" s="1" t="s">
        <v>103</v>
      </c>
      <c r="P30" s="1" t="s">
        <v>648</v>
      </c>
      <c r="Q30" s="1" t="s">
        <v>460</v>
      </c>
      <c r="S30" s="1" t="s">
        <v>634</v>
      </c>
      <c r="T30" s="1" t="s">
        <v>532</v>
      </c>
      <c r="U30" s="1" t="s">
        <v>516</v>
      </c>
      <c r="V30" s="1" t="s">
        <v>103</v>
      </c>
      <c r="W30" s="1" t="s">
        <v>648</v>
      </c>
      <c r="X30" s="1" t="s">
        <v>460</v>
      </c>
      <c r="Y30" s="1" t="s">
        <v>649</v>
      </c>
      <c r="Z30" s="1" t="s">
        <v>623</v>
      </c>
      <c r="AA30" s="1" t="s">
        <v>650</v>
      </c>
      <c r="AB30" s="1" t="s">
        <v>651</v>
      </c>
      <c r="AC30" s="1" t="s">
        <v>652</v>
      </c>
      <c r="AD30" s="1" t="s">
        <v>653</v>
      </c>
      <c r="AE30" s="1" t="s">
        <v>654</v>
      </c>
      <c r="AL30" s="2"/>
      <c r="AN30" s="2" t="s">
        <v>655</v>
      </c>
      <c r="AO30" s="2" t="s">
        <v>656</v>
      </c>
      <c r="AP30" s="2" t="s">
        <v>319</v>
      </c>
      <c r="AU30" s="7" t="s">
        <v>509</v>
      </c>
      <c r="AV30" s="7" t="s">
        <v>523</v>
      </c>
      <c r="AW30" s="8" t="s">
        <v>573</v>
      </c>
      <c r="AX30" s="8" t="s">
        <v>426</v>
      </c>
      <c r="AY30" s="7" t="s">
        <v>467</v>
      </c>
    </row>
    <row r="31" spans="7:55" x14ac:dyDescent="0.5">
      <c r="L31" s="1" t="s">
        <v>593</v>
      </c>
      <c r="M31" s="1" t="s">
        <v>644</v>
      </c>
      <c r="N31" s="1" t="s">
        <v>581</v>
      </c>
      <c r="O31" s="1" t="s">
        <v>577</v>
      </c>
      <c r="P31" s="1" t="s">
        <v>319</v>
      </c>
      <c r="Q31" s="1" t="s">
        <v>467</v>
      </c>
      <c r="S31" s="1" t="s">
        <v>593</v>
      </c>
      <c r="T31" s="1" t="s">
        <v>644</v>
      </c>
      <c r="U31" s="1" t="s">
        <v>581</v>
      </c>
      <c r="V31" s="1" t="s">
        <v>577</v>
      </c>
      <c r="W31" s="1" t="s">
        <v>319</v>
      </c>
      <c r="X31" s="1" t="s">
        <v>467</v>
      </c>
      <c r="Y31" s="1" t="s">
        <v>619</v>
      </c>
      <c r="Z31" s="1" t="s">
        <v>652</v>
      </c>
      <c r="AA31" s="1" t="s">
        <v>321</v>
      </c>
      <c r="AB31" s="1" t="s">
        <v>652</v>
      </c>
      <c r="AC31" s="1" t="s">
        <v>572</v>
      </c>
      <c r="AD31" s="1" t="s">
        <v>600</v>
      </c>
      <c r="AE31" s="1" t="s">
        <v>657</v>
      </c>
      <c r="AL31" s="2"/>
      <c r="AN31" s="2" t="s">
        <v>332</v>
      </c>
      <c r="AO31" s="2" t="s">
        <v>658</v>
      </c>
      <c r="AP31" s="2" t="s">
        <v>659</v>
      </c>
      <c r="AU31" s="7" t="s">
        <v>322</v>
      </c>
      <c r="AV31" s="8" t="s">
        <v>467</v>
      </c>
      <c r="AW31" s="7" t="s">
        <v>583</v>
      </c>
      <c r="AX31" s="8" t="s">
        <v>440</v>
      </c>
      <c r="AY31" s="7" t="s">
        <v>506</v>
      </c>
    </row>
    <row r="32" spans="7:55" x14ac:dyDescent="0.5">
      <c r="L32" s="1" t="s">
        <v>577</v>
      </c>
      <c r="M32" s="1" t="s">
        <v>580</v>
      </c>
      <c r="N32" s="1" t="s">
        <v>325</v>
      </c>
      <c r="O32" s="1" t="s">
        <v>656</v>
      </c>
      <c r="P32" s="1" t="s">
        <v>320</v>
      </c>
      <c r="Q32" s="1" t="s">
        <v>452</v>
      </c>
      <c r="S32" s="1" t="s">
        <v>577</v>
      </c>
      <c r="T32" s="1" t="s">
        <v>580</v>
      </c>
      <c r="U32" s="1" t="s">
        <v>325</v>
      </c>
      <c r="V32" s="1" t="s">
        <v>656</v>
      </c>
      <c r="W32" s="1" t="s">
        <v>320</v>
      </c>
      <c r="X32" s="1" t="s">
        <v>452</v>
      </c>
      <c r="Y32" s="1" t="s">
        <v>587</v>
      </c>
      <c r="Z32" s="1" t="s">
        <v>660</v>
      </c>
      <c r="AA32" s="1" t="s">
        <v>566</v>
      </c>
      <c r="AB32" s="1" t="s">
        <v>661</v>
      </c>
      <c r="AC32" s="1" t="s">
        <v>662</v>
      </c>
      <c r="AD32" s="1" t="s">
        <v>663</v>
      </c>
      <c r="AE32" s="1" t="s">
        <v>664</v>
      </c>
      <c r="AL32" s="2"/>
      <c r="AO32" s="2" t="s">
        <v>665</v>
      </c>
      <c r="AP32" s="2" t="s">
        <v>666</v>
      </c>
      <c r="AU32" s="7" t="s">
        <v>108</v>
      </c>
      <c r="AV32" s="8" t="s">
        <v>536</v>
      </c>
      <c r="AW32" s="7" t="s">
        <v>89</v>
      </c>
      <c r="AX32" s="7" t="s">
        <v>496</v>
      </c>
      <c r="AY32" s="7" t="s">
        <v>488</v>
      </c>
    </row>
    <row r="33" spans="12:51" x14ac:dyDescent="0.5">
      <c r="L33" s="1" t="s">
        <v>667</v>
      </c>
      <c r="M33" s="1" t="s">
        <v>667</v>
      </c>
      <c r="N33" s="1" t="s">
        <v>668</v>
      </c>
      <c r="O33" s="1" t="s">
        <v>608</v>
      </c>
      <c r="P33" s="1" t="s">
        <v>321</v>
      </c>
      <c r="Q33" s="1" t="s">
        <v>483</v>
      </c>
      <c r="S33" s="1" t="s">
        <v>667</v>
      </c>
      <c r="T33" s="1" t="s">
        <v>667</v>
      </c>
      <c r="U33" s="1" t="s">
        <v>668</v>
      </c>
      <c r="V33" s="1" t="s">
        <v>608</v>
      </c>
      <c r="W33" s="1" t="s">
        <v>321</v>
      </c>
      <c r="X33" s="1" t="s">
        <v>483</v>
      </c>
      <c r="Y33" s="1" t="s">
        <v>669</v>
      </c>
      <c r="Z33" s="1" t="s">
        <v>581</v>
      </c>
      <c r="AA33" s="1" t="s">
        <v>322</v>
      </c>
      <c r="AB33" s="1" t="s">
        <v>670</v>
      </c>
      <c r="AC33" s="1" t="s">
        <v>577</v>
      </c>
      <c r="AD33" s="1" t="s">
        <v>629</v>
      </c>
      <c r="AE33" s="1" t="s">
        <v>671</v>
      </c>
      <c r="AO33" s="2" t="s">
        <v>672</v>
      </c>
      <c r="AP33" s="2" t="s">
        <v>673</v>
      </c>
      <c r="AU33" s="7" t="s">
        <v>517</v>
      </c>
      <c r="AV33" s="7" t="s">
        <v>478</v>
      </c>
      <c r="AW33" s="8" t="s">
        <v>603</v>
      </c>
      <c r="AX33" s="7" t="s">
        <v>507</v>
      </c>
      <c r="AY33" s="7" t="s">
        <v>519</v>
      </c>
    </row>
    <row r="34" spans="12:51" x14ac:dyDescent="0.5">
      <c r="L34" s="1" t="s">
        <v>656</v>
      </c>
      <c r="M34" s="1" t="s">
        <v>629</v>
      </c>
      <c r="N34" s="1" t="s">
        <v>593</v>
      </c>
      <c r="O34" s="1" t="s">
        <v>609</v>
      </c>
      <c r="P34" s="1" t="s">
        <v>322</v>
      </c>
      <c r="Q34" s="1" t="s">
        <v>619</v>
      </c>
      <c r="S34" s="1" t="s">
        <v>656</v>
      </c>
      <c r="T34" s="1" t="s">
        <v>629</v>
      </c>
      <c r="U34" s="1" t="s">
        <v>593</v>
      </c>
      <c r="V34" s="1" t="s">
        <v>609</v>
      </c>
      <c r="W34" s="1" t="s">
        <v>322</v>
      </c>
      <c r="X34" s="1" t="s">
        <v>619</v>
      </c>
      <c r="Y34" s="1" t="s">
        <v>321</v>
      </c>
      <c r="Z34" s="1" t="s">
        <v>444</v>
      </c>
      <c r="AA34" s="1" t="s">
        <v>674</v>
      </c>
      <c r="AB34" s="1" t="s">
        <v>634</v>
      </c>
      <c r="AC34" s="1" t="s">
        <v>675</v>
      </c>
      <c r="AD34" s="1" t="s">
        <v>328</v>
      </c>
      <c r="AE34" s="1" t="s">
        <v>633</v>
      </c>
      <c r="AO34" s="2" t="s">
        <v>676</v>
      </c>
      <c r="AP34" s="2" t="s">
        <v>677</v>
      </c>
      <c r="AU34" s="7" t="s">
        <v>622</v>
      </c>
      <c r="AV34" s="7" t="s">
        <v>510</v>
      </c>
      <c r="AW34" s="6" t="s">
        <v>554</v>
      </c>
      <c r="AX34" s="7" t="s">
        <v>570</v>
      </c>
      <c r="AY34" s="7" t="s">
        <v>549</v>
      </c>
    </row>
    <row r="35" spans="12:51" x14ac:dyDescent="0.5">
      <c r="L35" s="1" t="s">
        <v>678</v>
      </c>
      <c r="M35" s="1" t="s">
        <v>679</v>
      </c>
      <c r="N35" s="1" t="s">
        <v>680</v>
      </c>
      <c r="O35" s="1" t="s">
        <v>676</v>
      </c>
      <c r="P35" s="1" t="s">
        <v>533</v>
      </c>
      <c r="Q35" s="1" t="s">
        <v>587</v>
      </c>
      <c r="S35" s="1" t="s">
        <v>678</v>
      </c>
      <c r="T35" s="1" t="s">
        <v>679</v>
      </c>
      <c r="U35" s="1" t="s">
        <v>680</v>
      </c>
      <c r="V35" s="1" t="s">
        <v>676</v>
      </c>
      <c r="W35" s="1" t="s">
        <v>533</v>
      </c>
      <c r="X35" s="1" t="s">
        <v>587</v>
      </c>
      <c r="Y35" s="1" t="s">
        <v>322</v>
      </c>
      <c r="Z35" s="1" t="s">
        <v>681</v>
      </c>
      <c r="AA35" s="1" t="s">
        <v>682</v>
      </c>
      <c r="AB35" s="1" t="s">
        <v>683</v>
      </c>
      <c r="AC35" s="1" t="s">
        <v>678</v>
      </c>
      <c r="AD35" s="1" t="s">
        <v>633</v>
      </c>
      <c r="AE35" s="1" t="s">
        <v>684</v>
      </c>
      <c r="AO35" s="2" t="s">
        <v>521</v>
      </c>
      <c r="AP35" s="2" t="s">
        <v>590</v>
      </c>
      <c r="AU35" s="7" t="s">
        <v>533</v>
      </c>
      <c r="AV35" s="8" t="s">
        <v>506</v>
      </c>
      <c r="AW35" s="5" t="s">
        <v>108</v>
      </c>
      <c r="AX35" s="8" t="s">
        <v>515</v>
      </c>
      <c r="AY35" s="7" t="s">
        <v>483</v>
      </c>
    </row>
    <row r="36" spans="12:51" x14ac:dyDescent="0.5">
      <c r="L36" s="1" t="s">
        <v>608</v>
      </c>
      <c r="M36" s="1" t="s">
        <v>620</v>
      </c>
      <c r="N36" s="1" t="s">
        <v>610</v>
      </c>
      <c r="O36" s="1" t="s">
        <v>685</v>
      </c>
      <c r="P36" s="1" t="s">
        <v>642</v>
      </c>
      <c r="Q36" s="1" t="s">
        <v>317</v>
      </c>
      <c r="S36" s="1" t="s">
        <v>608</v>
      </c>
      <c r="T36" s="1" t="s">
        <v>620</v>
      </c>
      <c r="U36" s="1" t="s">
        <v>610</v>
      </c>
      <c r="V36" s="1" t="s">
        <v>685</v>
      </c>
      <c r="W36" s="1" t="s">
        <v>642</v>
      </c>
      <c r="X36" s="1" t="s">
        <v>317</v>
      </c>
      <c r="Y36" s="1" t="s">
        <v>601</v>
      </c>
      <c r="Z36" s="1" t="s">
        <v>686</v>
      </c>
      <c r="AA36" s="1" t="s">
        <v>687</v>
      </c>
      <c r="AB36" s="1" t="s">
        <v>577</v>
      </c>
      <c r="AC36" s="1" t="s">
        <v>633</v>
      </c>
      <c r="AE36" s="1" t="s">
        <v>630</v>
      </c>
      <c r="AP36" s="2" t="s">
        <v>640</v>
      </c>
      <c r="AU36" s="7" t="s">
        <v>542</v>
      </c>
      <c r="AV36" s="7" t="s">
        <v>488</v>
      </c>
      <c r="AW36" s="7" t="s">
        <v>517</v>
      </c>
      <c r="AX36" s="8" t="s">
        <v>576</v>
      </c>
      <c r="AY36" s="7" t="s">
        <v>587</v>
      </c>
    </row>
    <row r="37" spans="12:51" x14ac:dyDescent="0.5">
      <c r="L37" s="1" t="s">
        <v>688</v>
      </c>
      <c r="M37" s="1" t="s">
        <v>626</v>
      </c>
      <c r="N37" s="1" t="s">
        <v>689</v>
      </c>
      <c r="P37" s="1" t="s">
        <v>553</v>
      </c>
      <c r="Q37" s="1" t="s">
        <v>573</v>
      </c>
      <c r="S37" s="1" t="s">
        <v>688</v>
      </c>
      <c r="T37" s="1" t="s">
        <v>626</v>
      </c>
      <c r="U37" s="1" t="s">
        <v>689</v>
      </c>
      <c r="W37" s="1" t="s">
        <v>553</v>
      </c>
      <c r="X37" s="1" t="s">
        <v>573</v>
      </c>
      <c r="Y37" s="1" t="s">
        <v>690</v>
      </c>
      <c r="Z37" s="1" t="s">
        <v>608</v>
      </c>
      <c r="AA37" s="1" t="s">
        <v>553</v>
      </c>
      <c r="AB37" s="1" t="s">
        <v>656</v>
      </c>
      <c r="AC37" s="1" t="s">
        <v>625</v>
      </c>
      <c r="AE37" s="1" t="s">
        <v>691</v>
      </c>
      <c r="AP37" s="2" t="s">
        <v>692</v>
      </c>
      <c r="AU37" s="7" t="s">
        <v>553</v>
      </c>
      <c r="AV37" s="7" t="s">
        <v>56</v>
      </c>
      <c r="AW37" s="8" t="s">
        <v>622</v>
      </c>
      <c r="AX37" s="8" t="s">
        <v>531</v>
      </c>
      <c r="AY37" s="7" t="s">
        <v>573</v>
      </c>
    </row>
    <row r="38" spans="12:51" x14ac:dyDescent="0.5">
      <c r="L38" s="1" t="s">
        <v>693</v>
      </c>
      <c r="M38" s="1" t="s">
        <v>633</v>
      </c>
      <c r="N38" s="1" t="s">
        <v>609</v>
      </c>
      <c r="P38" s="1" t="s">
        <v>694</v>
      </c>
      <c r="Q38" s="1" t="s">
        <v>89</v>
      </c>
      <c r="S38" s="1" t="s">
        <v>693</v>
      </c>
      <c r="T38" s="1" t="s">
        <v>633</v>
      </c>
      <c r="U38" s="1" t="s">
        <v>609</v>
      </c>
      <c r="W38" s="1" t="s">
        <v>694</v>
      </c>
      <c r="X38" s="1" t="s">
        <v>89</v>
      </c>
      <c r="Y38" s="1" t="s">
        <v>695</v>
      </c>
      <c r="Z38" s="1" t="s">
        <v>693</v>
      </c>
      <c r="AA38" s="1" t="s">
        <v>696</v>
      </c>
      <c r="AB38" s="1" t="s">
        <v>697</v>
      </c>
      <c r="AC38" s="1" t="s">
        <v>691</v>
      </c>
      <c r="AE38" s="1" t="s">
        <v>655</v>
      </c>
      <c r="AP38" s="2" t="s">
        <v>698</v>
      </c>
      <c r="AU38" s="7" t="s">
        <v>623</v>
      </c>
      <c r="AV38" s="5" t="s">
        <v>519</v>
      </c>
      <c r="AW38" s="5" t="s">
        <v>553</v>
      </c>
      <c r="AX38" s="8" t="s">
        <v>588</v>
      </c>
      <c r="AY38" s="7" t="s">
        <v>628</v>
      </c>
    </row>
    <row r="39" spans="12:51" x14ac:dyDescent="0.5">
      <c r="L39" s="1" t="s">
        <v>609</v>
      </c>
      <c r="M39" s="1" t="s">
        <v>676</v>
      </c>
      <c r="N39" s="1" t="s">
        <v>679</v>
      </c>
      <c r="P39" s="1" t="s">
        <v>699</v>
      </c>
      <c r="Q39" s="1" t="s">
        <v>89</v>
      </c>
      <c r="S39" s="1" t="s">
        <v>609</v>
      </c>
      <c r="T39" s="1" t="s">
        <v>676</v>
      </c>
      <c r="U39" s="1" t="s">
        <v>679</v>
      </c>
      <c r="W39" s="1" t="s">
        <v>699</v>
      </c>
      <c r="X39" s="1" t="s">
        <v>89</v>
      </c>
      <c r="Y39" s="1" t="s">
        <v>700</v>
      </c>
      <c r="Z39" s="1" t="s">
        <v>626</v>
      </c>
      <c r="AA39" s="1" t="s">
        <v>532</v>
      </c>
      <c r="AB39" s="1" t="s">
        <v>608</v>
      </c>
      <c r="AC39" s="1" t="s">
        <v>332</v>
      </c>
      <c r="AP39" s="2" t="s">
        <v>571</v>
      </c>
      <c r="AU39" s="7" t="s">
        <v>532</v>
      </c>
      <c r="AV39" s="6" t="s">
        <v>526</v>
      </c>
      <c r="AW39" s="8" t="s">
        <v>611</v>
      </c>
      <c r="AX39" s="8" t="s">
        <v>450</v>
      </c>
      <c r="AY39" s="7" t="s">
        <v>514</v>
      </c>
    </row>
    <row r="40" spans="12:51" x14ac:dyDescent="0.5">
      <c r="L40" s="1" t="s">
        <v>629</v>
      </c>
      <c r="M40" s="1" t="s">
        <v>632</v>
      </c>
      <c r="N40" s="1" t="s">
        <v>328</v>
      </c>
      <c r="P40" s="1" t="s">
        <v>690</v>
      </c>
      <c r="Q40" s="1" t="s">
        <v>701</v>
      </c>
      <c r="S40" s="1" t="s">
        <v>629</v>
      </c>
      <c r="T40" s="1" t="s">
        <v>632</v>
      </c>
      <c r="U40" s="1" t="s">
        <v>328</v>
      </c>
      <c r="W40" s="1" t="s">
        <v>690</v>
      </c>
      <c r="X40" s="1" t="s">
        <v>701</v>
      </c>
      <c r="Y40" s="1" t="s">
        <v>700</v>
      </c>
      <c r="Z40" s="1" t="s">
        <v>702</v>
      </c>
      <c r="AA40" s="1" t="s">
        <v>652</v>
      </c>
      <c r="AB40" s="1" t="s">
        <v>703</v>
      </c>
      <c r="AC40" s="1" t="s">
        <v>704</v>
      </c>
      <c r="AP40" s="2" t="s">
        <v>705</v>
      </c>
      <c r="AU40" s="7" t="s">
        <v>552</v>
      </c>
      <c r="AV40" s="8" t="s">
        <v>499</v>
      </c>
      <c r="AW40" s="7" t="s">
        <v>516</v>
      </c>
      <c r="AX40" s="8" t="s">
        <v>598</v>
      </c>
      <c r="AY40" s="7" t="s">
        <v>530</v>
      </c>
    </row>
    <row r="41" spans="12:51" x14ac:dyDescent="0.5">
      <c r="L41" s="1" t="s">
        <v>706</v>
      </c>
      <c r="M41" s="1" t="s">
        <v>331</v>
      </c>
      <c r="N41" s="1" t="s">
        <v>646</v>
      </c>
      <c r="P41" s="1" t="s">
        <v>581</v>
      </c>
      <c r="Q41" s="1" t="s">
        <v>707</v>
      </c>
      <c r="S41" s="1" t="s">
        <v>706</v>
      </c>
      <c r="T41" s="1" t="s">
        <v>331</v>
      </c>
      <c r="U41" s="1" t="s">
        <v>646</v>
      </c>
      <c r="W41" s="1" t="s">
        <v>581</v>
      </c>
      <c r="X41" s="1" t="s">
        <v>707</v>
      </c>
      <c r="Y41" s="1" t="s">
        <v>634</v>
      </c>
      <c r="AA41" s="1" t="s">
        <v>660</v>
      </c>
      <c r="AB41" s="1" t="s">
        <v>708</v>
      </c>
      <c r="AP41" s="2" t="s">
        <v>709</v>
      </c>
      <c r="AU41" s="7" t="s">
        <v>644</v>
      </c>
      <c r="AV41" s="7" t="s">
        <v>522</v>
      </c>
      <c r="AW41" s="8" t="s">
        <v>581</v>
      </c>
      <c r="AX41" s="7" t="s">
        <v>480</v>
      </c>
      <c r="AY41" s="7" t="s">
        <v>319</v>
      </c>
    </row>
    <row r="42" spans="12:51" x14ac:dyDescent="0.5">
      <c r="L42" s="1" t="s">
        <v>626</v>
      </c>
      <c r="M42" s="1" t="s">
        <v>710</v>
      </c>
      <c r="N42" s="1" t="s">
        <v>332</v>
      </c>
      <c r="P42" s="1" t="s">
        <v>444</v>
      </c>
      <c r="Q42" s="1" t="s">
        <v>677</v>
      </c>
      <c r="S42" s="1" t="s">
        <v>626</v>
      </c>
      <c r="T42" s="1" t="s">
        <v>710</v>
      </c>
      <c r="U42" s="1" t="s">
        <v>332</v>
      </c>
      <c r="W42" s="1" t="s">
        <v>444</v>
      </c>
      <c r="X42" s="1" t="s">
        <v>677</v>
      </c>
      <c r="Y42" s="1" t="s">
        <v>593</v>
      </c>
      <c r="AA42" s="1" t="s">
        <v>581</v>
      </c>
      <c r="AB42" s="1" t="s">
        <v>711</v>
      </c>
      <c r="AP42" s="2" t="s">
        <v>656</v>
      </c>
      <c r="AU42" s="7" t="s">
        <v>572</v>
      </c>
      <c r="AV42" s="5" t="s">
        <v>483</v>
      </c>
      <c r="AW42" s="7" t="s">
        <v>325</v>
      </c>
      <c r="AX42" s="8" t="s">
        <v>460</v>
      </c>
      <c r="AY42" s="7" t="s">
        <v>108</v>
      </c>
    </row>
    <row r="43" spans="12:51" x14ac:dyDescent="0.5">
      <c r="L43" s="1" t="s">
        <v>712</v>
      </c>
      <c r="N43" s="1" t="s">
        <v>704</v>
      </c>
      <c r="P43" s="1" t="s">
        <v>700</v>
      </c>
      <c r="Q43" s="1" t="s">
        <v>590</v>
      </c>
      <c r="S43" s="1" t="s">
        <v>712</v>
      </c>
      <c r="U43" s="1" t="s">
        <v>704</v>
      </c>
      <c r="W43" s="1" t="s">
        <v>700</v>
      </c>
      <c r="X43" s="1" t="s">
        <v>590</v>
      </c>
      <c r="Y43" s="1" t="s">
        <v>713</v>
      </c>
      <c r="AA43" s="1" t="s">
        <v>640</v>
      </c>
      <c r="AB43" s="1" t="s">
        <v>714</v>
      </c>
      <c r="AP43" s="2" t="s">
        <v>715</v>
      </c>
      <c r="AU43" s="7" t="s">
        <v>592</v>
      </c>
      <c r="AV43" s="7" t="s">
        <v>546</v>
      </c>
      <c r="AW43" s="8" t="s">
        <v>668</v>
      </c>
      <c r="AX43" s="8" t="s">
        <v>314</v>
      </c>
      <c r="AY43" s="7" t="s">
        <v>590</v>
      </c>
    </row>
    <row r="44" spans="12:51" x14ac:dyDescent="0.5">
      <c r="L44" s="1" t="s">
        <v>633</v>
      </c>
      <c r="P44" s="1" t="s">
        <v>627</v>
      </c>
      <c r="Q44" s="1" t="s">
        <v>716</v>
      </c>
      <c r="S44" s="1" t="s">
        <v>633</v>
      </c>
      <c r="W44" s="1" t="s">
        <v>627</v>
      </c>
      <c r="X44" s="1" t="s">
        <v>716</v>
      </c>
      <c r="Y44" s="1" t="s">
        <v>656</v>
      </c>
      <c r="AA44" s="1" t="s">
        <v>717</v>
      </c>
      <c r="AB44" s="1" t="s">
        <v>706</v>
      </c>
      <c r="AP44" s="2" t="s">
        <v>633</v>
      </c>
      <c r="AU44" s="7" t="s">
        <v>577</v>
      </c>
      <c r="AV44" s="8" t="s">
        <v>518</v>
      </c>
      <c r="AW44" s="7" t="s">
        <v>593</v>
      </c>
      <c r="AX44" s="8" t="s">
        <v>482</v>
      </c>
      <c r="AY44" s="7" t="s">
        <v>599</v>
      </c>
    </row>
    <row r="45" spans="12:51" x14ac:dyDescent="0.5">
      <c r="L45" s="1" t="s">
        <v>718</v>
      </c>
      <c r="P45" s="1" t="s">
        <v>639</v>
      </c>
      <c r="Q45" s="1" t="s">
        <v>716</v>
      </c>
      <c r="S45" s="1" t="s">
        <v>718</v>
      </c>
      <c r="W45" s="1" t="s">
        <v>639</v>
      </c>
      <c r="X45" s="1" t="s">
        <v>716</v>
      </c>
      <c r="Y45" s="1" t="s">
        <v>719</v>
      </c>
      <c r="AA45" s="1" t="s">
        <v>720</v>
      </c>
      <c r="AB45" s="1" t="s">
        <v>328</v>
      </c>
      <c r="AP45" s="2" t="s">
        <v>565</v>
      </c>
      <c r="AU45" s="7" t="s">
        <v>667</v>
      </c>
      <c r="AV45" s="6" t="s">
        <v>555</v>
      </c>
      <c r="AW45" s="8" t="s">
        <v>680</v>
      </c>
      <c r="AX45" s="7" t="s">
        <v>467</v>
      </c>
      <c r="AY45" s="7" t="s">
        <v>607</v>
      </c>
    </row>
    <row r="46" spans="12:51" x14ac:dyDescent="0.5">
      <c r="P46" s="1" t="s">
        <v>634</v>
      </c>
      <c r="Q46" s="1" t="s">
        <v>640</v>
      </c>
      <c r="W46" s="1" t="s">
        <v>634</v>
      </c>
      <c r="X46" s="1" t="s">
        <v>640</v>
      </c>
      <c r="Y46" s="1" t="s">
        <v>689</v>
      </c>
      <c r="AA46" s="1" t="s">
        <v>700</v>
      </c>
      <c r="AB46" s="1" t="s">
        <v>721</v>
      </c>
      <c r="AP46" s="2" t="s">
        <v>704</v>
      </c>
      <c r="AU46" s="7" t="s">
        <v>609</v>
      </c>
      <c r="AV46" s="5" t="s">
        <v>564</v>
      </c>
      <c r="AW46" s="5" t="s">
        <v>103</v>
      </c>
      <c r="AX46" s="7" t="s">
        <v>506</v>
      </c>
      <c r="AY46" s="7" t="s">
        <v>326</v>
      </c>
    </row>
    <row r="47" spans="12:51" x14ac:dyDescent="0.5">
      <c r="P47" s="1" t="s">
        <v>593</v>
      </c>
      <c r="Q47" s="1" t="s">
        <v>700</v>
      </c>
      <c r="W47" s="1" t="s">
        <v>593</v>
      </c>
      <c r="X47" s="1" t="s">
        <v>700</v>
      </c>
      <c r="Y47" s="1" t="s">
        <v>722</v>
      </c>
      <c r="AA47" s="1" t="s">
        <v>670</v>
      </c>
      <c r="AB47" s="1" t="s">
        <v>626</v>
      </c>
      <c r="AP47" s="2"/>
      <c r="AU47" s="7" t="s">
        <v>629</v>
      </c>
      <c r="AV47" s="7" t="s">
        <v>475</v>
      </c>
      <c r="AW47" s="7" t="s">
        <v>610</v>
      </c>
      <c r="AX47" s="8" t="s">
        <v>488</v>
      </c>
      <c r="AY47" s="7" t="s">
        <v>571</v>
      </c>
    </row>
    <row r="48" spans="12:51" x14ac:dyDescent="0.5">
      <c r="P48" s="1" t="s">
        <v>593</v>
      </c>
      <c r="Q48" s="1" t="s">
        <v>627</v>
      </c>
      <c r="W48" s="1" t="s">
        <v>593</v>
      </c>
      <c r="X48" s="1" t="s">
        <v>627</v>
      </c>
      <c r="Y48" s="1" t="s">
        <v>723</v>
      </c>
      <c r="AA48" s="1" t="s">
        <v>599</v>
      </c>
      <c r="AB48" s="1" t="s">
        <v>724</v>
      </c>
      <c r="AU48" s="7" t="s">
        <v>679</v>
      </c>
      <c r="AV48" s="6" t="s">
        <v>317</v>
      </c>
      <c r="AW48" s="8" t="s">
        <v>689</v>
      </c>
      <c r="AX48" s="7" t="s">
        <v>519</v>
      </c>
      <c r="AY48" s="7" t="s">
        <v>577</v>
      </c>
    </row>
    <row r="49" spans="16:51" x14ac:dyDescent="0.5">
      <c r="P49" s="1" t="s">
        <v>725</v>
      </c>
      <c r="Q49" s="1" t="s">
        <v>726</v>
      </c>
      <c r="W49" s="1" t="s">
        <v>725</v>
      </c>
      <c r="X49" s="1" t="s">
        <v>726</v>
      </c>
      <c r="Y49" s="1" t="s">
        <v>727</v>
      </c>
      <c r="AA49" s="1" t="s">
        <v>668</v>
      </c>
      <c r="AB49" s="1" t="s">
        <v>625</v>
      </c>
      <c r="AU49" s="7" t="s">
        <v>620</v>
      </c>
      <c r="AV49" s="8" t="s">
        <v>573</v>
      </c>
      <c r="AW49" s="7" t="s">
        <v>609</v>
      </c>
      <c r="AX49" s="8" t="s">
        <v>549</v>
      </c>
      <c r="AY49" s="7" t="s">
        <v>589</v>
      </c>
    </row>
    <row r="50" spans="16:51" x14ac:dyDescent="0.5">
      <c r="P50" s="1" t="s">
        <v>103</v>
      </c>
      <c r="Q50" s="1" t="s">
        <v>592</v>
      </c>
      <c r="W50" s="1" t="s">
        <v>103</v>
      </c>
      <c r="X50" s="1" t="s">
        <v>592</v>
      </c>
      <c r="Y50" s="1" t="s">
        <v>331</v>
      </c>
      <c r="AA50" s="1" t="s">
        <v>634</v>
      </c>
      <c r="AB50" s="1" t="s">
        <v>728</v>
      </c>
      <c r="AU50" s="7" t="s">
        <v>626</v>
      </c>
      <c r="AV50" s="7" t="s">
        <v>583</v>
      </c>
      <c r="AW50" s="8" t="s">
        <v>679</v>
      </c>
      <c r="AX50" s="8" t="s">
        <v>483</v>
      </c>
      <c r="AY50" s="7" t="s">
        <v>501</v>
      </c>
    </row>
    <row r="51" spans="16:51" x14ac:dyDescent="0.5">
      <c r="P51" s="1" t="s">
        <v>729</v>
      </c>
      <c r="Q51" s="1" t="s">
        <v>730</v>
      </c>
      <c r="W51" s="1" t="s">
        <v>729</v>
      </c>
      <c r="X51" s="1" t="s">
        <v>730</v>
      </c>
      <c r="Y51" s="1" t="s">
        <v>702</v>
      </c>
      <c r="AA51" s="1" t="s">
        <v>593</v>
      </c>
      <c r="AB51" s="1" t="s">
        <v>731</v>
      </c>
      <c r="AU51" s="7" t="s">
        <v>633</v>
      </c>
      <c r="AV51" s="7" t="s">
        <v>89</v>
      </c>
      <c r="AW51" s="7" t="s">
        <v>328</v>
      </c>
      <c r="AX51" s="8" t="s">
        <v>619</v>
      </c>
      <c r="AY51" s="7" t="s">
        <v>657</v>
      </c>
    </row>
    <row r="52" spans="16:51" x14ac:dyDescent="0.5">
      <c r="P52" s="1" t="s">
        <v>686</v>
      </c>
      <c r="Q52" s="1" t="s">
        <v>715</v>
      </c>
      <c r="W52" s="1" t="s">
        <v>686</v>
      </c>
      <c r="X52" s="1" t="s">
        <v>715</v>
      </c>
      <c r="Y52" s="1" t="s">
        <v>334</v>
      </c>
      <c r="AA52" s="1" t="s">
        <v>732</v>
      </c>
      <c r="AB52" s="1" t="s">
        <v>733</v>
      </c>
      <c r="AU52" s="7" t="s">
        <v>676</v>
      </c>
      <c r="AV52" s="5" t="s">
        <v>545</v>
      </c>
      <c r="AW52" s="6" t="s">
        <v>620</v>
      </c>
      <c r="AX52" s="7" t="s">
        <v>578</v>
      </c>
      <c r="AY52" s="7" t="s">
        <v>664</v>
      </c>
    </row>
    <row r="53" spans="16:51" x14ac:dyDescent="0.5">
      <c r="P53" s="1" t="s">
        <v>592</v>
      </c>
      <c r="Q53" s="1" t="s">
        <v>734</v>
      </c>
      <c r="W53" s="1" t="s">
        <v>592</v>
      </c>
      <c r="X53" s="1" t="s">
        <v>734</v>
      </c>
      <c r="AA53" s="1" t="s">
        <v>103</v>
      </c>
      <c r="AB53" s="1" t="s">
        <v>544</v>
      </c>
      <c r="AU53" s="7" t="s">
        <v>632</v>
      </c>
      <c r="AV53" s="7" t="s">
        <v>603</v>
      </c>
      <c r="AW53" s="5" t="s">
        <v>633</v>
      </c>
      <c r="AX53" s="8" t="s">
        <v>587</v>
      </c>
      <c r="AY53" s="7" t="s">
        <v>608</v>
      </c>
    </row>
    <row r="54" spans="16:51" x14ac:dyDescent="0.5">
      <c r="P54" s="1" t="s">
        <v>713</v>
      </c>
      <c r="Q54" s="1" t="s">
        <v>328</v>
      </c>
      <c r="W54" s="1" t="s">
        <v>713</v>
      </c>
      <c r="X54" s="1" t="s">
        <v>328</v>
      </c>
      <c r="AA54" s="1" t="s">
        <v>735</v>
      </c>
      <c r="AB54" s="1" t="s">
        <v>736</v>
      </c>
      <c r="AU54" s="7" t="s">
        <v>331</v>
      </c>
      <c r="AV54" s="7" t="s">
        <v>517</v>
      </c>
      <c r="AW54" s="6" t="s">
        <v>638</v>
      </c>
      <c r="AX54" s="7" t="s">
        <v>573</v>
      </c>
      <c r="AY54" s="7" t="s">
        <v>609</v>
      </c>
    </row>
    <row r="55" spans="16:51" x14ac:dyDescent="0.5">
      <c r="P55" s="1" t="s">
        <v>59</v>
      </c>
      <c r="Q55" s="1" t="s">
        <v>723</v>
      </c>
      <c r="W55" s="1" t="s">
        <v>59</v>
      </c>
      <c r="X55" s="1" t="s">
        <v>723</v>
      </c>
      <c r="AA55" s="1" t="s">
        <v>610</v>
      </c>
      <c r="AB55" s="1" t="s">
        <v>632</v>
      </c>
      <c r="AU55" s="7" t="s">
        <v>710</v>
      </c>
      <c r="AV55" s="8" t="s">
        <v>622</v>
      </c>
      <c r="AW55" s="8" t="s">
        <v>646</v>
      </c>
      <c r="AX55" s="8" t="s">
        <v>628</v>
      </c>
      <c r="AY55" s="7" t="s">
        <v>620</v>
      </c>
    </row>
    <row r="56" spans="16:51" x14ac:dyDescent="0.5">
      <c r="P56" s="1" t="s">
        <v>501</v>
      </c>
      <c r="Q56" s="1" t="s">
        <v>626</v>
      </c>
      <c r="W56" s="1" t="s">
        <v>501</v>
      </c>
      <c r="X56" s="1" t="s">
        <v>626</v>
      </c>
      <c r="AA56" s="1" t="s">
        <v>667</v>
      </c>
      <c r="AB56" s="1" t="s">
        <v>737</v>
      </c>
      <c r="AU56" s="9"/>
      <c r="AV56" s="6" t="s">
        <v>533</v>
      </c>
      <c r="AW56" s="6" t="s">
        <v>655</v>
      </c>
      <c r="AX56" s="7" t="s">
        <v>514</v>
      </c>
      <c r="AY56" s="7" t="s">
        <v>633</v>
      </c>
    </row>
    <row r="57" spans="16:51" x14ac:dyDescent="0.5">
      <c r="P57" s="1" t="s">
        <v>738</v>
      </c>
      <c r="Q57" s="1" t="s">
        <v>633</v>
      </c>
      <c r="W57" s="1" t="s">
        <v>738</v>
      </c>
      <c r="X57" s="1" t="s">
        <v>633</v>
      </c>
      <c r="AA57" s="1" t="s">
        <v>59</v>
      </c>
      <c r="AB57" s="1" t="s">
        <v>739</v>
      </c>
      <c r="AV57" s="8" t="s">
        <v>601</v>
      </c>
      <c r="AW57" s="7" t="s">
        <v>332</v>
      </c>
      <c r="AX57" s="7" t="s">
        <v>530</v>
      </c>
      <c r="AY57" s="7" t="s">
        <v>684</v>
      </c>
    </row>
    <row r="58" spans="16:51" x14ac:dyDescent="0.5">
      <c r="P58" s="1" t="s">
        <v>328</v>
      </c>
      <c r="Q58" s="1" t="s">
        <v>329</v>
      </c>
      <c r="W58" s="1" t="s">
        <v>328</v>
      </c>
      <c r="X58" s="1" t="s">
        <v>329</v>
      </c>
      <c r="AA58" s="1" t="s">
        <v>501</v>
      </c>
      <c r="AB58" s="1" t="s">
        <v>710</v>
      </c>
      <c r="AV58" s="7" t="s">
        <v>553</v>
      </c>
      <c r="AW58" s="5"/>
      <c r="AX58" s="7" t="s">
        <v>540</v>
      </c>
      <c r="AY58" s="7" t="s">
        <v>655</v>
      </c>
    </row>
    <row r="59" spans="16:51" x14ac:dyDescent="0.5">
      <c r="P59" s="1" t="s">
        <v>723</v>
      </c>
      <c r="Q59" s="1" t="s">
        <v>740</v>
      </c>
      <c r="W59" s="1" t="s">
        <v>723</v>
      </c>
      <c r="X59" s="1" t="s">
        <v>740</v>
      </c>
      <c r="AA59" s="1" t="s">
        <v>741</v>
      </c>
      <c r="AB59" s="1" t="s">
        <v>332</v>
      </c>
      <c r="AU59" s="2"/>
      <c r="AV59" s="7" t="s">
        <v>623</v>
      </c>
      <c r="AW59" s="5"/>
      <c r="AX59" s="7" t="s">
        <v>319</v>
      </c>
      <c r="AY59" s="7" t="s">
        <v>704</v>
      </c>
    </row>
    <row r="60" spans="16:51" x14ac:dyDescent="0.5">
      <c r="P60" s="1" t="s">
        <v>727</v>
      </c>
      <c r="Q60" s="1" t="s">
        <v>691</v>
      </c>
      <c r="W60" s="1" t="s">
        <v>727</v>
      </c>
      <c r="X60" s="1" t="s">
        <v>691</v>
      </c>
      <c r="AA60" s="1" t="s">
        <v>678</v>
      </c>
      <c r="AB60" s="1" t="s">
        <v>742</v>
      </c>
      <c r="AV60" s="8" t="s">
        <v>611</v>
      </c>
      <c r="AW60" s="5"/>
      <c r="AX60" s="7" t="s">
        <v>108</v>
      </c>
      <c r="AY60" s="7"/>
    </row>
    <row r="61" spans="16:51" x14ac:dyDescent="0.5">
      <c r="P61" s="1" t="s">
        <v>521</v>
      </c>
      <c r="Q61" s="1" t="s">
        <v>637</v>
      </c>
      <c r="W61" s="1" t="s">
        <v>521</v>
      </c>
      <c r="X61" s="1" t="s">
        <v>637</v>
      </c>
      <c r="AA61" s="1" t="s">
        <v>743</v>
      </c>
      <c r="AB61" s="1" t="s">
        <v>333</v>
      </c>
      <c r="AV61" s="7" t="s">
        <v>516</v>
      </c>
      <c r="AW61" s="5"/>
      <c r="AX61" s="7" t="s">
        <v>590</v>
      </c>
      <c r="AY61" s="7"/>
    </row>
    <row r="62" spans="16:51" x14ac:dyDescent="0.5">
      <c r="P62" s="1" t="s">
        <v>685</v>
      </c>
      <c r="Q62" s="1" t="s">
        <v>655</v>
      </c>
      <c r="W62" s="1" t="s">
        <v>685</v>
      </c>
      <c r="X62" s="1" t="s">
        <v>655</v>
      </c>
      <c r="AA62" s="1" t="s">
        <v>734</v>
      </c>
      <c r="AB62" s="1" t="s">
        <v>334</v>
      </c>
      <c r="AV62" s="8" t="s">
        <v>581</v>
      </c>
      <c r="AW62" s="5"/>
      <c r="AX62" s="7" t="s">
        <v>599</v>
      </c>
      <c r="AY62" s="7"/>
    </row>
    <row r="63" spans="16:51" x14ac:dyDescent="0.5">
      <c r="P63" s="1" t="s">
        <v>534</v>
      </c>
      <c r="Q63" s="1" t="s">
        <v>333</v>
      </c>
      <c r="W63" s="1" t="s">
        <v>534</v>
      </c>
      <c r="X63" s="1" t="s">
        <v>333</v>
      </c>
      <c r="AA63" s="1" t="s">
        <v>744</v>
      </c>
      <c r="AU63" s="2"/>
      <c r="AV63" s="8" t="s">
        <v>640</v>
      </c>
      <c r="AW63" s="5"/>
      <c r="AX63" s="8" t="s">
        <v>607</v>
      </c>
      <c r="AY63" s="7"/>
    </row>
    <row r="64" spans="16:51" x14ac:dyDescent="0.5">
      <c r="Q64" s="1" t="s">
        <v>704</v>
      </c>
      <c r="X64" s="1" t="s">
        <v>704</v>
      </c>
      <c r="AA64" s="1" t="s">
        <v>745</v>
      </c>
      <c r="AV64" s="7" t="s">
        <v>325</v>
      </c>
      <c r="AW64" s="5"/>
      <c r="AX64" s="7" t="s">
        <v>326</v>
      </c>
      <c r="AY64" s="7"/>
    </row>
    <row r="65" spans="17:51" x14ac:dyDescent="0.5">
      <c r="Q65" s="1" t="s">
        <v>334</v>
      </c>
      <c r="X65" s="1" t="s">
        <v>334</v>
      </c>
      <c r="AA65" s="1" t="s">
        <v>626</v>
      </c>
      <c r="AV65" s="5" t="s">
        <v>621</v>
      </c>
      <c r="AW65" s="5"/>
      <c r="AX65" s="8" t="s">
        <v>571</v>
      </c>
      <c r="AY65" s="7"/>
    </row>
    <row r="66" spans="17:51" x14ac:dyDescent="0.5">
      <c r="Q66" s="1" t="s">
        <v>746</v>
      </c>
      <c r="X66" s="1" t="s">
        <v>746</v>
      </c>
      <c r="AA66" s="1" t="s">
        <v>747</v>
      </c>
      <c r="AV66" s="6" t="s">
        <v>572</v>
      </c>
      <c r="AW66" s="5"/>
      <c r="AX66" s="7" t="s">
        <v>577</v>
      </c>
      <c r="AY66" s="7"/>
    </row>
    <row r="67" spans="17:51" x14ac:dyDescent="0.5">
      <c r="AA67" s="1" t="s">
        <v>676</v>
      </c>
      <c r="AV67" s="8" t="s">
        <v>668</v>
      </c>
      <c r="AW67" s="5"/>
      <c r="AX67" s="7" t="s">
        <v>654</v>
      </c>
      <c r="AY67" s="7"/>
    </row>
    <row r="68" spans="17:51" x14ac:dyDescent="0.5">
      <c r="AA68" s="1" t="s">
        <v>748</v>
      </c>
      <c r="AV68" s="5" t="s">
        <v>634</v>
      </c>
      <c r="AW68" s="5"/>
      <c r="AX68" s="7" t="s">
        <v>589</v>
      </c>
      <c r="AY68" s="7"/>
    </row>
    <row r="69" spans="17:51" x14ac:dyDescent="0.5">
      <c r="AA69" s="1" t="s">
        <v>749</v>
      </c>
      <c r="AV69" s="7" t="s">
        <v>593</v>
      </c>
      <c r="AW69" s="5"/>
      <c r="AX69" s="7" t="s">
        <v>501</v>
      </c>
      <c r="AY69" s="7"/>
    </row>
    <row r="70" spans="17:51" x14ac:dyDescent="0.5">
      <c r="AA70" s="1" t="s">
        <v>710</v>
      </c>
      <c r="AV70" s="8" t="s">
        <v>680</v>
      </c>
      <c r="AW70" s="10"/>
      <c r="AX70" s="7" t="s">
        <v>657</v>
      </c>
      <c r="AY70" s="7"/>
    </row>
    <row r="71" spans="17:51" x14ac:dyDescent="0.5">
      <c r="AV71" s="7" t="s">
        <v>103</v>
      </c>
      <c r="AX71" s="7" t="s">
        <v>606</v>
      </c>
      <c r="AY71" s="7"/>
    </row>
    <row r="72" spans="17:51" x14ac:dyDescent="0.5">
      <c r="AV72" s="7" t="s">
        <v>610</v>
      </c>
      <c r="AX72" s="8" t="s">
        <v>664</v>
      </c>
      <c r="AY72" s="7"/>
    </row>
    <row r="73" spans="17:51" x14ac:dyDescent="0.5">
      <c r="AV73" s="8" t="s">
        <v>577</v>
      </c>
      <c r="AX73" s="7" t="s">
        <v>671</v>
      </c>
      <c r="AY73" s="7"/>
    </row>
    <row r="74" spans="17:51" x14ac:dyDescent="0.5">
      <c r="AV74" s="5" t="s">
        <v>647</v>
      </c>
      <c r="AX74" s="8" t="s">
        <v>608</v>
      </c>
      <c r="AY74" s="7"/>
    </row>
    <row r="75" spans="17:51" x14ac:dyDescent="0.5">
      <c r="AV75" s="6" t="s">
        <v>656</v>
      </c>
      <c r="AX75" s="7" t="s">
        <v>609</v>
      </c>
      <c r="AY75" s="7"/>
    </row>
    <row r="76" spans="17:51" x14ac:dyDescent="0.5">
      <c r="AV76" s="5" t="s">
        <v>658</v>
      </c>
      <c r="AX76" s="7" t="s">
        <v>629</v>
      </c>
      <c r="AY76" s="7"/>
    </row>
    <row r="77" spans="17:51" x14ac:dyDescent="0.5">
      <c r="AV77" s="8" t="s">
        <v>689</v>
      </c>
      <c r="AX77" s="8" t="s">
        <v>620</v>
      </c>
      <c r="AY77" s="7"/>
    </row>
    <row r="78" spans="17:51" x14ac:dyDescent="0.5">
      <c r="AV78" s="8" t="s">
        <v>608</v>
      </c>
      <c r="AX78" s="8" t="s">
        <v>645</v>
      </c>
      <c r="AY78" s="7"/>
    </row>
    <row r="79" spans="17:51" x14ac:dyDescent="0.5">
      <c r="AV79" s="7" t="s">
        <v>609</v>
      </c>
      <c r="AX79" s="7" t="s">
        <v>633</v>
      </c>
      <c r="AY79" s="7"/>
    </row>
    <row r="80" spans="17:51" x14ac:dyDescent="0.5">
      <c r="AV80" s="6" t="s">
        <v>665</v>
      </c>
      <c r="AX80" s="7" t="s">
        <v>684</v>
      </c>
      <c r="AY80" s="7"/>
    </row>
    <row r="81" spans="48:51" x14ac:dyDescent="0.5">
      <c r="AV81" s="8" t="s">
        <v>679</v>
      </c>
      <c r="AX81" s="8" t="s">
        <v>625</v>
      </c>
      <c r="AY81" s="8"/>
    </row>
    <row r="82" spans="48:51" x14ac:dyDescent="0.5">
      <c r="AV82" s="5" t="s">
        <v>672</v>
      </c>
      <c r="AX82" s="7" t="s">
        <v>630</v>
      </c>
      <c r="AY82" s="7"/>
    </row>
    <row r="83" spans="48:51" x14ac:dyDescent="0.5">
      <c r="AV83" s="7" t="s">
        <v>328</v>
      </c>
      <c r="AX83" s="8" t="s">
        <v>691</v>
      </c>
      <c r="AY83" s="8"/>
    </row>
    <row r="84" spans="48:51" x14ac:dyDescent="0.5">
      <c r="AV84" s="8" t="s">
        <v>676</v>
      </c>
      <c r="AX84" s="8" t="s">
        <v>637</v>
      </c>
      <c r="AY84" s="7"/>
    </row>
    <row r="85" spans="48:51" x14ac:dyDescent="0.5">
      <c r="AV85" s="5" t="s">
        <v>521</v>
      </c>
      <c r="AX85" s="7" t="s">
        <v>655</v>
      </c>
      <c r="AY85" s="7"/>
    </row>
    <row r="86" spans="48:51" x14ac:dyDescent="0.5">
      <c r="AV86" s="7" t="s">
        <v>685</v>
      </c>
      <c r="AX86" s="11" t="s">
        <v>704</v>
      </c>
      <c r="AY86" s="7"/>
    </row>
    <row r="87" spans="48:51" x14ac:dyDescent="0.5">
      <c r="AV87" s="8" t="s">
        <v>646</v>
      </c>
      <c r="AX87" s="8" t="s">
        <v>334</v>
      </c>
      <c r="AY87" s="11"/>
    </row>
    <row r="88" spans="48:51" x14ac:dyDescent="0.5">
      <c r="AV88" s="7" t="s">
        <v>332</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2026-04-21T19:15:51Z</dcterms:modified>
  <cp:category/>
  <cp:contentStatus/>
</cp:coreProperties>
</file>