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650" documentId="8_{B30BA61C-87F2-423F-9FA4-86F7F4A2C1E0}" xr6:coauthVersionLast="47" xr6:coauthVersionMax="47" xr10:uidLastSave="{C6F8D51A-0863-4C55-BA89-7B0E1C9D7CE7}"/>
  <bookViews>
    <workbookView xWindow="28680" yWindow="-120" windowWidth="29040" windowHeight="15720" tabRatio="673" firstSheet="5" xr2:uid="{BD68381A-4EB3-42BA-ADD5-D7B5B6C7E498}"/>
  </bookViews>
  <sheets>
    <sheet name="Paso1 Analisis perfil egreso" sheetId="1" r:id="rId1"/>
    <sheet name="Paso 2 Redacción competen" sheetId="6" r:id="rId2"/>
    <sheet name="Paso 3 Redacción RA" sheetId="15" r:id="rId3"/>
    <sheet name="Paso 4 Estrategias mesocurricu" sheetId="8" r:id="rId4"/>
    <sheet name="Paso 3 Redacción RA - Backup " sheetId="5" state="hidden" r:id="rId5"/>
    <sheet name="Paso 5 Estrategias micro" sheetId="14" r:id="rId6"/>
    <sheet name="Taxonomía para competencias" sheetId="10" r:id="rId7"/>
    <sheet name="Taxonomias para RA" sheetId="7" r:id="rId8"/>
  </sheets>
  <externalReferences>
    <externalReference r:id="rId9"/>
  </externalReferences>
  <definedNames>
    <definedName name="_xlnm._FilterDatabase" localSheetId="2" hidden="1">'Paso 3 Redacción RA'!$A$2:$K$12</definedName>
    <definedName name="_xlnm._FilterDatabase" localSheetId="4" hidden="1">'Paso 3 Redacción RA - Backup '!$A$2:$K$12</definedName>
    <definedName name="_xlnm._FilterDatabase" localSheetId="3" hidden="1">'Paso 4 Estrategias mesocurricu'!$A$1:$F$17</definedName>
    <definedName name="_xlnm._FilterDatabase" localSheetId="5" hidden="1">'Paso 5 Estrategias micro'!$A$2:$R$128</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#REF!</definedName>
    <definedName name="Saber">'Paso1 Analisis perfil egreso'!$E$3:$E$5</definedName>
    <definedName name="SaberHacer">'Paso1 Analisis perfil egreso'!$F$3:$F$5</definedName>
    <definedName name="SaberSer">'Paso1 Analisis perfil egreso'!$G$3:$G$5</definedName>
    <definedName name="TIC">'Paso 2 Redacción competen'!$F$6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5" i="14" l="1"/>
  <c r="R125" i="14"/>
  <c r="S124" i="14"/>
  <c r="R124" i="14"/>
  <c r="S108" i="14"/>
  <c r="R108" i="14"/>
  <c r="S93" i="14"/>
  <c r="R93" i="14"/>
  <c r="S75" i="14"/>
  <c r="R75" i="14"/>
  <c r="S58" i="14"/>
  <c r="R58" i="14"/>
  <c r="S45" i="14"/>
  <c r="R45" i="14"/>
  <c r="S31" i="14"/>
  <c r="R31" i="14"/>
  <c r="S16" i="14"/>
  <c r="R16" i="14"/>
  <c r="A120" i="14"/>
  <c r="A110" i="14"/>
  <c r="A111" i="14"/>
  <c r="A115" i="14"/>
  <c r="A116" i="14"/>
  <c r="A103" i="14"/>
  <c r="A104" i="14"/>
  <c r="A105" i="14"/>
  <c r="A99" i="14"/>
  <c r="A100" i="14"/>
  <c r="A95" i="14"/>
  <c r="A91" i="14"/>
  <c r="A81" i="14"/>
  <c r="A77" i="14"/>
  <c r="A64" i="14"/>
  <c r="A60" i="14"/>
  <c r="A37" i="14"/>
  <c r="A38" i="14"/>
  <c r="A39" i="14"/>
  <c r="A29" i="14"/>
  <c r="A22" i="14"/>
  <c r="J127" i="14"/>
  <c r="J128" i="14"/>
  <c r="J125" i="14"/>
  <c r="J126" i="14"/>
  <c r="A76" i="14" l="1"/>
  <c r="K76" i="14"/>
  <c r="L76" i="14"/>
  <c r="A78" i="14"/>
  <c r="A79" i="14"/>
  <c r="L37" i="14"/>
  <c r="K37" i="14"/>
  <c r="M76" i="14" l="1"/>
  <c r="M37" i="14"/>
  <c r="A36" i="14" l="1"/>
  <c r="A40" i="14"/>
  <c r="A41" i="14"/>
  <c r="A42" i="14"/>
  <c r="A43" i="14"/>
  <c r="A44" i="14"/>
  <c r="A45" i="14"/>
  <c r="A46" i="14"/>
  <c r="A47" i="14"/>
  <c r="A48" i="14"/>
  <c r="A49" i="14"/>
  <c r="A50" i="14"/>
  <c r="A51" i="14"/>
  <c r="A52" i="14"/>
  <c r="A53" i="14"/>
  <c r="A54" i="14"/>
  <c r="A55" i="14"/>
  <c r="A56" i="14"/>
  <c r="A57" i="14"/>
  <c r="A58" i="14"/>
  <c r="A59" i="14"/>
  <c r="A61" i="14"/>
  <c r="A62" i="14"/>
  <c r="A63" i="14"/>
  <c r="A65" i="14"/>
  <c r="A66" i="14"/>
  <c r="A67" i="14"/>
  <c r="A68" i="14"/>
  <c r="A69" i="14"/>
  <c r="A70" i="14"/>
  <c r="A71" i="14"/>
  <c r="A72" i="14"/>
  <c r="A73" i="14"/>
  <c r="A74" i="14"/>
  <c r="A75" i="14"/>
  <c r="A80" i="14"/>
  <c r="A82" i="14"/>
  <c r="A83" i="14"/>
  <c r="A84" i="14"/>
  <c r="A85" i="14"/>
  <c r="A86" i="14"/>
  <c r="A87" i="14"/>
  <c r="A88" i="14"/>
  <c r="A89" i="14"/>
  <c r="A90" i="14"/>
  <c r="A92" i="14"/>
  <c r="A93" i="14"/>
  <c r="A94" i="14"/>
  <c r="A96" i="14"/>
  <c r="A97" i="14"/>
  <c r="A98" i="14"/>
  <c r="A101" i="14"/>
  <c r="A102" i="14"/>
  <c r="A106" i="14"/>
  <c r="A109" i="14"/>
  <c r="A112" i="14"/>
  <c r="A113" i="14"/>
  <c r="A114" i="14"/>
  <c r="A117" i="14"/>
  <c r="A118" i="14"/>
  <c r="A119" i="14"/>
  <c r="A121" i="14"/>
  <c r="A122" i="14"/>
  <c r="A35" i="14"/>
  <c r="A34" i="14"/>
  <c r="A33" i="14"/>
  <c r="A3" i="14"/>
  <c r="A4" i="14"/>
  <c r="A6" i="14"/>
  <c r="A7" i="14"/>
  <c r="A8" i="14"/>
  <c r="A9" i="14"/>
  <c r="A10" i="14"/>
  <c r="A11" i="14"/>
  <c r="A12" i="14"/>
  <c r="A13" i="14"/>
  <c r="A14" i="14"/>
  <c r="A15" i="14"/>
  <c r="A16" i="14"/>
  <c r="A17" i="14"/>
  <c r="A18" i="14"/>
  <c r="A19" i="14"/>
  <c r="A20" i="14"/>
  <c r="A21" i="14"/>
  <c r="A23" i="14"/>
  <c r="A24" i="14"/>
  <c r="A25" i="14"/>
  <c r="A26" i="14"/>
  <c r="A27" i="14"/>
  <c r="A28" i="14"/>
  <c r="A30" i="14"/>
  <c r="A31" i="14"/>
  <c r="A32" i="14"/>
  <c r="A5" i="14"/>
  <c r="D125" i="14"/>
  <c r="R4" i="14"/>
  <c r="K18" i="14"/>
  <c r="L18" i="14"/>
  <c r="M18" i="14" l="1"/>
  <c r="L73" i="14" l="1"/>
  <c r="K73" i="14"/>
  <c r="L25" i="14"/>
  <c r="K25" i="14"/>
  <c r="L32" i="14"/>
  <c r="K32" i="14"/>
  <c r="L46" i="14"/>
  <c r="K46" i="14"/>
  <c r="L33" i="14"/>
  <c r="K33" i="14"/>
  <c r="L40" i="14"/>
  <c r="K40" i="14"/>
  <c r="L43" i="14"/>
  <c r="K43" i="14"/>
  <c r="K47" i="14"/>
  <c r="L47" i="14"/>
  <c r="L17" i="14"/>
  <c r="K17" i="14"/>
  <c r="L4" i="14"/>
  <c r="K4" i="14"/>
  <c r="L28" i="14"/>
  <c r="K28" i="14"/>
  <c r="L109" i="14"/>
  <c r="K109" i="14"/>
  <c r="L114" i="14"/>
  <c r="K114" i="14"/>
  <c r="L119" i="14"/>
  <c r="K119" i="14"/>
  <c r="L124" i="14"/>
  <c r="K124" i="14"/>
  <c r="L108" i="14"/>
  <c r="K108" i="14"/>
  <c r="L102" i="14"/>
  <c r="K102" i="14"/>
  <c r="L90" i="14"/>
  <c r="K90" i="14"/>
  <c r="L98" i="14"/>
  <c r="K98" i="14"/>
  <c r="L123" i="14"/>
  <c r="K123" i="14"/>
  <c r="L107" i="14"/>
  <c r="K107" i="14"/>
  <c r="L80" i="14"/>
  <c r="K80" i="14"/>
  <c r="L84" i="14"/>
  <c r="K84" i="14"/>
  <c r="L53" i="14"/>
  <c r="K53" i="14"/>
  <c r="L67" i="14"/>
  <c r="K67" i="14"/>
  <c r="L59" i="14"/>
  <c r="K59" i="14"/>
  <c r="L70" i="14"/>
  <c r="K70" i="14"/>
  <c r="L63" i="14"/>
  <c r="K63" i="14"/>
  <c r="L87" i="14"/>
  <c r="K87" i="14"/>
  <c r="L94" i="14"/>
  <c r="K94" i="14"/>
  <c r="L56" i="14"/>
  <c r="K56" i="14"/>
  <c r="L50" i="14"/>
  <c r="K50" i="14"/>
  <c r="L34" i="14"/>
  <c r="K34" i="14"/>
  <c r="L21" i="14"/>
  <c r="K21" i="14"/>
  <c r="L5" i="14"/>
  <c r="K5" i="14"/>
  <c r="L8" i="14"/>
  <c r="K8" i="14"/>
  <c r="L14" i="14"/>
  <c r="K14" i="14"/>
  <c r="L11" i="14"/>
  <c r="K11" i="14"/>
  <c r="L3" i="14"/>
  <c r="K3" i="14"/>
  <c r="M28" i="14" l="1"/>
  <c r="M25" i="14"/>
  <c r="M3" i="14"/>
  <c r="M14" i="14"/>
  <c r="M21" i="14"/>
  <c r="M94" i="14"/>
  <c r="M59" i="14"/>
  <c r="M80" i="14"/>
  <c r="M98" i="14"/>
  <c r="M102" i="14"/>
  <c r="M46" i="14"/>
  <c r="M73" i="14"/>
  <c r="M8" i="14"/>
  <c r="M87" i="14"/>
  <c r="M108" i="14"/>
  <c r="M32" i="14"/>
  <c r="M124" i="14"/>
  <c r="M4" i="14"/>
  <c r="M47" i="14"/>
  <c r="M34" i="14"/>
  <c r="M67" i="14"/>
  <c r="M114" i="14"/>
  <c r="M107" i="14"/>
  <c r="M33" i="14"/>
  <c r="M56" i="14"/>
  <c r="M5" i="14"/>
  <c r="M50" i="14"/>
  <c r="M63" i="14"/>
  <c r="M11" i="14"/>
  <c r="M70" i="14"/>
  <c r="M84" i="14"/>
  <c r="M123" i="14"/>
  <c r="M119" i="14"/>
  <c r="M109" i="14"/>
  <c r="M17" i="14"/>
  <c r="M90" i="14"/>
  <c r="M5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<sst xmlns="http://schemas.openxmlformats.org/spreadsheetml/2006/main" count="2441" uniqueCount="811">
  <si>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</si>
  <si>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</si>
  <si>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</si>
  <si>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</si>
  <si>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</si>
  <si>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</si>
  <si>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</si>
  <si>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</si>
  <si>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</si>
  <si>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</si>
  <si>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</si>
  <si>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</si>
  <si>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</si>
  <si>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</si>
  <si>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</si>
  <si>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</si>
  <si>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</si>
  <si>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</si>
  <si>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de Sistemas</t>
  </si>
  <si>
    <t>Presencial</t>
  </si>
  <si>
    <t>El ingeniero de sistemas de la Institución Universitaria Politécnico Grancolombiano posee una formación integral que le permite intervenir en distintas fases de proyectos de tecnologías de la información, generando valor a los procesos organizacionales. Asimismo, diseña e implementa soluciones de software orientadas al desarrollo tecnológico y a la construcción de sistemas computacionales alineados con los objetivos del país. Su desempeño se caracteriza por el uso responsable del conocimiento, la autonomía, el pensamiento crítico y una actitud ética y honesta en el ámbito de los sistemas informáticos y la computación.</t>
  </si>
  <si>
    <t>El egresado de Ingeniería de Sistemas posee competencias técnicas que le permiten aportar en diversas etapas del ciclo de vida del software y de los sistemas de información. Está preparado para desempeñarse en funciones de desarrollo de aplicaciones, análisis de requerimientos, consultoría, dirección de proyectos, infraestructura tecnológica, arquitectura de la información y gestión de bases de datos, contribuyendo con soluciones innovadoras y eficientes a las demandas del sector productivo nacional.</t>
  </si>
  <si>
    <t>Ingeniería de software e infraestructura TIC</t>
  </si>
  <si>
    <t>diseñar soluciones de software</t>
  </si>
  <si>
    <t>alineadas con prácticas basadas en estándares y marcos de referencia aplicados en los sistemas empresariales u organizacionales.</t>
  </si>
  <si>
    <t>Análisis de sistemas
Desarrollo de software
Administración de sistemas
Diseño y administración de bases de datos
Consultoría de sistemas</t>
  </si>
  <si>
    <t>Analizar software y sistemas de información
Diseñar sistemas TI
Diseñar sistemas informáticos
Analizar y diseñar sistemas
Implemetar procesos de negocio de tecnología de la información
proponer arquitecturas de información para análisis de negocio
Diseño de software.
Aplicar metodologías de desarrollo de software.</t>
  </si>
  <si>
    <t>Sistemas informáticos
Sistemas de producción de software
Sistemas informáticos
Datos e información de la organización</t>
  </si>
  <si>
    <t>El graduado en Ingeniería de Sistemas del Politécnico Grancolombiano se distingue por su capacidad de abordar problemas complejos con un enfoque estructurado y analítico, optimizando recursos y diseñando soluciones eficientes. Su formación le permite desarrollar un pensamiento lógico riguroso, descomponer problemas en componentes fundamentales y construir modelos precisos que mejoran el desempeño de los sistemas computacionales. Esta habilidad para razonar con claridad, abstraer conceptos y aplicar principios formales en el desarrollo de tecnología lo convierte en un profesional altamente competitivo, preparado para enfrentar desafíos en diversos campos de la industria, desde la implementación de algoritmos hasta la innovación en software y la toma de decisiones basada en datos.</t>
  </si>
  <si>
    <t>Esquemas de representación de información</t>
  </si>
  <si>
    <t>manipular la información adecuadamente</t>
  </si>
  <si>
    <t>considerando principios de integridad, de acuerdo con los retos propios del sector.</t>
  </si>
  <si>
    <t>Algoritmia y programación</t>
  </si>
  <si>
    <t xml:space="preserve">construir soluciones computacionales </t>
  </si>
  <si>
    <t>integrando criterios de eficiencia, según las necesidades tecnológicas de las empresas u organizaciones.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</si>
  <si>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</si>
  <si>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</si>
  <si>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</si>
  <si>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</si>
  <si>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</si>
  <si>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</si>
  <si>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</si>
  <si>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</si>
  <si>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</si>
  <si>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</si>
  <si>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</si>
  <si>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</si>
  <si>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</si>
  <si>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</si>
  <si>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</si>
  <si>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</si>
  <si>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</si>
  <si>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</si>
  <si>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</si>
  <si>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los conceptos propios de la ingeniería de software y la infraestructura TIC para diseñar soluciones de software, alineadas con prácticas basadas en estándares y marcos de referencia aplicados en sistemas empresariales u organizacionales.</t>
  </si>
  <si>
    <t>Específica</t>
  </si>
  <si>
    <t>Diseñar</t>
  </si>
  <si>
    <t>Diseñar esquemas de representación para manipular apropiadamente la información, considerando principios de integridad, de acuerdo con los retos propios del sector.</t>
  </si>
  <si>
    <t>Dominar conceptos de algoritmia y programación para construir soluciones computacionales, integrando criterios de eficiencia, según las necesidades tecnológicas de las empresas u organizaciones.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</si>
  <si>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</si>
  <si>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</si>
  <si>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</si>
  <si>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</si>
  <si>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</si>
  <si>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</si>
  <si>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</si>
  <si>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</si>
  <si>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</si>
  <si>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</si>
  <si>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</si>
  <si>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</si>
  <si>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</si>
  <si>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</si>
  <si>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</si>
  <si>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</si>
  <si>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</si>
  <si>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</si>
  <si>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</si>
  <si>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</si>
  <si>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</si>
  <si>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</si>
  <si>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</si>
  <si>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</si>
  <si>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SíntesisBAK</t>
  </si>
  <si>
    <t>Interpretar</t>
  </si>
  <si>
    <t>Interpreta patrones de arquitectura y diseño de software, así como de infraestructura TIC, para determinar las necesidades técnicas y tecnológicas de los sistemas de información, según las condiciones que emergen en los proyectos de software.</t>
  </si>
  <si>
    <t>ProcedimentalBAK</t>
  </si>
  <si>
    <t>PrecisiónBAK</t>
  </si>
  <si>
    <t>Producir</t>
  </si>
  <si>
    <t>Produce artefactos de software para estructurar soluciones correspondientes, según las condiciones y restricciones del contexto.</t>
  </si>
  <si>
    <t>ActitudinalBAK</t>
  </si>
  <si>
    <t>OrganizarBAK</t>
  </si>
  <si>
    <t>Identificar</t>
  </si>
  <si>
    <t>Identifica los requisitos de sistemas que emergen en contextos de desarrollo tecnológico, teniendo en cuenta los referentes técnicos y normativos, para formular propuestas y proyectos, incorporando criterios de eficiencia e integridad en entornos empresariales u organizacionales.</t>
  </si>
  <si>
    <t>AnálisisBAK</t>
  </si>
  <si>
    <t>Analiza estructuras de representación de datos para determinar su idoneidad en la resolución de problemas computacionales, teniendo en cuenta los requerimientos tecnológicos del contexto.</t>
  </si>
  <si>
    <t>ControlBAK</t>
  </si>
  <si>
    <t>Utilizar</t>
  </si>
  <si>
    <t>Utiliza herramientas y tecnologías de almacenamiento, gestión y transformación de los datos para obtener información, según las condiciones y restricciones que se observen en el contexto.</t>
  </si>
  <si>
    <t>Articular</t>
  </si>
  <si>
    <t>Articula principios de algoritmia y programación para establecer la viabilidad técnica de soluciones computacionales, según el tipo de usuario y las condiciones del entorno tecnológico.</t>
  </si>
  <si>
    <t>Implementar</t>
  </si>
  <si>
    <t>Implementa algoritmos para generar soluciones computacionales, siguiendo métodos, técnicas y estructuras propios de los paradigmas de programación.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</si>
  <si>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</si>
  <si>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</si>
  <si>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</si>
  <si>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</si>
  <si>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</si>
  <si>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</si>
  <si>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</si>
  <si>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</si>
  <si>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</si>
  <si>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</si>
  <si>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</si>
  <si>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</si>
  <si>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</si>
  <si>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</si>
  <si>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</si>
  <si>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</si>
  <si>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Visitas técnicas</t>
  </si>
  <si>
    <t>Realización de visitas técnicas presenciales y virtuales a empresas públicas y privadas afines a las asignaturas del programa con el fin de reconocer  los elementos conceptuales vistos en el aula en espacios de aplicación real en empresas del sector e identificar los entornos empresariales de aplicación de los conocimientos adquiridos, así como las tendencias de la industria.</t>
  </si>
  <si>
    <t>Número de estudiantes que participan en la estrategia por año.</t>
  </si>
  <si>
    <t>Informar a estudiantes y docentes, mediante un informe anual, el grado de alineación entre lo observado en las visitas técnicas y los resultados de aprendizaje del programa.
Formar a los estudiantes, a través de talleres posteriores a las visitas, en la aplicación práctica de los conceptos observados en empresas reales.</t>
  </si>
  <si>
    <t>Listados de participación.</t>
  </si>
  <si>
    <t>Número de veces que se realiza la estrategia por año.</t>
  </si>
  <si>
    <t>Informe o Reporte.</t>
  </si>
  <si>
    <t>Valoración del nivel de aporte de la estrategia a los resultados de aprendizaje del programa.</t>
  </si>
  <si>
    <t>Encuesta de valoración.</t>
  </si>
  <si>
    <t>Monitorias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</si>
  <si>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</si>
  <si>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Número de estudiantes que participan en la estrategia por periodo académico.</t>
  </si>
  <si>
    <t>Prevenir dificultades recurrentes en el aprendizaje al identificar, durante las monitorías, los temas en los que los estudiantes muestran mayores vacíos conceptuales.
Ayudar a tomar decisiones sobre ajustes pedagógicos en las asignaturas al sistematizar la información recogida en las monitorías.</t>
  </si>
  <si>
    <t>Número de veces que se realiza la estrategia por periodo académico.</t>
  </si>
  <si>
    <t>Líderes académicos en el aula</t>
  </si>
  <si>
    <t>Incentivar a los estudiantes que participan de los espacios académicos, desarrollar habilidades blandas como liderazgo, trabajo en equipo, comunicación asertiva, ejerciendo un papel como líder académico al interior del aula. De tal forma que pueda ser un enlace entre el docente y el grupo de estudiantes.</t>
  </si>
  <si>
    <t>Número de estudiantes que participan en la estrategia.</t>
  </si>
  <si>
    <t>Formar a los estudiantes líderes en habilidades de comunicación y gestión académica que potencien su papel como enlace entre el docente y el grupo.</t>
  </si>
  <si>
    <t>Consultorías, auditorías e interventorias</t>
  </si>
  <si>
    <t>Designación de expertos en temáticas específicas de las TIC, encargados de definir de forma dinámica los campos de desarrollo de procesos de consultorías, auditorías e interventorías.
Creación de espacios conformados por estudiantes, egresados, docentes y expertos capacitados para desarrollar procesos de consultoría y/o auditoría en temáticas asociadas a la ingeniería de telecomunicaciones.</t>
  </si>
  <si>
    <t>Informar a la comunidad académica sobre los resultados, hallazgos y aprendizajes derivados de los procesos de consultoría, auditoría e interventoría desarrollados con participación estudiantil.
Ayudar a tomar decisiones sobre la actualización curricular y las líneas de proyección del programa a partir de la sistematización de los aportes y necesidades identificadas en dichos procesos.</t>
  </si>
  <si>
    <t>Número de oportunidades de consultoría, auditoría e interventoría desarrolladas con medición anual.</t>
  </si>
  <si>
    <t>Grupos de interés
(Asociaciones, grupos de estudio)</t>
  </si>
  <si>
    <t>Grupos estudiantiles adscritos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</si>
  <si>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Prevenir la desconexión entre las actividades de los grupos y los objetivos curriculares mediante un seguimiento de sus proyectos y logros.</t>
  </si>
  <si>
    <t>Relación de actividades desarrolladas en el grupo de interés con actividades del perfil ocupacional del programa.</t>
  </si>
  <si>
    <t>Semilleros</t>
  </si>
  <si>
    <t>Grupos de trabajo orientados a la discusión y apropiación en diferentes áreas temáticas propuestas por la facultad, adquiriendo en esta dinámica habilidades investigativas.
Se generan a partir del desarrollo de las líneas de investigación del grupo CITIC y estan liderados por docentes con asignación de investigación de la escuela TIC</t>
  </si>
  <si>
    <t>Informar periódicamente a estudiantes y docentes sobre los avances, productos y logros obtenidos en los semilleros, destacando su aporte a los resultados de aprendizaje del programa.
Formar a los participantes en metodologías de investigación aplicada que fortalezcan su capacidad para producir software, gestionar datos e implementar algoritmos en proyectos académicos.</t>
  </si>
  <si>
    <t>Listas de participación.</t>
  </si>
  <si>
    <t>Tutorías</t>
  </si>
  <si>
    <t>Espacios en los que se recibe ayuda y realimentación por parte de profesores, de manera presencial o en línea, respecto a temas o actividades del diario vivir del estudiante, haciendo uso de las herramientas tecnológicas apropiadas para los fines.</t>
  </si>
  <si>
    <t>Prevenir la repetición de dificultades de aprendizaje al registrar y analizar los temas más consultados en las tutorías para orientar mejoras pedagógicas.
Ayudar a tomar decisiones sobre la pertinencia de reforzar ciertos contenidos o metodologías en las asignaturas a partir de la evidencia recogida en las tutorías.</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</si>
  <si>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</si>
  <si>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</si>
  <si>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</si>
  <si>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</si>
  <si>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</si>
  <si>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</si>
  <si>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</si>
  <si>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</si>
  <si>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</si>
  <si>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</si>
  <si>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</si>
  <si>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</si>
  <si>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</si>
  <si>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</si>
  <si>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</si>
  <si>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</si>
  <si>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</si>
  <si>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</si>
  <si>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</si>
  <si>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</si>
  <si>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</si>
  <si>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</si>
  <si>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</si>
  <si>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</si>
  <si>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</si>
  <si>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</si>
  <si>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</si>
  <si>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</si>
  <si>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</si>
  <si>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</si>
  <si>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</si>
  <si>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</si>
  <si>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</si>
  <si>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</si>
  <si>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</si>
  <si>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</si>
  <si>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</si>
  <si>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</si>
  <si>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</si>
  <si>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</si>
  <si>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</si>
  <si>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</si>
  <si>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</si>
  <si>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</si>
  <si>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</si>
  <si>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</si>
  <si>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</si>
  <si>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</si>
  <si>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</si>
  <si>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</si>
  <si>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</si>
  <si>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</si>
  <si>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</si>
  <si>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</si>
  <si>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</si>
  <si>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</si>
  <si>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</si>
  <si>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</si>
  <si>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</si>
  <si>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</si>
  <si>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</si>
  <si>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</si>
  <si>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</si>
  <si>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</si>
  <si>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Introducción a las Redes de Datos</t>
  </si>
  <si>
    <t>Identifica los elementos que hacen parte de una red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una red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una red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</si>
  <si>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 xml:space="preserve">	1.	Fundamentos de redes de datos
	2.	Modelos de referencia OSI y TCP/IP
	3.	Protocolos de comunicación
	4.	Configuración básica de redes</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</si>
  <si>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</si>
  <si>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Formativa:
Trabajo en clase.
Sumativa:
Pruebas conceptuales.
Trabajo en clase.
Exámenes.
Avances del proyecto de aul</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</si>
  <si>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</si>
  <si>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</si>
  <si>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</si>
  <si>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</si>
  <si>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Formativa:
Exposiciones
PIF
Sumativa:
Trabajos escritos
Exposiciones
PIF</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</si>
  <si>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</si>
  <si>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</si>
  <si>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</si>
  <si>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</si>
  <si>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</si>
  <si>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Formativa:
Trabajo en clase.
Sumativa:
Pruebas conceptuales.
Trabajo en clase.
Exámenes.
Avances del proyecto de aula.</t>
  </si>
  <si>
    <t>Pensamiento Sistémico</t>
  </si>
  <si>
    <t>Identifica las partes que conforman un sistema y las relaciones entre ellas para crear un modelo que lo represente.
Crea diagramas sencillos de representación de sistemas para determinar el tipo de retroalimentación entre sus componentes.
Discrimina los efectos que tiene cada una de las partes de un sistema sobre las demás para identificar la dinámica emergente del sistema como un todo.</t>
  </si>
  <si>
    <t>1. Fundamentos de pensamiento sistémico
2. Diagramas de bucle causal
3. Dinámica de sistemas
4. Control de sistemas</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</si>
  <si>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</si>
  <si>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Formativa:
Trabajo en clase
Sumativa:
Estudio de casos
Resolución de problemas
Desarrollo de proyectos
Talleres
Exposiciones
Pruebas escritas</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</si>
  <si>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</si>
  <si>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</si>
  <si>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</si>
  <si>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</si>
  <si>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</si>
  <si>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</si>
  <si>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</si>
  <si>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</si>
  <si>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</si>
  <si>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Las estrategias pueden variar entre las siguientes u otras que puedan ser pertinentes para el proceso de aprendizaje.
Evaluación formativa:
Resolución de problemas.
Soluciones numéricas.
Uso de herramientas computacionales.
Tareas. 
Evaluación sumativa: 
Evaluación parcial. 
Quiz. 
Taller / Laboratorios. 
Proyecto de investigación formativa.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</si>
  <si>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</si>
  <si>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</si>
  <si>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</si>
  <si>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Herramientas de Lógica Computacional</t>
  </si>
  <si>
    <t>Transforma proposiciones existentes en el mundo real a proposiciones de lógica de predicados para modelar la lógica computacional.
Aplica las operaciones de álgebra booleana para determinar valores de verdad de proposiciones.
Usa diferentes métodos de demostración para establecer propiedades elementales de los números.</t>
  </si>
  <si>
    <t>1. Lógica proposicional
2. Métodos de Demostración
3. Cálculo de predicados
4. Introducción a la teoría de conjuntos</t>
  </si>
  <si>
    <t>Las estrategias pueden variar entre estas y otras que emerjan en el proceso formativo.
Trabajo directo:
Clase magistral activa
Desarrollo de ejercicios en clase
Asesorías Extra clase 
Trabajo independiente:
Talleres de aplicación del tema
Revisión bibliografía recomendada</t>
  </si>
  <si>
    <t>Análisis y Diseño de Sistemas</t>
  </si>
  <si>
    <t>Genera modelos de una organización usando herramientas gráficas para identificar los flujos de información en el contexto de un caso de estudio.
Identifica necesidades de información para generar un análisis de los requerimientos de información en el contexto de un caso de estudio.</t>
  </si>
  <si>
    <t>1. Introducción a los sistemas, roles y metodologías de desarrollo
2. Comprensión y modelado de los sistemas organizacionales
3. Análisis de los requerimientos de información 
4. Fundamentos del diseño de sistemas</t>
  </si>
  <si>
    <t>Las estrategias pueden variar entre estas y otras que emerjan en el proceso formativo.
Trabajo directo
Clase magistral activa
Estudio de casos
Talleres individuales
Trabajo con herramientas digitales
Trabajo independiente
Lecturas
Resolución de problemas
Uso de herramientas computacionales
Proyectos individuales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</si>
  <si>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</si>
  <si>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</si>
  <si>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</si>
  <si>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</si>
  <si>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</si>
  <si>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</si>
  <si>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</si>
  <si>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</si>
  <si>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</si>
  <si>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Elementos de Teorías de la Computación</t>
  </si>
  <si>
    <t>Aplica los conceptos lógicos y conjuntistas para demostrar propiedades de las operaciones conjuntistas.
Analiza ecuaciones recurrentes para modelar fenómenos sucesivos.
Usa de manera correcta conceptos de conteo para resolver problemas prácticos o teóricos.</t>
  </si>
  <si>
    <t>1. Técnicas de demostración en teoría elemental de conjuntos
2. Ecuaciones recurrentes e inducción matemática
3. Aritmética modular
4. Permutaciones y combinaciones</t>
  </si>
  <si>
    <t>Las estrategias pueden variar entre estas y otras que emerjan en el proceso formativo.
Trabajo directo:
Clase magistral activa
Desarrollo de ejercicios en clase
Asesorías Extra clase 
Trabajo independiente:
Talleres de aplicación del tema
Revisión bibliografía recomendada
Actividades de refuerzo</t>
  </si>
  <si>
    <t>Estructuras de Datos</t>
  </si>
  <si>
    <t xml:space="preserve">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  </t>
  </si>
  <si>
    <t>1. Introducción al análisis de algoritmos
2. Estructuras de datos lineales
3. Estructuras de datos jerárquicas
4. Tablas hash y grafos</t>
  </si>
  <si>
    <t>Las estrategias pueden variar entre estas y otras que emerjan en el proceso formativo.
Trabajo directo:
Clase magistral
Ejemplos y talleres en clase.
Trabajo independiente:
Lecturas complementarias.
Talleres de trabajo autónomo.
Actividades de refuerzo.</t>
  </si>
  <si>
    <t>Paradigmas de Programación</t>
  </si>
  <si>
    <t>Elige un lenguaje de programación según las características del paradigma para construir soluciones apropiadas.
Usa un lenguaje orientado a objetos para desarrollar programas aplicando los conceptos que lo definen.
Emplea los paradigmas de programación funcional y lógico para la creación de programas simples.</t>
  </si>
  <si>
    <t>1. Exploración de los principales paradigmas de programación
2. Paradigma de programación orientada a objetos
3. Paradigma de programación funcional
4. Paradigma de programación lógica</t>
  </si>
  <si>
    <t>Las estrategias pueden variar entre estas y otras que emerjan en el proceso formativo.
Trabajo directo:
Clase magistral, Talleres en clase
Trabajo independiente:
Lecturas complementarias (capítulos de libros y artículos), listas de ejercicios para trabajo en casa, uso de recursos multimedia disponibles en la web.</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</si>
  <si>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</si>
  <si>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</si>
  <si>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</si>
  <si>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</si>
  <si>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</si>
  <si>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</si>
  <si>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</si>
  <si>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</si>
  <si>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</si>
  <si>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</si>
  <si>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</si>
  <si>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Las estrategias pueden variar entre estas y otras que emerjan en el proceso formativo.
Trabajo directo:
Clase magistral activa 
Practicas guiadas de laboratorio
Talleres programados con casos reales
Trabajo independiente
Prácticas de aplicación y laboratorio
Lecturas 
Desarrollo de proyecto de aula</t>
  </si>
  <si>
    <t>Autómatas, Gramáticas y Lenguajes</t>
  </si>
  <si>
    <t xml:space="preserve">Emplea máquinas de estados finitos para procesar y generar lenguajes de acuerdo con la teoría de Chomsky.
Construye máquinas de estados finitos para ejecutar tareas algorítmicas sencillas.
Reconoce los conceptos de computabilidad y complejidad para analizar un problema. </t>
  </si>
  <si>
    <t>1. Introducción a modelos computacionales
2. Autómatas finitos
3. Lenguajes libres de contexto
4. Intratabilidad</t>
  </si>
  <si>
    <t>Las estrategias pueden variar entre estas y otras que emerjan en el proceso formativo.
Trabajo directo:
Clases Magistrales
Talleres en clase
Trabajo independiente:
Desarrollo de talleres en casa
Lecturas complementarias
Actividades de refuerzo
Tutorías o monitorias</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</si>
  <si>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</si>
  <si>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</si>
  <si>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</si>
  <si>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Trabajo directo:
Talleres (individuales o grupales)
Resolución de problemas
Preguntas intercaladas
Analogías
Simuladores
Señalizaciones 
Trabajo independiente:
Lecturas
Simuladores 
Organizadores previos
Talleres (individuales o grupales)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</si>
  <si>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</si>
  <si>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</si>
  <si>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</si>
  <si>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Las estrategias pueden variar entre estas y otras que emerjan en el proceso formativo.
Trabajo directo:
Clase magistral activa
Asesorías extra clase
Trabajo independiente: 
Ejercicios de lectura
Actividades de refuerzo
Presentación de un proyecto de profundización a partir de un ejercicio investigativo</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</si>
  <si>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</si>
  <si>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</si>
  <si>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</si>
  <si>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Bases de Datos en la Nube</t>
  </si>
  <si>
    <t>Diseña bases de datos para desarrollar sistemas de información en infraestructura propia o de nube.
Reconoce los elementos de un sistema de bases de datos para diseñar soluciones de implementación de software en contextos de casos de estudio.</t>
  </si>
  <si>
    <t xml:space="preserve">
1. Fundamentos de las bases de datos NoSQL.
2. Arquitecturas y Modelos de bd NoSQL
3. Ecosistemas de bases de datos en la nube.
4. Aplicaciones de bases de datos en la nube.</t>
  </si>
  <si>
    <t>Las estrategias pueden variar entre estas y otras que emerjan en el proceso formativo.
Trabajo directo:
Clase magistral activa 
Practicas guiadas de laboratorio
Talleres programados con casos reales
Trabajo independiente
Practicas de aplicación y laboratorio
Lecturas 
Desarrollo de proyecto de aula</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</si>
  <si>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</si>
  <si>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</si>
  <si>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</si>
  <si>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Las estrategias pueden variar entre estas y otras que emerjan en el proceso formativo.
Clase magistral activa 
Practicas guiadas de laboratorio
Talleres programados con casos reales
Trabajo independiente
Practicas de aplicación y laboratorio
Lecturas 
Desarrollo de proyecto de aula</t>
  </si>
  <si>
    <t>Investigación de Operaciones</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</si>
  <si>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t>
  </si>
  <si>
    <t>1.Programación lineal y formulación
2.Métodos de solución - Lenguaje de modelaje matemático
3.Teoría de la dualidad y análisis de sensibilidad
4.Flujo en redes</t>
  </si>
  <si>
    <t>Las estrategias pueden variar entre estas y otras que emerjan en el proceso formativo.
Trabajo directo:
Clase magistral activa
Uso de elementos asociados con los métodos de: Aprendizaje basado en proyectos; Aprendizaje basado en problemas; Estudio de caso; Clase expositiva; TIC; Demostración
Trabajo independiente:
Simulación; Aprendizaje basado en investigación; Aprendizaje basado en equipos</t>
  </si>
  <si>
    <t>Métodos Numéricos</t>
  </si>
  <si>
    <t xml:space="preserve">Implementa métodos y herramientas de aproximación numérica para resolver problemas teóricos y aplicados que involucren ecuaciones, ajuste de curvas, cálculo diferencial e integral, y ecuaciones diferenciales ordinarias. </t>
  </si>
  <si>
    <t xml:space="preserve"> 1. Solución numérica de ecuaciones y sistemas de ecuaciones. 
2. Ajuste de curvas 
3. Derivación e Integración numérica 
4. Solución numérica de ecuaciones diferenciales ordinarias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</si>
  <si>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</si>
  <si>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Ingeniería de Software II</t>
  </si>
  <si>
    <t>Realiza estimaciones de requisitos y funcionalidades para medir tiempo, alcance y recursos dentro del desarrollo de proyectos de construcción de software.
Define planes de ejecución y pruebas tanto unitarios, de integración y de usuario final acordes al plan de construcción definido para implementar estrategias de aseguramiento de calidad del software.
Construye soluciones de software acordes a un diseño para satisfacer requisitos funcionales y no funcionales.</t>
  </si>
  <si>
    <t xml:space="preserve">1. Panorama de la ingeniería de software                                                
2. Planeación y estimación de proyectos de ingeniería de software                                                
3. Patrones de diseño y arquitectura de software                               
4. Gestión de calidad, testing y documentación          </t>
  </si>
  <si>
    <t>Infraestructura en la Nube</t>
  </si>
  <si>
    <t>Identifica los elementos que hacen parte de sistemas de cómputo, redes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sistemas de cómputo, redes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sistemas de cómputo, redes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</si>
  <si>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</si>
  <si>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Desarrollo Web</t>
  </si>
  <si>
    <t>Construye la implementación de la parte del servidor usando un framework para generar una aplicación web.
Construye la implementación de la parte del cliente usando un framework para generar una aplicación web.
Adapta las implementaciones de la parte del servidor y de la parte del cliente para entregar una aplicación web.</t>
  </si>
  <si>
    <t>1. Conceptos de la arquitectura de las aplicaciones web
2. Framework de desarrollo para parte del servidor, capa de lógica de negocio o backend 
3. Librerías disponibles en los frameworks
4. Framework de desarrollo para parte del cliente, capa de presentación o frontend</t>
  </si>
  <si>
    <t>Fundamentos de Ciencia de Datos</t>
  </si>
  <si>
    <t>Reconoce las etapas del proceso de ciencia de datos para desarrollar soluciones a problemas en un contexto de caso de estudio.
Implementa reportes de análisis de datos para visualizar gráficos de datos en un caso de estudio.</t>
  </si>
  <si>
    <t>1. Conceptos básicos de Ciencia de Datos
2. Proceso de ciencia de datos
3. Estadística y probabilidad para Ciencia de Datos.
4. Comunicación efectiva de soluciones de ciencia de datos</t>
  </si>
  <si>
    <t>Análisis y Verificación de Algoritmos</t>
  </si>
  <si>
    <t>Establece la especificación formal de un problema de programación para demostrar la corrección de un algoritmo que lo solucione.
Crea algoritmos eficientes haciendo uso de técnicas de diseño en la resolución de problemas del mundo real.   
Establece la complejidad de los programas en función de su tamaño para identificar los requerimientos de memoria y costo computacional.</t>
  </si>
  <si>
    <t>1. Verificación de programas
2. Análisis de algoritmos
3. Técnicas de diseño de algoritmos
4. Intratabilidad</t>
  </si>
  <si>
    <t>Las estrategias pueden variar entre estas y otras que emerjan en el proceso formativo.
Trabajo directo
Clase magistral activa
Estudio de casos
Talleres individuales
Trabajo con herramientas digitales y computacionales.
Trabajo independiente
Lecturas
Resolución de problemas
Uso de herramientas computacionales
Proyectos individuales</t>
  </si>
  <si>
    <t>Gerencia de Proyectos Informáticos</t>
  </si>
  <si>
    <t>Reconoce los elementos de una metodología de gerencia de proyectos de desarrollo de software para planificar, diseñar y desarrollar soluciones de Tecnologías de la Información en un contexto de un caso de estudio.</t>
  </si>
  <si>
    <t>1. Marco conceptual y aspectos generales
2. Preparación: iniciación y definición- alcance- requisitos
3. Ejecución y control: planeación y asignación de recursos, control y revisión
4. Cierre: Terminación y evaluación</t>
  </si>
  <si>
    <t>Las estrategias pueden variar entre estas y otras que emerjan en el proceso formativo.
Trabajo directo
Clase magistral activa
Estudio de casos
Talleres individuales
Trabajo con herramientas digitales o computacionales.
Trabajo independiente
Lecturas
Resolución de problemas
Uso de herramientas computacionales
Proyectos individuales</t>
  </si>
  <si>
    <t>Sistemas Operacionales</t>
  </si>
  <si>
    <t>Identifica las características de un sistema operacional para hacer la instalación del sistema operativo en una plataforma en contraste con los recursos de hardware disponibles.
Observa los procesos que ejecuta un sistema operacional para construir aplicaciones seguras que saquen el mayor rendimiento del hardware y el software que corra sobre dicha plataforma.
Diseña procedimientos para operar, administrar y proteger un sistema operacional, según la plataforma sobre la que se ejecuta.</t>
  </si>
  <si>
    <t>1. Conceptos fundamentales sistemas operacionales en general y el sistema Linux
2. Gestores de un Sistema Operativo
3. Componentes de un Sistema Operativo
4. Seguridad y Sistemas operacionales para móviles</t>
  </si>
  <si>
    <t>Las estrategias pueden variar entre estas y otras que emerjan en el proceso formativo.
Trabajo directo
Clase magistral activa
Estudio de casos
Talleres individuales
Trabajo con herramientasdigitales o  computacionales
Trabajo independiente
Lecturas
Resolución de problemas
Uso de herramientas computacionales
Proyectos individuales</t>
  </si>
  <si>
    <t>Proyecto Aplicado en Computación</t>
  </si>
  <si>
    <t>Planifica actividades individuales y de equipo para generar propuestas que aporten al cumplimiento de los objetivos de un proyecto aplicado en computación, teniendo en cuenta requisitos y restricciones, de manera autónoma.
Implementa algoritmos para solucionar un problema computacional de manera eficiente.</t>
  </si>
  <si>
    <t>P</t>
  </si>
  <si>
    <t>1. Conceptualización y antecedentes
2. Identificación de soluciones
3. Análisis y evaluación de soluciones
4. Diseño técnico y elaboración de entregables funcionales</t>
  </si>
  <si>
    <t>Las estrategias pueden variar entre estas y otras que emerjan en el proceso formativo.
Trabajo directo:
Clase magistral activa y apoyo con metodologías activas
Trabajo independiente:
Metodologías activas
Desarrollo de proyectos
Talleres
Exposiciones
Pruebas escritas</t>
  </si>
  <si>
    <t>Electiva 1</t>
  </si>
  <si>
    <t>Electiva 2</t>
  </si>
  <si>
    <t>Proyecto Aplicado en Construcción de Software</t>
  </si>
  <si>
    <t>Planifica actividades individuales y de equipo para generar propuestas que aporten al cumplimiento de los objetivos de un proyecto aplicado en construcción de software, teniendo en cuenta requisitos y restricciones, de manera autónoma.
Implementa una solución de software para resolver una necesidad organizacional simulada.</t>
  </si>
  <si>
    <t>Proyecto Aplicado en Infraestructura Informática</t>
  </si>
  <si>
    <t>Planifica actividades individuales y de equipo para generar propuestas que aporten al cumplimiento de los objetivos de un proyecto aplicado en infraestructura informática, teniendo en cuenta requisitos y restricciones, de manera autónoma.
Establece un conjunto de componentes que definen la arquitectura de una solución para resolver una necesidad de infraestructura informática teniendo en cuenta requisitos y restricciones.</t>
  </si>
  <si>
    <t>Sistemas Distribuidos</t>
  </si>
  <si>
    <t>Conecta equipos en red para compartir información y realizar tareas de manera compartida para generar sistemas de información distribuidas.
Construye algoritmos de ejecución en paralelo para mejorar el desempeño de la aplicación.
Administra sistemas de cómputo en la nube, haciendo uso de sus recursos para desarrollo de aplicaciones de software.</t>
  </si>
  <si>
    <t>1. Conceptos fundamentales de sistemas distribuidos
2. Programación y computación paralela
3. Algoritmos distribuidos y bases de datos distribuidas
4. Definición y características de la computación en la nube</t>
  </si>
  <si>
    <t>Las estrategias pueden variar entre estas y otras que emerjan en el proceso formativo.
Trabajo directo
Clase magistral activa
Estudio de casos
Talleres individuales
Trabajo con herramientas digitales o computacionales
Trabajo independiente
Lecturas
Resolución de problemas
Uso de herramientas computacionales
Proyectos individuales</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</si>
  <si>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</si>
  <si>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</si>
  <si>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</si>
  <si>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</si>
  <si>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</si>
  <si>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</si>
  <si>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</si>
  <si>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</si>
  <si>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</si>
  <si>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</si>
  <si>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</si>
  <si>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</si>
  <si>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</si>
  <si>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</si>
  <si>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</si>
  <si>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</si>
  <si>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</si>
  <si>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</si>
  <si>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</si>
  <si>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</si>
  <si>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Establecer</t>
  </si>
  <si>
    <t>Evaluar</t>
  </si>
  <si>
    <t>Fiscalizar</t>
  </si>
  <si>
    <t>Formular</t>
  </si>
  <si>
    <t>Generar</t>
  </si>
  <si>
    <t>Gestionar</t>
  </si>
  <si>
    <t>Hacer</t>
  </si>
  <si>
    <t>Liderar</t>
  </si>
  <si>
    <t>Modelar</t>
  </si>
  <si>
    <t>Participar</t>
  </si>
  <si>
    <t>Planear</t>
  </si>
  <si>
    <t>Presidir</t>
  </si>
  <si>
    <t>Resolver</t>
  </si>
  <si>
    <t>Sistematizar</t>
  </si>
  <si>
    <t>Supervisar</t>
  </si>
  <si>
    <t>Transformar</t>
  </si>
  <si>
    <t>Validar</t>
  </si>
  <si>
    <t>Verificar</t>
  </si>
  <si>
    <t>Garantizar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</si>
  <si>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</si>
  <si>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</si>
  <si>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</si>
  <si>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</si>
  <si>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</si>
  <si>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</si>
  <si>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</si>
  <si>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</si>
  <si>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</si>
  <si>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</si>
  <si>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</si>
  <si>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</si>
  <si>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</si>
  <si>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</si>
  <si>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</si>
  <si>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</si>
  <si>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</si>
  <si>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</si>
  <si>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</si>
  <si>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</si>
  <si>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EvaluaciónBAK</t>
  </si>
  <si>
    <t>ImitaciónBAK</t>
  </si>
  <si>
    <t>PercepciónBAK</t>
  </si>
  <si>
    <t>ResponderBAK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</si>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</sst>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bottom style="thin">
        <color auto="1"/>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17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7" xfId="0" applyFont="1" applyBorder="1" applyAlignment="1">
      <alignment vertical="center" wrapText="1"/>
    </xf>
    <xf numFmtId="0" fontId="11" fillId="12" borderId="7" xfId="0" applyFont="1" applyFill="1" applyBorder="1" applyAlignment="1">
      <alignment horizontal="left" vertical="center" wrapText="1"/>
    </xf>
    <xf numFmtId="0" fontId="13" fillId="0" borderId="0" xfId="0" applyFont="1" applyAlignment="1">
      <alignment horizontal="left" vertical="center" wrapText="1"/>
    </xf>
    <xf numFmtId="0" fontId="13" fillId="0" borderId="19" xfId="0" applyFont="1" applyBorder="1" applyAlignment="1">
      <alignment horizontal="left" vertical="center" wrapText="1"/>
    </xf>
    <xf numFmtId="0" fontId="13" fillId="0" borderId="7" xfId="0" applyFont="1" applyBorder="1" applyAlignment="1">
      <alignment horizontal="left" vertical="center" wrapText="1"/>
    </xf>
    <xf numFmtId="0" fontId="13" fillId="0" borderId="5"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19"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19" xfId="0" applyFont="1" applyBorder="1" applyAlignment="1">
      <alignment vertical="center" wrapText="1"/>
    </xf>
    <xf numFmtId="0" fontId="11" fillId="0" borderId="0" xfId="0" applyFont="1" applyAlignment="1">
      <alignment vertical="center" wrapText="1"/>
    </xf>
    <xf numFmtId="0" fontId="11" fillId="0" borderId="24" xfId="0" applyFont="1" applyBorder="1" applyAlignment="1">
      <alignment horizontal="left" vertical="center" wrapText="1"/>
    </xf>
    <xf numFmtId="0" fontId="11" fillId="0" borderId="0" xfId="0" applyFont="1" applyAlignment="1">
      <alignment horizontal="left" vertical="center" wrapText="1"/>
    </xf>
    <xf numFmtId="0" fontId="11" fillId="0" borderId="24" xfId="0" applyFont="1" applyBorder="1" applyAlignment="1">
      <alignment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7"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xf numFmtId="0" fontId="29" fillId="0" borderId="0" xfId="0" applyFont="1" applyAlignment="1">
      <alignment horizontal="center" vertical="center"/>
    </xf>
    <xf numFmtId="0" fontId="29"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3" totalsRowShown="0" headerRowDxfId="97" dataDxfId="96">
  <autoFilter ref="AB3:AB63"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Normal="100" workbookViewId="0"/>
  </sheetViews>
  <sheetFormatPr defaultColWidth="76.28515625" defaultRowHeight="16.5"/>
  <cols>
    <col min="1" max="1" width="21.140625" style="2" customWidth="1"/>
    <col min="2" max="2" width="16.7109375" style="2" customWidth="1"/>
    <col min="3" max="3" width="51.85546875" style="2" customWidth="1"/>
    <col min="4" max="4" width="57.5703125"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50.42578125" style="2" customWidth="1"/>
    <col min="12" max="16384" width="76.28515625" style="2"/>
  </cols>
  <sheetData>
    <row r="1" spans="1:11" s="35" customFormat="1" ht="39">
      <c r="A1" s="38" t="s">
        <v>0</v>
      </c>
      <c r="B1" s="38" t="s">
        <v>1</v>
      </c>
      <c r="C1" s="38" t="s">
        <v>2</v>
      </c>
      <c r="D1" s="38" t="s">
        <v>3</v>
      </c>
      <c r="E1" s="138" t="s">
        <v>4</v>
      </c>
      <c r="F1" s="138"/>
      <c r="G1" s="138"/>
      <c r="H1" s="138" t="s">
        <v>5</v>
      </c>
      <c r="I1" s="138"/>
      <c r="J1" s="138"/>
      <c r="K1" s="38" t="s">
        <v>6</v>
      </c>
    </row>
    <row r="2" spans="1:11" s="29" customFormat="1">
      <c r="A2" s="40" t="s">
        <v>7</v>
      </c>
      <c r="B2" s="40" t="s">
        <v>8</v>
      </c>
      <c r="C2" s="40" t="s">
        <v>9</v>
      </c>
      <c r="D2" s="46" t="s">
        <v>10</v>
      </c>
      <c r="E2" s="127" t="s">
        <v>11</v>
      </c>
      <c r="F2" s="127" t="s">
        <v>12</v>
      </c>
      <c r="G2" s="127" t="s">
        <v>13</v>
      </c>
      <c r="H2" s="48" t="s">
        <v>14</v>
      </c>
      <c r="I2" s="48" t="s">
        <v>15</v>
      </c>
      <c r="J2" s="48" t="s">
        <v>16</v>
      </c>
      <c r="K2" s="47" t="s">
        <v>17</v>
      </c>
    </row>
    <row r="3" spans="1:11" s="4" customFormat="1" ht="49.5">
      <c r="A3" s="136" t="s">
        <v>18</v>
      </c>
      <c r="B3" s="136" t="s">
        <v>19</v>
      </c>
      <c r="C3" s="136" t="s">
        <v>20</v>
      </c>
      <c r="D3" s="136" t="s">
        <v>21</v>
      </c>
      <c r="E3" s="128" t="s">
        <v>22</v>
      </c>
      <c r="F3" s="128" t="s">
        <v>23</v>
      </c>
      <c r="G3" s="128" t="s">
        <v>24</v>
      </c>
      <c r="H3" s="139" t="s">
        <v>25</v>
      </c>
      <c r="I3" s="139" t="s">
        <v>26</v>
      </c>
      <c r="J3" s="139" t="s">
        <v>27</v>
      </c>
      <c r="K3" s="136" t="s">
        <v>28</v>
      </c>
    </row>
    <row r="4" spans="1:11" s="4" customFormat="1" ht="42.6" customHeight="1">
      <c r="A4" s="137"/>
      <c r="B4" s="137"/>
      <c r="C4" s="137"/>
      <c r="D4" s="137"/>
      <c r="E4" s="4" t="s">
        <v>29</v>
      </c>
      <c r="F4" s="4" t="s">
        <v>30</v>
      </c>
      <c r="G4" s="4" t="s">
        <v>31</v>
      </c>
      <c r="H4" s="140"/>
      <c r="I4" s="140"/>
      <c r="J4" s="140"/>
      <c r="K4" s="137"/>
    </row>
    <row r="5" spans="1:11" s="4" customFormat="1" ht="63" customHeight="1" thickBot="1">
      <c r="A5" s="137"/>
      <c r="B5" s="137"/>
      <c r="C5" s="137"/>
      <c r="D5" s="137"/>
      <c r="E5" s="34" t="s">
        <v>32</v>
      </c>
      <c r="F5" s="34" t="s">
        <v>33</v>
      </c>
      <c r="G5" s="34" t="s">
        <v>34</v>
      </c>
      <c r="H5" s="140"/>
      <c r="I5" s="140"/>
      <c r="J5" s="140"/>
      <c r="K5" s="137"/>
    </row>
    <row r="6" spans="1:11" s="4" customFormat="1" ht="53.1" customHeight="1">
      <c r="A6" s="137"/>
      <c r="B6" s="137"/>
      <c r="C6" s="137"/>
      <c r="D6" s="137"/>
      <c r="E6" s="92" t="s">
        <v>35</v>
      </c>
      <c r="F6" s="92" t="s">
        <v>36</v>
      </c>
      <c r="G6" s="92" t="s">
        <v>37</v>
      </c>
      <c r="H6" s="140"/>
      <c r="I6" s="140"/>
      <c r="J6" s="140"/>
      <c r="K6" s="137"/>
    </row>
    <row r="7" spans="1:11" s="4" customFormat="1">
      <c r="C7" s="34"/>
      <c r="D7" s="126"/>
      <c r="E7" s="34"/>
      <c r="F7" s="34"/>
      <c r="G7" s="34"/>
      <c r="H7" s="5"/>
    </row>
    <row r="8" spans="1:11" ht="21">
      <c r="D8" s="28"/>
      <c r="E8" s="8"/>
      <c r="F8" s="8"/>
      <c r="H8" s="3"/>
    </row>
    <row r="9" spans="1:11" ht="21">
      <c r="D9" s="28"/>
      <c r="E9" s="8"/>
      <c r="F9" s="8"/>
      <c r="H9" s="3"/>
    </row>
    <row r="10" spans="1:11" ht="21">
      <c r="C10" s="30"/>
      <c r="D10" s="28"/>
      <c r="E10" s="30"/>
      <c r="F10" s="30"/>
      <c r="H10" s="3"/>
    </row>
    <row r="11" spans="1:11" ht="21">
      <c r="D11" s="28"/>
      <c r="E11" s="8"/>
      <c r="F11" s="8"/>
      <c r="H11" s="3"/>
    </row>
    <row r="12" spans="1:11" ht="21">
      <c r="C12" s="4"/>
      <c r="D12" s="28"/>
      <c r="E12" s="10"/>
      <c r="F12" s="2"/>
      <c r="H12" s="3"/>
    </row>
    <row r="13" spans="1:11" ht="21">
      <c r="D13" s="28"/>
      <c r="E13" s="8"/>
    </row>
    <row r="14" spans="1:11" ht="21">
      <c r="D14" s="28"/>
    </row>
    <row r="15" spans="1:11" ht="21">
      <c r="D15" s="28"/>
    </row>
    <row r="16" spans="1:11" ht="21">
      <c r="D16" s="28"/>
    </row>
    <row r="17" spans="4:4" ht="21">
      <c r="D17" s="28"/>
    </row>
    <row r="18" spans="4:4" ht="21">
      <c r="D18" s="28"/>
    </row>
    <row r="19" spans="4:4" ht="21">
      <c r="D19" s="28"/>
    </row>
    <row r="20" spans="4:4" ht="21">
      <c r="D20" s="28"/>
    </row>
    <row r="21" spans="4:4" ht="21">
      <c r="D21" s="28"/>
    </row>
  </sheetData>
  <mergeCells count="10">
    <mergeCell ref="K3:K6"/>
    <mergeCell ref="E1:G1"/>
    <mergeCell ref="H1:J1"/>
    <mergeCell ref="A3:A6"/>
    <mergeCell ref="B3:B6"/>
    <mergeCell ref="C3:C6"/>
    <mergeCell ref="D3:D6"/>
    <mergeCell ref="J3:J6"/>
    <mergeCell ref="H3:H6"/>
    <mergeCell ref="I3:I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defaultColWidth="11.42578125" defaultRowHeight="16.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41" t="s">
        <v>38</v>
      </c>
      <c r="B1" s="142"/>
      <c r="C1" s="142"/>
      <c r="D1" s="142"/>
      <c r="E1" s="142"/>
      <c r="F1" s="142"/>
      <c r="G1" s="142"/>
    </row>
    <row r="2" spans="1:7" s="39" customFormat="1" ht="78">
      <c r="A2" s="36" t="s">
        <v>39</v>
      </c>
      <c r="B2" s="37" t="s">
        <v>40</v>
      </c>
      <c r="C2" s="37" t="s">
        <v>41</v>
      </c>
      <c r="D2" s="37" t="s">
        <v>42</v>
      </c>
      <c r="E2" s="37" t="s">
        <v>43</v>
      </c>
      <c r="F2" s="38" t="s">
        <v>44</v>
      </c>
      <c r="G2" s="38" t="s">
        <v>45</v>
      </c>
    </row>
    <row r="3" spans="1:7" s="41" customFormat="1">
      <c r="A3" s="58" t="s">
        <v>46</v>
      </c>
      <c r="B3" s="59" t="s">
        <v>47</v>
      </c>
      <c r="C3" s="59" t="s">
        <v>48</v>
      </c>
      <c r="D3" s="59" t="s">
        <v>49</v>
      </c>
      <c r="E3" s="59" t="s">
        <v>50</v>
      </c>
      <c r="F3" s="50" t="s">
        <v>51</v>
      </c>
      <c r="G3" s="50" t="s">
        <v>52</v>
      </c>
    </row>
    <row r="4" spans="1:7" ht="49.5">
      <c r="A4" s="6">
        <v>1</v>
      </c>
      <c r="B4" s="5" t="s">
        <v>53</v>
      </c>
      <c r="C4" s="5" t="s">
        <v>22</v>
      </c>
      <c r="D4" s="5" t="s">
        <v>23</v>
      </c>
      <c r="E4" s="5" t="s">
        <v>24</v>
      </c>
      <c r="F4" s="135" t="s">
        <v>54</v>
      </c>
      <c r="G4" s="6" t="s">
        <v>55</v>
      </c>
    </row>
    <row r="5" spans="1:7" ht="33">
      <c r="A5" s="6">
        <v>2</v>
      </c>
      <c r="B5" s="5" t="s">
        <v>56</v>
      </c>
      <c r="C5" s="5" t="s">
        <v>29</v>
      </c>
      <c r="D5" s="5" t="s">
        <v>30</v>
      </c>
      <c r="E5" s="5" t="s">
        <v>31</v>
      </c>
      <c r="F5" s="5" t="s">
        <v>57</v>
      </c>
      <c r="G5" s="6" t="s">
        <v>55</v>
      </c>
    </row>
    <row r="6" spans="1:7" ht="49.5">
      <c r="A6" s="86">
        <v>3</v>
      </c>
      <c r="B6" s="85" t="s">
        <v>53</v>
      </c>
      <c r="C6" s="85" t="s">
        <v>32</v>
      </c>
      <c r="D6" s="85" t="s">
        <v>33</v>
      </c>
      <c r="E6" s="85" t="s">
        <v>34</v>
      </c>
      <c r="F6" s="85" t="s">
        <v>58</v>
      </c>
      <c r="G6" s="86" t="s">
        <v>55</v>
      </c>
    </row>
    <row r="7" spans="1:7" ht="66">
      <c r="A7" s="6">
        <v>4</v>
      </c>
      <c r="B7" s="34" t="s">
        <v>59</v>
      </c>
      <c r="C7" s="5" t="s">
        <v>35</v>
      </c>
      <c r="D7" s="34" t="s">
        <v>36</v>
      </c>
      <c r="E7" s="34" t="s">
        <v>60</v>
      </c>
      <c r="F7" s="34" t="s">
        <v>61</v>
      </c>
      <c r="G7" s="6" t="s">
        <v>62</v>
      </c>
    </row>
    <row r="8" spans="1:7">
      <c r="B8" s="5"/>
      <c r="C8" s="32"/>
      <c r="D8" s="33"/>
      <c r="E8" s="33"/>
      <c r="F8" s="5"/>
    </row>
    <row r="9" spans="1:7">
      <c r="C9" s="31"/>
      <c r="D9" s="31"/>
      <c r="E9" s="31"/>
    </row>
    <row r="13" spans="1:7">
      <c r="C13" s="31"/>
      <c r="D13" s="15"/>
      <c r="E13" s="15"/>
    </row>
    <row r="14" spans="1:7">
      <c r="C14" s="31"/>
      <c r="D14" s="15"/>
      <c r="E14" s="15"/>
    </row>
    <row r="15" spans="1:7">
      <c r="C15" s="31"/>
      <c r="D15" s="15"/>
      <c r="E15" s="15"/>
    </row>
  </sheetData>
  <mergeCells count="1">
    <mergeCell ref="A1:G1"/>
  </mergeCells>
  <dataValidations count="3">
    <dataValidation type="list" allowBlank="1" showInputMessage="1" showErrorMessage="1" sqref="B7:B11" xr:uid="{7FF6EE86-2F70-4AF5-821E-634C08680A10}">
      <formula1>Verboscompetencias</formula1>
    </dataValidation>
    <dataValidation type="list" allowBlank="1" showInputMessage="1" showErrorMessage="1" sqref="D4:D6" xr:uid="{49609FBC-8209-425D-B6D7-00E00066EE42}">
      <formula1>SaberHacer</formula1>
    </dataValidation>
    <dataValidation type="list" allowBlank="1" showInputMessage="1" showErrorMessage="1" sqref="E4:E6" xr:uid="{AED9CA84-6E4B-4DB0-A54F-99447AF2E447}">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33DE93D0-28B9-435A-9EE1-5F80FDE293A1}">
          <x14:formula1>
            <xm:f>'Paso1 Analisis perfil egreso'!$E$3:$E$5</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90" zoomScaleNormal="90" workbookViewId="0"/>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89" customWidth="1"/>
    <col min="9" max="9" width="80" style="9" customWidth="1"/>
    <col min="10" max="10" width="97.140625" style="5" customWidth="1"/>
    <col min="11" max="16384" width="11.42578125" style="5"/>
  </cols>
  <sheetData>
    <row r="1" spans="1:10" s="81" customFormat="1" ht="51.95">
      <c r="A1" s="79" t="s">
        <v>63</v>
      </c>
      <c r="B1" s="79" t="s">
        <v>64</v>
      </c>
      <c r="C1" s="37" t="s">
        <v>65</v>
      </c>
      <c r="D1" s="80" t="s">
        <v>66</v>
      </c>
      <c r="E1" s="80" t="s">
        <v>67</v>
      </c>
      <c r="F1" s="37" t="s">
        <v>68</v>
      </c>
      <c r="G1" s="37" t="s">
        <v>69</v>
      </c>
      <c r="H1" s="37" t="s">
        <v>70</v>
      </c>
      <c r="I1" s="79" t="s">
        <v>71</v>
      </c>
    </row>
    <row r="2" spans="1:10" s="84" customFormat="1">
      <c r="A2" s="82" t="s">
        <v>72</v>
      </c>
      <c r="B2" s="82" t="s">
        <v>73</v>
      </c>
      <c r="C2" s="59" t="s">
        <v>74</v>
      </c>
      <c r="D2" s="83" t="s">
        <v>75</v>
      </c>
      <c r="E2" s="83" t="s">
        <v>76</v>
      </c>
      <c r="F2" s="59" t="s">
        <v>77</v>
      </c>
      <c r="G2" s="59" t="s">
        <v>78</v>
      </c>
      <c r="H2" s="59" t="s">
        <v>79</v>
      </c>
      <c r="I2" s="82" t="s">
        <v>80</v>
      </c>
    </row>
    <row r="3" spans="1:10" ht="49.5">
      <c r="A3" s="5" t="s">
        <v>54</v>
      </c>
      <c r="B3" s="6">
        <v>1</v>
      </c>
      <c r="C3" s="5" t="s">
        <v>11</v>
      </c>
      <c r="D3" s="5" t="s">
        <v>22</v>
      </c>
      <c r="E3" s="5" t="s">
        <v>81</v>
      </c>
      <c r="F3" s="9" t="s">
        <v>82</v>
      </c>
      <c r="G3" s="9" t="s">
        <v>83</v>
      </c>
      <c r="H3" s="5" t="s">
        <v>84</v>
      </c>
      <c r="I3" s="126" t="s">
        <v>85</v>
      </c>
      <c r="J3" s="27"/>
    </row>
    <row r="4" spans="1:10" ht="49.5">
      <c r="A4" s="5" t="s">
        <v>54</v>
      </c>
      <c r="B4" s="6">
        <v>3</v>
      </c>
      <c r="C4" s="5" t="s">
        <v>12</v>
      </c>
      <c r="D4" s="5" t="s">
        <v>23</v>
      </c>
      <c r="E4" s="5" t="s">
        <v>81</v>
      </c>
      <c r="F4" s="9" t="s">
        <v>86</v>
      </c>
      <c r="G4" s="9" t="s">
        <v>87</v>
      </c>
      <c r="H4" s="5" t="s">
        <v>88</v>
      </c>
      <c r="I4" s="126" t="s">
        <v>89</v>
      </c>
    </row>
    <row r="5" spans="1:10" ht="66.599999999999994" thickBot="1">
      <c r="A5" s="85" t="s">
        <v>54</v>
      </c>
      <c r="B5" s="86">
        <v>4</v>
      </c>
      <c r="C5" s="85" t="s">
        <v>13</v>
      </c>
      <c r="D5" s="85" t="s">
        <v>24</v>
      </c>
      <c r="E5" s="85" t="s">
        <v>81</v>
      </c>
      <c r="F5" s="87" t="s">
        <v>90</v>
      </c>
      <c r="G5" s="87" t="s">
        <v>91</v>
      </c>
      <c r="H5" s="85" t="s">
        <v>92</v>
      </c>
      <c r="I5" s="129" t="s">
        <v>93</v>
      </c>
    </row>
    <row r="6" spans="1:10" ht="49.5">
      <c r="A6" s="5" t="s">
        <v>57</v>
      </c>
      <c r="B6" s="6">
        <v>5</v>
      </c>
      <c r="C6" s="5" t="s">
        <v>11</v>
      </c>
      <c r="D6" s="5" t="s">
        <v>29</v>
      </c>
      <c r="E6" s="5" t="s">
        <v>81</v>
      </c>
      <c r="F6" s="9" t="s">
        <v>82</v>
      </c>
      <c r="G6" s="9" t="s">
        <v>94</v>
      </c>
      <c r="H6" s="5" t="s">
        <v>59</v>
      </c>
      <c r="I6" s="34" t="s">
        <v>95</v>
      </c>
    </row>
    <row r="7" spans="1:10" ht="49.5">
      <c r="A7" s="5" t="s">
        <v>57</v>
      </c>
      <c r="B7" s="6">
        <v>6</v>
      </c>
      <c r="C7" s="5" t="s">
        <v>12</v>
      </c>
      <c r="D7" s="5" t="s">
        <v>30</v>
      </c>
      <c r="E7" s="5" t="s">
        <v>81</v>
      </c>
      <c r="F7" s="9" t="s">
        <v>86</v>
      </c>
      <c r="G7" s="9" t="s">
        <v>96</v>
      </c>
      <c r="H7" s="5" t="s">
        <v>97</v>
      </c>
      <c r="I7" s="126" t="s">
        <v>98</v>
      </c>
    </row>
    <row r="8" spans="1:10" ht="66.599999999999994" thickBot="1">
      <c r="A8" s="85" t="s">
        <v>57</v>
      </c>
      <c r="B8" s="86">
        <v>4</v>
      </c>
      <c r="C8" s="85" t="s">
        <v>13</v>
      </c>
      <c r="D8" s="85" t="s">
        <v>31</v>
      </c>
      <c r="E8" s="85" t="s">
        <v>81</v>
      </c>
      <c r="F8" s="87" t="s">
        <v>90</v>
      </c>
      <c r="G8" s="87" t="s">
        <v>91</v>
      </c>
      <c r="H8" s="85" t="s">
        <v>92</v>
      </c>
      <c r="I8" s="129" t="s">
        <v>93</v>
      </c>
      <c r="J8" s="88"/>
    </row>
    <row r="9" spans="1:10" ht="49.5">
      <c r="A9" s="5" t="s">
        <v>58</v>
      </c>
      <c r="B9" s="6">
        <v>7</v>
      </c>
      <c r="C9" s="5" t="s">
        <v>11</v>
      </c>
      <c r="D9" s="5" t="s">
        <v>32</v>
      </c>
      <c r="E9" s="5" t="s">
        <v>81</v>
      </c>
      <c r="F9" s="9" t="s">
        <v>82</v>
      </c>
      <c r="G9" s="9" t="s">
        <v>83</v>
      </c>
      <c r="H9" s="5" t="s">
        <v>99</v>
      </c>
      <c r="I9" s="34" t="s">
        <v>100</v>
      </c>
    </row>
    <row r="10" spans="1:10" ht="33">
      <c r="A10" s="5" t="s">
        <v>58</v>
      </c>
      <c r="B10" s="6">
        <v>8</v>
      </c>
      <c r="C10" s="5" t="s">
        <v>12</v>
      </c>
      <c r="D10" s="5" t="s">
        <v>33</v>
      </c>
      <c r="E10" s="5" t="s">
        <v>81</v>
      </c>
      <c r="F10" s="9" t="s">
        <v>86</v>
      </c>
      <c r="G10" s="9" t="s">
        <v>96</v>
      </c>
      <c r="H10" s="5" t="s">
        <v>101</v>
      </c>
      <c r="I10" s="126" t="s">
        <v>102</v>
      </c>
    </row>
    <row r="11" spans="1:10" ht="66.599999999999994" thickBot="1">
      <c r="A11" s="85" t="s">
        <v>58</v>
      </c>
      <c r="B11" s="86">
        <v>4</v>
      </c>
      <c r="C11" s="85" t="s">
        <v>13</v>
      </c>
      <c r="D11" s="85" t="s">
        <v>34</v>
      </c>
      <c r="E11" s="85" t="s">
        <v>81</v>
      </c>
      <c r="F11" s="87" t="s">
        <v>90</v>
      </c>
      <c r="G11" s="87" t="s">
        <v>91</v>
      </c>
      <c r="H11" s="85" t="s">
        <v>92</v>
      </c>
      <c r="I11" s="129" t="s">
        <v>93</v>
      </c>
      <c r="J11" s="88"/>
    </row>
    <row r="12" spans="1:10" ht="49.5">
      <c r="A12" s="5" t="s">
        <v>61</v>
      </c>
      <c r="B12" s="6">
        <v>2</v>
      </c>
      <c r="C12" s="5" t="s">
        <v>11</v>
      </c>
      <c r="D12" s="5" t="s">
        <v>35</v>
      </c>
      <c r="E12" s="5" t="s">
        <v>103</v>
      </c>
      <c r="F12" s="9" t="s">
        <v>104</v>
      </c>
      <c r="G12" s="9" t="s">
        <v>105</v>
      </c>
      <c r="H12" s="5" t="s">
        <v>92</v>
      </c>
      <c r="I12" s="34" t="s">
        <v>106</v>
      </c>
      <c r="J12" s="88"/>
    </row>
    <row r="13" spans="1:10">
      <c r="A13" s="4"/>
      <c r="F13" s="9"/>
      <c r="G13" s="9"/>
      <c r="H13" s="5"/>
      <c r="I13" s="4"/>
      <c r="J13" s="88"/>
    </row>
    <row r="14" spans="1:10">
      <c r="A14" s="4"/>
      <c r="F14" s="9"/>
      <c r="G14" s="9"/>
      <c r="H14" s="5"/>
      <c r="I14" s="4"/>
    </row>
    <row r="15" spans="1:10">
      <c r="A15" s="4"/>
      <c r="F15" s="9"/>
      <c r="G15" s="9"/>
      <c r="H15" s="5"/>
      <c r="I15" s="4"/>
    </row>
    <row r="16" spans="1:10">
      <c r="A16" s="4"/>
      <c r="F16" s="9"/>
      <c r="G16" s="9"/>
      <c r="H16" s="5"/>
      <c r="I16" s="4"/>
    </row>
    <row r="17" spans="1:9">
      <c r="A17" s="4"/>
      <c r="F17" s="9"/>
      <c r="G17" s="9"/>
      <c r="H17" s="5"/>
      <c r="I17" s="4"/>
    </row>
    <row r="18" spans="1:9">
      <c r="A18" s="4"/>
      <c r="F18" s="9"/>
      <c r="G18" s="9"/>
      <c r="H18" s="5"/>
      <c r="I18" s="4"/>
    </row>
    <row r="19" spans="1:9">
      <c r="A19" s="4"/>
      <c r="H19" s="5"/>
      <c r="I19" s="4"/>
    </row>
    <row r="20" spans="1:9">
      <c r="A20" s="4"/>
      <c r="I20" s="4"/>
    </row>
    <row r="21" spans="1:9">
      <c r="A21" s="4"/>
      <c r="I21" s="4"/>
    </row>
    <row r="22" spans="1:9">
      <c r="A22" s="4"/>
    </row>
    <row r="23" spans="1:9">
      <c r="A23" s="4"/>
    </row>
    <row r="24" spans="1:9">
      <c r="A24" s="4"/>
    </row>
    <row r="25" spans="1:9">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1"/>
  <sheetViews>
    <sheetView zoomScale="90" zoomScaleNormal="90" workbookViewId="0"/>
  </sheetViews>
  <sheetFormatPr defaultColWidth="10.7109375" defaultRowHeight="15"/>
  <cols>
    <col min="1" max="1" width="57.5703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89" customFormat="1" ht="54">
      <c r="A1" s="79" t="s">
        <v>107</v>
      </c>
      <c r="B1" s="79" t="s">
        <v>108</v>
      </c>
      <c r="C1" s="79" t="s">
        <v>109</v>
      </c>
      <c r="D1" s="79" t="s">
        <v>110</v>
      </c>
      <c r="E1" s="79" t="s">
        <v>111</v>
      </c>
      <c r="F1" s="79" t="s">
        <v>112</v>
      </c>
    </row>
    <row r="2" spans="1:6" s="89" customFormat="1" ht="28.5">
      <c r="A2" s="82" t="s">
        <v>113</v>
      </c>
      <c r="B2" s="82" t="s">
        <v>114</v>
      </c>
      <c r="C2" s="82" t="s">
        <v>115</v>
      </c>
      <c r="D2" s="82" t="s">
        <v>116</v>
      </c>
      <c r="E2" s="82" t="s">
        <v>117</v>
      </c>
      <c r="F2" s="82" t="s">
        <v>118</v>
      </c>
    </row>
    <row r="3" spans="1:6" ht="71.25">
      <c r="A3" s="34" t="s">
        <v>93</v>
      </c>
      <c r="B3" s="149" t="s">
        <v>119</v>
      </c>
      <c r="C3" s="149" t="s">
        <v>120</v>
      </c>
      <c r="D3" s="131" t="s">
        <v>121</v>
      </c>
      <c r="E3" s="153" t="s">
        <v>122</v>
      </c>
      <c r="F3" s="34" t="s">
        <v>123</v>
      </c>
    </row>
    <row r="4" spans="1:6" ht="57.75">
      <c r="A4" s="34" t="s">
        <v>95</v>
      </c>
      <c r="B4" s="150"/>
      <c r="C4" s="150"/>
      <c r="D4" s="131" t="s">
        <v>124</v>
      </c>
      <c r="E4" s="147"/>
      <c r="F4" s="34" t="s">
        <v>125</v>
      </c>
    </row>
    <row r="5" spans="1:6" ht="42.75" thickBot="1">
      <c r="A5" s="90" t="s">
        <v>100</v>
      </c>
      <c r="B5" s="151"/>
      <c r="C5" s="151"/>
      <c r="D5" s="131" t="s">
        <v>126</v>
      </c>
      <c r="E5" s="148"/>
      <c r="F5" s="34" t="s">
        <v>127</v>
      </c>
    </row>
    <row r="6" spans="1:6" ht="57.75">
      <c r="A6" s="34" t="s">
        <v>85</v>
      </c>
      <c r="B6" s="146" t="s">
        <v>128</v>
      </c>
      <c r="C6" s="152" t="s">
        <v>129</v>
      </c>
      <c r="D6" s="132" t="s">
        <v>130</v>
      </c>
      <c r="E6" s="146" t="s">
        <v>131</v>
      </c>
      <c r="F6" s="92" t="s">
        <v>123</v>
      </c>
    </row>
    <row r="7" spans="1:6" ht="57.75">
      <c r="A7" s="34" t="s">
        <v>95</v>
      </c>
      <c r="B7" s="147"/>
      <c r="C7" s="150"/>
      <c r="D7" s="131" t="s">
        <v>132</v>
      </c>
      <c r="E7" s="147"/>
      <c r="F7" s="34" t="s">
        <v>125</v>
      </c>
    </row>
    <row r="8" spans="1:6" ht="42.75" thickBot="1">
      <c r="A8" s="90" t="s">
        <v>100</v>
      </c>
      <c r="B8" s="148"/>
      <c r="C8" s="151"/>
      <c r="D8" s="133" t="s">
        <v>126</v>
      </c>
      <c r="E8" s="148"/>
      <c r="F8" s="90" t="s">
        <v>127</v>
      </c>
    </row>
    <row r="9" spans="1:6" ht="57.75">
      <c r="A9" s="34" t="s">
        <v>85</v>
      </c>
      <c r="B9" s="147" t="s">
        <v>133</v>
      </c>
      <c r="C9" s="152" t="s">
        <v>134</v>
      </c>
      <c r="D9" s="131" t="s">
        <v>135</v>
      </c>
      <c r="E9" s="147" t="s">
        <v>136</v>
      </c>
      <c r="F9" s="78" t="s">
        <v>123</v>
      </c>
    </row>
    <row r="10" spans="1:6" ht="57.75">
      <c r="A10" s="34" t="s">
        <v>95</v>
      </c>
      <c r="B10" s="147"/>
      <c r="C10" s="150"/>
      <c r="D10" s="131" t="s">
        <v>124</v>
      </c>
      <c r="E10" s="147"/>
      <c r="F10" s="78" t="s">
        <v>125</v>
      </c>
    </row>
    <row r="11" spans="1:6" ht="42.75" thickBot="1">
      <c r="A11" s="90" t="s">
        <v>100</v>
      </c>
      <c r="B11" s="148"/>
      <c r="C11" s="151"/>
      <c r="D11" s="131" t="s">
        <v>126</v>
      </c>
      <c r="E11" s="154"/>
      <c r="F11" s="78" t="s">
        <v>127</v>
      </c>
    </row>
    <row r="12" spans="1:6" ht="71.25">
      <c r="A12" s="34" t="s">
        <v>93</v>
      </c>
      <c r="B12" s="146" t="s">
        <v>137</v>
      </c>
      <c r="C12" s="152" t="s">
        <v>138</v>
      </c>
      <c r="D12" s="132" t="s">
        <v>121</v>
      </c>
      <c r="E12" s="153" t="s">
        <v>139</v>
      </c>
      <c r="F12" s="92" t="s">
        <v>123</v>
      </c>
    </row>
    <row r="13" spans="1:6" ht="42.75">
      <c r="A13" s="34" t="s">
        <v>89</v>
      </c>
      <c r="B13" s="147"/>
      <c r="C13" s="150"/>
      <c r="D13" s="131" t="s">
        <v>140</v>
      </c>
      <c r="E13" s="147"/>
      <c r="F13" s="34" t="s">
        <v>125</v>
      </c>
    </row>
    <row r="14" spans="1:6" ht="42.75" thickBot="1">
      <c r="A14" s="90" t="s">
        <v>98</v>
      </c>
      <c r="B14" s="148"/>
      <c r="C14" s="151"/>
      <c r="D14" s="131" t="s">
        <v>126</v>
      </c>
      <c r="E14" s="148"/>
      <c r="F14" s="34" t="s">
        <v>127</v>
      </c>
    </row>
    <row r="15" spans="1:6" ht="42.75">
      <c r="A15" s="34" t="s">
        <v>102</v>
      </c>
      <c r="B15" s="146" t="s">
        <v>141</v>
      </c>
      <c r="C15" s="146" t="s">
        <v>142</v>
      </c>
      <c r="D15" s="132" t="s">
        <v>121</v>
      </c>
      <c r="E15" s="146" t="s">
        <v>143</v>
      </c>
      <c r="F15" s="92" t="s">
        <v>123</v>
      </c>
    </row>
    <row r="16" spans="1:6" ht="57.75">
      <c r="A16" s="34" t="s">
        <v>85</v>
      </c>
      <c r="B16" s="147"/>
      <c r="C16" s="147"/>
      <c r="D16" s="78" t="s">
        <v>144</v>
      </c>
      <c r="E16" s="147"/>
      <c r="F16" s="34" t="s">
        <v>125</v>
      </c>
    </row>
    <row r="17" spans="1:6" ht="57.75" thickBot="1">
      <c r="A17" s="90" t="s">
        <v>95</v>
      </c>
      <c r="B17" s="148"/>
      <c r="C17" s="148"/>
      <c r="D17" s="133" t="s">
        <v>126</v>
      </c>
      <c r="E17" s="148"/>
      <c r="F17" s="90" t="s">
        <v>127</v>
      </c>
    </row>
    <row r="18" spans="1:6" ht="42.75">
      <c r="A18" s="34" t="s">
        <v>89</v>
      </c>
      <c r="B18" s="143" t="s">
        <v>145</v>
      </c>
      <c r="C18" s="146" t="s">
        <v>146</v>
      </c>
      <c r="D18" s="132" t="s">
        <v>130</v>
      </c>
      <c r="E18" s="146" t="s">
        <v>147</v>
      </c>
      <c r="F18" s="34" t="s">
        <v>148</v>
      </c>
    </row>
    <row r="19" spans="1:6" ht="42.75">
      <c r="A19" s="34" t="s">
        <v>98</v>
      </c>
      <c r="B19" s="144"/>
      <c r="C19" s="147"/>
      <c r="D19" s="78" t="s">
        <v>132</v>
      </c>
      <c r="E19" s="147"/>
      <c r="F19" s="78" t="s">
        <v>125</v>
      </c>
    </row>
    <row r="20" spans="1:6" ht="42.75" thickBot="1">
      <c r="A20" s="90" t="s">
        <v>102</v>
      </c>
      <c r="B20" s="145"/>
      <c r="C20" s="148"/>
      <c r="D20" s="134" t="s">
        <v>126</v>
      </c>
      <c r="E20" s="148"/>
      <c r="F20" s="96" t="s">
        <v>127</v>
      </c>
    </row>
    <row r="21" spans="1:6">
      <c r="A21" s="155" t="s">
        <v>85</v>
      </c>
      <c r="B21" s="144" t="s">
        <v>149</v>
      </c>
      <c r="C21" s="147" t="s">
        <v>150</v>
      </c>
      <c r="D21" s="157" t="s">
        <v>130</v>
      </c>
      <c r="E21" s="146" t="s">
        <v>151</v>
      </c>
      <c r="F21" s="159" t="s">
        <v>148</v>
      </c>
    </row>
    <row r="22" spans="1:6">
      <c r="A22" s="156"/>
      <c r="B22" s="144"/>
      <c r="C22" s="147"/>
      <c r="D22" s="158"/>
      <c r="E22" s="147"/>
      <c r="F22" s="156"/>
    </row>
    <row r="23" spans="1:6" ht="57.75">
      <c r="A23" s="34" t="s">
        <v>95</v>
      </c>
      <c r="B23" s="144"/>
      <c r="C23" s="147"/>
      <c r="D23" s="78" t="s">
        <v>132</v>
      </c>
      <c r="E23" s="147"/>
      <c r="F23" s="34" t="s">
        <v>125</v>
      </c>
    </row>
    <row r="24" spans="1:6" ht="42.75" thickBot="1">
      <c r="A24" s="90" t="s">
        <v>100</v>
      </c>
      <c r="B24" s="145"/>
      <c r="C24" s="148"/>
      <c r="D24" s="134" t="s">
        <v>126</v>
      </c>
      <c r="E24" s="148"/>
      <c r="F24" s="96" t="s">
        <v>127</v>
      </c>
    </row>
    <row r="25" spans="1:6" ht="17.25">
      <c r="A25" s="34"/>
    </row>
    <row r="26" spans="1:6" ht="17.25">
      <c r="A26" s="34"/>
    </row>
    <row r="27" spans="1:6" ht="17.25">
      <c r="A27" s="34"/>
    </row>
    <row r="28" spans="1:6" ht="17.25">
      <c r="A28" s="34"/>
    </row>
    <row r="29" spans="1:6" ht="17.25">
      <c r="A29" s="34"/>
    </row>
    <row r="30" spans="1:6" ht="17.25">
      <c r="A30" s="34"/>
    </row>
    <row r="31" spans="1:6" ht="17.25">
      <c r="A31" s="34"/>
    </row>
    <row r="32" spans="1:6" ht="17.25">
      <c r="A32" s="34"/>
    </row>
    <row r="33" spans="1:1" ht="17.25">
      <c r="A33" s="34"/>
    </row>
    <row r="34" spans="1:1" ht="17.25">
      <c r="A34" s="34"/>
    </row>
    <row r="35" spans="1:1" ht="17.25">
      <c r="A35" s="34"/>
    </row>
    <row r="36" spans="1:1" ht="17.25">
      <c r="A36" s="34"/>
    </row>
    <row r="37" spans="1:1" ht="17.25">
      <c r="A37" s="34"/>
    </row>
    <row r="38" spans="1:1" ht="17.25">
      <c r="A38" s="34"/>
    </row>
    <row r="39" spans="1:1" ht="17.25">
      <c r="A39" s="34"/>
    </row>
    <row r="40" spans="1:1" ht="17.25">
      <c r="A40" s="34"/>
    </row>
    <row r="41" spans="1:1" ht="17.25">
      <c r="A41" s="34"/>
    </row>
  </sheetData>
  <mergeCells count="24">
    <mergeCell ref="A21:A22"/>
    <mergeCell ref="B21:B24"/>
    <mergeCell ref="C21:C24"/>
    <mergeCell ref="D21:D22"/>
    <mergeCell ref="F21:F22"/>
    <mergeCell ref="E21:E24"/>
    <mergeCell ref="E18:E20"/>
    <mergeCell ref="E3:E5"/>
    <mergeCell ref="E6:E8"/>
    <mergeCell ref="E9:E11"/>
    <mergeCell ref="E12:E14"/>
    <mergeCell ref="E15:E17"/>
    <mergeCell ref="B18:B20"/>
    <mergeCell ref="C18:C20"/>
    <mergeCell ref="C3:C5"/>
    <mergeCell ref="B3:B5"/>
    <mergeCell ref="B15:B17"/>
    <mergeCell ref="C15:C17"/>
    <mergeCell ref="B6:B8"/>
    <mergeCell ref="C6:C8"/>
    <mergeCell ref="B9:B11"/>
    <mergeCell ref="B12:B14"/>
    <mergeCell ref="C12:C14"/>
    <mergeCell ref="C9:C1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RA'!$I$4:$I$12</xm:f>
          </x14:formula1>
          <xm:sqref>A25:A41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63</v>
      </c>
      <c r="B1" s="44" t="s">
        <v>64</v>
      </c>
      <c r="C1" s="51" t="s">
        <v>65</v>
      </c>
      <c r="D1" s="52" t="s">
        <v>66</v>
      </c>
      <c r="E1" s="52" t="s">
        <v>67</v>
      </c>
      <c r="F1" s="51" t="s">
        <v>68</v>
      </c>
      <c r="G1" s="51" t="s">
        <v>69</v>
      </c>
      <c r="H1" s="51" t="s">
        <v>70</v>
      </c>
      <c r="I1" s="44" t="s">
        <v>71</v>
      </c>
      <c r="J1" s="45"/>
    </row>
    <row r="2" spans="1:11" ht="16.5">
      <c r="A2" s="60" t="s">
        <v>72</v>
      </c>
      <c r="B2" s="57" t="s">
        <v>73</v>
      </c>
      <c r="C2" s="61" t="s">
        <v>74</v>
      </c>
      <c r="D2" s="53" t="s">
        <v>75</v>
      </c>
      <c r="E2" s="53" t="s">
        <v>76</v>
      </c>
      <c r="F2" s="61" t="s">
        <v>77</v>
      </c>
      <c r="G2" s="61" t="s">
        <v>78</v>
      </c>
      <c r="H2" s="61" t="s">
        <v>79</v>
      </c>
      <c r="I2" s="57" t="s">
        <v>80</v>
      </c>
      <c r="J2" s="62"/>
    </row>
    <row r="3" spans="1:11" ht="136.5" hidden="1" customHeight="1">
      <c r="A3" s="4" t="s">
        <v>152</v>
      </c>
      <c r="B3" s="6">
        <v>1</v>
      </c>
      <c r="C3" s="5" t="s">
        <v>11</v>
      </c>
      <c r="D3" s="5" t="s">
        <v>153</v>
      </c>
      <c r="E3" s="5" t="s">
        <v>81</v>
      </c>
      <c r="F3" s="9" t="s">
        <v>82</v>
      </c>
      <c r="G3" s="9" t="s">
        <v>154</v>
      </c>
      <c r="H3" s="5" t="s">
        <v>92</v>
      </c>
      <c r="I3" s="34" t="s">
        <v>155</v>
      </c>
      <c r="J3" s="27"/>
    </row>
    <row r="4" spans="1:11" ht="142.5" hidden="1" customHeight="1">
      <c r="A4" s="4" t="s">
        <v>152</v>
      </c>
      <c r="B4" s="6">
        <v>4</v>
      </c>
      <c r="C4" s="5" t="s">
        <v>12</v>
      </c>
      <c r="D4" s="5" t="s">
        <v>156</v>
      </c>
      <c r="E4" s="5" t="s">
        <v>81</v>
      </c>
      <c r="F4" s="9" t="s">
        <v>86</v>
      </c>
      <c r="G4" s="9" t="s">
        <v>157</v>
      </c>
      <c r="H4" s="5" t="s">
        <v>158</v>
      </c>
      <c r="I4" s="34" t="s">
        <v>159</v>
      </c>
    </row>
    <row r="5" spans="1:11" ht="126" hidden="1" customHeight="1">
      <c r="A5" s="4" t="s">
        <v>152</v>
      </c>
      <c r="B5" s="6">
        <v>7</v>
      </c>
      <c r="C5" s="5" t="s">
        <v>13</v>
      </c>
      <c r="D5" s="5" t="s">
        <v>160</v>
      </c>
      <c r="E5" s="5" t="s">
        <v>81</v>
      </c>
      <c r="F5" s="9" t="s">
        <v>90</v>
      </c>
      <c r="G5" s="9" t="s">
        <v>161</v>
      </c>
      <c r="H5" s="5" t="s">
        <v>162</v>
      </c>
      <c r="I5" s="34" t="s">
        <v>163</v>
      </c>
    </row>
    <row r="6" spans="1:11" ht="99">
      <c r="A6" s="4" t="s">
        <v>164</v>
      </c>
      <c r="B6" s="6">
        <v>1</v>
      </c>
      <c r="C6" s="5" t="s">
        <v>11</v>
      </c>
      <c r="D6" s="5" t="s">
        <v>165</v>
      </c>
      <c r="E6" s="5" t="s">
        <v>81</v>
      </c>
      <c r="F6" s="9" t="s">
        <v>82</v>
      </c>
      <c r="G6" s="9" t="s">
        <v>154</v>
      </c>
      <c r="H6" s="5" t="s">
        <v>92</v>
      </c>
      <c r="I6" s="34" t="s">
        <v>166</v>
      </c>
    </row>
    <row r="7" spans="1:11" ht="115.5">
      <c r="A7" s="4" t="s">
        <v>164</v>
      </c>
      <c r="B7" s="6">
        <v>5</v>
      </c>
      <c r="C7" s="5" t="s">
        <v>12</v>
      </c>
      <c r="D7" s="5" t="s">
        <v>167</v>
      </c>
      <c r="E7" s="5" t="s">
        <v>81</v>
      </c>
      <c r="F7" s="9" t="s">
        <v>86</v>
      </c>
      <c r="G7" s="9" t="s">
        <v>157</v>
      </c>
      <c r="H7" s="5" t="s">
        <v>158</v>
      </c>
      <c r="I7" s="34" t="s">
        <v>159</v>
      </c>
    </row>
    <row r="8" spans="1:11" ht="82.5">
      <c r="A8" s="4" t="s">
        <v>164</v>
      </c>
      <c r="B8" s="6">
        <v>7</v>
      </c>
      <c r="C8" s="5" t="s">
        <v>13</v>
      </c>
      <c r="D8" s="5" t="s">
        <v>160</v>
      </c>
      <c r="E8" s="5" t="s">
        <v>81</v>
      </c>
      <c r="F8" s="9" t="s">
        <v>90</v>
      </c>
      <c r="G8" s="9" t="s">
        <v>161</v>
      </c>
      <c r="H8" s="5" t="s">
        <v>162</v>
      </c>
      <c r="I8" s="34" t="s">
        <v>163</v>
      </c>
      <c r="J8" s="11"/>
    </row>
    <row r="9" spans="1:11" ht="99" hidden="1">
      <c r="A9" s="4" t="s">
        <v>168</v>
      </c>
      <c r="B9" s="6">
        <v>2</v>
      </c>
      <c r="C9" s="5" t="s">
        <v>11</v>
      </c>
      <c r="D9" s="5" t="s">
        <v>169</v>
      </c>
      <c r="E9" s="5" t="s">
        <v>81</v>
      </c>
      <c r="F9" s="9" t="s">
        <v>82</v>
      </c>
      <c r="G9" s="9" t="s">
        <v>154</v>
      </c>
      <c r="H9" s="5" t="s">
        <v>92</v>
      </c>
      <c r="I9" s="34" t="s">
        <v>166</v>
      </c>
      <c r="J9" s="11"/>
    </row>
    <row r="10" spans="1:11" ht="115.5" hidden="1">
      <c r="A10" s="4" t="s">
        <v>168</v>
      </c>
      <c r="B10" s="6">
        <v>6</v>
      </c>
      <c r="C10" s="5" t="s">
        <v>12</v>
      </c>
      <c r="D10" s="5" t="s">
        <v>170</v>
      </c>
      <c r="E10" s="5" t="s">
        <v>81</v>
      </c>
      <c r="F10" s="9" t="s">
        <v>86</v>
      </c>
      <c r="G10" s="9" t="s">
        <v>157</v>
      </c>
      <c r="H10" s="5" t="s">
        <v>158</v>
      </c>
      <c r="I10" s="34" t="s">
        <v>159</v>
      </c>
    </row>
    <row r="11" spans="1:11" ht="82.5" hidden="1">
      <c r="A11" s="55" t="s">
        <v>168</v>
      </c>
      <c r="B11" s="42">
        <v>7</v>
      </c>
      <c r="C11" s="43" t="s">
        <v>13</v>
      </c>
      <c r="D11" s="5" t="s">
        <v>171</v>
      </c>
      <c r="E11" s="43" t="s">
        <v>81</v>
      </c>
      <c r="F11" s="56" t="s">
        <v>90</v>
      </c>
      <c r="G11" s="56" t="s">
        <v>161</v>
      </c>
      <c r="H11" s="43" t="s">
        <v>162</v>
      </c>
      <c r="I11" s="34" t="s">
        <v>163</v>
      </c>
      <c r="J11" s="55"/>
      <c r="K11" s="49"/>
    </row>
    <row r="12" spans="1:11" ht="49.5" hidden="1">
      <c r="A12" s="4" t="s">
        <v>61</v>
      </c>
      <c r="B12" s="6">
        <v>3</v>
      </c>
      <c r="C12" s="5" t="s">
        <v>11</v>
      </c>
      <c r="D12" s="5" t="s">
        <v>35</v>
      </c>
      <c r="E12" s="5" t="s">
        <v>103</v>
      </c>
      <c r="F12" s="9" t="s">
        <v>104</v>
      </c>
      <c r="G12" s="9" t="s">
        <v>105</v>
      </c>
      <c r="H12" s="5" t="s">
        <v>92</v>
      </c>
      <c r="I12" s="54" t="s">
        <v>106</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37"/>
  <sheetViews>
    <sheetView topLeftCell="C1" zoomScale="80" zoomScaleNormal="8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2.7109375" style="7" customWidth="1"/>
    <col min="7" max="9" width="15.42578125" style="7" customWidth="1"/>
    <col min="10" max="10" width="13.140625" style="7" customWidth="1"/>
    <col min="11" max="11" width="23.85546875" style="7" customWidth="1"/>
    <col min="12" max="12" width="23.5703125" style="7" customWidth="1"/>
    <col min="13" max="13" width="13.140625" style="7" customWidth="1"/>
    <col min="14" max="14" width="47" style="5" customWidth="1"/>
    <col min="15" max="15" width="44" style="5" customWidth="1"/>
    <col min="16" max="16" width="42.5703125" style="5" customWidth="1"/>
    <col min="17" max="17" width="48" style="5" customWidth="1"/>
    <col min="18" max="18" width="3.42578125" style="5" bestFit="1" customWidth="1"/>
    <col min="19" max="19" width="3.42578125" style="5" customWidth="1"/>
    <col min="20" max="20" width="14.7109375" style="14" customWidth="1"/>
    <col min="21" max="16384" width="14.7109375" style="7"/>
  </cols>
  <sheetData>
    <row r="1" spans="1:20" s="89" customFormat="1" ht="65.099999999999994">
      <c r="A1" s="79" t="s">
        <v>172</v>
      </c>
      <c r="B1" s="79" t="s">
        <v>173</v>
      </c>
      <c r="C1" s="79" t="s">
        <v>174</v>
      </c>
      <c r="D1" s="79" t="s">
        <v>175</v>
      </c>
      <c r="E1" s="79" t="s">
        <v>176</v>
      </c>
      <c r="F1" s="79" t="s">
        <v>177</v>
      </c>
      <c r="G1" s="166" t="s">
        <v>178</v>
      </c>
      <c r="H1" s="166"/>
      <c r="I1" s="166"/>
      <c r="J1" s="79" t="s">
        <v>179</v>
      </c>
      <c r="K1" s="79" t="s">
        <v>180</v>
      </c>
      <c r="L1" s="79" t="s">
        <v>181</v>
      </c>
      <c r="M1" s="79" t="s">
        <v>182</v>
      </c>
      <c r="N1" s="79" t="s">
        <v>183</v>
      </c>
      <c r="O1" s="79" t="s">
        <v>184</v>
      </c>
      <c r="P1" s="79" t="s">
        <v>185</v>
      </c>
      <c r="Q1" s="79" t="s">
        <v>186</v>
      </c>
      <c r="R1" s="104"/>
      <c r="S1" s="104"/>
    </row>
    <row r="2" spans="1:20" s="89" customFormat="1" ht="33.6" thickBot="1">
      <c r="A2" s="82" t="s">
        <v>187</v>
      </c>
      <c r="B2" s="82" t="s">
        <v>113</v>
      </c>
      <c r="C2" s="82" t="s">
        <v>188</v>
      </c>
      <c r="D2" s="82" t="s">
        <v>189</v>
      </c>
      <c r="E2" s="82" t="s">
        <v>190</v>
      </c>
      <c r="F2" s="82" t="s">
        <v>191</v>
      </c>
      <c r="G2" s="82" t="s">
        <v>192</v>
      </c>
      <c r="H2" s="82" t="s">
        <v>193</v>
      </c>
      <c r="I2" s="82" t="s">
        <v>194</v>
      </c>
      <c r="J2" s="82" t="s">
        <v>195</v>
      </c>
      <c r="K2" s="82" t="s">
        <v>196</v>
      </c>
      <c r="L2" s="82" t="s">
        <v>197</v>
      </c>
      <c r="M2" s="82" t="s">
        <v>198</v>
      </c>
      <c r="N2" s="82" t="s">
        <v>199</v>
      </c>
      <c r="O2" s="82" t="s">
        <v>200</v>
      </c>
      <c r="P2" s="82" t="s">
        <v>201</v>
      </c>
      <c r="Q2" s="82" t="s">
        <v>202</v>
      </c>
      <c r="R2" s="105"/>
      <c r="S2" s="105"/>
    </row>
    <row r="3" spans="1:20" s="89" customFormat="1" ht="363.6" thickBot="1">
      <c r="A3" s="97" t="str">
        <f>_xlfn.XLOOKUP(B3,'Paso 3 Redacción RA'!I$3:I$12,'Paso 3 Redacción RA'!C$3:C$12,,0,1)</f>
        <v>Saber</v>
      </c>
      <c r="B3" s="97" t="s">
        <v>106</v>
      </c>
      <c r="C3" s="98">
        <v>1</v>
      </c>
      <c r="D3" s="99" t="s">
        <v>203</v>
      </c>
      <c r="E3" s="100" t="s">
        <v>204</v>
      </c>
      <c r="F3" s="98" t="s">
        <v>205</v>
      </c>
      <c r="G3" s="98" t="s">
        <v>206</v>
      </c>
      <c r="H3" s="98"/>
      <c r="I3" s="98"/>
      <c r="J3" s="98">
        <v>3</v>
      </c>
      <c r="K3" s="98">
        <f>16*J3</f>
        <v>48</v>
      </c>
      <c r="L3" s="98">
        <f>32*J3</f>
        <v>96</v>
      </c>
      <c r="M3" s="98">
        <f>SUM(K3:L3)</f>
        <v>144</v>
      </c>
      <c r="N3" s="102" t="s">
        <v>207</v>
      </c>
      <c r="O3" s="97" t="s">
        <v>208</v>
      </c>
      <c r="P3" s="100" t="s">
        <v>209</v>
      </c>
      <c r="Q3" s="97" t="s">
        <v>210</v>
      </c>
      <c r="R3" s="5"/>
      <c r="S3" s="5"/>
      <c r="T3" s="7"/>
    </row>
    <row r="4" spans="1:20" s="93" customFormat="1" ht="363.6" thickBot="1">
      <c r="A4" s="100" t="str">
        <f>_xlfn.XLOOKUP(B4,'Paso 3 Redacción RA'!I$3:I$12,'Paso 3 Redacción RA'!C$3:C$12,,0,1)</f>
        <v>Saber</v>
      </c>
      <c r="B4" s="100" t="s">
        <v>106</v>
      </c>
      <c r="C4" s="99">
        <v>1</v>
      </c>
      <c r="D4" s="99" t="s">
        <v>211</v>
      </c>
      <c r="E4" s="100" t="s">
        <v>212</v>
      </c>
      <c r="F4" s="99" t="s">
        <v>205</v>
      </c>
      <c r="G4" s="98" t="s">
        <v>206</v>
      </c>
      <c r="H4" s="98"/>
      <c r="I4" s="98"/>
      <c r="J4" s="98">
        <v>3</v>
      </c>
      <c r="K4" s="98">
        <f>16*J4</f>
        <v>48</v>
      </c>
      <c r="L4" s="98">
        <f>32*J4</f>
        <v>96</v>
      </c>
      <c r="M4" s="98">
        <f>SUM(K4:L4)</f>
        <v>144</v>
      </c>
      <c r="N4" s="97" t="s">
        <v>213</v>
      </c>
      <c r="O4" s="97" t="s">
        <v>214</v>
      </c>
      <c r="P4" s="97" t="s">
        <v>215</v>
      </c>
      <c r="Q4" s="97" t="s">
        <v>210</v>
      </c>
      <c r="R4" s="5">
        <f>+SUM(J5:J16)</f>
        <v>11</v>
      </c>
      <c r="S4" s="5"/>
      <c r="T4" s="107"/>
    </row>
    <row r="5" spans="1:20" s="93" customFormat="1" ht="78.95" customHeight="1">
      <c r="A5" s="93" t="str">
        <f>_xlfn.XLOOKUP(B5,'Paso 3 Redacción RA'!I$3:I$12,'Paso 3 Redacción RA'!C$3:C$12,,0,1)</f>
        <v>Saber</v>
      </c>
      <c r="B5" s="78" t="s">
        <v>85</v>
      </c>
      <c r="C5" s="143">
        <v>1</v>
      </c>
      <c r="D5" s="162" t="s">
        <v>216</v>
      </c>
      <c r="E5" s="164" t="s">
        <v>217</v>
      </c>
      <c r="F5" s="137" t="s">
        <v>205</v>
      </c>
      <c r="G5" s="137"/>
      <c r="H5" s="137" t="s">
        <v>206</v>
      </c>
      <c r="I5" s="137"/>
      <c r="J5" s="137">
        <v>3</v>
      </c>
      <c r="K5" s="137">
        <f>16*J5</f>
        <v>48</v>
      </c>
      <c r="L5" s="137">
        <f>32*J5</f>
        <v>96</v>
      </c>
      <c r="M5" s="137">
        <f>SUM(K5:L5)</f>
        <v>144</v>
      </c>
      <c r="N5" s="140" t="s">
        <v>218</v>
      </c>
      <c r="O5" s="140" t="s">
        <v>219</v>
      </c>
      <c r="P5" s="140" t="s">
        <v>220</v>
      </c>
      <c r="Q5" s="140" t="s">
        <v>210</v>
      </c>
      <c r="R5" s="5"/>
      <c r="S5" s="5"/>
      <c r="T5" s="107"/>
    </row>
    <row r="6" spans="1:20" s="93" customFormat="1" ht="113.1" customHeight="1">
      <c r="A6" s="93" t="str">
        <f>_xlfn.XLOOKUP(B6,'Paso 3 Redacción RA'!I$3:I$12,'Paso 3 Redacción RA'!C$3:C$12,,0,1)</f>
        <v>Saber</v>
      </c>
      <c r="B6" s="78" t="s">
        <v>95</v>
      </c>
      <c r="C6" s="144"/>
      <c r="D6" s="137"/>
      <c r="E6" s="158"/>
      <c r="F6" s="137"/>
      <c r="G6" s="137"/>
      <c r="H6" s="137"/>
      <c r="I6" s="137"/>
      <c r="J6" s="137"/>
      <c r="K6" s="137"/>
      <c r="L6" s="137"/>
      <c r="M6" s="137"/>
      <c r="N6" s="140"/>
      <c r="O6" s="140"/>
      <c r="P6" s="140"/>
      <c r="Q6" s="140"/>
      <c r="R6" s="5"/>
      <c r="S6" s="5"/>
      <c r="T6" s="107"/>
    </row>
    <row r="7" spans="1:20" s="93" customFormat="1" ht="103.5" customHeight="1" thickBot="1">
      <c r="A7" s="91" t="str">
        <f>_xlfn.XLOOKUP(B7,'Paso 3 Redacción RA'!I$3:I$12,'Paso 3 Redacción RA'!C$3:C$12,,0,1)</f>
        <v>SaberHacer</v>
      </c>
      <c r="B7" s="91" t="s">
        <v>98</v>
      </c>
      <c r="C7" s="145"/>
      <c r="D7" s="163"/>
      <c r="E7" s="165"/>
      <c r="F7" s="163"/>
      <c r="G7" s="163"/>
      <c r="H7" s="163"/>
      <c r="I7" s="163"/>
      <c r="J7" s="163"/>
      <c r="K7" s="163"/>
      <c r="L7" s="163"/>
      <c r="M7" s="163"/>
      <c r="N7" s="161"/>
      <c r="O7" s="161"/>
      <c r="P7" s="161"/>
      <c r="Q7" s="161"/>
      <c r="R7" s="5"/>
      <c r="S7" s="5"/>
      <c r="T7" s="107"/>
    </row>
    <row r="8" spans="1:20" s="93" customFormat="1" ht="45.95" customHeight="1">
      <c r="A8" s="93" t="str">
        <f>_xlfn.XLOOKUP(B8,'Paso 3 Redacción RA'!I$3:I$12,'Paso 3 Redacción RA'!C$3:C$12,,0,1)</f>
        <v>Saber</v>
      </c>
      <c r="B8" s="95" t="s">
        <v>85</v>
      </c>
      <c r="C8" s="143">
        <v>1</v>
      </c>
      <c r="D8" s="162" t="s">
        <v>221</v>
      </c>
      <c r="E8" s="164" t="s">
        <v>222</v>
      </c>
      <c r="F8" s="162" t="s">
        <v>205</v>
      </c>
      <c r="G8" s="162"/>
      <c r="H8" s="162" t="s">
        <v>206</v>
      </c>
      <c r="I8" s="162"/>
      <c r="J8" s="162">
        <v>2</v>
      </c>
      <c r="K8" s="162">
        <f>16*J8</f>
        <v>32</v>
      </c>
      <c r="L8" s="162">
        <f>32*J8</f>
        <v>64</v>
      </c>
      <c r="M8" s="162">
        <f>SUM(K8:L8)</f>
        <v>96</v>
      </c>
      <c r="N8" s="160" t="s">
        <v>223</v>
      </c>
      <c r="O8" s="160" t="s">
        <v>224</v>
      </c>
      <c r="P8" s="160" t="s">
        <v>225</v>
      </c>
      <c r="Q8" s="160" t="s">
        <v>210</v>
      </c>
      <c r="R8" s="5"/>
      <c r="S8" s="5"/>
      <c r="T8" s="107"/>
    </row>
    <row r="9" spans="1:20" s="93" customFormat="1" ht="61.5" customHeight="1">
      <c r="A9" s="93" t="str">
        <f>_xlfn.XLOOKUP(B9,'Paso 3 Redacción RA'!I$3:I$12,'Paso 3 Redacción RA'!C$3:C$12,,0,1)</f>
        <v>SaberSer</v>
      </c>
      <c r="B9" s="78" t="s">
        <v>93</v>
      </c>
      <c r="C9" s="144"/>
      <c r="D9" s="137"/>
      <c r="E9" s="158"/>
      <c r="F9" s="137"/>
      <c r="G9" s="137"/>
      <c r="H9" s="137"/>
      <c r="I9" s="137"/>
      <c r="J9" s="137"/>
      <c r="K9" s="137"/>
      <c r="L9" s="137"/>
      <c r="M9" s="137"/>
      <c r="N9" s="140"/>
      <c r="O9" s="140"/>
      <c r="P9" s="140"/>
      <c r="Q9" s="140"/>
      <c r="R9" s="5"/>
      <c r="S9" s="5"/>
      <c r="T9" s="107"/>
    </row>
    <row r="10" spans="1:20" s="93" customFormat="1" ht="72" customHeight="1">
      <c r="A10" s="91" t="str">
        <f>_xlfn.XLOOKUP(B10,'Paso 3 Redacción RA'!I$3:I$12,'Paso 3 Redacción RA'!C$3:C$12,,0,1)</f>
        <v>Saber</v>
      </c>
      <c r="B10" s="91" t="s">
        <v>100</v>
      </c>
      <c r="C10" s="145"/>
      <c r="D10" s="163"/>
      <c r="E10" s="165"/>
      <c r="F10" s="163"/>
      <c r="G10" s="163"/>
      <c r="H10" s="163"/>
      <c r="I10" s="163"/>
      <c r="J10" s="163"/>
      <c r="K10" s="163"/>
      <c r="L10" s="163"/>
      <c r="M10" s="163"/>
      <c r="N10" s="161"/>
      <c r="O10" s="161"/>
      <c r="P10" s="161"/>
      <c r="Q10" s="161"/>
      <c r="R10" s="5"/>
      <c r="S10" s="5"/>
      <c r="T10" s="107"/>
    </row>
    <row r="11" spans="1:20" s="5" customFormat="1" ht="37.5" customHeight="1">
      <c r="A11" s="93" t="str">
        <f>_xlfn.XLOOKUP(B11,'Paso 3 Redacción RA'!I$3:I$12,'Paso 3 Redacción RA'!C$3:C$12,,0,1)</f>
        <v>Saber</v>
      </c>
      <c r="B11" s="95" t="s">
        <v>95</v>
      </c>
      <c r="C11" s="146">
        <v>1</v>
      </c>
      <c r="D11" s="146" t="s">
        <v>226</v>
      </c>
      <c r="E11" s="164" t="s">
        <v>227</v>
      </c>
      <c r="F11" s="162" t="s">
        <v>228</v>
      </c>
      <c r="G11" s="147"/>
      <c r="H11" s="147" t="s">
        <v>206</v>
      </c>
      <c r="I11" s="147"/>
      <c r="J11" s="147">
        <v>2</v>
      </c>
      <c r="K11" s="147">
        <f>16*J11</f>
        <v>32</v>
      </c>
      <c r="L11" s="147">
        <f>32*J11</f>
        <v>64</v>
      </c>
      <c r="M11" s="147">
        <f>SUM(K11:L11)</f>
        <v>96</v>
      </c>
      <c r="N11" s="158" t="s">
        <v>229</v>
      </c>
      <c r="O11" s="158" t="s">
        <v>230</v>
      </c>
      <c r="P11" s="164" t="s">
        <v>231</v>
      </c>
      <c r="Q11" s="158" t="s">
        <v>210</v>
      </c>
      <c r="R11" s="78"/>
      <c r="S11" s="78"/>
      <c r="T11" s="3"/>
    </row>
    <row r="12" spans="1:20" s="5" customFormat="1" ht="35.1" customHeight="1">
      <c r="A12" s="93" t="str">
        <f>_xlfn.XLOOKUP(B12,'Paso 3 Redacción RA'!I$3:I$12,'Paso 3 Redacción RA'!C$3:C$12,,0,1)</f>
        <v>Saber</v>
      </c>
      <c r="B12" s="78" t="s">
        <v>100</v>
      </c>
      <c r="C12" s="147"/>
      <c r="D12" s="147"/>
      <c r="E12" s="158"/>
      <c r="F12" s="137"/>
      <c r="G12" s="147"/>
      <c r="H12" s="147"/>
      <c r="I12" s="147"/>
      <c r="J12" s="147"/>
      <c r="K12" s="147"/>
      <c r="L12" s="147"/>
      <c r="M12" s="147"/>
      <c r="N12" s="158"/>
      <c r="O12" s="158"/>
      <c r="P12" s="158"/>
      <c r="Q12" s="158"/>
      <c r="R12" s="78"/>
      <c r="S12" s="78"/>
      <c r="T12" s="3"/>
    </row>
    <row r="13" spans="1:20" s="5" customFormat="1" ht="52.5" customHeight="1">
      <c r="A13" s="91" t="str">
        <f>_xlfn.XLOOKUP(B13,'Paso 3 Redacción RA'!I$3:I$12,'Paso 3 Redacción RA'!C$3:C$12,,0,1)</f>
        <v>SaberHacer</v>
      </c>
      <c r="B13" s="91" t="s">
        <v>102</v>
      </c>
      <c r="C13" s="148"/>
      <c r="D13" s="148"/>
      <c r="E13" s="158"/>
      <c r="F13" s="163"/>
      <c r="G13" s="147"/>
      <c r="H13" s="147"/>
      <c r="I13" s="147"/>
      <c r="J13" s="147"/>
      <c r="K13" s="147"/>
      <c r="L13" s="147"/>
      <c r="M13" s="147"/>
      <c r="N13" s="158"/>
      <c r="O13" s="158"/>
      <c r="P13" s="165"/>
      <c r="Q13" s="158"/>
      <c r="R13" s="78"/>
      <c r="S13" s="78"/>
      <c r="T13" s="3"/>
    </row>
    <row r="14" spans="1:20" s="5" customFormat="1" ht="34.5" customHeight="1">
      <c r="A14" s="93" t="str">
        <f>_xlfn.XLOOKUP(B14,'Paso 3 Redacción RA'!I$3:I$12,'Paso 3 Redacción RA'!C$3:C$12,,0,1)</f>
        <v>Saber</v>
      </c>
      <c r="B14" s="95" t="s">
        <v>85</v>
      </c>
      <c r="C14" s="146">
        <v>1</v>
      </c>
      <c r="D14" s="146" t="s">
        <v>232</v>
      </c>
      <c r="E14" s="164" t="s">
        <v>233</v>
      </c>
      <c r="F14" s="146" t="s">
        <v>228</v>
      </c>
      <c r="G14" s="146"/>
      <c r="H14" s="146" t="s">
        <v>206</v>
      </c>
      <c r="I14" s="146"/>
      <c r="J14" s="146">
        <v>4</v>
      </c>
      <c r="K14" s="146">
        <f>16*J14</f>
        <v>64</v>
      </c>
      <c r="L14" s="146">
        <f>32*J14</f>
        <v>128</v>
      </c>
      <c r="M14" s="146">
        <f>SUM(K14:L14)</f>
        <v>192</v>
      </c>
      <c r="N14" s="164" t="s">
        <v>234</v>
      </c>
      <c r="O14" s="164" t="s">
        <v>235</v>
      </c>
      <c r="P14" s="164" t="s">
        <v>236</v>
      </c>
      <c r="Q14" s="164" t="s">
        <v>210</v>
      </c>
      <c r="R14" s="78"/>
      <c r="S14" s="78"/>
      <c r="T14" s="3"/>
    </row>
    <row r="15" spans="1:20" s="5" customFormat="1" ht="67.5" customHeight="1">
      <c r="A15" s="93" t="str">
        <f>_xlfn.XLOOKUP(B15,'Paso 3 Redacción RA'!I$3:I$12,'Paso 3 Redacción RA'!C$3:C$12,,0,1)</f>
        <v>SaberHacer</v>
      </c>
      <c r="B15" s="78" t="s">
        <v>89</v>
      </c>
      <c r="C15" s="147"/>
      <c r="D15" s="147"/>
      <c r="E15" s="158"/>
      <c r="F15" s="147"/>
      <c r="G15" s="147"/>
      <c r="H15" s="147"/>
      <c r="I15" s="147"/>
      <c r="J15" s="147"/>
      <c r="K15" s="147"/>
      <c r="L15" s="147"/>
      <c r="M15" s="147"/>
      <c r="N15" s="158"/>
      <c r="O15" s="158"/>
      <c r="P15" s="158"/>
      <c r="Q15" s="158"/>
      <c r="R15" s="78"/>
      <c r="S15" s="78"/>
      <c r="T15" s="3"/>
    </row>
    <row r="16" spans="1:20" s="5" customFormat="1" ht="66" customHeight="1" thickBot="1">
      <c r="A16" s="93" t="str">
        <f>_xlfn.XLOOKUP(B16,'Paso 3 Redacción RA'!I$3:I$12,'Paso 3 Redacción RA'!C$3:C$12,,0,1)</f>
        <v>SaberSer</v>
      </c>
      <c r="B16" s="91" t="s">
        <v>93</v>
      </c>
      <c r="C16" s="148"/>
      <c r="D16" s="148"/>
      <c r="E16" s="158"/>
      <c r="F16" s="147"/>
      <c r="G16" s="147"/>
      <c r="H16" s="147"/>
      <c r="I16" s="147"/>
      <c r="J16" s="147"/>
      <c r="K16" s="147"/>
      <c r="L16" s="147"/>
      <c r="M16" s="147"/>
      <c r="N16" s="158"/>
      <c r="O16" s="158"/>
      <c r="P16" s="158"/>
      <c r="Q16" s="158"/>
      <c r="R16" s="78">
        <f>SUM(J3:J16)</f>
        <v>17</v>
      </c>
      <c r="S16" s="78">
        <f>COUNTA(D3:D16)</f>
        <v>6</v>
      </c>
      <c r="T16" s="3"/>
    </row>
    <row r="17" spans="1:20" s="93" customFormat="1" ht="328.5">
      <c r="A17" s="100" t="str">
        <f>_xlfn.XLOOKUP(B17,'Paso 3 Redacción RA'!I$3:I$12,'Paso 3 Redacción RA'!C$3:C$12,,0,1)</f>
        <v>Saber</v>
      </c>
      <c r="B17" s="100" t="s">
        <v>106</v>
      </c>
      <c r="C17" s="99">
        <v>2</v>
      </c>
      <c r="D17" s="99" t="s">
        <v>237</v>
      </c>
      <c r="E17" s="100" t="s">
        <v>238</v>
      </c>
      <c r="F17" s="98" t="s">
        <v>205</v>
      </c>
      <c r="G17" s="99" t="s">
        <v>206</v>
      </c>
      <c r="H17" s="99"/>
      <c r="I17" s="99"/>
      <c r="J17" s="98">
        <v>3</v>
      </c>
      <c r="K17" s="98">
        <f>16*J17</f>
        <v>48</v>
      </c>
      <c r="L17" s="98">
        <f>32*J17</f>
        <v>96</v>
      </c>
      <c r="M17" s="98">
        <f>SUM(K17:L17)</f>
        <v>144</v>
      </c>
      <c r="N17" s="100" t="s">
        <v>239</v>
      </c>
      <c r="O17" s="100" t="s">
        <v>240</v>
      </c>
      <c r="P17" s="100" t="s">
        <v>241</v>
      </c>
      <c r="Q17" s="97" t="s">
        <v>210</v>
      </c>
      <c r="R17" s="5"/>
      <c r="S17" s="5"/>
      <c r="T17" s="107"/>
    </row>
    <row r="18" spans="1:20" ht="28.5">
      <c r="A18" s="93" t="str">
        <f>_xlfn.XLOOKUP(B18,'Paso 3 Redacción RA'!I$3:I$12,'Paso 3 Redacción RA'!C$3:C$12,,0,1)</f>
        <v>Saber</v>
      </c>
      <c r="B18" s="95" t="s">
        <v>100</v>
      </c>
      <c r="C18" s="162">
        <v>2</v>
      </c>
      <c r="D18" s="162" t="s">
        <v>242</v>
      </c>
      <c r="E18" s="164" t="s">
        <v>243</v>
      </c>
      <c r="F18" s="162" t="s">
        <v>205</v>
      </c>
      <c r="G18" s="162"/>
      <c r="H18" s="162" t="s">
        <v>206</v>
      </c>
      <c r="I18" s="162"/>
      <c r="J18" s="162">
        <v>4</v>
      </c>
      <c r="K18" s="162">
        <f>16*J18</f>
        <v>64</v>
      </c>
      <c r="L18" s="162">
        <f>32*J18</f>
        <v>128</v>
      </c>
      <c r="M18" s="162">
        <f>SUM(K18:L18)</f>
        <v>192</v>
      </c>
      <c r="N18" s="160" t="s">
        <v>244</v>
      </c>
      <c r="O18" s="160" t="s">
        <v>245</v>
      </c>
      <c r="P18" s="160" t="s">
        <v>246</v>
      </c>
      <c r="Q18" s="160" t="s">
        <v>210</v>
      </c>
      <c r="T18" s="107"/>
    </row>
    <row r="19" spans="1:20" ht="49.5">
      <c r="A19" s="93" t="str">
        <f>_xlfn.XLOOKUP(B19,'Paso 3 Redacción RA'!I$3:I$12,'Paso 3 Redacción RA'!C$3:C$12,,0,1)</f>
        <v>SaberSer</v>
      </c>
      <c r="B19" s="78" t="s">
        <v>93</v>
      </c>
      <c r="C19" s="137"/>
      <c r="D19" s="137"/>
      <c r="E19" s="158"/>
      <c r="F19" s="137"/>
      <c r="G19" s="137"/>
      <c r="H19" s="137"/>
      <c r="I19" s="137"/>
      <c r="J19" s="137"/>
      <c r="K19" s="137"/>
      <c r="L19" s="137"/>
      <c r="M19" s="137"/>
      <c r="N19" s="140"/>
      <c r="O19" s="140"/>
      <c r="P19" s="140"/>
      <c r="Q19" s="140"/>
      <c r="T19" s="107"/>
    </row>
    <row r="20" spans="1:20" ht="71.45" customHeight="1">
      <c r="A20" s="91" t="str">
        <f>_xlfn.XLOOKUP(B20,'Paso 3 Redacción RA'!I$3:I$12,'Paso 3 Redacción RA'!C$3:C$12,,0,1)</f>
        <v>Saber</v>
      </c>
      <c r="B20" s="91" t="s">
        <v>95</v>
      </c>
      <c r="C20" s="163"/>
      <c r="D20" s="163"/>
      <c r="E20" s="165"/>
      <c r="F20" s="163"/>
      <c r="G20" s="163"/>
      <c r="H20" s="163"/>
      <c r="I20" s="163"/>
      <c r="J20" s="163"/>
      <c r="K20" s="163"/>
      <c r="L20" s="163"/>
      <c r="M20" s="163"/>
      <c r="N20" s="161"/>
      <c r="O20" s="161"/>
      <c r="P20" s="161"/>
      <c r="Q20" s="161"/>
      <c r="T20" s="107"/>
    </row>
    <row r="21" spans="1:20" s="93" customFormat="1" ht="31.5" customHeight="1">
      <c r="A21" s="93" t="str">
        <f>_xlfn.XLOOKUP(B21,'Paso 3 Redacción RA'!I$3:I$12,'Paso 3 Redacción RA'!C$3:C$12,,0,1)</f>
        <v>Saber</v>
      </c>
      <c r="B21" s="95" t="s">
        <v>85</v>
      </c>
      <c r="C21" s="162">
        <v>2</v>
      </c>
      <c r="D21" s="162" t="s">
        <v>247</v>
      </c>
      <c r="E21" s="164" t="s">
        <v>248</v>
      </c>
      <c r="F21" s="162" t="s">
        <v>205</v>
      </c>
      <c r="G21" s="162"/>
      <c r="H21" s="162" t="s">
        <v>206</v>
      </c>
      <c r="I21" s="162"/>
      <c r="J21" s="162">
        <v>3</v>
      </c>
      <c r="K21" s="162">
        <f>16*J21</f>
        <v>48</v>
      </c>
      <c r="L21" s="162">
        <f>32*J21</f>
        <v>96</v>
      </c>
      <c r="M21" s="162">
        <f>SUM(K21:L21)</f>
        <v>144</v>
      </c>
      <c r="N21" s="160" t="s">
        <v>249</v>
      </c>
      <c r="O21" s="160" t="s">
        <v>235</v>
      </c>
      <c r="P21" s="160" t="s">
        <v>246</v>
      </c>
      <c r="Q21" s="160" t="s">
        <v>210</v>
      </c>
      <c r="R21" s="5"/>
      <c r="S21" s="5"/>
      <c r="T21" s="107"/>
    </row>
    <row r="22" spans="1:20" s="93" customFormat="1" ht="31.5" customHeight="1">
      <c r="A22" s="93" t="str">
        <f>_xlfn.XLOOKUP(B22,'Paso 3 Redacción RA'!I$3:I$12,'Paso 3 Redacción RA'!C$3:C$12,,0,1)</f>
        <v>SaberHacer</v>
      </c>
      <c r="B22" s="78" t="s">
        <v>89</v>
      </c>
      <c r="C22" s="137"/>
      <c r="D22" s="137"/>
      <c r="E22" s="158"/>
      <c r="F22" s="137"/>
      <c r="G22" s="137"/>
      <c r="H22" s="137"/>
      <c r="I22" s="137"/>
      <c r="J22" s="137"/>
      <c r="K22" s="137"/>
      <c r="L22" s="137"/>
      <c r="M22" s="137"/>
      <c r="N22" s="140"/>
      <c r="O22" s="140"/>
      <c r="P22" s="140"/>
      <c r="Q22" s="140"/>
      <c r="R22" s="5"/>
      <c r="S22" s="5"/>
      <c r="T22" s="107"/>
    </row>
    <row r="23" spans="1:20" s="93" customFormat="1" ht="27" customHeight="1">
      <c r="A23" s="93" t="str">
        <f>_xlfn.XLOOKUP(B23,'Paso 3 Redacción RA'!I$3:I$12,'Paso 3 Redacción RA'!C$3:C$12,,0,1)</f>
        <v>Saber</v>
      </c>
      <c r="B23" s="78" t="s">
        <v>100</v>
      </c>
      <c r="C23" s="137"/>
      <c r="D23" s="137"/>
      <c r="E23" s="158"/>
      <c r="F23" s="137"/>
      <c r="G23" s="137"/>
      <c r="H23" s="137"/>
      <c r="I23" s="137"/>
      <c r="J23" s="137"/>
      <c r="K23" s="137"/>
      <c r="L23" s="137"/>
      <c r="M23" s="137"/>
      <c r="N23" s="140"/>
      <c r="O23" s="140"/>
      <c r="P23" s="140"/>
      <c r="Q23" s="140"/>
      <c r="R23" s="5"/>
      <c r="S23" s="5"/>
      <c r="T23" s="107"/>
    </row>
    <row r="24" spans="1:20" s="93" customFormat="1" ht="32.1" customHeight="1" thickBot="1">
      <c r="A24" s="91" t="str">
        <f>_xlfn.XLOOKUP(B24,'Paso 3 Redacción RA'!I$3:I$12,'Paso 3 Redacción RA'!C$3:C$12,,0,1)</f>
        <v>SaberHacer</v>
      </c>
      <c r="B24" s="91" t="s">
        <v>102</v>
      </c>
      <c r="C24" s="163"/>
      <c r="D24" s="163"/>
      <c r="E24" s="165"/>
      <c r="F24" s="163"/>
      <c r="G24" s="163"/>
      <c r="H24" s="163"/>
      <c r="I24" s="163"/>
      <c r="J24" s="163"/>
      <c r="K24" s="163"/>
      <c r="L24" s="163"/>
      <c r="M24" s="163"/>
      <c r="N24" s="161"/>
      <c r="O24" s="161"/>
      <c r="P24" s="161"/>
      <c r="Q24" s="161"/>
      <c r="R24" s="5"/>
      <c r="S24" s="5"/>
      <c r="T24" s="107"/>
    </row>
    <row r="25" spans="1:20" s="93" customFormat="1" ht="64.5" customHeight="1">
      <c r="A25" s="93" t="str">
        <f>_xlfn.XLOOKUP(B25,'Paso 3 Redacción RA'!I$3:I$12,'Paso 3 Redacción RA'!C$3:C$12,,0,1)</f>
        <v>SaberSer</v>
      </c>
      <c r="B25" s="5" t="s">
        <v>93</v>
      </c>
      <c r="C25" s="162">
        <v>2</v>
      </c>
      <c r="D25" s="162" t="s">
        <v>250</v>
      </c>
      <c r="E25" s="164" t="s">
        <v>251</v>
      </c>
      <c r="F25" s="162" t="s">
        <v>205</v>
      </c>
      <c r="G25" s="162"/>
      <c r="H25" s="162" t="s">
        <v>206</v>
      </c>
      <c r="I25" s="162"/>
      <c r="J25" s="162">
        <v>3</v>
      </c>
      <c r="K25" s="162">
        <f>16*J25</f>
        <v>48</v>
      </c>
      <c r="L25" s="162">
        <f>32*J25</f>
        <v>96</v>
      </c>
      <c r="M25" s="162">
        <f>SUM(K25:L25)</f>
        <v>144</v>
      </c>
      <c r="N25" s="160" t="s">
        <v>252</v>
      </c>
      <c r="O25" s="160" t="s">
        <v>253</v>
      </c>
      <c r="P25" s="160" t="s">
        <v>246</v>
      </c>
      <c r="Q25" s="160" t="s">
        <v>210</v>
      </c>
      <c r="R25" s="5"/>
      <c r="S25" s="5"/>
      <c r="T25" s="107"/>
    </row>
    <row r="26" spans="1:20" s="93" customFormat="1" ht="35.1" customHeight="1">
      <c r="A26" s="93" t="str">
        <f>_xlfn.XLOOKUP(B26,'Paso 3 Redacción RA'!I$3:I$12,'Paso 3 Redacción RA'!C$3:C$12,,0,1)</f>
        <v>Saber</v>
      </c>
      <c r="B26" s="78" t="s">
        <v>95</v>
      </c>
      <c r="C26" s="137"/>
      <c r="D26" s="137"/>
      <c r="E26" s="158"/>
      <c r="F26" s="137"/>
      <c r="G26" s="137"/>
      <c r="H26" s="137"/>
      <c r="I26" s="137"/>
      <c r="J26" s="137"/>
      <c r="K26" s="137"/>
      <c r="L26" s="137"/>
      <c r="M26" s="137"/>
      <c r="N26" s="140"/>
      <c r="O26" s="140"/>
      <c r="P26" s="140"/>
      <c r="Q26" s="140"/>
      <c r="R26" s="5"/>
      <c r="S26" s="5"/>
      <c r="T26" s="107"/>
    </row>
    <row r="27" spans="1:20" s="93" customFormat="1" ht="51.6" customHeight="1" thickBot="1">
      <c r="A27" s="91" t="str">
        <f>_xlfn.XLOOKUP(B27,'Paso 3 Redacción RA'!I$3:I$12,'Paso 3 Redacción RA'!C$3:C$12,,0,1)</f>
        <v>Saber</v>
      </c>
      <c r="B27" s="91" t="s">
        <v>100</v>
      </c>
      <c r="C27" s="163"/>
      <c r="D27" s="163"/>
      <c r="E27" s="158"/>
      <c r="F27" s="137"/>
      <c r="G27" s="137"/>
      <c r="H27" s="137"/>
      <c r="I27" s="137"/>
      <c r="J27" s="137"/>
      <c r="K27" s="137"/>
      <c r="L27" s="137"/>
      <c r="M27" s="163"/>
      <c r="N27" s="140"/>
      <c r="O27" s="140"/>
      <c r="P27" s="161"/>
      <c r="Q27" s="140"/>
      <c r="R27" s="5"/>
      <c r="S27" s="5"/>
      <c r="T27" s="107"/>
    </row>
    <row r="28" spans="1:20" s="93" customFormat="1" ht="48" customHeight="1">
      <c r="A28" s="93" t="str">
        <f>_xlfn.XLOOKUP(B28,'Paso 3 Redacción RA'!I$3:I$12,'Paso 3 Redacción RA'!C$3:C$12,,0,1)</f>
        <v>Saber</v>
      </c>
      <c r="B28" s="78" t="s">
        <v>85</v>
      </c>
      <c r="C28" s="162">
        <v>2</v>
      </c>
      <c r="D28" s="162" t="s">
        <v>254</v>
      </c>
      <c r="E28" s="164" t="s">
        <v>255</v>
      </c>
      <c r="F28" s="162" t="s">
        <v>205</v>
      </c>
      <c r="G28" s="162"/>
      <c r="H28" s="162" t="s">
        <v>206</v>
      </c>
      <c r="I28" s="162"/>
      <c r="J28" s="162">
        <v>4</v>
      </c>
      <c r="K28" s="162">
        <f>16*J28</f>
        <v>64</v>
      </c>
      <c r="L28" s="162">
        <f>32*J28</f>
        <v>128</v>
      </c>
      <c r="M28" s="162">
        <f>SUM(K28:L28)</f>
        <v>192</v>
      </c>
      <c r="N28" s="160" t="s">
        <v>256</v>
      </c>
      <c r="O28" s="160" t="s">
        <v>257</v>
      </c>
      <c r="P28" s="160" t="s">
        <v>246</v>
      </c>
      <c r="Q28" s="160" t="s">
        <v>210</v>
      </c>
      <c r="R28" s="5"/>
      <c r="S28" s="5"/>
      <c r="T28" s="107"/>
    </row>
    <row r="29" spans="1:20" s="93" customFormat="1" ht="48" customHeight="1">
      <c r="A29" s="93" t="str">
        <f>_xlfn.XLOOKUP(B29,'Paso 3 Redacción RA'!I$3:I$12,'Paso 3 Redacción RA'!C$3:C$12,,0,1)</f>
        <v>SaberHacer</v>
      </c>
      <c r="B29" s="78" t="s">
        <v>89</v>
      </c>
      <c r="C29" s="137"/>
      <c r="D29" s="137"/>
      <c r="E29" s="158"/>
      <c r="F29" s="137"/>
      <c r="G29" s="137"/>
      <c r="H29" s="137"/>
      <c r="I29" s="137"/>
      <c r="J29" s="137"/>
      <c r="K29" s="137"/>
      <c r="L29" s="137"/>
      <c r="M29" s="137"/>
      <c r="N29" s="140"/>
      <c r="O29" s="140"/>
      <c r="P29" s="140"/>
      <c r="Q29" s="140"/>
      <c r="R29" s="5"/>
      <c r="S29" s="5"/>
      <c r="T29" s="107"/>
    </row>
    <row r="30" spans="1:20" s="93" customFormat="1" ht="39.950000000000003" customHeight="1">
      <c r="A30" s="93" t="str">
        <f>_xlfn.XLOOKUP(B30,'Paso 3 Redacción RA'!I$3:I$12,'Paso 3 Redacción RA'!C$3:C$12,,0,1)</f>
        <v>SaberSer</v>
      </c>
      <c r="B30" s="78" t="s">
        <v>93</v>
      </c>
      <c r="C30" s="137"/>
      <c r="D30" s="137"/>
      <c r="E30" s="158"/>
      <c r="F30" s="137"/>
      <c r="G30" s="137"/>
      <c r="H30" s="137"/>
      <c r="I30" s="137"/>
      <c r="J30" s="137"/>
      <c r="K30" s="137"/>
      <c r="L30" s="137"/>
      <c r="M30" s="137"/>
      <c r="N30" s="140"/>
      <c r="O30" s="140"/>
      <c r="P30" s="140"/>
      <c r="Q30" s="140"/>
      <c r="R30" s="5"/>
      <c r="S30" s="5"/>
      <c r="T30" s="107"/>
    </row>
    <row r="31" spans="1:20" s="93" customFormat="1" ht="41.1" customHeight="1" thickBot="1">
      <c r="A31" s="91" t="str">
        <f>_xlfn.XLOOKUP(B31,'Paso 3 Redacción RA'!I$3:I$12,'Paso 3 Redacción RA'!C$3:C$12,,0,1)</f>
        <v>Saber</v>
      </c>
      <c r="B31" s="91" t="s">
        <v>100</v>
      </c>
      <c r="C31" s="163"/>
      <c r="D31" s="163"/>
      <c r="E31" s="158"/>
      <c r="F31" s="137"/>
      <c r="G31" s="137"/>
      <c r="H31" s="137"/>
      <c r="I31" s="137"/>
      <c r="J31" s="137"/>
      <c r="K31" s="137"/>
      <c r="L31" s="137"/>
      <c r="M31" s="163"/>
      <c r="N31" s="140"/>
      <c r="O31" s="161"/>
      <c r="P31" s="161"/>
      <c r="Q31" s="140"/>
      <c r="R31" s="5">
        <f>SUM(J17:J31)</f>
        <v>17</v>
      </c>
      <c r="S31" s="5">
        <f>COUNTA(D17:D31)</f>
        <v>5</v>
      </c>
      <c r="T31" s="107"/>
    </row>
    <row r="32" spans="1:20" s="93" customFormat="1" ht="363.6" thickBot="1">
      <c r="A32" s="100" t="str">
        <f>_xlfn.XLOOKUP(B32,'Paso 3 Redacción RA'!I$3:I$12,'Paso 3 Redacción RA'!C$3:C$12,,0,1)</f>
        <v>Saber</v>
      </c>
      <c r="B32" s="100" t="s">
        <v>106</v>
      </c>
      <c r="C32" s="99">
        <v>3</v>
      </c>
      <c r="D32" s="99" t="s">
        <v>258</v>
      </c>
      <c r="E32" s="100" t="s">
        <v>259</v>
      </c>
      <c r="F32" s="98" t="s">
        <v>205</v>
      </c>
      <c r="G32" s="99" t="s">
        <v>206</v>
      </c>
      <c r="H32" s="99"/>
      <c r="I32" s="99"/>
      <c r="J32" s="98">
        <v>3</v>
      </c>
      <c r="K32" s="98">
        <f>16*J32</f>
        <v>48</v>
      </c>
      <c r="L32" s="98">
        <f>32*J32</f>
        <v>96</v>
      </c>
      <c r="M32" s="98">
        <f>SUM(K32:L32)</f>
        <v>144</v>
      </c>
      <c r="N32" s="97" t="s">
        <v>260</v>
      </c>
      <c r="O32" s="100" t="s">
        <v>261</v>
      </c>
      <c r="P32" s="100" t="s">
        <v>241</v>
      </c>
      <c r="Q32" s="97" t="s">
        <v>210</v>
      </c>
      <c r="R32" s="5"/>
      <c r="S32" s="5"/>
      <c r="T32" s="107"/>
    </row>
    <row r="33" spans="1:20" s="93" customFormat="1" ht="342.75">
      <c r="A33" s="100" t="str">
        <f>_xlfn.XLOOKUP(B33,'Paso 3 Redacción RA'!I$3:I$12,'Paso 3 Redacción RA'!C$3:C$12,,0,1)</f>
        <v>Saber</v>
      </c>
      <c r="B33" s="100" t="s">
        <v>106</v>
      </c>
      <c r="C33" s="99">
        <v>3</v>
      </c>
      <c r="D33" s="99" t="s">
        <v>262</v>
      </c>
      <c r="E33" s="100" t="s">
        <v>263</v>
      </c>
      <c r="F33" s="98" t="s">
        <v>205</v>
      </c>
      <c r="G33" s="98" t="s">
        <v>206</v>
      </c>
      <c r="H33" s="98"/>
      <c r="I33" s="98"/>
      <c r="J33" s="101">
        <v>3</v>
      </c>
      <c r="K33" s="98">
        <f>16*J33</f>
        <v>48</v>
      </c>
      <c r="L33" s="98">
        <f>32*J33</f>
        <v>96</v>
      </c>
      <c r="M33" s="98">
        <f>SUM(K33:L33)</f>
        <v>144</v>
      </c>
      <c r="N33" s="97" t="s">
        <v>264</v>
      </c>
      <c r="O33" s="97" t="s">
        <v>265</v>
      </c>
      <c r="P33" s="97" t="s">
        <v>266</v>
      </c>
      <c r="Q33" s="97" t="s">
        <v>210</v>
      </c>
      <c r="R33" s="5"/>
      <c r="S33" s="5"/>
      <c r="T33" s="107"/>
    </row>
    <row r="34" spans="1:20" s="93" customFormat="1" ht="37.5" customHeight="1">
      <c r="A34" s="95" t="str">
        <f>_xlfn.XLOOKUP(B34,'Paso 3 Redacción RA'!I$3:I$12,'Paso 3 Redacción RA'!C$3:C$12,,0,1)</f>
        <v>Saber</v>
      </c>
      <c r="B34" s="95" t="s">
        <v>85</v>
      </c>
      <c r="C34" s="162">
        <v>3</v>
      </c>
      <c r="D34" s="162" t="s">
        <v>267</v>
      </c>
      <c r="E34" s="164" t="s">
        <v>268</v>
      </c>
      <c r="F34" s="162" t="s">
        <v>205</v>
      </c>
      <c r="G34" s="162"/>
      <c r="H34" s="162" t="s">
        <v>206</v>
      </c>
      <c r="I34" s="162"/>
      <c r="J34" s="162">
        <v>3</v>
      </c>
      <c r="K34" s="162">
        <f>16*J34</f>
        <v>48</v>
      </c>
      <c r="L34" s="162">
        <f>32*J34</f>
        <v>96</v>
      </c>
      <c r="M34" s="162">
        <f>SUM(K34:L34)</f>
        <v>144</v>
      </c>
      <c r="N34" s="160" t="s">
        <v>269</v>
      </c>
      <c r="O34" s="160" t="s">
        <v>270</v>
      </c>
      <c r="P34" s="160" t="s">
        <v>246</v>
      </c>
      <c r="Q34" s="160" t="s">
        <v>210</v>
      </c>
      <c r="R34" s="5"/>
      <c r="S34" s="5"/>
      <c r="T34" s="107"/>
    </row>
    <row r="35" spans="1:20" s="93" customFormat="1" ht="37.5" customHeight="1">
      <c r="A35" s="78" t="str">
        <f>_xlfn.XLOOKUP(B35,'Paso 3 Redacción RA'!I$3:I$12,'Paso 3 Redacción RA'!C$3:C$12,,0,1)</f>
        <v>SaberSer</v>
      </c>
      <c r="B35" s="78" t="s">
        <v>93</v>
      </c>
      <c r="C35" s="137"/>
      <c r="D35" s="137"/>
      <c r="E35" s="158"/>
      <c r="F35" s="137"/>
      <c r="G35" s="137"/>
      <c r="H35" s="137"/>
      <c r="I35" s="137"/>
      <c r="J35" s="137"/>
      <c r="K35" s="137"/>
      <c r="L35" s="137"/>
      <c r="M35" s="137"/>
      <c r="N35" s="140"/>
      <c r="O35" s="140"/>
      <c r="P35" s="140"/>
      <c r="Q35" s="140"/>
      <c r="R35" s="5"/>
      <c r="S35" s="5"/>
      <c r="T35" s="107"/>
    </row>
    <row r="36" spans="1:20" s="93" customFormat="1" ht="34.5" customHeight="1" thickBot="1">
      <c r="A36" s="91" t="str">
        <f>_xlfn.XLOOKUP(B36,'Paso 3 Redacción RA'!I$3:I$12,'Paso 3 Redacción RA'!C$3:C$12,,0,1)</f>
        <v>Saber</v>
      </c>
      <c r="B36" s="91" t="s">
        <v>95</v>
      </c>
      <c r="C36" s="163"/>
      <c r="D36" s="163"/>
      <c r="E36" s="165"/>
      <c r="F36" s="163"/>
      <c r="G36" s="163"/>
      <c r="H36" s="163"/>
      <c r="I36" s="163"/>
      <c r="J36" s="163"/>
      <c r="K36" s="163"/>
      <c r="L36" s="163"/>
      <c r="M36" s="163"/>
      <c r="N36" s="161"/>
      <c r="O36" s="161"/>
      <c r="P36" s="161"/>
      <c r="Q36" s="161"/>
      <c r="R36" s="5"/>
      <c r="S36" s="5"/>
      <c r="T36" s="107"/>
    </row>
    <row r="37" spans="1:20" s="93" customFormat="1" ht="26.45" customHeight="1">
      <c r="A37" s="95" t="str">
        <f>_xlfn.XLOOKUP(B37,'Paso 3 Redacción RA'!I$3:I$12,'Paso 3 Redacción RA'!C$3:C$12,,0,1)</f>
        <v>Saber</v>
      </c>
      <c r="B37" s="78" t="s">
        <v>95</v>
      </c>
      <c r="C37" s="162">
        <v>3</v>
      </c>
      <c r="D37" s="162" t="s">
        <v>271</v>
      </c>
      <c r="E37" s="164" t="s">
        <v>272</v>
      </c>
      <c r="F37" s="162" t="s">
        <v>205</v>
      </c>
      <c r="G37" s="162"/>
      <c r="H37" s="162" t="s">
        <v>206</v>
      </c>
      <c r="I37" s="162"/>
      <c r="J37" s="162">
        <v>3</v>
      </c>
      <c r="K37" s="162">
        <f>16*J37</f>
        <v>48</v>
      </c>
      <c r="L37" s="162">
        <f>32*J37</f>
        <v>96</v>
      </c>
      <c r="M37" s="162">
        <f>SUM(K37:L37)</f>
        <v>144</v>
      </c>
      <c r="N37" s="160" t="s">
        <v>273</v>
      </c>
      <c r="O37" s="160" t="s">
        <v>274</v>
      </c>
      <c r="P37" s="160" t="s">
        <v>246</v>
      </c>
      <c r="Q37" s="160" t="s">
        <v>210</v>
      </c>
      <c r="R37" s="5"/>
      <c r="S37" s="5"/>
      <c r="T37" s="107"/>
    </row>
    <row r="38" spans="1:20" s="93" customFormat="1" ht="33.6" customHeight="1">
      <c r="A38" s="78" t="str">
        <f>_xlfn.XLOOKUP(B38,'Paso 3 Redacción RA'!I$3:I$12,'Paso 3 Redacción RA'!C$3:C$12,,0,1)</f>
        <v>Saber</v>
      </c>
      <c r="B38" s="78" t="s">
        <v>100</v>
      </c>
      <c r="C38" s="137"/>
      <c r="D38" s="137"/>
      <c r="E38" s="158"/>
      <c r="F38" s="137"/>
      <c r="G38" s="137"/>
      <c r="H38" s="137"/>
      <c r="I38" s="137"/>
      <c r="J38" s="137"/>
      <c r="K38" s="137"/>
      <c r="L38" s="137"/>
      <c r="M38" s="137"/>
      <c r="N38" s="140"/>
      <c r="O38" s="140"/>
      <c r="P38" s="140"/>
      <c r="Q38" s="140"/>
      <c r="R38" s="5"/>
      <c r="S38" s="5"/>
      <c r="T38" s="107"/>
    </row>
    <row r="39" spans="1:20" s="93" customFormat="1" ht="37.5" customHeight="1" thickBot="1">
      <c r="A39" s="91" t="str">
        <f>_xlfn.XLOOKUP(B39,'Paso 3 Redacción RA'!I$3:I$12,'Paso 3 Redacción RA'!C$3:C$12,,0,1)</f>
        <v>SaberHacer</v>
      </c>
      <c r="B39" s="78" t="s">
        <v>102</v>
      </c>
      <c r="C39" s="163"/>
      <c r="D39" s="163"/>
      <c r="E39" s="165"/>
      <c r="F39" s="163"/>
      <c r="G39" s="163"/>
      <c r="H39" s="163"/>
      <c r="I39" s="163"/>
      <c r="J39" s="163"/>
      <c r="K39" s="163"/>
      <c r="L39" s="163"/>
      <c r="M39" s="163"/>
      <c r="N39" s="161"/>
      <c r="O39" s="161"/>
      <c r="P39" s="161"/>
      <c r="Q39" s="161"/>
      <c r="R39" s="5"/>
      <c r="S39" s="5"/>
      <c r="T39" s="107"/>
    </row>
    <row r="40" spans="1:20" s="93" customFormat="1" ht="56.1" customHeight="1">
      <c r="A40" s="106" t="str">
        <f>_xlfn.XLOOKUP(B40,'Paso 3 Redacción RA'!I$3:I$12,'Paso 3 Redacción RA'!C$3:C$12,,0,1)</f>
        <v>SaberSer</v>
      </c>
      <c r="B40" s="95" t="s">
        <v>93</v>
      </c>
      <c r="C40" s="162">
        <v>3</v>
      </c>
      <c r="D40" s="162" t="s">
        <v>275</v>
      </c>
      <c r="E40" s="164" t="s">
        <v>276</v>
      </c>
      <c r="F40" s="162" t="s">
        <v>205</v>
      </c>
      <c r="G40" s="162"/>
      <c r="H40" s="162" t="s">
        <v>206</v>
      </c>
      <c r="I40" s="162"/>
      <c r="J40" s="162">
        <v>3</v>
      </c>
      <c r="K40" s="162">
        <f>16*J40</f>
        <v>48</v>
      </c>
      <c r="L40" s="162">
        <f>32*J40</f>
        <v>96</v>
      </c>
      <c r="M40" s="162">
        <v>192</v>
      </c>
      <c r="N40" s="160" t="s">
        <v>277</v>
      </c>
      <c r="O40" s="160" t="s">
        <v>278</v>
      </c>
      <c r="P40" s="160" t="s">
        <v>246</v>
      </c>
      <c r="Q40" s="160" t="s">
        <v>210</v>
      </c>
      <c r="R40" s="5"/>
      <c r="S40" s="5"/>
      <c r="T40" s="107"/>
    </row>
    <row r="41" spans="1:20" s="93" customFormat="1" ht="42" customHeight="1">
      <c r="A41" s="78" t="str">
        <f>_xlfn.XLOOKUP(B41,'Paso 3 Redacción RA'!I$3:I$12,'Paso 3 Redacción RA'!C$3:C$12,,0,1)</f>
        <v>Saber</v>
      </c>
      <c r="B41" s="78" t="s">
        <v>100</v>
      </c>
      <c r="C41" s="137"/>
      <c r="D41" s="137"/>
      <c r="E41" s="158"/>
      <c r="F41" s="137"/>
      <c r="G41" s="137"/>
      <c r="H41" s="137"/>
      <c r="I41" s="137"/>
      <c r="J41" s="137"/>
      <c r="K41" s="137"/>
      <c r="L41" s="137"/>
      <c r="M41" s="137"/>
      <c r="N41" s="140"/>
      <c r="O41" s="140"/>
      <c r="P41" s="140"/>
      <c r="Q41" s="140"/>
      <c r="R41" s="5"/>
      <c r="S41" s="5"/>
      <c r="T41" s="107"/>
    </row>
    <row r="42" spans="1:20" s="93" customFormat="1" ht="39" customHeight="1" thickBot="1">
      <c r="A42" s="91" t="str">
        <f>_xlfn.XLOOKUP(B42,'Paso 3 Redacción RA'!I$3:I$12,'Paso 3 Redacción RA'!C$3:C$12,,0,1)</f>
        <v>SaberHacer</v>
      </c>
      <c r="B42" s="91" t="s">
        <v>102</v>
      </c>
      <c r="C42" s="163"/>
      <c r="D42" s="163"/>
      <c r="E42" s="158"/>
      <c r="F42" s="137"/>
      <c r="G42" s="137"/>
      <c r="H42" s="137"/>
      <c r="I42" s="137"/>
      <c r="J42" s="137"/>
      <c r="K42" s="137"/>
      <c r="L42" s="137"/>
      <c r="M42" s="137"/>
      <c r="N42" s="140"/>
      <c r="O42" s="140"/>
      <c r="P42" s="161"/>
      <c r="Q42" s="140"/>
      <c r="R42" s="5"/>
      <c r="S42" s="5"/>
      <c r="T42" s="107"/>
    </row>
    <row r="43" spans="1:20" s="93" customFormat="1" ht="54.95" customHeight="1">
      <c r="A43" s="106" t="str">
        <f>_xlfn.XLOOKUP(B43,'Paso 3 Redacción RA'!I$3:I$12,'Paso 3 Redacción RA'!C$3:C$12,,0,1)</f>
        <v>SaberSer</v>
      </c>
      <c r="B43" s="95" t="s">
        <v>93</v>
      </c>
      <c r="C43" s="162">
        <v>3</v>
      </c>
      <c r="D43" s="162" t="s">
        <v>279</v>
      </c>
      <c r="E43" s="164" t="s">
        <v>280</v>
      </c>
      <c r="F43" s="162" t="s">
        <v>205</v>
      </c>
      <c r="G43" s="162"/>
      <c r="H43" s="162" t="s">
        <v>206</v>
      </c>
      <c r="I43" s="162"/>
      <c r="J43" s="162">
        <v>3</v>
      </c>
      <c r="K43" s="162">
        <f>16*J43</f>
        <v>48</v>
      </c>
      <c r="L43" s="162">
        <f>32*J43</f>
        <v>96</v>
      </c>
      <c r="M43" s="162">
        <v>192</v>
      </c>
      <c r="N43" s="160" t="s">
        <v>281</v>
      </c>
      <c r="O43" s="160" t="s">
        <v>282</v>
      </c>
      <c r="P43" s="160" t="s">
        <v>246</v>
      </c>
      <c r="Q43" s="160" t="s">
        <v>210</v>
      </c>
      <c r="R43" s="5"/>
      <c r="S43" s="5"/>
      <c r="T43" s="107"/>
    </row>
    <row r="44" spans="1:20" s="93" customFormat="1" ht="60.95" customHeight="1">
      <c r="A44" s="78" t="str">
        <f>_xlfn.XLOOKUP(B44,'Paso 3 Redacción RA'!I$3:I$12,'Paso 3 Redacción RA'!C$3:C$12,,0,1)</f>
        <v>Saber</v>
      </c>
      <c r="B44" s="78" t="s">
        <v>95</v>
      </c>
      <c r="C44" s="137"/>
      <c r="D44" s="137"/>
      <c r="E44" s="158"/>
      <c r="F44" s="137"/>
      <c r="G44" s="137"/>
      <c r="H44" s="137"/>
      <c r="I44" s="137"/>
      <c r="J44" s="137"/>
      <c r="K44" s="137"/>
      <c r="L44" s="137"/>
      <c r="M44" s="137"/>
      <c r="N44" s="140"/>
      <c r="O44" s="140"/>
      <c r="P44" s="140"/>
      <c r="Q44" s="140"/>
      <c r="R44" s="5"/>
      <c r="S44" s="5"/>
      <c r="T44" s="107"/>
    </row>
    <row r="45" spans="1:20" s="93" customFormat="1" ht="59.45" customHeight="1">
      <c r="A45" s="91" t="str">
        <f>_xlfn.XLOOKUP(B45,'Paso 3 Redacción RA'!I$3:I$12,'Paso 3 Redacción RA'!C$3:C$12,,0,1)</f>
        <v>Saber</v>
      </c>
      <c r="B45" s="91" t="s">
        <v>100</v>
      </c>
      <c r="C45" s="163"/>
      <c r="D45" s="163"/>
      <c r="E45" s="158"/>
      <c r="F45" s="137"/>
      <c r="G45" s="137"/>
      <c r="H45" s="137"/>
      <c r="I45" s="137"/>
      <c r="J45" s="137"/>
      <c r="K45" s="137"/>
      <c r="L45" s="137"/>
      <c r="M45" s="137"/>
      <c r="N45" s="140"/>
      <c r="O45" s="140"/>
      <c r="P45" s="161"/>
      <c r="Q45" s="140"/>
      <c r="R45" s="5">
        <f>SUM(J32:J45)</f>
        <v>18</v>
      </c>
      <c r="S45" s="5">
        <f>COUNTA(D32:D45)</f>
        <v>6</v>
      </c>
      <c r="T45" s="107"/>
    </row>
    <row r="46" spans="1:20" s="93" customFormat="1" ht="328.5">
      <c r="A46" s="100" t="str">
        <f>_xlfn.XLOOKUP(B46,'Paso 3 Redacción RA'!I$3:I$12,'Paso 3 Redacción RA'!C$3:C$12,,0,1)</f>
        <v>Saber</v>
      </c>
      <c r="B46" s="100" t="s">
        <v>106</v>
      </c>
      <c r="C46" s="99">
        <v>4</v>
      </c>
      <c r="D46" s="99" t="s">
        <v>283</v>
      </c>
      <c r="E46" s="100" t="s">
        <v>284</v>
      </c>
      <c r="F46" s="98" t="s">
        <v>205</v>
      </c>
      <c r="G46" s="99" t="s">
        <v>206</v>
      </c>
      <c r="H46" s="99" t="s">
        <v>285</v>
      </c>
      <c r="I46" s="99"/>
      <c r="J46" s="99">
        <v>3</v>
      </c>
      <c r="K46" s="98">
        <f>16*J46</f>
        <v>48</v>
      </c>
      <c r="L46" s="98">
        <f>32*J46</f>
        <v>96</v>
      </c>
      <c r="M46" s="98">
        <f>SUM(K46:L46)</f>
        <v>144</v>
      </c>
      <c r="N46" s="100" t="s">
        <v>286</v>
      </c>
      <c r="O46" s="100" t="s">
        <v>261</v>
      </c>
      <c r="P46" s="100" t="s">
        <v>241</v>
      </c>
      <c r="Q46" s="97" t="s">
        <v>210</v>
      </c>
      <c r="R46" s="5"/>
      <c r="S46" s="5"/>
      <c r="T46" s="107"/>
    </row>
    <row r="47" spans="1:20" s="93" customFormat="1" ht="48.95" customHeight="1">
      <c r="A47" s="106" t="str">
        <f>_xlfn.XLOOKUP(B47,'Paso 3 Redacción RA'!I$3:I$12,'Paso 3 Redacción RA'!C$3:C$12,,0,1)</f>
        <v>Saber</v>
      </c>
      <c r="B47" s="95" t="s">
        <v>95</v>
      </c>
      <c r="C47" s="162">
        <v>4</v>
      </c>
      <c r="D47" s="162" t="s">
        <v>287</v>
      </c>
      <c r="E47" s="164" t="s">
        <v>288</v>
      </c>
      <c r="F47" s="162" t="s">
        <v>205</v>
      </c>
      <c r="G47" s="162"/>
      <c r="H47" s="162" t="s">
        <v>206</v>
      </c>
      <c r="I47" s="162"/>
      <c r="J47" s="162">
        <v>3</v>
      </c>
      <c r="K47" s="162">
        <f>16*J47</f>
        <v>48</v>
      </c>
      <c r="L47" s="162">
        <f>32*J47</f>
        <v>96</v>
      </c>
      <c r="M47" s="162">
        <f>SUM(K47:L47)</f>
        <v>144</v>
      </c>
      <c r="N47" s="160" t="s">
        <v>289</v>
      </c>
      <c r="O47" s="160" t="s">
        <v>290</v>
      </c>
      <c r="P47" s="160" t="s">
        <v>246</v>
      </c>
      <c r="Q47" s="160" t="s">
        <v>210</v>
      </c>
      <c r="R47" s="5"/>
      <c r="S47" s="5"/>
      <c r="T47" s="107"/>
    </row>
    <row r="48" spans="1:20" s="93" customFormat="1" ht="41.45" customHeight="1">
      <c r="A48" s="78" t="str">
        <f>_xlfn.XLOOKUP(B48,'Paso 3 Redacción RA'!I$3:I$12,'Paso 3 Redacción RA'!C$3:C$12,,0,1)</f>
        <v>SaberHacer</v>
      </c>
      <c r="B48" s="78" t="s">
        <v>98</v>
      </c>
      <c r="C48" s="137"/>
      <c r="D48" s="137"/>
      <c r="E48" s="158"/>
      <c r="F48" s="137"/>
      <c r="G48" s="137"/>
      <c r="H48" s="137"/>
      <c r="I48" s="137"/>
      <c r="J48" s="137"/>
      <c r="K48" s="137"/>
      <c r="L48" s="137"/>
      <c r="M48" s="137"/>
      <c r="N48" s="140"/>
      <c r="O48" s="140"/>
      <c r="P48" s="140"/>
      <c r="Q48" s="140"/>
      <c r="R48" s="5"/>
      <c r="S48" s="5"/>
      <c r="T48" s="107"/>
    </row>
    <row r="49" spans="1:20" s="93" customFormat="1" ht="32.1" customHeight="1" thickBot="1">
      <c r="A49" s="91" t="str">
        <f>_xlfn.XLOOKUP(B49,'Paso 3 Redacción RA'!I$3:I$12,'Paso 3 Redacción RA'!C$3:C$12,,0,1)</f>
        <v>SaberHacer</v>
      </c>
      <c r="B49" s="91" t="s">
        <v>102</v>
      </c>
      <c r="C49" s="163"/>
      <c r="D49" s="163"/>
      <c r="E49" s="165"/>
      <c r="F49" s="163"/>
      <c r="G49" s="163"/>
      <c r="H49" s="163"/>
      <c r="I49" s="163"/>
      <c r="J49" s="163"/>
      <c r="K49" s="163"/>
      <c r="L49" s="163"/>
      <c r="M49" s="163"/>
      <c r="N49" s="161"/>
      <c r="O49" s="161"/>
      <c r="P49" s="161"/>
      <c r="Q49" s="161"/>
      <c r="R49" s="5"/>
      <c r="S49" s="5"/>
      <c r="T49" s="107"/>
    </row>
    <row r="50" spans="1:20" s="93" customFormat="1" ht="47.45" customHeight="1">
      <c r="A50" s="106" t="str">
        <f>_xlfn.XLOOKUP(B50,'Paso 3 Redacción RA'!I$3:I$12,'Paso 3 Redacción RA'!C$3:C$12,,0,1)</f>
        <v>SaberSer</v>
      </c>
      <c r="B50" s="95" t="s">
        <v>93</v>
      </c>
      <c r="C50" s="162">
        <v>4</v>
      </c>
      <c r="D50" s="162" t="s">
        <v>291</v>
      </c>
      <c r="E50" s="164" t="s">
        <v>292</v>
      </c>
      <c r="F50" s="162" t="s">
        <v>205</v>
      </c>
      <c r="G50" s="162"/>
      <c r="H50" s="162" t="s">
        <v>206</v>
      </c>
      <c r="I50" s="162"/>
      <c r="J50" s="162">
        <v>3</v>
      </c>
      <c r="K50" s="162">
        <f>16*J50</f>
        <v>48</v>
      </c>
      <c r="L50" s="162">
        <f>32*J50</f>
        <v>96</v>
      </c>
      <c r="M50" s="162">
        <f>SUM(K50:L50)</f>
        <v>144</v>
      </c>
      <c r="N50" s="160" t="s">
        <v>293</v>
      </c>
      <c r="O50" s="160" t="s">
        <v>294</v>
      </c>
      <c r="P50" s="160" t="s">
        <v>246</v>
      </c>
      <c r="Q50" s="160" t="s">
        <v>210</v>
      </c>
      <c r="R50" s="5"/>
      <c r="S50" s="5"/>
      <c r="T50" s="107"/>
    </row>
    <row r="51" spans="1:20" s="93" customFormat="1" ht="42.6" customHeight="1">
      <c r="A51" s="78" t="str">
        <f>_xlfn.XLOOKUP(B51,'Paso 3 Redacción RA'!I$3:I$12,'Paso 3 Redacción RA'!C$3:C$12,,0,1)</f>
        <v>Saber</v>
      </c>
      <c r="B51" s="78" t="s">
        <v>100</v>
      </c>
      <c r="C51" s="137"/>
      <c r="D51" s="137"/>
      <c r="E51" s="158"/>
      <c r="F51" s="137"/>
      <c r="G51" s="137"/>
      <c r="H51" s="137"/>
      <c r="I51" s="137"/>
      <c r="J51" s="137"/>
      <c r="K51" s="137"/>
      <c r="L51" s="137"/>
      <c r="M51" s="137"/>
      <c r="N51" s="140"/>
      <c r="O51" s="140"/>
      <c r="P51" s="140"/>
      <c r="Q51" s="140"/>
      <c r="R51" s="5"/>
      <c r="S51" s="5"/>
      <c r="T51" s="107"/>
    </row>
    <row r="52" spans="1:20" s="93" customFormat="1" ht="42" customHeight="1" thickBot="1">
      <c r="A52" s="91" t="str">
        <f>_xlfn.XLOOKUP(B52,'Paso 3 Redacción RA'!I$3:I$12,'Paso 3 Redacción RA'!C$3:C$12,,0,1)</f>
        <v>SaberHacer</v>
      </c>
      <c r="B52" s="91" t="s">
        <v>102</v>
      </c>
      <c r="C52" s="163"/>
      <c r="D52" s="163"/>
      <c r="E52" s="165"/>
      <c r="F52" s="163"/>
      <c r="G52" s="163"/>
      <c r="H52" s="163"/>
      <c r="I52" s="163"/>
      <c r="J52" s="163"/>
      <c r="K52" s="163"/>
      <c r="L52" s="163"/>
      <c r="M52" s="163"/>
      <c r="N52" s="161"/>
      <c r="O52" s="161"/>
      <c r="P52" s="161"/>
      <c r="Q52" s="161"/>
      <c r="R52" s="5"/>
      <c r="S52" s="5"/>
      <c r="T52" s="107"/>
    </row>
    <row r="53" spans="1:20" s="93" customFormat="1" ht="63" customHeight="1">
      <c r="A53" s="95" t="str">
        <f>_xlfn.XLOOKUP(B53,'Paso 3 Redacción RA'!I$3:I$12,'Paso 3 Redacción RA'!C$3:C$12,,0,1)</f>
        <v>SaberSer</v>
      </c>
      <c r="B53" s="95" t="s">
        <v>93</v>
      </c>
      <c r="C53" s="162">
        <v>4</v>
      </c>
      <c r="D53" s="162" t="s">
        <v>295</v>
      </c>
      <c r="E53" s="164" t="s">
        <v>296</v>
      </c>
      <c r="F53" s="162" t="s">
        <v>205</v>
      </c>
      <c r="G53" s="162"/>
      <c r="H53" s="162" t="s">
        <v>206</v>
      </c>
      <c r="I53" s="162"/>
      <c r="J53" s="162">
        <v>4</v>
      </c>
      <c r="K53" s="162">
        <f>16*J53</f>
        <v>64</v>
      </c>
      <c r="L53" s="162">
        <f>32*J53</f>
        <v>128</v>
      </c>
      <c r="M53" s="162">
        <f>SUM(K53:L53)</f>
        <v>192</v>
      </c>
      <c r="N53" s="160" t="s">
        <v>297</v>
      </c>
      <c r="O53" s="160" t="s">
        <v>298</v>
      </c>
      <c r="P53" s="160" t="s">
        <v>246</v>
      </c>
      <c r="Q53" s="160" t="s">
        <v>210</v>
      </c>
      <c r="R53" s="5"/>
      <c r="S53" s="5"/>
      <c r="T53" s="107"/>
    </row>
    <row r="54" spans="1:20" s="93" customFormat="1" ht="62.1" customHeight="1">
      <c r="A54" s="78" t="str">
        <f>_xlfn.XLOOKUP(B54,'Paso 3 Redacción RA'!I$3:I$12,'Paso 3 Redacción RA'!C$3:C$12,,0,1)</f>
        <v>Saber</v>
      </c>
      <c r="B54" s="78" t="s">
        <v>100</v>
      </c>
      <c r="C54" s="137"/>
      <c r="D54" s="137"/>
      <c r="E54" s="158"/>
      <c r="F54" s="137"/>
      <c r="G54" s="137"/>
      <c r="H54" s="137"/>
      <c r="I54" s="137"/>
      <c r="J54" s="137"/>
      <c r="K54" s="137"/>
      <c r="L54" s="137"/>
      <c r="M54" s="137"/>
      <c r="N54" s="140"/>
      <c r="O54" s="140"/>
      <c r="P54" s="140"/>
      <c r="Q54" s="140"/>
      <c r="R54" s="5"/>
      <c r="S54" s="5"/>
      <c r="T54" s="107"/>
    </row>
    <row r="55" spans="1:20" s="93" customFormat="1" ht="62.1" customHeight="1">
      <c r="A55" s="91" t="str">
        <f>_xlfn.XLOOKUP(B55,'Paso 3 Redacción RA'!I$3:I$12,'Paso 3 Redacción RA'!C$3:C$12,,0,1)</f>
        <v>SaberHacer</v>
      </c>
      <c r="B55" s="91" t="s">
        <v>102</v>
      </c>
      <c r="C55" s="163"/>
      <c r="D55" s="163"/>
      <c r="E55" s="165"/>
      <c r="F55" s="163"/>
      <c r="G55" s="163"/>
      <c r="H55" s="163"/>
      <c r="I55" s="163"/>
      <c r="J55" s="163"/>
      <c r="K55" s="163"/>
      <c r="L55" s="163"/>
      <c r="M55" s="163"/>
      <c r="N55" s="161"/>
      <c r="O55" s="161"/>
      <c r="P55" s="161"/>
      <c r="Q55" s="161"/>
      <c r="R55" s="5"/>
      <c r="S55" s="5"/>
      <c r="T55" s="107"/>
    </row>
    <row r="56" spans="1:20" s="93" customFormat="1" ht="45.95" customHeight="1">
      <c r="A56" s="106" t="str">
        <f>_xlfn.XLOOKUP(B56,'Paso 3 Redacción RA'!I$3:I$12,'Paso 3 Redacción RA'!C$3:C$12,,0,1)</f>
        <v>Saber</v>
      </c>
      <c r="B56" s="95" t="s">
        <v>106</v>
      </c>
      <c r="C56" s="162">
        <v>4</v>
      </c>
      <c r="D56" s="162" t="s">
        <v>299</v>
      </c>
      <c r="E56" s="164" t="s">
        <v>300</v>
      </c>
      <c r="F56" s="162" t="s">
        <v>205</v>
      </c>
      <c r="G56" s="162"/>
      <c r="H56" s="162" t="s">
        <v>206</v>
      </c>
      <c r="I56" s="162"/>
      <c r="J56" s="162">
        <v>4</v>
      </c>
      <c r="K56" s="162">
        <f>16*J56</f>
        <v>64</v>
      </c>
      <c r="L56" s="162">
        <f>32*J56</f>
        <v>128</v>
      </c>
      <c r="M56" s="162">
        <f>SUM(K56:L56)</f>
        <v>192</v>
      </c>
      <c r="N56" s="160" t="s">
        <v>301</v>
      </c>
      <c r="O56" s="160" t="s">
        <v>302</v>
      </c>
      <c r="P56" s="160" t="s">
        <v>246</v>
      </c>
      <c r="Q56" s="160" t="s">
        <v>210</v>
      </c>
      <c r="R56" s="5"/>
      <c r="S56" s="5"/>
      <c r="T56" s="107"/>
    </row>
    <row r="57" spans="1:20" s="93" customFormat="1" ht="43.5" customHeight="1">
      <c r="A57" s="93" t="str">
        <f>_xlfn.XLOOKUP(B57,'Paso 3 Redacción RA'!I$3:I$12,'Paso 3 Redacción RA'!C$3:C$12,,0,1)</f>
        <v>Saber</v>
      </c>
      <c r="B57" s="78" t="s">
        <v>100</v>
      </c>
      <c r="C57" s="137"/>
      <c r="D57" s="137"/>
      <c r="E57" s="158"/>
      <c r="F57" s="137"/>
      <c r="G57" s="137"/>
      <c r="H57" s="137"/>
      <c r="I57" s="137"/>
      <c r="J57" s="137"/>
      <c r="K57" s="137"/>
      <c r="L57" s="137"/>
      <c r="M57" s="137"/>
      <c r="N57" s="140"/>
      <c r="O57" s="140"/>
      <c r="P57" s="140"/>
      <c r="Q57" s="140"/>
      <c r="R57" s="5"/>
      <c r="S57" s="5"/>
      <c r="T57" s="107"/>
    </row>
    <row r="58" spans="1:20" s="93" customFormat="1" ht="42.95" customHeight="1" thickBot="1">
      <c r="A58" s="93" t="str">
        <f>_xlfn.XLOOKUP(B58,'Paso 3 Redacción RA'!I$3:I$12,'Paso 3 Redacción RA'!C$3:C$12,,0,1)</f>
        <v>SaberHacer</v>
      </c>
      <c r="B58" s="91" t="s">
        <v>102</v>
      </c>
      <c r="C58" s="163"/>
      <c r="D58" s="163"/>
      <c r="E58" s="165"/>
      <c r="F58" s="163"/>
      <c r="G58" s="163"/>
      <c r="H58" s="163"/>
      <c r="I58" s="163"/>
      <c r="J58" s="163"/>
      <c r="K58" s="163"/>
      <c r="L58" s="163"/>
      <c r="M58" s="163"/>
      <c r="N58" s="161"/>
      <c r="O58" s="161"/>
      <c r="P58" s="161"/>
      <c r="Q58" s="161"/>
      <c r="R58" s="5">
        <f>SUM(J46:J58)</f>
        <v>17</v>
      </c>
      <c r="S58" s="5">
        <f>COUNTA(D46:D58)</f>
        <v>5</v>
      </c>
      <c r="T58" s="107"/>
    </row>
    <row r="59" spans="1:20" s="93" customFormat="1" ht="49.5" customHeight="1">
      <c r="A59" s="106" t="str">
        <f>_xlfn.XLOOKUP(B59,'Paso 3 Redacción RA'!I$3:I$12,'Paso 3 Redacción RA'!C$3:C$12,,0,1)</f>
        <v>Saber</v>
      </c>
      <c r="B59" s="95" t="s">
        <v>85</v>
      </c>
      <c r="C59" s="162">
        <v>5</v>
      </c>
      <c r="D59" s="162" t="s">
        <v>303</v>
      </c>
      <c r="E59" s="164" t="s">
        <v>304</v>
      </c>
      <c r="F59" s="162" t="s">
        <v>205</v>
      </c>
      <c r="G59" s="162"/>
      <c r="H59" s="162" t="s">
        <v>206</v>
      </c>
      <c r="I59" s="162"/>
      <c r="J59" s="162">
        <v>3</v>
      </c>
      <c r="K59" s="162">
        <f>16*J59</f>
        <v>48</v>
      </c>
      <c r="L59" s="162">
        <f>32*J59</f>
        <v>96</v>
      </c>
      <c r="M59" s="162">
        <f>SUM(K59:L59)</f>
        <v>144</v>
      </c>
      <c r="N59" s="160" t="s">
        <v>305</v>
      </c>
      <c r="O59" s="160" t="s">
        <v>302</v>
      </c>
      <c r="P59" s="160" t="s">
        <v>246</v>
      </c>
      <c r="Q59" s="160" t="s">
        <v>210</v>
      </c>
      <c r="R59" s="5"/>
      <c r="S59" s="5"/>
      <c r="T59" s="107"/>
    </row>
    <row r="60" spans="1:20" s="93" customFormat="1" ht="49.5" customHeight="1">
      <c r="A60" s="93" t="str">
        <f>_xlfn.XLOOKUP(B60,'Paso 3 Redacción RA'!I$3:I$12,'Paso 3 Redacción RA'!C$3:C$12,,0,1)</f>
        <v>SaberHacer</v>
      </c>
      <c r="B60" s="78" t="s">
        <v>89</v>
      </c>
      <c r="C60" s="137"/>
      <c r="D60" s="137"/>
      <c r="E60" s="158"/>
      <c r="F60" s="137"/>
      <c r="G60" s="137"/>
      <c r="H60" s="137"/>
      <c r="I60" s="137"/>
      <c r="J60" s="137"/>
      <c r="K60" s="137"/>
      <c r="L60" s="137"/>
      <c r="M60" s="137"/>
      <c r="N60" s="140"/>
      <c r="O60" s="140"/>
      <c r="P60" s="140"/>
      <c r="Q60" s="140"/>
      <c r="R60" s="5"/>
      <c r="S60" s="5"/>
      <c r="T60" s="107"/>
    </row>
    <row r="61" spans="1:20" s="93" customFormat="1" ht="50.45" customHeight="1">
      <c r="A61" s="93" t="str">
        <f>_xlfn.XLOOKUP(B61,'Paso 3 Redacción RA'!I$3:I$12,'Paso 3 Redacción RA'!C$3:C$12,,0,1)</f>
        <v>SaberSer</v>
      </c>
      <c r="B61" s="78" t="s">
        <v>93</v>
      </c>
      <c r="C61" s="137"/>
      <c r="D61" s="137"/>
      <c r="E61" s="158"/>
      <c r="F61" s="137"/>
      <c r="G61" s="137"/>
      <c r="H61" s="137"/>
      <c r="I61" s="137"/>
      <c r="J61" s="137"/>
      <c r="K61" s="137"/>
      <c r="L61" s="137"/>
      <c r="M61" s="137"/>
      <c r="N61" s="140"/>
      <c r="O61" s="140"/>
      <c r="P61" s="140"/>
      <c r="Q61" s="140"/>
      <c r="R61" s="5"/>
      <c r="S61" s="5"/>
      <c r="T61" s="107"/>
    </row>
    <row r="62" spans="1:20" s="93" customFormat="1" ht="50.1" customHeight="1" thickBot="1">
      <c r="A62" s="94" t="str">
        <f>_xlfn.XLOOKUP(B62,'Paso 3 Redacción RA'!I$3:I$12,'Paso 3 Redacción RA'!C$3:C$12,,0,1)</f>
        <v>SaberHacer</v>
      </c>
      <c r="B62" s="91" t="s">
        <v>102</v>
      </c>
      <c r="C62" s="163"/>
      <c r="D62" s="163"/>
      <c r="E62" s="165"/>
      <c r="F62" s="163"/>
      <c r="G62" s="163"/>
      <c r="H62" s="163"/>
      <c r="I62" s="163"/>
      <c r="J62" s="163"/>
      <c r="K62" s="163"/>
      <c r="L62" s="163"/>
      <c r="M62" s="163"/>
      <c r="N62" s="161"/>
      <c r="O62" s="161"/>
      <c r="P62" s="161"/>
      <c r="Q62" s="161"/>
      <c r="R62" s="5"/>
      <c r="S62" s="5"/>
      <c r="T62" s="107"/>
    </row>
    <row r="63" spans="1:20" s="93" customFormat="1" ht="32.450000000000003" customHeight="1">
      <c r="A63" s="93" t="str">
        <f>_xlfn.XLOOKUP(B63,'Paso 3 Redacción RA'!I$3:I$12,'Paso 3 Redacción RA'!C$3:C$12,,0,1)</f>
        <v>SaberSer</v>
      </c>
      <c r="B63" s="95" t="s">
        <v>93</v>
      </c>
      <c r="C63" s="162">
        <v>5</v>
      </c>
      <c r="D63" s="162" t="s">
        <v>306</v>
      </c>
      <c r="E63" s="164" t="s">
        <v>307</v>
      </c>
      <c r="F63" s="162" t="s">
        <v>205</v>
      </c>
      <c r="G63" s="162"/>
      <c r="H63" s="162" t="s">
        <v>206</v>
      </c>
      <c r="I63" s="162"/>
      <c r="J63" s="162">
        <v>4</v>
      </c>
      <c r="K63" s="162">
        <f>16*J63</f>
        <v>64</v>
      </c>
      <c r="L63" s="162">
        <f>32*J63</f>
        <v>128</v>
      </c>
      <c r="M63" s="162">
        <f>SUM(K63:L63)</f>
        <v>192</v>
      </c>
      <c r="N63" s="160" t="s">
        <v>308</v>
      </c>
      <c r="O63" s="160" t="s">
        <v>309</v>
      </c>
      <c r="P63" s="160" t="s">
        <v>246</v>
      </c>
      <c r="Q63" s="160" t="s">
        <v>210</v>
      </c>
      <c r="R63" s="5"/>
      <c r="S63" s="5"/>
      <c r="T63" s="107"/>
    </row>
    <row r="64" spans="1:20" s="93" customFormat="1" ht="32.450000000000003" customHeight="1">
      <c r="A64" s="93" t="str">
        <f>_xlfn.XLOOKUP(B64,'Paso 3 Redacción RA'!I$3:I$12,'Paso 3 Redacción RA'!C$3:C$12,,0,1)</f>
        <v>Saber</v>
      </c>
      <c r="B64" s="78" t="s">
        <v>95</v>
      </c>
      <c r="C64" s="137"/>
      <c r="D64" s="137"/>
      <c r="E64" s="158"/>
      <c r="F64" s="137"/>
      <c r="G64" s="137"/>
      <c r="H64" s="137"/>
      <c r="I64" s="137"/>
      <c r="J64" s="137"/>
      <c r="K64" s="137"/>
      <c r="L64" s="137"/>
      <c r="M64" s="137"/>
      <c r="N64" s="140"/>
      <c r="O64" s="140"/>
      <c r="P64" s="140"/>
      <c r="Q64" s="140"/>
      <c r="R64" s="5"/>
      <c r="S64" s="5"/>
      <c r="T64" s="107"/>
    </row>
    <row r="65" spans="1:20" s="93" customFormat="1" ht="33" customHeight="1">
      <c r="A65" s="93" t="str">
        <f>_xlfn.XLOOKUP(B65,'Paso 3 Redacción RA'!I$3:I$12,'Paso 3 Redacción RA'!C$3:C$12,,0,1)</f>
        <v>SaberHacer</v>
      </c>
      <c r="B65" s="78" t="s">
        <v>98</v>
      </c>
      <c r="C65" s="137"/>
      <c r="D65" s="137"/>
      <c r="E65" s="158"/>
      <c r="F65" s="137"/>
      <c r="G65" s="137"/>
      <c r="H65" s="137"/>
      <c r="I65" s="137"/>
      <c r="J65" s="137"/>
      <c r="K65" s="137"/>
      <c r="L65" s="137"/>
      <c r="M65" s="137"/>
      <c r="N65" s="140"/>
      <c r="O65" s="140"/>
      <c r="P65" s="140"/>
      <c r="Q65" s="140"/>
      <c r="R65" s="5"/>
      <c r="S65" s="5"/>
      <c r="T65" s="107"/>
    </row>
    <row r="66" spans="1:20" s="93" customFormat="1" ht="32.1" customHeight="1" thickBot="1">
      <c r="A66" s="91" t="str">
        <f>_xlfn.XLOOKUP(B66,'Paso 3 Redacción RA'!I$3:I$12,'Paso 3 Redacción RA'!C$3:C$12,,0,1)</f>
        <v>Saber</v>
      </c>
      <c r="B66" s="91" t="s">
        <v>100</v>
      </c>
      <c r="C66" s="163"/>
      <c r="D66" s="163"/>
      <c r="E66" s="165"/>
      <c r="F66" s="163"/>
      <c r="G66" s="163"/>
      <c r="H66" s="163"/>
      <c r="I66" s="163"/>
      <c r="J66" s="163"/>
      <c r="K66" s="163"/>
      <c r="L66" s="163"/>
      <c r="M66" s="163"/>
      <c r="N66" s="161"/>
      <c r="O66" s="161"/>
      <c r="P66" s="161"/>
      <c r="Q66" s="161"/>
      <c r="R66" s="5"/>
      <c r="S66" s="5"/>
      <c r="T66" s="107"/>
    </row>
    <row r="67" spans="1:20" s="93" customFormat="1" ht="41.45" customHeight="1">
      <c r="A67" s="93" t="str">
        <f>_xlfn.XLOOKUP(B67,'Paso 3 Redacción RA'!I$3:I$12,'Paso 3 Redacción RA'!C$3:C$12,,0,1)</f>
        <v>Saber</v>
      </c>
      <c r="B67" s="95" t="s">
        <v>95</v>
      </c>
      <c r="C67" s="162">
        <v>5</v>
      </c>
      <c r="D67" s="162" t="s">
        <v>310</v>
      </c>
      <c r="E67" s="164" t="s">
        <v>311</v>
      </c>
      <c r="F67" s="162" t="s">
        <v>205</v>
      </c>
      <c r="G67" s="162"/>
      <c r="H67" s="162" t="s">
        <v>206</v>
      </c>
      <c r="I67" s="162"/>
      <c r="J67" s="162">
        <v>3</v>
      </c>
      <c r="K67" s="162">
        <f>16*J67</f>
        <v>48</v>
      </c>
      <c r="L67" s="162">
        <f>32*J67</f>
        <v>96</v>
      </c>
      <c r="M67" s="162">
        <f>SUM(K67:L67)</f>
        <v>144</v>
      </c>
      <c r="N67" s="160" t="s">
        <v>312</v>
      </c>
      <c r="O67" s="160" t="s">
        <v>313</v>
      </c>
      <c r="P67" s="160" t="s">
        <v>246</v>
      </c>
      <c r="Q67" s="160" t="s">
        <v>210</v>
      </c>
      <c r="R67" s="5"/>
      <c r="S67" s="5"/>
      <c r="T67" s="107"/>
    </row>
    <row r="68" spans="1:20" s="93" customFormat="1" ht="48" customHeight="1">
      <c r="A68" s="93" t="str">
        <f>_xlfn.XLOOKUP(B68,'Paso 3 Redacción RA'!I$3:I$12,'Paso 3 Redacción RA'!C$3:C$12,,0,1)</f>
        <v>SaberHacer</v>
      </c>
      <c r="B68" s="78" t="s">
        <v>98</v>
      </c>
      <c r="C68" s="137"/>
      <c r="D68" s="137"/>
      <c r="E68" s="158"/>
      <c r="F68" s="137"/>
      <c r="G68" s="137"/>
      <c r="H68" s="137"/>
      <c r="I68" s="137"/>
      <c r="J68" s="137"/>
      <c r="K68" s="137"/>
      <c r="L68" s="137"/>
      <c r="M68" s="137"/>
      <c r="N68" s="140"/>
      <c r="O68" s="140"/>
      <c r="P68" s="140"/>
      <c r="Q68" s="140"/>
      <c r="R68" s="5"/>
      <c r="S68" s="5"/>
      <c r="T68" s="107"/>
    </row>
    <row r="69" spans="1:20" s="93" customFormat="1" ht="44.1" customHeight="1">
      <c r="A69" s="94" t="str">
        <f>_xlfn.XLOOKUP(B69,'Paso 3 Redacción RA'!I$3:I$12,'Paso 3 Redacción RA'!C$3:C$12,,0,1)</f>
        <v>Saber</v>
      </c>
      <c r="B69" s="91" t="s">
        <v>100</v>
      </c>
      <c r="C69" s="163"/>
      <c r="D69" s="163"/>
      <c r="E69" s="165"/>
      <c r="F69" s="163"/>
      <c r="G69" s="163"/>
      <c r="H69" s="163"/>
      <c r="I69" s="163"/>
      <c r="J69" s="163"/>
      <c r="K69" s="163"/>
      <c r="L69" s="163"/>
      <c r="M69" s="163"/>
      <c r="N69" s="161"/>
      <c r="O69" s="161"/>
      <c r="P69" s="161"/>
      <c r="Q69" s="161"/>
      <c r="S69" s="5"/>
      <c r="T69" s="107"/>
    </row>
    <row r="70" spans="1:20" s="93" customFormat="1" ht="60.95" customHeight="1">
      <c r="A70" s="93" t="str">
        <f>_xlfn.XLOOKUP(B70,'Paso 3 Redacción RA'!I$3:I$12,'Paso 3 Redacción RA'!C$3:C$12,,0,1)</f>
        <v>Saber</v>
      </c>
      <c r="B70" s="95" t="s">
        <v>85</v>
      </c>
      <c r="C70" s="162">
        <v>5</v>
      </c>
      <c r="D70" s="162" t="s">
        <v>314</v>
      </c>
      <c r="E70" s="164" t="s">
        <v>315</v>
      </c>
      <c r="F70" s="162" t="s">
        <v>205</v>
      </c>
      <c r="G70" s="162"/>
      <c r="H70" s="162" t="s">
        <v>206</v>
      </c>
      <c r="I70" s="162"/>
      <c r="J70" s="162">
        <v>3</v>
      </c>
      <c r="K70" s="162">
        <f>16*J70</f>
        <v>48</v>
      </c>
      <c r="L70" s="162">
        <f>32*J70</f>
        <v>96</v>
      </c>
      <c r="M70" s="162">
        <f>SUM(K70:L70)</f>
        <v>144</v>
      </c>
      <c r="N70" s="160" t="s">
        <v>316</v>
      </c>
      <c r="O70" s="160" t="s">
        <v>317</v>
      </c>
      <c r="P70" s="160" t="s">
        <v>246</v>
      </c>
      <c r="Q70" s="160" t="s">
        <v>210</v>
      </c>
      <c r="R70" s="5"/>
      <c r="S70" s="5"/>
      <c r="T70" s="107"/>
    </row>
    <row r="71" spans="1:20" s="93" customFormat="1" ht="61.5" customHeight="1">
      <c r="A71" s="93" t="str">
        <f>_xlfn.XLOOKUP(B71,'Paso 3 Redacción RA'!I$3:I$12,'Paso 3 Redacción RA'!C$3:C$12,,0,1)</f>
        <v>SaberHacer</v>
      </c>
      <c r="B71" s="78" t="s">
        <v>89</v>
      </c>
      <c r="C71" s="137"/>
      <c r="D71" s="137"/>
      <c r="E71" s="158"/>
      <c r="F71" s="137"/>
      <c r="G71" s="137"/>
      <c r="H71" s="137"/>
      <c r="I71" s="137"/>
      <c r="J71" s="137"/>
      <c r="K71" s="137"/>
      <c r="L71" s="137"/>
      <c r="M71" s="137"/>
      <c r="N71" s="140"/>
      <c r="O71" s="140"/>
      <c r="P71" s="140"/>
      <c r="Q71" s="140"/>
      <c r="R71" s="5"/>
      <c r="S71" s="5"/>
      <c r="T71" s="107"/>
    </row>
    <row r="72" spans="1:20" s="93" customFormat="1" ht="69.95" customHeight="1" thickBot="1">
      <c r="A72" s="94" t="str">
        <f>_xlfn.XLOOKUP(B72,'Paso 3 Redacción RA'!I$3:I$12,'Paso 3 Redacción RA'!C$3:C$12,,0,1)</f>
        <v>SaberSer</v>
      </c>
      <c r="B72" s="91" t="s">
        <v>93</v>
      </c>
      <c r="C72" s="163"/>
      <c r="D72" s="163"/>
      <c r="E72" s="165"/>
      <c r="F72" s="163"/>
      <c r="G72" s="163"/>
      <c r="H72" s="163"/>
      <c r="I72" s="163"/>
      <c r="J72" s="163"/>
      <c r="K72" s="163"/>
      <c r="L72" s="163"/>
      <c r="M72" s="163"/>
      <c r="N72" s="161"/>
      <c r="O72" s="161"/>
      <c r="P72" s="161"/>
      <c r="Q72" s="161"/>
      <c r="R72" s="5"/>
      <c r="S72" s="5"/>
      <c r="T72" s="107"/>
    </row>
    <row r="73" spans="1:20" s="93" customFormat="1" ht="37.5" customHeight="1">
      <c r="A73" s="93" t="str">
        <f>_xlfn.XLOOKUP(B73,'Paso 3 Redacción RA'!I$3:I$12,'Paso 3 Redacción RA'!C$3:C$12,,0,1)</f>
        <v>Saber</v>
      </c>
      <c r="B73" s="95" t="s">
        <v>95</v>
      </c>
      <c r="C73" s="162">
        <v>5</v>
      </c>
      <c r="D73" s="162" t="s">
        <v>318</v>
      </c>
      <c r="E73" s="164" t="s">
        <v>319</v>
      </c>
      <c r="F73" s="162" t="s">
        <v>205</v>
      </c>
      <c r="G73" s="162"/>
      <c r="H73" s="162" t="s">
        <v>206</v>
      </c>
      <c r="I73" s="162"/>
      <c r="J73" s="162">
        <v>3</v>
      </c>
      <c r="K73" s="162">
        <f>16*J73</f>
        <v>48</v>
      </c>
      <c r="L73" s="162">
        <f>32*J73</f>
        <v>96</v>
      </c>
      <c r="M73" s="162">
        <f>SUM(K73:L73)</f>
        <v>144</v>
      </c>
      <c r="N73" s="160" t="s">
        <v>320</v>
      </c>
      <c r="O73" s="160" t="s">
        <v>321</v>
      </c>
      <c r="P73" s="160" t="s">
        <v>246</v>
      </c>
      <c r="Q73" s="160" t="s">
        <v>210</v>
      </c>
      <c r="R73" s="5"/>
      <c r="S73" s="5"/>
      <c r="T73" s="107"/>
    </row>
    <row r="74" spans="1:20" s="93" customFormat="1" ht="37.5" customHeight="1">
      <c r="A74" s="93" t="str">
        <f>_xlfn.XLOOKUP(B74,'Paso 3 Redacción RA'!I$3:I$12,'Paso 3 Redacción RA'!C$3:C$12,,0,1)</f>
        <v>Saber</v>
      </c>
      <c r="B74" s="78" t="s">
        <v>100</v>
      </c>
      <c r="C74" s="137"/>
      <c r="D74" s="137"/>
      <c r="E74" s="158"/>
      <c r="F74" s="137"/>
      <c r="G74" s="137"/>
      <c r="H74" s="137"/>
      <c r="I74" s="137"/>
      <c r="J74" s="137"/>
      <c r="K74" s="137"/>
      <c r="L74" s="137"/>
      <c r="M74" s="137"/>
      <c r="N74" s="140"/>
      <c r="O74" s="140"/>
      <c r="P74" s="140"/>
      <c r="Q74" s="140"/>
      <c r="R74" s="5"/>
      <c r="S74" s="5"/>
      <c r="T74" s="107"/>
    </row>
    <row r="75" spans="1:20" s="93" customFormat="1" ht="38.1" customHeight="1">
      <c r="A75" s="94" t="str">
        <f>_xlfn.XLOOKUP(B75,'Paso 3 Redacción RA'!I$3:I$12,'Paso 3 Redacción RA'!C$3:C$12,,0,1)</f>
        <v>SaberHacer</v>
      </c>
      <c r="B75" s="91" t="s">
        <v>102</v>
      </c>
      <c r="C75" s="163"/>
      <c r="D75" s="163"/>
      <c r="E75" s="165"/>
      <c r="F75" s="163"/>
      <c r="G75" s="137"/>
      <c r="H75" s="137"/>
      <c r="I75" s="137"/>
      <c r="J75" s="137"/>
      <c r="K75" s="137"/>
      <c r="L75" s="137"/>
      <c r="M75" s="137"/>
      <c r="N75" s="140"/>
      <c r="O75" s="140"/>
      <c r="P75" s="161"/>
      <c r="Q75" s="140"/>
      <c r="R75" s="5">
        <f>SUM(J59:J75)</f>
        <v>16</v>
      </c>
      <c r="S75" s="5">
        <f>COUNTA(D59:D75)</f>
        <v>5</v>
      </c>
      <c r="T75" s="107"/>
    </row>
    <row r="76" spans="1:20" s="93" customFormat="1" ht="50.45" customHeight="1">
      <c r="A76" s="93" t="str">
        <f>_xlfn.XLOOKUP(B76,'Paso 3 Redacción RA'!I$3:I$12,'Paso 3 Redacción RA'!C$3:C$12,,0,1)</f>
        <v>Saber</v>
      </c>
      <c r="B76" s="95" t="s">
        <v>85</v>
      </c>
      <c r="C76" s="162">
        <v>6</v>
      </c>
      <c r="D76" s="162" t="s">
        <v>322</v>
      </c>
      <c r="E76" s="164" t="s">
        <v>323</v>
      </c>
      <c r="F76" s="162" t="s">
        <v>205</v>
      </c>
      <c r="G76" s="162"/>
      <c r="H76" s="162" t="s">
        <v>206</v>
      </c>
      <c r="I76" s="162"/>
      <c r="J76" s="162">
        <v>3</v>
      </c>
      <c r="K76" s="162">
        <f>16*J76</f>
        <v>48</v>
      </c>
      <c r="L76" s="162">
        <f>32*J76</f>
        <v>96</v>
      </c>
      <c r="M76" s="162">
        <f>SUM(K76:L76)</f>
        <v>144</v>
      </c>
      <c r="N76" s="160" t="s">
        <v>324</v>
      </c>
      <c r="O76" s="160" t="s">
        <v>270</v>
      </c>
      <c r="P76" s="160" t="s">
        <v>246</v>
      </c>
      <c r="Q76" s="160" t="s">
        <v>210</v>
      </c>
      <c r="R76" s="5"/>
      <c r="S76" s="5"/>
      <c r="T76" s="107"/>
    </row>
    <row r="77" spans="1:20" s="93" customFormat="1" ht="50.45" customHeight="1">
      <c r="A77" s="93" t="str">
        <f>_xlfn.XLOOKUP(B77,'Paso 3 Redacción RA'!I$3:I$12,'Paso 3 Redacción RA'!C$3:C$12,,0,1)</f>
        <v>SaberHacer</v>
      </c>
      <c r="B77" s="78" t="s">
        <v>89</v>
      </c>
      <c r="C77" s="137"/>
      <c r="D77" s="137"/>
      <c r="E77" s="158"/>
      <c r="F77" s="137"/>
      <c r="G77" s="137"/>
      <c r="H77" s="137"/>
      <c r="I77" s="137"/>
      <c r="J77" s="137"/>
      <c r="K77" s="137"/>
      <c r="L77" s="137"/>
      <c r="M77" s="137"/>
      <c r="N77" s="140"/>
      <c r="O77" s="140"/>
      <c r="P77" s="140"/>
      <c r="Q77" s="140"/>
      <c r="R77" s="5"/>
      <c r="S77" s="5"/>
      <c r="T77" s="107"/>
    </row>
    <row r="78" spans="1:20" s="93" customFormat="1" ht="50.45" customHeight="1">
      <c r="A78" s="93" t="str">
        <f>_xlfn.XLOOKUP(B78,'Paso 3 Redacción RA'!I$3:I$12,'Paso 3 Redacción RA'!C$3:C$12,,0,1)</f>
        <v>SaberSer</v>
      </c>
      <c r="B78" s="78" t="s">
        <v>93</v>
      </c>
      <c r="C78" s="137"/>
      <c r="D78" s="137"/>
      <c r="E78" s="158"/>
      <c r="F78" s="137"/>
      <c r="G78" s="137"/>
      <c r="H78" s="137"/>
      <c r="I78" s="137"/>
      <c r="J78" s="137"/>
      <c r="K78" s="137"/>
      <c r="L78" s="137"/>
      <c r="M78" s="137"/>
      <c r="N78" s="140"/>
      <c r="O78" s="140"/>
      <c r="P78" s="140"/>
      <c r="Q78" s="140"/>
      <c r="R78" s="5"/>
      <c r="S78" s="5"/>
      <c r="T78" s="107"/>
    </row>
    <row r="79" spans="1:20" s="93" customFormat="1" ht="50.45" customHeight="1" thickBot="1">
      <c r="A79" s="94" t="str">
        <f>_xlfn.XLOOKUP(B79,'Paso 3 Redacción RA'!I$3:I$12,'Paso 3 Redacción RA'!C$3:C$12,,0,1)</f>
        <v>SaberHacer</v>
      </c>
      <c r="B79" s="91" t="s">
        <v>102</v>
      </c>
      <c r="C79" s="163"/>
      <c r="D79" s="163"/>
      <c r="E79" s="165"/>
      <c r="F79" s="163"/>
      <c r="G79" s="163"/>
      <c r="H79" s="163"/>
      <c r="I79" s="163"/>
      <c r="J79" s="163"/>
      <c r="K79" s="163"/>
      <c r="L79" s="163"/>
      <c r="M79" s="163"/>
      <c r="N79" s="161"/>
      <c r="O79" s="161"/>
      <c r="P79" s="161"/>
      <c r="Q79" s="161"/>
      <c r="R79" s="5"/>
      <c r="S79" s="5"/>
      <c r="T79" s="107"/>
    </row>
    <row r="80" spans="1:20" s="93" customFormat="1" ht="93.95" customHeight="1">
      <c r="A80" s="93" t="str">
        <f>_xlfn.XLOOKUP(B80,'Paso 3 Redacción RA'!I$3:I$12,'Paso 3 Redacción RA'!C$3:C$12,,0,1)</f>
        <v>Saber</v>
      </c>
      <c r="B80" s="95" t="s">
        <v>85</v>
      </c>
      <c r="C80" s="162">
        <v>6</v>
      </c>
      <c r="D80" s="162" t="s">
        <v>325</v>
      </c>
      <c r="E80" s="164" t="s">
        <v>326</v>
      </c>
      <c r="F80" s="162" t="s">
        <v>205</v>
      </c>
      <c r="G80" s="162"/>
      <c r="H80" s="162" t="s">
        <v>206</v>
      </c>
      <c r="I80" s="162"/>
      <c r="J80" s="162">
        <v>3</v>
      </c>
      <c r="K80" s="162">
        <f>16*J80</f>
        <v>48</v>
      </c>
      <c r="L80" s="162">
        <f>32*J80</f>
        <v>96</v>
      </c>
      <c r="M80" s="162">
        <f>SUM(K80:L80)</f>
        <v>144</v>
      </c>
      <c r="N80" s="160" t="s">
        <v>327</v>
      </c>
      <c r="O80" s="160" t="s">
        <v>270</v>
      </c>
      <c r="P80" s="160" t="s">
        <v>246</v>
      </c>
      <c r="Q80" s="160" t="s">
        <v>210</v>
      </c>
      <c r="R80" s="5"/>
      <c r="S80" s="5"/>
      <c r="T80" s="107"/>
    </row>
    <row r="81" spans="1:20" s="93" customFormat="1" ht="93.95" customHeight="1">
      <c r="A81" s="93" t="str">
        <f>_xlfn.XLOOKUP(B81,'Paso 3 Redacción RA'!I$3:I$12,'Paso 3 Redacción RA'!C$3:C$12,,0,1)</f>
        <v>SaberHacer</v>
      </c>
      <c r="B81" s="78" t="s">
        <v>89</v>
      </c>
      <c r="C81" s="137"/>
      <c r="D81" s="137"/>
      <c r="E81" s="158"/>
      <c r="F81" s="137"/>
      <c r="G81" s="137"/>
      <c r="H81" s="137"/>
      <c r="I81" s="137"/>
      <c r="J81" s="137"/>
      <c r="K81" s="137"/>
      <c r="L81" s="137"/>
      <c r="M81" s="137"/>
      <c r="N81" s="140"/>
      <c r="O81" s="140"/>
      <c r="P81" s="140"/>
      <c r="Q81" s="140"/>
      <c r="R81" s="5"/>
      <c r="S81" s="5"/>
      <c r="T81" s="107"/>
    </row>
    <row r="82" spans="1:20" s="93" customFormat="1" ht="93.95" customHeight="1">
      <c r="A82" s="93" t="str">
        <f>_xlfn.XLOOKUP(B82,'Paso 3 Redacción RA'!I$3:I$12,'Paso 3 Redacción RA'!C$3:C$12,,0,1)</f>
        <v>Saber</v>
      </c>
      <c r="B82" s="78" t="s">
        <v>95</v>
      </c>
      <c r="C82" s="137"/>
      <c r="D82" s="137"/>
      <c r="E82" s="158"/>
      <c r="F82" s="137"/>
      <c r="G82" s="137"/>
      <c r="H82" s="137"/>
      <c r="I82" s="137"/>
      <c r="J82" s="137"/>
      <c r="K82" s="137"/>
      <c r="L82" s="137"/>
      <c r="M82" s="137"/>
      <c r="N82" s="140"/>
      <c r="O82" s="140"/>
      <c r="P82" s="140"/>
      <c r="Q82" s="140"/>
      <c r="R82" s="5"/>
      <c r="S82" s="5"/>
      <c r="T82" s="107"/>
    </row>
    <row r="83" spans="1:20" s="93" customFormat="1" ht="93.95" customHeight="1" thickBot="1">
      <c r="A83" s="94" t="str">
        <f>_xlfn.XLOOKUP(B83,'Paso 3 Redacción RA'!I$3:I$12,'Paso 3 Redacción RA'!C$3:C$12,,0,1)</f>
        <v>SaberHacer</v>
      </c>
      <c r="B83" s="91" t="s">
        <v>98</v>
      </c>
      <c r="C83" s="163"/>
      <c r="D83" s="163"/>
      <c r="E83" s="165"/>
      <c r="F83" s="163"/>
      <c r="G83" s="163"/>
      <c r="H83" s="163"/>
      <c r="I83" s="163"/>
      <c r="J83" s="163"/>
      <c r="K83" s="163"/>
      <c r="L83" s="163"/>
      <c r="M83" s="163"/>
      <c r="N83" s="161"/>
      <c r="O83" s="161"/>
      <c r="P83" s="161"/>
      <c r="Q83" s="161"/>
      <c r="R83" s="5"/>
      <c r="S83" s="5"/>
      <c r="T83" s="107"/>
    </row>
    <row r="84" spans="1:20" s="93" customFormat="1" ht="48.6" customHeight="1">
      <c r="A84" s="93" t="str">
        <f>_xlfn.XLOOKUP(B84,'Paso 3 Redacción RA'!I$3:I$12,'Paso 3 Redacción RA'!C$3:C$12,,0,1)</f>
        <v>Saber</v>
      </c>
      <c r="B84" s="95" t="s">
        <v>85</v>
      </c>
      <c r="C84" s="162">
        <v>6</v>
      </c>
      <c r="D84" s="162" t="s">
        <v>328</v>
      </c>
      <c r="E84" s="164" t="s">
        <v>329</v>
      </c>
      <c r="F84" s="162" t="s">
        <v>205</v>
      </c>
      <c r="G84" s="162"/>
      <c r="H84" s="162" t="s">
        <v>206</v>
      </c>
      <c r="I84" s="162"/>
      <c r="J84" s="162">
        <v>3</v>
      </c>
      <c r="K84" s="162">
        <f>16*J84</f>
        <v>48</v>
      </c>
      <c r="L84" s="162">
        <f>32*J84</f>
        <v>96</v>
      </c>
      <c r="M84" s="162">
        <f>SUM(K84:L84)</f>
        <v>144</v>
      </c>
      <c r="N84" s="160" t="s">
        <v>330</v>
      </c>
      <c r="O84" s="160" t="s">
        <v>290</v>
      </c>
      <c r="P84" s="160" t="s">
        <v>246</v>
      </c>
      <c r="Q84" s="160" t="s">
        <v>210</v>
      </c>
      <c r="R84" s="5"/>
      <c r="S84" s="5"/>
      <c r="T84" s="107"/>
    </row>
    <row r="85" spans="1:20" s="93" customFormat="1" ht="48.95" customHeight="1">
      <c r="A85" s="93" t="str">
        <f>_xlfn.XLOOKUP(B85,'Paso 3 Redacción RA'!I$3:I$12,'Paso 3 Redacción RA'!C$3:C$12,,0,1)</f>
        <v>SaberHacer</v>
      </c>
      <c r="B85" s="78" t="s">
        <v>89</v>
      </c>
      <c r="C85" s="137"/>
      <c r="D85" s="137"/>
      <c r="E85" s="158"/>
      <c r="F85" s="137"/>
      <c r="G85" s="137"/>
      <c r="H85" s="137"/>
      <c r="I85" s="137"/>
      <c r="J85" s="137"/>
      <c r="K85" s="137"/>
      <c r="L85" s="137"/>
      <c r="M85" s="137"/>
      <c r="N85" s="140"/>
      <c r="O85" s="140"/>
      <c r="P85" s="140"/>
      <c r="Q85" s="140"/>
      <c r="R85" s="5"/>
      <c r="S85" s="5"/>
      <c r="T85" s="107"/>
    </row>
    <row r="86" spans="1:20" s="93" customFormat="1" ht="48.6" customHeight="1" thickBot="1">
      <c r="A86" s="94" t="str">
        <f>_xlfn.XLOOKUP(B86,'Paso 3 Redacción RA'!I$3:I$12,'Paso 3 Redacción RA'!C$3:C$12,,0,1)</f>
        <v>SaberSer</v>
      </c>
      <c r="B86" s="91" t="s">
        <v>93</v>
      </c>
      <c r="C86" s="163"/>
      <c r="D86" s="163"/>
      <c r="E86" s="165"/>
      <c r="F86" s="163"/>
      <c r="G86" s="163"/>
      <c r="H86" s="163"/>
      <c r="I86" s="163"/>
      <c r="J86" s="163"/>
      <c r="K86" s="163"/>
      <c r="L86" s="163"/>
      <c r="M86" s="163"/>
      <c r="N86" s="161"/>
      <c r="O86" s="161"/>
      <c r="P86" s="161"/>
      <c r="Q86" s="161"/>
      <c r="R86" s="5"/>
      <c r="S86" s="5"/>
      <c r="T86" s="107"/>
    </row>
    <row r="87" spans="1:20" s="93" customFormat="1" ht="56.1" customHeight="1">
      <c r="A87" s="93" t="str">
        <f>_xlfn.XLOOKUP(B87,'Paso 3 Redacción RA'!I$3:I$12,'Paso 3 Redacción RA'!C$3:C$12,,0,1)</f>
        <v>Saber</v>
      </c>
      <c r="B87" s="95" t="s">
        <v>95</v>
      </c>
      <c r="C87" s="162">
        <v>6</v>
      </c>
      <c r="D87" s="162" t="s">
        <v>331</v>
      </c>
      <c r="E87" s="164" t="s">
        <v>332</v>
      </c>
      <c r="F87" s="162" t="s">
        <v>205</v>
      </c>
      <c r="G87" s="162"/>
      <c r="H87" s="162" t="s">
        <v>206</v>
      </c>
      <c r="I87" s="162"/>
      <c r="J87" s="162">
        <v>3</v>
      </c>
      <c r="K87" s="162">
        <f>16*J87</f>
        <v>48</v>
      </c>
      <c r="L87" s="162">
        <f>32*J87</f>
        <v>96</v>
      </c>
      <c r="M87" s="162">
        <f>SUM(K87:L87)</f>
        <v>144</v>
      </c>
      <c r="N87" s="160" t="s">
        <v>333</v>
      </c>
      <c r="O87" s="160" t="s">
        <v>302</v>
      </c>
      <c r="P87" s="160" t="s">
        <v>246</v>
      </c>
      <c r="Q87" s="160" t="s">
        <v>210</v>
      </c>
      <c r="R87" s="5"/>
      <c r="S87" s="5"/>
      <c r="T87" s="107"/>
    </row>
    <row r="88" spans="1:20" s="93" customFormat="1" ht="48.95" customHeight="1">
      <c r="A88" s="93" t="str">
        <f>_xlfn.XLOOKUP(B88,'Paso 3 Redacción RA'!I$3:I$12,'Paso 3 Redacción RA'!C$3:C$12,,0,1)</f>
        <v>SaberHacer</v>
      </c>
      <c r="B88" s="78" t="s">
        <v>98</v>
      </c>
      <c r="C88" s="137"/>
      <c r="D88" s="137"/>
      <c r="E88" s="158"/>
      <c r="F88" s="137"/>
      <c r="G88" s="137"/>
      <c r="H88" s="137"/>
      <c r="I88" s="137"/>
      <c r="J88" s="137"/>
      <c r="K88" s="137"/>
      <c r="L88" s="137"/>
      <c r="M88" s="137"/>
      <c r="N88" s="140"/>
      <c r="O88" s="140"/>
      <c r="P88" s="140"/>
      <c r="Q88" s="140"/>
      <c r="R88" s="5"/>
      <c r="S88" s="5"/>
      <c r="T88" s="107"/>
    </row>
    <row r="89" spans="1:20" s="93" customFormat="1" ht="51" customHeight="1" thickBot="1">
      <c r="A89" s="94" t="str">
        <f>_xlfn.XLOOKUP(B89,'Paso 3 Redacción RA'!I$3:I$12,'Paso 3 Redacción RA'!C$3:C$12,,0,1)</f>
        <v>SaberSer</v>
      </c>
      <c r="B89" s="91" t="s">
        <v>93</v>
      </c>
      <c r="C89" s="163"/>
      <c r="D89" s="163"/>
      <c r="E89" s="165"/>
      <c r="F89" s="163"/>
      <c r="G89" s="163"/>
      <c r="H89" s="163"/>
      <c r="I89" s="163"/>
      <c r="J89" s="163"/>
      <c r="K89" s="163"/>
      <c r="L89" s="163"/>
      <c r="M89" s="163"/>
      <c r="N89" s="161"/>
      <c r="O89" s="161"/>
      <c r="P89" s="161"/>
      <c r="Q89" s="161"/>
      <c r="R89" s="5"/>
      <c r="S89" s="5"/>
      <c r="T89" s="107"/>
    </row>
    <row r="90" spans="1:20" s="93" customFormat="1" ht="45.6" customHeight="1">
      <c r="A90" s="93" t="str">
        <f>_xlfn.XLOOKUP(B90,'Paso 3 Redacción RA'!I$3:I$12,'Paso 3 Redacción RA'!C$3:C$12,,0,1)</f>
        <v>Saber</v>
      </c>
      <c r="B90" s="95" t="s">
        <v>95</v>
      </c>
      <c r="C90" s="162">
        <v>6</v>
      </c>
      <c r="D90" s="162" t="s">
        <v>334</v>
      </c>
      <c r="E90" s="164" t="s">
        <v>335</v>
      </c>
      <c r="F90" s="162" t="s">
        <v>205</v>
      </c>
      <c r="G90" s="162"/>
      <c r="H90" s="162" t="s">
        <v>206</v>
      </c>
      <c r="I90" s="162"/>
      <c r="J90" s="162">
        <v>3</v>
      </c>
      <c r="K90" s="162">
        <f>16*J90</f>
        <v>48</v>
      </c>
      <c r="L90" s="162">
        <f>32*J90</f>
        <v>96</v>
      </c>
      <c r="M90" s="162">
        <f>SUM(K90:L90)</f>
        <v>144</v>
      </c>
      <c r="N90" s="160" t="s">
        <v>336</v>
      </c>
      <c r="O90" s="160" t="s">
        <v>337</v>
      </c>
      <c r="P90" s="160" t="s">
        <v>246</v>
      </c>
      <c r="Q90" s="160" t="s">
        <v>210</v>
      </c>
      <c r="R90" s="5"/>
      <c r="S90" s="5"/>
      <c r="T90" s="107"/>
    </row>
    <row r="91" spans="1:20" s="93" customFormat="1" ht="45.6" customHeight="1">
      <c r="A91" s="93" t="str">
        <f>_xlfn.XLOOKUP(B91,'Paso 3 Redacción RA'!I$3:I$12,'Paso 3 Redacción RA'!C$3:C$12,,0,1)</f>
        <v>SaberHacer</v>
      </c>
      <c r="B91" s="78" t="s">
        <v>98</v>
      </c>
      <c r="C91" s="137"/>
      <c r="D91" s="137"/>
      <c r="E91" s="158"/>
      <c r="F91" s="137"/>
      <c r="G91" s="137"/>
      <c r="H91" s="137"/>
      <c r="I91" s="137"/>
      <c r="J91" s="137"/>
      <c r="K91" s="137"/>
      <c r="L91" s="137"/>
      <c r="M91" s="137"/>
      <c r="N91" s="140"/>
      <c r="O91" s="140"/>
      <c r="P91" s="140"/>
      <c r="Q91" s="140"/>
      <c r="R91" s="5"/>
      <c r="S91" s="5"/>
      <c r="T91" s="107"/>
    </row>
    <row r="92" spans="1:20" s="93" customFormat="1" ht="45" customHeight="1">
      <c r="A92" s="93" t="str">
        <f>_xlfn.XLOOKUP(B92,'Paso 3 Redacción RA'!I$3:I$12,'Paso 3 Redacción RA'!C$3:C$12,,0,1)</f>
        <v>Saber</v>
      </c>
      <c r="B92" s="78" t="s">
        <v>100</v>
      </c>
      <c r="C92" s="137"/>
      <c r="D92" s="137"/>
      <c r="E92" s="158"/>
      <c r="F92" s="137"/>
      <c r="G92" s="137"/>
      <c r="H92" s="137"/>
      <c r="I92" s="137"/>
      <c r="J92" s="137"/>
      <c r="K92" s="137"/>
      <c r="L92" s="137"/>
      <c r="M92" s="137"/>
      <c r="N92" s="140"/>
      <c r="O92" s="140"/>
      <c r="P92" s="140"/>
      <c r="Q92" s="140"/>
      <c r="R92" s="5"/>
      <c r="S92" s="5"/>
      <c r="T92" s="107"/>
    </row>
    <row r="93" spans="1:20" s="93" customFormat="1" ht="44.45" customHeight="1" thickBot="1">
      <c r="A93" s="94" t="str">
        <f>_xlfn.XLOOKUP(B93,'Paso 3 Redacción RA'!I$3:I$12,'Paso 3 Redacción RA'!C$3:C$12,,0,1)</f>
        <v>SaberHacer</v>
      </c>
      <c r="B93" s="91" t="s">
        <v>102</v>
      </c>
      <c r="C93" s="163"/>
      <c r="D93" s="163"/>
      <c r="E93" s="165"/>
      <c r="F93" s="163"/>
      <c r="G93" s="163"/>
      <c r="H93" s="163"/>
      <c r="I93" s="163"/>
      <c r="J93" s="163"/>
      <c r="K93" s="163"/>
      <c r="L93" s="163"/>
      <c r="M93" s="163"/>
      <c r="N93" s="161"/>
      <c r="O93" s="161"/>
      <c r="P93" s="161"/>
      <c r="Q93" s="161"/>
      <c r="R93" s="5">
        <f>SUM(J76:J93)</f>
        <v>15</v>
      </c>
      <c r="S93" s="5">
        <f>COUNTA(D76:D93)</f>
        <v>5</v>
      </c>
      <c r="T93" s="107"/>
    </row>
    <row r="94" spans="1:20" s="93" customFormat="1" ht="32.450000000000003" customHeight="1">
      <c r="A94" s="93" t="str">
        <f>_xlfn.XLOOKUP(B94,'Paso 3 Redacción RA'!I$3:I$12,'Paso 3 Redacción RA'!C$3:C$12,,0,1)</f>
        <v>Saber</v>
      </c>
      <c r="B94" s="95" t="s">
        <v>85</v>
      </c>
      <c r="C94" s="162">
        <v>7</v>
      </c>
      <c r="D94" s="162" t="s">
        <v>338</v>
      </c>
      <c r="E94" s="164" t="s">
        <v>339</v>
      </c>
      <c r="F94" s="162" t="s">
        <v>205</v>
      </c>
      <c r="G94" s="162"/>
      <c r="H94" s="162" t="s">
        <v>206</v>
      </c>
      <c r="I94" s="162"/>
      <c r="J94" s="162">
        <v>4</v>
      </c>
      <c r="K94" s="162">
        <f>16*J94</f>
        <v>64</v>
      </c>
      <c r="L94" s="162">
        <f>32*J94</f>
        <v>128</v>
      </c>
      <c r="M94" s="162">
        <f>SUM(K94:L94)</f>
        <v>192</v>
      </c>
      <c r="N94" s="160" t="s">
        <v>340</v>
      </c>
      <c r="O94" s="160" t="s">
        <v>341</v>
      </c>
      <c r="P94" s="160" t="s">
        <v>246</v>
      </c>
      <c r="Q94" s="160" t="s">
        <v>210</v>
      </c>
      <c r="R94" s="5"/>
      <c r="S94" s="5"/>
      <c r="T94" s="107"/>
    </row>
    <row r="95" spans="1:20" s="93" customFormat="1" ht="32.450000000000003" customHeight="1">
      <c r="A95" s="93" t="str">
        <f>_xlfn.XLOOKUP(B95,'Paso 3 Redacción RA'!I$3:I$12,'Paso 3 Redacción RA'!C$3:C$12,,0,1)</f>
        <v>SaberHacer</v>
      </c>
      <c r="B95" s="78" t="s">
        <v>89</v>
      </c>
      <c r="C95" s="137"/>
      <c r="D95" s="137"/>
      <c r="E95" s="158"/>
      <c r="F95" s="137"/>
      <c r="G95" s="137"/>
      <c r="H95" s="137"/>
      <c r="I95" s="137"/>
      <c r="J95" s="137"/>
      <c r="K95" s="137"/>
      <c r="L95" s="137"/>
      <c r="M95" s="137"/>
      <c r="N95" s="140"/>
      <c r="O95" s="140"/>
      <c r="P95" s="140"/>
      <c r="Q95" s="140"/>
      <c r="R95" s="5"/>
      <c r="S95" s="5"/>
      <c r="T95" s="107"/>
    </row>
    <row r="96" spans="1:20" s="93" customFormat="1" ht="33.950000000000003" customHeight="1">
      <c r="A96" s="93" t="str">
        <f>_xlfn.XLOOKUP(B96,'Paso 3 Redacción RA'!I$3:I$12,'Paso 3 Redacción RA'!C$3:C$12,,0,1)</f>
        <v>SaberSer</v>
      </c>
      <c r="B96" s="78" t="s">
        <v>93</v>
      </c>
      <c r="C96" s="137"/>
      <c r="D96" s="137"/>
      <c r="E96" s="158"/>
      <c r="F96" s="137"/>
      <c r="G96" s="137"/>
      <c r="H96" s="137"/>
      <c r="I96" s="137"/>
      <c r="J96" s="137"/>
      <c r="K96" s="137"/>
      <c r="L96" s="137"/>
      <c r="M96" s="137"/>
      <c r="N96" s="140"/>
      <c r="O96" s="140"/>
      <c r="P96" s="140"/>
      <c r="Q96" s="140"/>
      <c r="R96" s="5"/>
      <c r="S96" s="5"/>
      <c r="T96" s="107"/>
    </row>
    <row r="97" spans="1:20" s="93" customFormat="1" ht="32.1" customHeight="1" thickBot="1">
      <c r="A97" s="94" t="str">
        <f>_xlfn.XLOOKUP(B97,'Paso 3 Redacción RA'!I$3:I$12,'Paso 3 Redacción RA'!C$3:C$12,,0,1)</f>
        <v>Saber</v>
      </c>
      <c r="B97" s="91" t="s">
        <v>100</v>
      </c>
      <c r="C97" s="163"/>
      <c r="D97" s="163"/>
      <c r="E97" s="165"/>
      <c r="F97" s="163"/>
      <c r="G97" s="163"/>
      <c r="H97" s="163"/>
      <c r="I97" s="163"/>
      <c r="J97" s="163"/>
      <c r="K97" s="163"/>
      <c r="L97" s="163"/>
      <c r="M97" s="163"/>
      <c r="N97" s="161"/>
      <c r="O97" s="161"/>
      <c r="P97" s="161"/>
      <c r="Q97" s="161"/>
      <c r="S97" s="5"/>
      <c r="T97" s="107"/>
    </row>
    <row r="98" spans="1:20" s="93" customFormat="1" ht="54.6" customHeight="1">
      <c r="A98" s="93" t="str">
        <f>_xlfn.XLOOKUP(B98,'Paso 3 Redacción RA'!I$3:I$12,'Paso 3 Redacción RA'!C$3:C$12,,0,1)</f>
        <v>Saber</v>
      </c>
      <c r="B98" s="95" t="s">
        <v>85</v>
      </c>
      <c r="C98" s="162">
        <v>7</v>
      </c>
      <c r="D98" s="162" t="s">
        <v>342</v>
      </c>
      <c r="E98" s="164" t="s">
        <v>343</v>
      </c>
      <c r="F98" s="162" t="s">
        <v>205</v>
      </c>
      <c r="G98" s="162"/>
      <c r="H98" s="162" t="s">
        <v>206</v>
      </c>
      <c r="I98" s="162"/>
      <c r="J98" s="162">
        <v>3</v>
      </c>
      <c r="K98" s="162">
        <f>16*J98</f>
        <v>48</v>
      </c>
      <c r="L98" s="162">
        <f>32*J98</f>
        <v>96</v>
      </c>
      <c r="M98" s="162">
        <f>SUM(K98:L98)</f>
        <v>144</v>
      </c>
      <c r="N98" s="160" t="s">
        <v>344</v>
      </c>
      <c r="O98" s="160" t="s">
        <v>345</v>
      </c>
      <c r="P98" s="160" t="s">
        <v>246</v>
      </c>
      <c r="Q98" s="160" t="s">
        <v>210</v>
      </c>
      <c r="R98" s="5"/>
      <c r="S98" s="5"/>
      <c r="T98" s="107"/>
    </row>
    <row r="99" spans="1:20" s="93" customFormat="1" ht="54.6" customHeight="1">
      <c r="A99" s="93" t="str">
        <f>_xlfn.XLOOKUP(B99,'Paso 3 Redacción RA'!I$3:I$12,'Paso 3 Redacción RA'!C$3:C$12,,0,1)</f>
        <v>SaberHacer</v>
      </c>
      <c r="B99" s="78" t="s">
        <v>89</v>
      </c>
      <c r="C99" s="137"/>
      <c r="D99" s="137"/>
      <c r="E99" s="158"/>
      <c r="F99" s="137"/>
      <c r="G99" s="137"/>
      <c r="H99" s="137"/>
      <c r="I99" s="137"/>
      <c r="J99" s="137"/>
      <c r="K99" s="137"/>
      <c r="L99" s="137"/>
      <c r="M99" s="137"/>
      <c r="N99" s="140"/>
      <c r="O99" s="140"/>
      <c r="P99" s="140"/>
      <c r="Q99" s="140"/>
      <c r="R99" s="5"/>
      <c r="S99" s="5"/>
      <c r="T99" s="107"/>
    </row>
    <row r="100" spans="1:20" s="93" customFormat="1" ht="54.6" customHeight="1">
      <c r="A100" s="93" t="str">
        <f>_xlfn.XLOOKUP(B100,'Paso 3 Redacción RA'!I$3:I$12,'Paso 3 Redacción RA'!C$3:C$12,,0,1)</f>
        <v>SaberSer</v>
      </c>
      <c r="B100" s="78" t="s">
        <v>93</v>
      </c>
      <c r="C100" s="137"/>
      <c r="D100" s="137"/>
      <c r="E100" s="158"/>
      <c r="F100" s="137"/>
      <c r="G100" s="137"/>
      <c r="H100" s="137"/>
      <c r="I100" s="137"/>
      <c r="J100" s="137"/>
      <c r="K100" s="137"/>
      <c r="L100" s="137"/>
      <c r="M100" s="137"/>
      <c r="N100" s="140"/>
      <c r="O100" s="140"/>
      <c r="P100" s="140"/>
      <c r="Q100" s="140"/>
      <c r="R100" s="5"/>
      <c r="S100" s="5"/>
      <c r="T100" s="107"/>
    </row>
    <row r="101" spans="1:20" s="93" customFormat="1" ht="54" customHeight="1" thickBot="1">
      <c r="A101" s="94" t="str">
        <f>_xlfn.XLOOKUP(B101,'Paso 3 Redacción RA'!I$3:I$12,'Paso 3 Redacción RA'!C$3:C$12,,0,1)</f>
        <v>Saber</v>
      </c>
      <c r="B101" s="78" t="s">
        <v>100</v>
      </c>
      <c r="C101" s="137"/>
      <c r="D101" s="137"/>
      <c r="E101" s="158"/>
      <c r="F101" s="137"/>
      <c r="G101" s="137"/>
      <c r="H101" s="137"/>
      <c r="I101" s="137"/>
      <c r="J101" s="137"/>
      <c r="K101" s="137"/>
      <c r="L101" s="137"/>
      <c r="M101" s="137"/>
      <c r="N101" s="140"/>
      <c r="O101" s="140"/>
      <c r="P101" s="140"/>
      <c r="Q101" s="140"/>
      <c r="R101" s="5"/>
      <c r="S101" s="5"/>
      <c r="T101" s="107"/>
    </row>
    <row r="102" spans="1:20" s="93" customFormat="1" ht="49.5">
      <c r="A102" s="93" t="str">
        <f>_xlfn.XLOOKUP(B102,'Paso 3 Redacción RA'!I$3:I$12,'Paso 3 Redacción RA'!C$3:C$12,,0,1)</f>
        <v>SaberSer</v>
      </c>
      <c r="B102" s="95" t="s">
        <v>93</v>
      </c>
      <c r="C102" s="162">
        <v>7</v>
      </c>
      <c r="D102" s="162" t="s">
        <v>346</v>
      </c>
      <c r="E102" s="164" t="s">
        <v>347</v>
      </c>
      <c r="F102" s="162" t="s">
        <v>348</v>
      </c>
      <c r="G102" s="162"/>
      <c r="H102" s="162" t="s">
        <v>206</v>
      </c>
      <c r="I102" s="162"/>
      <c r="J102" s="162">
        <v>4</v>
      </c>
      <c r="K102" s="162">
        <f>16*J102</f>
        <v>64</v>
      </c>
      <c r="L102" s="162">
        <f>32*J102</f>
        <v>128</v>
      </c>
      <c r="M102" s="162">
        <f>SUM(K102:L102)</f>
        <v>192</v>
      </c>
      <c r="N102" s="160" t="s">
        <v>349</v>
      </c>
      <c r="O102" s="160" t="s">
        <v>350</v>
      </c>
      <c r="P102" s="160" t="s">
        <v>246</v>
      </c>
      <c r="Q102" s="160" t="s">
        <v>210</v>
      </c>
      <c r="R102" s="5"/>
      <c r="S102" s="5"/>
      <c r="T102" s="107"/>
    </row>
    <row r="103" spans="1:20" s="93" customFormat="1" ht="33">
      <c r="A103" s="93" t="str">
        <f>_xlfn.XLOOKUP(B103,'Paso 3 Redacción RA'!I$3:I$12,'Paso 3 Redacción RA'!C$3:C$12,,0,1)</f>
        <v>Saber</v>
      </c>
      <c r="B103" s="78" t="s">
        <v>95</v>
      </c>
      <c r="C103" s="137"/>
      <c r="D103" s="137"/>
      <c r="E103" s="158"/>
      <c r="F103" s="137"/>
      <c r="G103" s="137"/>
      <c r="H103" s="137"/>
      <c r="I103" s="137"/>
      <c r="J103" s="137"/>
      <c r="K103" s="137"/>
      <c r="L103" s="137"/>
      <c r="M103" s="137"/>
      <c r="N103" s="140"/>
      <c r="O103" s="140"/>
      <c r="P103" s="140"/>
      <c r="Q103" s="140"/>
      <c r="R103" s="5"/>
      <c r="S103" s="5"/>
      <c r="T103" s="107"/>
    </row>
    <row r="104" spans="1:20" s="93" customFormat="1" ht="33">
      <c r="A104" s="93" t="str">
        <f>_xlfn.XLOOKUP(B104,'Paso 3 Redacción RA'!I$3:I$12,'Paso 3 Redacción RA'!C$3:C$12,,0,1)</f>
        <v>SaberHacer</v>
      </c>
      <c r="B104" s="78" t="s">
        <v>98</v>
      </c>
      <c r="C104" s="137"/>
      <c r="D104" s="137"/>
      <c r="E104" s="158"/>
      <c r="F104" s="137"/>
      <c r="G104" s="137"/>
      <c r="H104" s="137"/>
      <c r="I104" s="137"/>
      <c r="J104" s="137"/>
      <c r="K104" s="137"/>
      <c r="L104" s="137"/>
      <c r="M104" s="137"/>
      <c r="N104" s="140"/>
      <c r="O104" s="140"/>
      <c r="P104" s="140"/>
      <c r="Q104" s="140"/>
      <c r="R104" s="5"/>
      <c r="S104" s="5"/>
      <c r="T104" s="107"/>
    </row>
    <row r="105" spans="1:20" s="93" customFormat="1" ht="33">
      <c r="A105" s="78" t="str">
        <f>_xlfn.XLOOKUP(B106,'Paso 3 Redacción RA'!I$3:I$12,'Paso 3 Redacción RA'!C$3:C$12,,0,1)</f>
        <v>SaberHacer</v>
      </c>
      <c r="B105" s="78" t="s">
        <v>100</v>
      </c>
      <c r="C105" s="137"/>
      <c r="D105" s="137"/>
      <c r="E105" s="158"/>
      <c r="F105" s="137"/>
      <c r="G105" s="137"/>
      <c r="H105" s="137"/>
      <c r="I105" s="137"/>
      <c r="J105" s="137"/>
      <c r="K105" s="137"/>
      <c r="L105" s="137"/>
      <c r="M105" s="137"/>
      <c r="N105" s="140"/>
      <c r="O105" s="140"/>
      <c r="P105" s="140"/>
      <c r="Q105" s="140"/>
      <c r="R105" s="5"/>
      <c r="S105" s="5"/>
      <c r="T105" s="107"/>
    </row>
    <row r="106" spans="1:20" s="93" customFormat="1" ht="33.6" thickBot="1">
      <c r="A106" s="94" t="str">
        <f>_xlfn.XLOOKUP(B106,'Paso 3 Redacción RA'!I$3:I$12,'Paso 3 Redacción RA'!C$3:C$12,,0,1)</f>
        <v>SaberHacer</v>
      </c>
      <c r="B106" s="91" t="s">
        <v>102</v>
      </c>
      <c r="C106" s="163"/>
      <c r="D106" s="163"/>
      <c r="E106" s="165"/>
      <c r="F106" s="163"/>
      <c r="G106" s="163"/>
      <c r="H106" s="163"/>
      <c r="I106" s="163"/>
      <c r="J106" s="163"/>
      <c r="K106" s="163"/>
      <c r="L106" s="163"/>
      <c r="M106" s="163"/>
      <c r="N106" s="161"/>
      <c r="O106" s="161"/>
      <c r="P106" s="161"/>
      <c r="Q106" s="161"/>
      <c r="R106" s="5"/>
      <c r="S106" s="5"/>
      <c r="T106" s="107"/>
    </row>
    <row r="107" spans="1:20" s="93" customFormat="1" ht="17.25">
      <c r="A107" s="130"/>
      <c r="B107" s="103"/>
      <c r="C107" s="109">
        <v>7</v>
      </c>
      <c r="D107" s="110" t="s">
        <v>351</v>
      </c>
      <c r="E107" s="103"/>
      <c r="F107" s="108"/>
      <c r="G107" s="112"/>
      <c r="H107" s="112"/>
      <c r="I107" s="112" t="s">
        <v>206</v>
      </c>
      <c r="J107" s="109">
        <v>3</v>
      </c>
      <c r="K107" s="109">
        <f>16*J107</f>
        <v>48</v>
      </c>
      <c r="L107" s="109">
        <f>32*J107</f>
        <v>96</v>
      </c>
      <c r="M107" s="109">
        <f>SUM(K107:L107)</f>
        <v>144</v>
      </c>
      <c r="N107" s="111"/>
      <c r="O107" s="111"/>
      <c r="P107" s="111"/>
      <c r="Q107" s="111"/>
      <c r="R107" s="5"/>
      <c r="S107" s="5"/>
      <c r="T107" s="107"/>
    </row>
    <row r="108" spans="1:20" s="93" customFormat="1" ht="17.25">
      <c r="A108" s="103"/>
      <c r="B108" s="103"/>
      <c r="C108" s="109">
        <v>7</v>
      </c>
      <c r="D108" s="110" t="s">
        <v>352</v>
      </c>
      <c r="E108" s="103"/>
      <c r="F108" s="108"/>
      <c r="G108" s="112"/>
      <c r="H108" s="112"/>
      <c r="I108" s="112" t="s">
        <v>206</v>
      </c>
      <c r="J108" s="109">
        <v>3</v>
      </c>
      <c r="K108" s="109">
        <f>16*J108</f>
        <v>48</v>
      </c>
      <c r="L108" s="109">
        <f>32*J108</f>
        <v>96</v>
      </c>
      <c r="M108" s="109">
        <f>SUM(K108:L108)</f>
        <v>144</v>
      </c>
      <c r="N108" s="111"/>
      <c r="O108" s="111"/>
      <c r="P108" s="111"/>
      <c r="Q108" s="111"/>
      <c r="R108" s="5">
        <f>SUM(J94:J108)</f>
        <v>17</v>
      </c>
      <c r="S108" s="5">
        <f>COUNTA(D94:D108)</f>
        <v>5</v>
      </c>
      <c r="T108" s="107"/>
    </row>
    <row r="109" spans="1:20" s="93" customFormat="1" ht="33">
      <c r="A109" s="106" t="str">
        <f>_xlfn.XLOOKUP(B109,'Paso 3 Redacción RA'!I$3:I$12,'Paso 3 Redacción RA'!C$3:C$12,,0,1)</f>
        <v>Saber</v>
      </c>
      <c r="B109" s="95" t="s">
        <v>85</v>
      </c>
      <c r="C109" s="162">
        <v>8</v>
      </c>
      <c r="D109" s="162" t="s">
        <v>353</v>
      </c>
      <c r="E109" s="164" t="s">
        <v>354</v>
      </c>
      <c r="F109" s="162" t="s">
        <v>348</v>
      </c>
      <c r="G109" s="162"/>
      <c r="H109" s="162" t="s">
        <v>206</v>
      </c>
      <c r="I109" s="162"/>
      <c r="J109" s="162">
        <v>4</v>
      </c>
      <c r="K109" s="162">
        <f>16*J109</f>
        <v>64</v>
      </c>
      <c r="L109" s="162">
        <f>32*J109</f>
        <v>128</v>
      </c>
      <c r="M109" s="162">
        <f>SUM(K109:L109)</f>
        <v>192</v>
      </c>
      <c r="N109" s="160" t="s">
        <v>349</v>
      </c>
      <c r="O109" s="160" t="s">
        <v>350</v>
      </c>
      <c r="P109" s="160" t="s">
        <v>246</v>
      </c>
      <c r="Q109" s="160" t="s">
        <v>210</v>
      </c>
      <c r="R109" s="5"/>
      <c r="S109" s="5"/>
      <c r="T109" s="107"/>
    </row>
    <row r="110" spans="1:20" s="93" customFormat="1">
      <c r="A110" s="78" t="str">
        <f>_xlfn.XLOOKUP(B110,'Paso 3 Redacción RA'!I$3:I$12,'Paso 3 Redacción RA'!C$3:C$12,,0,1)</f>
        <v>SaberHacer</v>
      </c>
      <c r="B110" s="78" t="s">
        <v>89</v>
      </c>
      <c r="C110" s="137"/>
      <c r="D110" s="137"/>
      <c r="E110" s="158"/>
      <c r="F110" s="137"/>
      <c r="G110" s="137"/>
      <c r="H110" s="137"/>
      <c r="I110" s="137"/>
      <c r="J110" s="137"/>
      <c r="K110" s="137"/>
      <c r="L110" s="137"/>
      <c r="M110" s="137"/>
      <c r="N110" s="140"/>
      <c r="O110" s="140"/>
      <c r="P110" s="140"/>
      <c r="Q110" s="140"/>
      <c r="R110" s="5"/>
      <c r="S110" s="5"/>
      <c r="T110" s="107"/>
    </row>
    <row r="111" spans="1:20" s="93" customFormat="1" ht="49.5">
      <c r="A111" s="78" t="str">
        <f>_xlfn.XLOOKUP(B111,'Paso 3 Redacción RA'!I$3:I$12,'Paso 3 Redacción RA'!C$3:C$12,,0,1)</f>
        <v>SaberSer</v>
      </c>
      <c r="B111" s="78" t="s">
        <v>93</v>
      </c>
      <c r="C111" s="137"/>
      <c r="D111" s="137"/>
      <c r="E111" s="158"/>
      <c r="F111" s="137"/>
      <c r="G111" s="137"/>
      <c r="H111" s="137"/>
      <c r="I111" s="137"/>
      <c r="J111" s="137"/>
      <c r="K111" s="137"/>
      <c r="L111" s="137"/>
      <c r="M111" s="137"/>
      <c r="N111" s="140"/>
      <c r="O111" s="140"/>
      <c r="P111" s="140"/>
      <c r="Q111" s="140"/>
      <c r="R111" s="5"/>
      <c r="S111" s="5"/>
      <c r="T111" s="107"/>
    </row>
    <row r="112" spans="1:20" s="93" customFormat="1" ht="33">
      <c r="A112" s="78" t="str">
        <f>_xlfn.XLOOKUP(B112,'Paso 3 Redacción RA'!I$3:I$12,'Paso 3 Redacción RA'!C$3:C$12,,0,1)</f>
        <v>SaberHacer</v>
      </c>
      <c r="B112" s="78" t="s">
        <v>98</v>
      </c>
      <c r="C112" s="137"/>
      <c r="D112" s="137"/>
      <c r="E112" s="158"/>
      <c r="F112" s="137"/>
      <c r="G112" s="137"/>
      <c r="H112" s="137"/>
      <c r="I112" s="137"/>
      <c r="J112" s="137"/>
      <c r="K112" s="137"/>
      <c r="L112" s="137"/>
      <c r="M112" s="137"/>
      <c r="N112" s="140"/>
      <c r="O112" s="140"/>
      <c r="P112" s="140"/>
      <c r="Q112" s="140"/>
      <c r="R112" s="5"/>
      <c r="S112" s="5"/>
      <c r="T112" s="107"/>
    </row>
    <row r="113" spans="1:20" s="93" customFormat="1" ht="33.6" thickBot="1">
      <c r="A113" s="91" t="str">
        <f>_xlfn.XLOOKUP(B113,'Paso 3 Redacción RA'!I$3:I$12,'Paso 3 Redacción RA'!C$3:C$12,,0,1)</f>
        <v>Saber</v>
      </c>
      <c r="B113" s="91" t="s">
        <v>100</v>
      </c>
      <c r="C113" s="163"/>
      <c r="D113" s="163"/>
      <c r="E113" s="165"/>
      <c r="F113" s="163"/>
      <c r="G113" s="163"/>
      <c r="H113" s="163"/>
      <c r="I113" s="163"/>
      <c r="J113" s="163"/>
      <c r="K113" s="163"/>
      <c r="L113" s="163"/>
      <c r="M113" s="163"/>
      <c r="N113" s="161"/>
      <c r="O113" s="161"/>
      <c r="P113" s="161"/>
      <c r="Q113" s="161"/>
      <c r="S113" s="5"/>
      <c r="T113" s="107"/>
    </row>
    <row r="114" spans="1:20" s="93" customFormat="1" ht="33">
      <c r="A114" s="106" t="str">
        <f>_xlfn.XLOOKUP(B114,'Paso 3 Redacción RA'!I$3:I$12,'Paso 3 Redacción RA'!C$3:C$12,,0,1)</f>
        <v>Saber</v>
      </c>
      <c r="B114" s="95" t="s">
        <v>85</v>
      </c>
      <c r="C114" s="162">
        <v>8</v>
      </c>
      <c r="D114" s="162" t="s">
        <v>355</v>
      </c>
      <c r="E114" s="164" t="s">
        <v>356</v>
      </c>
      <c r="F114" s="162" t="s">
        <v>348</v>
      </c>
      <c r="G114" s="162"/>
      <c r="H114" s="162" t="s">
        <v>206</v>
      </c>
      <c r="I114" s="162"/>
      <c r="J114" s="162">
        <v>4</v>
      </c>
      <c r="K114" s="162">
        <f>16*J114</f>
        <v>64</v>
      </c>
      <c r="L114" s="162">
        <f>32*J114</f>
        <v>128</v>
      </c>
      <c r="M114" s="162">
        <f>SUM(K114:L114)</f>
        <v>192</v>
      </c>
      <c r="N114" s="160" t="s">
        <v>349</v>
      </c>
      <c r="O114" s="160" t="s">
        <v>350</v>
      </c>
      <c r="P114" s="160" t="s">
        <v>246</v>
      </c>
      <c r="Q114" s="160" t="s">
        <v>210</v>
      </c>
      <c r="R114" s="5"/>
      <c r="S114" s="5"/>
      <c r="T114" s="107"/>
    </row>
    <row r="115" spans="1:20" s="93" customFormat="1" ht="49.5">
      <c r="A115" s="78" t="str">
        <f>_xlfn.XLOOKUP(B115,'Paso 3 Redacción RA'!I$3:I$12,'Paso 3 Redacción RA'!C$3:C$12,,0,1)</f>
        <v>SaberSer</v>
      </c>
      <c r="B115" s="78" t="s">
        <v>93</v>
      </c>
      <c r="C115" s="137"/>
      <c r="D115" s="137"/>
      <c r="E115" s="158"/>
      <c r="F115" s="137"/>
      <c r="G115" s="137"/>
      <c r="H115" s="137"/>
      <c r="I115" s="137"/>
      <c r="J115" s="137"/>
      <c r="K115" s="137"/>
      <c r="L115" s="137"/>
      <c r="M115" s="137"/>
      <c r="N115" s="140"/>
      <c r="O115" s="140"/>
      <c r="P115" s="140"/>
      <c r="Q115" s="140"/>
      <c r="R115" s="5"/>
      <c r="S115" s="5"/>
      <c r="T115" s="107"/>
    </row>
    <row r="116" spans="1:20" s="93" customFormat="1" ht="33">
      <c r="A116" s="78" t="str">
        <f>_xlfn.XLOOKUP(B116,'Paso 3 Redacción RA'!I$3:I$12,'Paso 3 Redacción RA'!C$3:C$12,,0,1)</f>
        <v>SaberHacer</v>
      </c>
      <c r="B116" s="78" t="s">
        <v>98</v>
      </c>
      <c r="C116" s="137"/>
      <c r="D116" s="137"/>
      <c r="E116" s="158"/>
      <c r="F116" s="137"/>
      <c r="G116" s="137"/>
      <c r="H116" s="137"/>
      <c r="I116" s="137"/>
      <c r="J116" s="137"/>
      <c r="K116" s="137"/>
      <c r="L116" s="137"/>
      <c r="M116" s="137"/>
      <c r="N116" s="140"/>
      <c r="O116" s="140"/>
      <c r="P116" s="140"/>
      <c r="Q116" s="140"/>
      <c r="R116" s="5"/>
      <c r="S116" s="5"/>
      <c r="T116" s="107"/>
    </row>
    <row r="117" spans="1:20" s="93" customFormat="1" ht="33">
      <c r="A117" s="78" t="str">
        <f>_xlfn.XLOOKUP(B117,'Paso 3 Redacción RA'!I$3:I$12,'Paso 3 Redacción RA'!C$3:C$12,,0,1)</f>
        <v>Saber</v>
      </c>
      <c r="B117" s="78" t="s">
        <v>100</v>
      </c>
      <c r="C117" s="137"/>
      <c r="D117" s="137"/>
      <c r="E117" s="158"/>
      <c r="F117" s="137"/>
      <c r="G117" s="137"/>
      <c r="H117" s="137"/>
      <c r="I117" s="137"/>
      <c r="J117" s="137"/>
      <c r="K117" s="137"/>
      <c r="L117" s="137"/>
      <c r="M117" s="137"/>
      <c r="N117" s="140"/>
      <c r="O117" s="140"/>
      <c r="P117" s="140"/>
      <c r="Q117" s="140"/>
      <c r="R117" s="5"/>
      <c r="S117" s="5"/>
      <c r="T117" s="107"/>
    </row>
    <row r="118" spans="1:20" s="93" customFormat="1" ht="33.6" thickBot="1">
      <c r="A118" s="91" t="str">
        <f>_xlfn.XLOOKUP(B118,'Paso 3 Redacción RA'!I$3:I$12,'Paso 3 Redacción RA'!C$3:C$12,,0,1)</f>
        <v>SaberHacer</v>
      </c>
      <c r="B118" s="91" t="s">
        <v>102</v>
      </c>
      <c r="C118" s="163"/>
      <c r="D118" s="163"/>
      <c r="E118" s="165"/>
      <c r="F118" s="163"/>
      <c r="G118" s="163"/>
      <c r="H118" s="163"/>
      <c r="I118" s="163"/>
      <c r="J118" s="163"/>
      <c r="K118" s="163"/>
      <c r="L118" s="163"/>
      <c r="M118" s="163"/>
      <c r="N118" s="161"/>
      <c r="O118" s="161"/>
      <c r="P118" s="161"/>
      <c r="Q118" s="161"/>
      <c r="R118" s="5"/>
      <c r="S118" s="5"/>
      <c r="T118" s="107"/>
    </row>
    <row r="119" spans="1:20" s="93" customFormat="1" ht="59.1" customHeight="1">
      <c r="A119" s="106" t="str">
        <f>_xlfn.XLOOKUP(B119,'Paso 3 Redacción RA'!I$3:I$12,'Paso 3 Redacción RA'!C$3:C$12,,0,1)</f>
        <v>SaberSer</v>
      </c>
      <c r="B119" s="95" t="s">
        <v>93</v>
      </c>
      <c r="C119" s="162">
        <v>8</v>
      </c>
      <c r="D119" s="162" t="s">
        <v>357</v>
      </c>
      <c r="E119" s="164" t="s">
        <v>358</v>
      </c>
      <c r="F119" s="162" t="s">
        <v>205</v>
      </c>
      <c r="G119" s="162"/>
      <c r="H119" s="162" t="s">
        <v>206</v>
      </c>
      <c r="I119" s="162"/>
      <c r="J119" s="162">
        <v>4</v>
      </c>
      <c r="K119" s="162">
        <f>16*J119</f>
        <v>64</v>
      </c>
      <c r="L119" s="162">
        <f>32*J119</f>
        <v>128</v>
      </c>
      <c r="M119" s="162">
        <f>SUM(K119:L119)</f>
        <v>192</v>
      </c>
      <c r="N119" s="160" t="s">
        <v>359</v>
      </c>
      <c r="O119" s="160" t="s">
        <v>360</v>
      </c>
      <c r="P119" s="160" t="s">
        <v>246</v>
      </c>
      <c r="Q119" s="160" t="s">
        <v>210</v>
      </c>
      <c r="R119" s="5"/>
      <c r="S119" s="5"/>
      <c r="T119" s="107"/>
    </row>
    <row r="120" spans="1:20" s="93" customFormat="1" ht="48.95" customHeight="1">
      <c r="A120" s="78" t="str">
        <f>_xlfn.XLOOKUP(B120,'Paso 3 Redacción RA'!I$3:I$12,'Paso 3 Redacción RA'!C$3:C$12,,0,1)</f>
        <v>Saber</v>
      </c>
      <c r="B120" s="78" t="s">
        <v>95</v>
      </c>
      <c r="C120" s="137"/>
      <c r="D120" s="137"/>
      <c r="E120" s="158"/>
      <c r="F120" s="137"/>
      <c r="G120" s="137"/>
      <c r="H120" s="137"/>
      <c r="I120" s="137"/>
      <c r="J120" s="137"/>
      <c r="K120" s="137"/>
      <c r="L120" s="137"/>
      <c r="M120" s="137"/>
      <c r="N120" s="140"/>
      <c r="O120" s="140"/>
      <c r="P120" s="140"/>
      <c r="Q120" s="140"/>
      <c r="R120" s="5"/>
      <c r="S120" s="5"/>
      <c r="T120" s="107"/>
    </row>
    <row r="121" spans="1:20" s="93" customFormat="1" ht="50.1" customHeight="1">
      <c r="A121" s="78" t="str">
        <f>_xlfn.XLOOKUP(B121,'Paso 3 Redacción RA'!I$3:I$12,'Paso 3 Redacción RA'!C$3:C$12,,0,1)</f>
        <v>Saber</v>
      </c>
      <c r="B121" s="78" t="s">
        <v>100</v>
      </c>
      <c r="C121" s="137"/>
      <c r="D121" s="137"/>
      <c r="E121" s="158"/>
      <c r="F121" s="137"/>
      <c r="G121" s="137"/>
      <c r="H121" s="137"/>
      <c r="I121" s="137"/>
      <c r="J121" s="137"/>
      <c r="K121" s="137"/>
      <c r="L121" s="137"/>
      <c r="M121" s="137"/>
      <c r="N121" s="140"/>
      <c r="O121" s="140"/>
      <c r="P121" s="140"/>
      <c r="Q121" s="140"/>
      <c r="R121" s="5"/>
      <c r="S121" s="5"/>
      <c r="T121" s="107"/>
    </row>
    <row r="122" spans="1:20" s="93" customFormat="1" ht="60.6" customHeight="1" thickBot="1">
      <c r="A122" s="91" t="str">
        <f>_xlfn.XLOOKUP(B122,'Paso 3 Redacción RA'!I$3:I$12,'Paso 3 Redacción RA'!C$3:C$12,,0,1)</f>
        <v>SaberHacer</v>
      </c>
      <c r="B122" s="91" t="s">
        <v>102</v>
      </c>
      <c r="C122" s="163"/>
      <c r="D122" s="163"/>
      <c r="E122" s="165"/>
      <c r="F122" s="163"/>
      <c r="G122" s="163"/>
      <c r="H122" s="163"/>
      <c r="I122" s="163"/>
      <c r="J122" s="163"/>
      <c r="K122" s="163"/>
      <c r="L122" s="163"/>
      <c r="M122" s="163"/>
      <c r="N122" s="161"/>
      <c r="O122" s="161"/>
      <c r="P122" s="161"/>
      <c r="Q122" s="161"/>
      <c r="R122" s="5"/>
      <c r="S122" s="5"/>
      <c r="T122" s="107"/>
    </row>
    <row r="123" spans="1:20" s="93" customFormat="1" ht="17.25">
      <c r="A123" s="103"/>
      <c r="B123" s="103"/>
      <c r="C123" s="109">
        <v>8</v>
      </c>
      <c r="D123" s="110" t="s">
        <v>361</v>
      </c>
      <c r="E123" s="103"/>
      <c r="F123" s="108"/>
      <c r="G123" s="112"/>
      <c r="H123" s="112"/>
      <c r="I123" s="112" t="s">
        <v>206</v>
      </c>
      <c r="J123" s="109">
        <v>3</v>
      </c>
      <c r="K123" s="109">
        <f>16*J123</f>
        <v>48</v>
      </c>
      <c r="L123" s="109">
        <f>32*J123</f>
        <v>96</v>
      </c>
      <c r="M123" s="109">
        <f>SUM(K123:L123)</f>
        <v>144</v>
      </c>
      <c r="N123" s="111"/>
      <c r="O123" s="111"/>
      <c r="P123" s="111"/>
      <c r="Q123" s="111"/>
      <c r="R123" s="5"/>
      <c r="S123" s="5"/>
      <c r="T123" s="107"/>
    </row>
    <row r="124" spans="1:20" s="93" customFormat="1" ht="17.25">
      <c r="A124" s="103"/>
      <c r="B124" s="103"/>
      <c r="C124" s="109">
        <v>8</v>
      </c>
      <c r="D124" s="110" t="s">
        <v>362</v>
      </c>
      <c r="E124" s="111"/>
      <c r="F124" s="108"/>
      <c r="G124" s="112"/>
      <c r="H124" s="112"/>
      <c r="I124" s="112" t="s">
        <v>206</v>
      </c>
      <c r="J124" s="109">
        <v>3</v>
      </c>
      <c r="K124" s="109">
        <f>16*J124</f>
        <v>48</v>
      </c>
      <c r="L124" s="109">
        <f>32*J124</f>
        <v>96</v>
      </c>
      <c r="M124" s="109">
        <f>SUM(K124:L124)</f>
        <v>144</v>
      </c>
      <c r="N124" s="111"/>
      <c r="O124" s="111"/>
      <c r="P124" s="111"/>
      <c r="Q124" s="111"/>
      <c r="R124" s="5">
        <f>SUM(J109:J124)</f>
        <v>18</v>
      </c>
      <c r="S124" s="5">
        <f>COUNTA(D109:D124)</f>
        <v>5</v>
      </c>
      <c r="T124" s="107"/>
    </row>
    <row r="125" spans="1:20" s="116" customFormat="1" ht="24.75">
      <c r="A125" s="113"/>
      <c r="B125" s="114"/>
      <c r="C125" s="115" t="s">
        <v>363</v>
      </c>
      <c r="D125" s="175">
        <f>COUNTA(D3:D124)</f>
        <v>42</v>
      </c>
      <c r="E125" s="117"/>
      <c r="F125" s="118"/>
      <c r="G125" s="118"/>
      <c r="H125" s="118"/>
      <c r="I125" s="119" t="s">
        <v>364</v>
      </c>
      <c r="J125" s="176">
        <f>SUM(J3:J124)</f>
        <v>135</v>
      </c>
      <c r="K125" s="124"/>
      <c r="L125" s="39"/>
      <c r="M125" s="118"/>
      <c r="N125" s="117"/>
      <c r="O125" s="117"/>
      <c r="P125" s="117"/>
      <c r="Q125" s="117"/>
      <c r="R125" s="117">
        <f>SUM(R124,R108,R93,R75,R58,R45,R31,R16)</f>
        <v>135</v>
      </c>
      <c r="S125" s="117">
        <f>SUM(S3:S124)</f>
        <v>42</v>
      </c>
      <c r="T125" s="121"/>
    </row>
    <row r="126" spans="1:20" s="116" customFormat="1" ht="48">
      <c r="A126" s="113"/>
      <c r="B126" s="114"/>
      <c r="C126" s="118"/>
      <c r="D126" s="118"/>
      <c r="E126" s="117"/>
      <c r="F126" s="118"/>
      <c r="G126" s="118"/>
      <c r="H126" s="118"/>
      <c r="I126" s="122" t="s">
        <v>365</v>
      </c>
      <c r="J126" s="120">
        <f>SUM(J3,J4,J17,J32,J33,J46)</f>
        <v>18</v>
      </c>
      <c r="K126" s="124"/>
      <c r="L126" s="118"/>
      <c r="M126" s="118"/>
      <c r="N126" s="117"/>
      <c r="O126" s="117"/>
      <c r="P126" s="117"/>
      <c r="Q126" s="117"/>
      <c r="R126" s="117"/>
      <c r="S126" s="117"/>
      <c r="T126" s="121"/>
    </row>
    <row r="127" spans="1:20" s="116" customFormat="1" ht="48">
      <c r="A127" s="123"/>
      <c r="B127" s="114"/>
      <c r="C127" s="118"/>
      <c r="D127" s="118"/>
      <c r="E127" s="117"/>
      <c r="F127" s="118"/>
      <c r="G127" s="118"/>
      <c r="H127" s="118"/>
      <c r="I127" s="122" t="s">
        <v>366</v>
      </c>
      <c r="J127" s="120">
        <f>SUM(J109:J122,J59:J106,J47:J58,J34:J45,J18:J31,J5:J16)</f>
        <v>105</v>
      </c>
      <c r="K127" s="124"/>
      <c r="L127" s="118"/>
      <c r="M127" s="118"/>
      <c r="N127" s="117"/>
      <c r="O127" s="117"/>
      <c r="P127" s="117"/>
      <c r="Q127" s="117"/>
      <c r="R127" s="117"/>
      <c r="S127" s="117"/>
      <c r="T127" s="121"/>
    </row>
    <row r="128" spans="1:20" s="116" customFormat="1" ht="32.1">
      <c r="A128" s="123"/>
      <c r="B128" s="114"/>
      <c r="C128" s="118"/>
      <c r="D128" s="118"/>
      <c r="F128" s="118"/>
      <c r="G128" s="118"/>
      <c r="H128" s="118"/>
      <c r="I128" s="122" t="s">
        <v>367</v>
      </c>
      <c r="J128" s="116">
        <f>SUM(J123:J124,J107:J108)</f>
        <v>12</v>
      </c>
      <c r="K128" s="125"/>
      <c r="L128" s="118"/>
      <c r="M128" s="118"/>
      <c r="N128" s="117"/>
      <c r="O128" s="117"/>
      <c r="P128" s="117"/>
      <c r="Q128" s="117"/>
      <c r="R128" s="117"/>
      <c r="S128" s="117"/>
      <c r="T128" s="121"/>
    </row>
    <row r="129" spans="3:13">
      <c r="C129" s="6"/>
      <c r="F129" s="6"/>
      <c r="G129" s="6"/>
      <c r="H129" s="6"/>
      <c r="I129" s="6"/>
      <c r="J129" s="6"/>
      <c r="K129" s="6"/>
      <c r="L129" s="6"/>
      <c r="M129" s="6"/>
    </row>
    <row r="130" spans="3:13">
      <c r="C130" s="6"/>
      <c r="F130" s="6"/>
      <c r="G130" s="6"/>
      <c r="H130" s="6"/>
      <c r="I130" s="6"/>
      <c r="J130" s="6"/>
      <c r="K130" s="6"/>
      <c r="L130" s="6"/>
      <c r="M130" s="6"/>
    </row>
    <row r="131" spans="3:13">
      <c r="C131" s="6"/>
      <c r="F131" s="6"/>
      <c r="G131" s="6"/>
      <c r="H131" s="6"/>
      <c r="I131" s="6"/>
      <c r="J131" s="6"/>
      <c r="K131" s="6"/>
      <c r="L131" s="6"/>
      <c r="M131" s="6"/>
    </row>
    <row r="132" spans="3:13">
      <c r="C132" s="6"/>
      <c r="F132" s="6"/>
      <c r="G132" s="6"/>
      <c r="H132" s="6"/>
      <c r="I132" s="6"/>
      <c r="J132" s="6"/>
      <c r="K132" s="6"/>
      <c r="L132" s="6"/>
      <c r="M132" s="6"/>
    </row>
    <row r="133" spans="3:13">
      <c r="C133" s="6"/>
      <c r="F133" s="6"/>
      <c r="G133" s="6"/>
      <c r="H133" s="6"/>
      <c r="I133" s="6"/>
      <c r="J133" s="6"/>
      <c r="K133" s="6"/>
      <c r="L133" s="6"/>
      <c r="M133" s="6"/>
    </row>
    <row r="134" spans="3:13">
      <c r="C134" s="6"/>
      <c r="F134" s="6"/>
      <c r="G134" s="6"/>
      <c r="H134" s="6"/>
      <c r="I134" s="6"/>
      <c r="J134" s="6"/>
      <c r="K134" s="6"/>
      <c r="L134" s="6"/>
      <c r="M134" s="6"/>
    </row>
    <row r="135" spans="3:13">
      <c r="C135" s="6"/>
      <c r="F135" s="6"/>
      <c r="G135" s="6"/>
      <c r="H135" s="6"/>
      <c r="I135" s="6"/>
      <c r="J135" s="6"/>
      <c r="K135" s="6"/>
      <c r="L135" s="6"/>
      <c r="M135" s="6"/>
    </row>
    <row r="137" spans="3:13">
      <c r="E137" s="117"/>
    </row>
  </sheetData>
  <mergeCells count="481">
    <mergeCell ref="Q37:Q39"/>
    <mergeCell ref="G1:I1"/>
    <mergeCell ref="P11:P13"/>
    <mergeCell ref="P5:P7"/>
    <mergeCell ref="M28:M31"/>
    <mergeCell ref="H28:H31"/>
    <mergeCell ref="M21:M24"/>
    <mergeCell ref="N21:N24"/>
    <mergeCell ref="O21:O24"/>
    <mergeCell ref="P21:P24"/>
    <mergeCell ref="P25:P27"/>
    <mergeCell ref="K14:K16"/>
    <mergeCell ref="L14:L16"/>
    <mergeCell ref="M14:M16"/>
    <mergeCell ref="N14:N16"/>
    <mergeCell ref="O14:O16"/>
    <mergeCell ref="P14:P16"/>
    <mergeCell ref="N11:N13"/>
    <mergeCell ref="O11:O13"/>
    <mergeCell ref="J18:J20"/>
    <mergeCell ref="I18:I20"/>
    <mergeCell ref="M8:M10"/>
    <mergeCell ref="N8:N10"/>
    <mergeCell ref="O8:O10"/>
    <mergeCell ref="H11:H13"/>
    <mergeCell ref="I11:I13"/>
    <mergeCell ref="Q5:Q7"/>
    <mergeCell ref="H5:H7"/>
    <mergeCell ref="I5:I7"/>
    <mergeCell ref="J5:J7"/>
    <mergeCell ref="K5:K7"/>
    <mergeCell ref="L5:L7"/>
    <mergeCell ref="P8:P10"/>
    <mergeCell ref="Q8:Q10"/>
    <mergeCell ref="M5:M7"/>
    <mergeCell ref="N5:N7"/>
    <mergeCell ref="O5:O7"/>
    <mergeCell ref="H8:H10"/>
    <mergeCell ref="I8:I10"/>
    <mergeCell ref="J8:J10"/>
    <mergeCell ref="K8:K10"/>
    <mergeCell ref="L8:L10"/>
    <mergeCell ref="D8:D10"/>
    <mergeCell ref="D5:D7"/>
    <mergeCell ref="E8:E10"/>
    <mergeCell ref="F8:F10"/>
    <mergeCell ref="C5:C7"/>
    <mergeCell ref="E5:E7"/>
    <mergeCell ref="F5:F7"/>
    <mergeCell ref="G5:G7"/>
    <mergeCell ref="C14:C16"/>
    <mergeCell ref="C8:C10"/>
    <mergeCell ref="G8:G10"/>
    <mergeCell ref="C21:C24"/>
    <mergeCell ref="D21:D24"/>
    <mergeCell ref="E21:E24"/>
    <mergeCell ref="D14:D16"/>
    <mergeCell ref="E14:E16"/>
    <mergeCell ref="F14:F16"/>
    <mergeCell ref="G14:G16"/>
    <mergeCell ref="E11:E13"/>
    <mergeCell ref="F11:F13"/>
    <mergeCell ref="G11:G13"/>
    <mergeCell ref="F21:F24"/>
    <mergeCell ref="G21:G24"/>
    <mergeCell ref="N25:N27"/>
    <mergeCell ref="O25:O27"/>
    <mergeCell ref="Q21:Q24"/>
    <mergeCell ref="N28:N31"/>
    <mergeCell ref="O28:O31"/>
    <mergeCell ref="P28:P31"/>
    <mergeCell ref="Q28:Q31"/>
    <mergeCell ref="H21:H24"/>
    <mergeCell ref="I21:I24"/>
    <mergeCell ref="J21:J24"/>
    <mergeCell ref="K21:K24"/>
    <mergeCell ref="L21:L24"/>
    <mergeCell ref="I28:I31"/>
    <mergeCell ref="J28:J31"/>
    <mergeCell ref="K28:K31"/>
    <mergeCell ref="L28:L31"/>
    <mergeCell ref="Q25:Q27"/>
    <mergeCell ref="H25:H27"/>
    <mergeCell ref="I25:I27"/>
    <mergeCell ref="J25:J27"/>
    <mergeCell ref="K25:K27"/>
    <mergeCell ref="L25:L27"/>
    <mergeCell ref="C34:C36"/>
    <mergeCell ref="D34:D36"/>
    <mergeCell ref="E34:E36"/>
    <mergeCell ref="H34:H36"/>
    <mergeCell ref="I34:I36"/>
    <mergeCell ref="J34:J36"/>
    <mergeCell ref="K34:K36"/>
    <mergeCell ref="L34:L36"/>
    <mergeCell ref="M25:M27"/>
    <mergeCell ref="D28:D31"/>
    <mergeCell ref="E28:E31"/>
    <mergeCell ref="F28:F31"/>
    <mergeCell ref="G28:G31"/>
    <mergeCell ref="C28:C31"/>
    <mergeCell ref="G25:G27"/>
    <mergeCell ref="C25:C27"/>
    <mergeCell ref="D25:D27"/>
    <mergeCell ref="E25:E27"/>
    <mergeCell ref="F25:F27"/>
    <mergeCell ref="P40:P42"/>
    <mergeCell ref="J50:J52"/>
    <mergeCell ref="K50:K52"/>
    <mergeCell ref="P50:P52"/>
    <mergeCell ref="M34:M36"/>
    <mergeCell ref="N34:N36"/>
    <mergeCell ref="O34:O36"/>
    <mergeCell ref="P34:P36"/>
    <mergeCell ref="F34:F36"/>
    <mergeCell ref="G34:G36"/>
    <mergeCell ref="H40:H42"/>
    <mergeCell ref="I40:I42"/>
    <mergeCell ref="J40:J42"/>
    <mergeCell ref="K40:K42"/>
    <mergeCell ref="Q50:Q52"/>
    <mergeCell ref="C43:C45"/>
    <mergeCell ref="D43:D45"/>
    <mergeCell ref="E43:E45"/>
    <mergeCell ref="F43:F45"/>
    <mergeCell ref="G43:G45"/>
    <mergeCell ref="H43:H45"/>
    <mergeCell ref="I43:I45"/>
    <mergeCell ref="J43:J45"/>
    <mergeCell ref="K43:K45"/>
    <mergeCell ref="L43:L45"/>
    <mergeCell ref="M43:M45"/>
    <mergeCell ref="N43:N45"/>
    <mergeCell ref="O43:O45"/>
    <mergeCell ref="P43:P45"/>
    <mergeCell ref="Q43:Q45"/>
    <mergeCell ref="L50:L52"/>
    <mergeCell ref="M50:M52"/>
    <mergeCell ref="I50:I52"/>
    <mergeCell ref="C37:C39"/>
    <mergeCell ref="F37:F39"/>
    <mergeCell ref="J37:J39"/>
    <mergeCell ref="K37:K39"/>
    <mergeCell ref="N37:N39"/>
    <mergeCell ref="O37:O39"/>
    <mergeCell ref="P37:P39"/>
    <mergeCell ref="J47:J49"/>
    <mergeCell ref="K47:K49"/>
    <mergeCell ref="L47:L49"/>
    <mergeCell ref="M47:M49"/>
    <mergeCell ref="N47:N49"/>
    <mergeCell ref="O47:O49"/>
    <mergeCell ref="P47:P49"/>
    <mergeCell ref="L40:L42"/>
    <mergeCell ref="M40:M42"/>
    <mergeCell ref="N40:N42"/>
    <mergeCell ref="O40:O42"/>
    <mergeCell ref="C40:C42"/>
    <mergeCell ref="D37:D39"/>
    <mergeCell ref="E40:E42"/>
    <mergeCell ref="F40:F42"/>
    <mergeCell ref="G40:G42"/>
    <mergeCell ref="D40:D42"/>
    <mergeCell ref="Q34:Q36"/>
    <mergeCell ref="L37:L39"/>
    <mergeCell ref="M37:M39"/>
    <mergeCell ref="C47:C49"/>
    <mergeCell ref="D47:D49"/>
    <mergeCell ref="E47:E49"/>
    <mergeCell ref="F47:F49"/>
    <mergeCell ref="G47:G49"/>
    <mergeCell ref="N50:N52"/>
    <mergeCell ref="O50:O52"/>
    <mergeCell ref="C50:C52"/>
    <mergeCell ref="D50:D52"/>
    <mergeCell ref="E50:E52"/>
    <mergeCell ref="F50:F52"/>
    <mergeCell ref="G50:G52"/>
    <mergeCell ref="H50:H52"/>
    <mergeCell ref="I37:I39"/>
    <mergeCell ref="H37:H39"/>
    <mergeCell ref="G37:G39"/>
    <mergeCell ref="E37:E39"/>
    <mergeCell ref="Q40:Q42"/>
    <mergeCell ref="Q47:Q49"/>
    <mergeCell ref="H47:H49"/>
    <mergeCell ref="I47:I49"/>
    <mergeCell ref="C87:C89"/>
    <mergeCell ref="D87:D89"/>
    <mergeCell ref="G63:G66"/>
    <mergeCell ref="C84:C86"/>
    <mergeCell ref="D84:D86"/>
    <mergeCell ref="E84:E86"/>
    <mergeCell ref="Q56:Q58"/>
    <mergeCell ref="H56:H58"/>
    <mergeCell ref="I56:I58"/>
    <mergeCell ref="J56:J58"/>
    <mergeCell ref="K56:K58"/>
    <mergeCell ref="L56:L58"/>
    <mergeCell ref="C56:C58"/>
    <mergeCell ref="D56:D58"/>
    <mergeCell ref="E56:E58"/>
    <mergeCell ref="F56:F58"/>
    <mergeCell ref="G56:G58"/>
    <mergeCell ref="M56:M58"/>
    <mergeCell ref="N56:N58"/>
    <mergeCell ref="O56:O58"/>
    <mergeCell ref="P56:P58"/>
    <mergeCell ref="F84:F86"/>
    <mergeCell ref="G84:G86"/>
    <mergeCell ref="E63:E66"/>
    <mergeCell ref="M94:M97"/>
    <mergeCell ref="N94:N97"/>
    <mergeCell ref="O94:O97"/>
    <mergeCell ref="P94:P97"/>
    <mergeCell ref="H94:H97"/>
    <mergeCell ref="I94:I97"/>
    <mergeCell ref="J94:J97"/>
    <mergeCell ref="K94:K97"/>
    <mergeCell ref="L94:L97"/>
    <mergeCell ref="F63:F66"/>
    <mergeCell ref="C80:C83"/>
    <mergeCell ref="D80:D83"/>
    <mergeCell ref="E80:E83"/>
    <mergeCell ref="F80:F83"/>
    <mergeCell ref="G80:G83"/>
    <mergeCell ref="C76:C79"/>
    <mergeCell ref="D76:D79"/>
    <mergeCell ref="E76:E79"/>
    <mergeCell ref="C73:C75"/>
    <mergeCell ref="D73:D75"/>
    <mergeCell ref="Q73:Q75"/>
    <mergeCell ref="H73:H75"/>
    <mergeCell ref="I73:I75"/>
    <mergeCell ref="J73:J75"/>
    <mergeCell ref="K73:K75"/>
    <mergeCell ref="L73:L75"/>
    <mergeCell ref="E87:E89"/>
    <mergeCell ref="F87:F89"/>
    <mergeCell ref="G87:G89"/>
    <mergeCell ref="F73:F75"/>
    <mergeCell ref="G73:G75"/>
    <mergeCell ref="E73:E75"/>
    <mergeCell ref="Q87:Q89"/>
    <mergeCell ref="H87:H89"/>
    <mergeCell ref="I87:I89"/>
    <mergeCell ref="J87:J89"/>
    <mergeCell ref="K87:K89"/>
    <mergeCell ref="L87:L89"/>
    <mergeCell ref="M87:M89"/>
    <mergeCell ref="N87:N89"/>
    <mergeCell ref="O87:O89"/>
    <mergeCell ref="P87:P89"/>
    <mergeCell ref="F76:F79"/>
    <mergeCell ref="G76:G79"/>
    <mergeCell ref="Q70:Q72"/>
    <mergeCell ref="H70:H72"/>
    <mergeCell ref="I70:I72"/>
    <mergeCell ref="J70:J72"/>
    <mergeCell ref="K70:K72"/>
    <mergeCell ref="L70:L72"/>
    <mergeCell ref="Q59:Q62"/>
    <mergeCell ref="H59:H62"/>
    <mergeCell ref="I59:I62"/>
    <mergeCell ref="J59:J62"/>
    <mergeCell ref="K59:K62"/>
    <mergeCell ref="L59:L62"/>
    <mergeCell ref="M59:M62"/>
    <mergeCell ref="N59:N62"/>
    <mergeCell ref="O59:O62"/>
    <mergeCell ref="P59:P62"/>
    <mergeCell ref="M63:M66"/>
    <mergeCell ref="N63:N66"/>
    <mergeCell ref="O63:O66"/>
    <mergeCell ref="P63:P66"/>
    <mergeCell ref="M70:M72"/>
    <mergeCell ref="N70:N72"/>
    <mergeCell ref="O70:O72"/>
    <mergeCell ref="P70:P72"/>
    <mergeCell ref="Q67:Q69"/>
    <mergeCell ref="H67:H69"/>
    <mergeCell ref="I67:I69"/>
    <mergeCell ref="J67:J69"/>
    <mergeCell ref="K67:K69"/>
    <mergeCell ref="L67:L69"/>
    <mergeCell ref="C59:C62"/>
    <mergeCell ref="D59:D62"/>
    <mergeCell ref="E59:E62"/>
    <mergeCell ref="F59:F62"/>
    <mergeCell ref="G59:G62"/>
    <mergeCell ref="C67:C69"/>
    <mergeCell ref="D67:D69"/>
    <mergeCell ref="E67:E69"/>
    <mergeCell ref="F67:F69"/>
    <mergeCell ref="G67:G69"/>
    <mergeCell ref="Q63:Q66"/>
    <mergeCell ref="H63:H66"/>
    <mergeCell ref="I63:I66"/>
    <mergeCell ref="J63:J66"/>
    <mergeCell ref="K63:K66"/>
    <mergeCell ref="L63:L66"/>
    <mergeCell ref="C63:C66"/>
    <mergeCell ref="D63:D66"/>
    <mergeCell ref="Q53:Q55"/>
    <mergeCell ref="H53:H55"/>
    <mergeCell ref="I53:I55"/>
    <mergeCell ref="J53:J55"/>
    <mergeCell ref="K53:K55"/>
    <mergeCell ref="L53:L55"/>
    <mergeCell ref="C53:C55"/>
    <mergeCell ref="D53:D55"/>
    <mergeCell ref="E53:E55"/>
    <mergeCell ref="F53:F55"/>
    <mergeCell ref="G53:G55"/>
    <mergeCell ref="M53:M55"/>
    <mergeCell ref="N53:N55"/>
    <mergeCell ref="O53:O55"/>
    <mergeCell ref="P53:P55"/>
    <mergeCell ref="M67:M69"/>
    <mergeCell ref="N67:N69"/>
    <mergeCell ref="O67:O69"/>
    <mergeCell ref="P67:P69"/>
    <mergeCell ref="C70:C72"/>
    <mergeCell ref="D70:D72"/>
    <mergeCell ref="E70:E72"/>
    <mergeCell ref="F70:F72"/>
    <mergeCell ref="G70:G72"/>
    <mergeCell ref="M84:M86"/>
    <mergeCell ref="N84:N86"/>
    <mergeCell ref="O84:O86"/>
    <mergeCell ref="P84:P86"/>
    <mergeCell ref="N76:N79"/>
    <mergeCell ref="O76:O79"/>
    <mergeCell ref="P76:P79"/>
    <mergeCell ref="M73:M75"/>
    <mergeCell ref="N73:N75"/>
    <mergeCell ref="O73:O75"/>
    <mergeCell ref="P73:P75"/>
    <mergeCell ref="Q80:Q83"/>
    <mergeCell ref="H80:H83"/>
    <mergeCell ref="I80:I83"/>
    <mergeCell ref="J80:J83"/>
    <mergeCell ref="K80:K83"/>
    <mergeCell ref="L80:L83"/>
    <mergeCell ref="M80:M83"/>
    <mergeCell ref="N80:N83"/>
    <mergeCell ref="O80:O83"/>
    <mergeCell ref="P80:P83"/>
    <mergeCell ref="M98:M101"/>
    <mergeCell ref="N98:N101"/>
    <mergeCell ref="O98:O101"/>
    <mergeCell ref="P98:P101"/>
    <mergeCell ref="Q76:Q79"/>
    <mergeCell ref="H76:H79"/>
    <mergeCell ref="I76:I79"/>
    <mergeCell ref="J76:J79"/>
    <mergeCell ref="K76:K79"/>
    <mergeCell ref="L76:L79"/>
    <mergeCell ref="M76:M79"/>
    <mergeCell ref="H98:H101"/>
    <mergeCell ref="I98:I101"/>
    <mergeCell ref="J98:J101"/>
    <mergeCell ref="K98:K101"/>
    <mergeCell ref="L98:L101"/>
    <mergeCell ref="Q98:Q101"/>
    <mergeCell ref="Q94:Q97"/>
    <mergeCell ref="Q84:Q86"/>
    <mergeCell ref="H84:H86"/>
    <mergeCell ref="I84:I86"/>
    <mergeCell ref="J84:J86"/>
    <mergeCell ref="K84:K86"/>
    <mergeCell ref="L84:L86"/>
    <mergeCell ref="F98:F101"/>
    <mergeCell ref="C90:C93"/>
    <mergeCell ref="D90:D93"/>
    <mergeCell ref="E90:E93"/>
    <mergeCell ref="F90:F93"/>
    <mergeCell ref="G90:G93"/>
    <mergeCell ref="D94:D97"/>
    <mergeCell ref="F94:F97"/>
    <mergeCell ref="C98:C101"/>
    <mergeCell ref="D98:D101"/>
    <mergeCell ref="E98:E101"/>
    <mergeCell ref="G98:G101"/>
    <mergeCell ref="C94:C97"/>
    <mergeCell ref="E94:E97"/>
    <mergeCell ref="G94:G97"/>
    <mergeCell ref="M90:M93"/>
    <mergeCell ref="N90:N93"/>
    <mergeCell ref="O90:O93"/>
    <mergeCell ref="P90:P93"/>
    <mergeCell ref="Q90:Q93"/>
    <mergeCell ref="H90:H93"/>
    <mergeCell ref="I90:I93"/>
    <mergeCell ref="J90:J93"/>
    <mergeCell ref="K90:K93"/>
    <mergeCell ref="L90:L93"/>
    <mergeCell ref="Q102:Q106"/>
    <mergeCell ref="Q119:Q122"/>
    <mergeCell ref="M114:M118"/>
    <mergeCell ref="N114:N118"/>
    <mergeCell ref="O114:O118"/>
    <mergeCell ref="P114:P118"/>
    <mergeCell ref="Q114:Q118"/>
    <mergeCell ref="M109:M113"/>
    <mergeCell ref="N109:N113"/>
    <mergeCell ref="O109:O113"/>
    <mergeCell ref="P109:P113"/>
    <mergeCell ref="Q109:Q113"/>
    <mergeCell ref="L119:L122"/>
    <mergeCell ref="M102:M106"/>
    <mergeCell ref="N102:N106"/>
    <mergeCell ref="O102:O106"/>
    <mergeCell ref="P102:P106"/>
    <mergeCell ref="M119:M122"/>
    <mergeCell ref="N119:N122"/>
    <mergeCell ref="O119:O122"/>
    <mergeCell ref="P119:P122"/>
    <mergeCell ref="C119:C122"/>
    <mergeCell ref="D119:D122"/>
    <mergeCell ref="E119:E122"/>
    <mergeCell ref="F119:F122"/>
    <mergeCell ref="G119:G122"/>
    <mergeCell ref="H119:H122"/>
    <mergeCell ref="I119:I122"/>
    <mergeCell ref="J119:J122"/>
    <mergeCell ref="K119:K122"/>
    <mergeCell ref="H114:H118"/>
    <mergeCell ref="I114:I118"/>
    <mergeCell ref="J114:J118"/>
    <mergeCell ref="K114:K118"/>
    <mergeCell ref="L114:L118"/>
    <mergeCell ref="C114:C118"/>
    <mergeCell ref="D114:D118"/>
    <mergeCell ref="E114:E118"/>
    <mergeCell ref="F114:F118"/>
    <mergeCell ref="G114:G118"/>
    <mergeCell ref="H109:H113"/>
    <mergeCell ref="I109:I113"/>
    <mergeCell ref="J109:J113"/>
    <mergeCell ref="K109:K113"/>
    <mergeCell ref="L109:L113"/>
    <mergeCell ref="C109:C113"/>
    <mergeCell ref="D109:D113"/>
    <mergeCell ref="E109:E113"/>
    <mergeCell ref="F109:F113"/>
    <mergeCell ref="G109:G113"/>
    <mergeCell ref="H102:H106"/>
    <mergeCell ref="I102:I106"/>
    <mergeCell ref="J102:J106"/>
    <mergeCell ref="K102:K106"/>
    <mergeCell ref="L102:L106"/>
    <mergeCell ref="C102:C106"/>
    <mergeCell ref="D102:D106"/>
    <mergeCell ref="E102:E106"/>
    <mergeCell ref="F102:F106"/>
    <mergeCell ref="G102:G106"/>
    <mergeCell ref="Q18:Q20"/>
    <mergeCell ref="P18:P20"/>
    <mergeCell ref="O18:O20"/>
    <mergeCell ref="N18:N20"/>
    <mergeCell ref="M18:M20"/>
    <mergeCell ref="L18:L20"/>
    <mergeCell ref="K18:K20"/>
    <mergeCell ref="C11:C13"/>
    <mergeCell ref="D11:D13"/>
    <mergeCell ref="C18:C20"/>
    <mergeCell ref="D18:D20"/>
    <mergeCell ref="E18:E20"/>
    <mergeCell ref="F18:F20"/>
    <mergeCell ref="G18:G20"/>
    <mergeCell ref="Q14:Q16"/>
    <mergeCell ref="H14:H16"/>
    <mergeCell ref="I14:I16"/>
    <mergeCell ref="J14:J16"/>
    <mergeCell ref="H18:H20"/>
    <mergeCell ref="Q11:Q13"/>
    <mergeCell ref="M11:M13"/>
    <mergeCell ref="J11:J13"/>
    <mergeCell ref="K11:K13"/>
    <mergeCell ref="L11:L13"/>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FB58D49-D1C0-4270-ACFB-03A7341BCCED}">
          <x14:formula1>
            <xm:f>'Paso 3 Redacción RA'!$I$4:$I$12</xm:f>
          </x14:formula1>
          <xm:sqref>B125:B128</xm:sqref>
        </x14:dataValidation>
        <x14:dataValidation type="list" allowBlank="1" showInputMessage="1" showErrorMessage="1" xr:uid="{012A8338-011E-4706-B4DB-5C41D4903980}">
          <x14:formula1>
            <xm:f>'Paso 3 Redacción RA'!$I$3:$I$12</xm:f>
          </x14:formula1>
          <xm:sqref>B3:B124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4.45"/>
  <cols>
    <col min="2" max="2" width="29.28515625" customWidth="1"/>
  </cols>
  <sheetData>
    <row r="1" spans="2:2" ht="16.5">
      <c r="B1" s="1" t="s">
        <v>368</v>
      </c>
    </row>
    <row r="2" spans="2:2" ht="16.5">
      <c r="B2" s="1" t="s">
        <v>369</v>
      </c>
    </row>
    <row r="3" spans="2:2" ht="16.5">
      <c r="B3" s="1" t="s">
        <v>370</v>
      </c>
    </row>
    <row r="4" spans="2:2" ht="16.5">
      <c r="B4" s="1" t="s">
        <v>371</v>
      </c>
    </row>
    <row r="5" spans="2:2" ht="16.5">
      <c r="B5" s="1" t="s">
        <v>372</v>
      </c>
    </row>
    <row r="6" spans="2:2" ht="16.5">
      <c r="B6" s="1" t="s">
        <v>373</v>
      </c>
    </row>
    <row r="7" spans="2:2" ht="16.5">
      <c r="B7" s="1" t="s">
        <v>374</v>
      </c>
    </row>
    <row r="8" spans="2:2" ht="16.5">
      <c r="B8" s="1" t="s">
        <v>375</v>
      </c>
    </row>
    <row r="9" spans="2:2" ht="16.5">
      <c r="B9" s="1" t="s">
        <v>376</v>
      </c>
    </row>
    <row r="10" spans="2:2" ht="16.5">
      <c r="B10" s="1" t="s">
        <v>377</v>
      </c>
    </row>
    <row r="11" spans="2:2" ht="16.5">
      <c r="B11" s="1" t="s">
        <v>378</v>
      </c>
    </row>
    <row r="12" spans="2:2" ht="16.5">
      <c r="B12" s="1" t="s">
        <v>379</v>
      </c>
    </row>
    <row r="13" spans="2:2" ht="16.5">
      <c r="B13" s="1" t="s">
        <v>380</v>
      </c>
    </row>
    <row r="14" spans="2:2" ht="16.5">
      <c r="B14" s="1" t="s">
        <v>56</v>
      </c>
    </row>
    <row r="15" spans="2:2" ht="16.5">
      <c r="B15" s="1" t="s">
        <v>53</v>
      </c>
    </row>
    <row r="16" spans="2:2" ht="16.5">
      <c r="B16" s="1" t="s">
        <v>381</v>
      </c>
    </row>
    <row r="17" spans="2:2" ht="16.5">
      <c r="B17" s="1" t="s">
        <v>382</v>
      </c>
    </row>
    <row r="18" spans="2:2" ht="16.5">
      <c r="B18" s="1" t="s">
        <v>383</v>
      </c>
    </row>
    <row r="19" spans="2:2" ht="16.5">
      <c r="B19" s="1" t="s">
        <v>384</v>
      </c>
    </row>
    <row r="20" spans="2:2" ht="16.5">
      <c r="B20" s="1" t="s">
        <v>385</v>
      </c>
    </row>
    <row r="21" spans="2:2" ht="16.5">
      <c r="B21" s="1" t="s">
        <v>386</v>
      </c>
    </row>
    <row r="22" spans="2:2" ht="16.5">
      <c r="B22" s="1" t="s">
        <v>387</v>
      </c>
    </row>
    <row r="23" spans="2:2" ht="16.5">
      <c r="B23" s="1" t="s">
        <v>101</v>
      </c>
    </row>
    <row r="24" spans="2:2" ht="16.5">
      <c r="B24" s="1" t="s">
        <v>388</v>
      </c>
    </row>
    <row r="25" spans="2:2" ht="16.5">
      <c r="B25" s="1" t="s">
        <v>389</v>
      </c>
    </row>
    <row r="26" spans="2:2" ht="16.5">
      <c r="B26" s="1" t="s">
        <v>390</v>
      </c>
    </row>
    <row r="27" spans="2:2" ht="16.5">
      <c r="B27" s="1" t="s">
        <v>391</v>
      </c>
    </row>
    <row r="28" spans="2:2" ht="16.5">
      <c r="B28" s="1" t="s">
        <v>392</v>
      </c>
    </row>
    <row r="29" spans="2:2" ht="16.5">
      <c r="B29" s="1" t="s">
        <v>88</v>
      </c>
    </row>
    <row r="30" spans="2:2" ht="16.5">
      <c r="B30" s="1" t="s">
        <v>393</v>
      </c>
    </row>
    <row r="31" spans="2:2" ht="16.5">
      <c r="B31" s="1" t="s">
        <v>394</v>
      </c>
    </row>
    <row r="32" spans="2:2" ht="16.5">
      <c r="B32" s="1" t="s">
        <v>395</v>
      </c>
    </row>
    <row r="33" spans="2:2" ht="16.5">
      <c r="B33" s="1" t="s">
        <v>396</v>
      </c>
    </row>
    <row r="34" spans="2:2" ht="16.5">
      <c r="B34" s="1" t="s">
        <v>397</v>
      </c>
    </row>
    <row r="35" spans="2:2" ht="16.5">
      <c r="B35" s="1" t="s">
        <v>398</v>
      </c>
    </row>
    <row r="36" spans="2:2" ht="16.5">
      <c r="B36" s="1" t="s">
        <v>399</v>
      </c>
    </row>
    <row r="37" spans="2:2" ht="16.5">
      <c r="B37" s="1" t="s">
        <v>84</v>
      </c>
    </row>
    <row r="38" spans="2:2" ht="16.5">
      <c r="B38" s="1" t="s">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S1" zoomScale="145" zoomScaleNormal="145" workbookViewId="0">
      <selection activeCell="T4" sqref="T4"/>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67" t="s">
        <v>401</v>
      </c>
      <c r="T1" s="167"/>
      <c r="U1" s="167"/>
      <c r="V1" s="167"/>
      <c r="W1" s="167"/>
      <c r="X1" s="167"/>
      <c r="Y1" s="167"/>
      <c r="Z1" s="167"/>
      <c r="AA1" s="167"/>
      <c r="AB1" s="167"/>
      <c r="AC1" s="167"/>
      <c r="AD1" s="167"/>
      <c r="AE1" s="167"/>
      <c r="AF1" s="167"/>
      <c r="AG1" s="167"/>
      <c r="AH1" s="14"/>
      <c r="AI1" s="14"/>
      <c r="AJ1" s="14"/>
      <c r="AK1" s="1"/>
      <c r="AL1" s="167" t="s">
        <v>402</v>
      </c>
      <c r="AM1" s="167"/>
      <c r="AN1" s="167"/>
      <c r="AO1" s="167"/>
      <c r="AP1" s="167"/>
      <c r="AQ1" s="167"/>
      <c r="AR1" s="14"/>
      <c r="AS1" s="14"/>
      <c r="AT1" s="167" t="s">
        <v>403</v>
      </c>
      <c r="AU1" s="167"/>
      <c r="AV1" s="167"/>
      <c r="AW1" s="167"/>
      <c r="AX1" s="167"/>
      <c r="AY1" s="167"/>
      <c r="AZ1" s="14"/>
      <c r="BA1" s="1"/>
      <c r="BB1" s="1"/>
      <c r="BC1" s="14"/>
    </row>
    <row r="2" spans="1:55">
      <c r="A2" s="1"/>
      <c r="B2" s="1"/>
      <c r="C2" s="1"/>
      <c r="D2" s="1"/>
      <c r="E2" s="1"/>
      <c r="F2" s="1"/>
      <c r="G2" s="1"/>
      <c r="H2" s="1"/>
      <c r="I2" s="1"/>
      <c r="J2" s="1"/>
      <c r="K2" s="1"/>
      <c r="L2" s="167" t="s">
        <v>404</v>
      </c>
      <c r="M2" s="167"/>
      <c r="N2" s="167"/>
      <c r="O2" s="167"/>
      <c r="P2" s="167"/>
      <c r="Q2" s="167"/>
      <c r="R2" s="1"/>
      <c r="S2" s="168" t="s">
        <v>405</v>
      </c>
      <c r="T2" s="169"/>
      <c r="U2" s="169"/>
      <c r="V2" s="169"/>
      <c r="W2" s="169"/>
      <c r="X2" s="170"/>
      <c r="Y2" s="171" t="s">
        <v>406</v>
      </c>
      <c r="Z2" s="172"/>
      <c r="AA2" s="172"/>
      <c r="AB2" s="173"/>
      <c r="AC2" s="171" t="s">
        <v>407</v>
      </c>
      <c r="AD2" s="172"/>
      <c r="AE2" s="172"/>
      <c r="AF2" s="172"/>
      <c r="AG2" s="174"/>
      <c r="AH2" s="14"/>
      <c r="AI2" s="14"/>
      <c r="AJ2" s="14"/>
      <c r="AK2" s="1"/>
      <c r="AL2" s="167"/>
      <c r="AM2" s="167"/>
      <c r="AN2" s="167"/>
      <c r="AO2" s="167"/>
      <c r="AP2" s="167"/>
      <c r="AQ2" s="167"/>
      <c r="AR2" s="14"/>
      <c r="AS2" s="14"/>
      <c r="AT2" s="14"/>
      <c r="AU2" s="14"/>
      <c r="AV2" s="14"/>
      <c r="AW2" s="14"/>
      <c r="AX2" s="14"/>
      <c r="AY2" s="14"/>
      <c r="AZ2" s="14"/>
      <c r="BA2" s="1"/>
      <c r="BB2" s="1"/>
      <c r="BC2" s="14"/>
    </row>
    <row r="3" spans="1:55">
      <c r="A3" s="1" t="s">
        <v>408</v>
      </c>
      <c r="B3" s="1"/>
      <c r="C3" s="1" t="s">
        <v>81</v>
      </c>
      <c r="D3" s="1" t="s">
        <v>409</v>
      </c>
      <c r="E3" s="1" t="s">
        <v>410</v>
      </c>
      <c r="F3" s="1"/>
      <c r="G3" s="1" t="s">
        <v>104</v>
      </c>
      <c r="H3" s="1" t="s">
        <v>411</v>
      </c>
      <c r="I3" s="1" t="s">
        <v>412</v>
      </c>
      <c r="J3" s="1"/>
      <c r="K3" s="1"/>
      <c r="L3" s="1" t="s">
        <v>413</v>
      </c>
      <c r="M3" s="1" t="s">
        <v>105</v>
      </c>
      <c r="N3" s="1" t="s">
        <v>414</v>
      </c>
      <c r="O3" s="1" t="s">
        <v>415</v>
      </c>
      <c r="P3" s="1" t="s">
        <v>416</v>
      </c>
      <c r="Q3" s="1" t="s">
        <v>417</v>
      </c>
      <c r="R3" s="1"/>
      <c r="S3" s="63" t="s">
        <v>418</v>
      </c>
      <c r="T3" s="1" t="s">
        <v>154</v>
      </c>
      <c r="U3" s="1" t="s">
        <v>419</v>
      </c>
      <c r="V3" s="1" t="s">
        <v>94</v>
      </c>
      <c r="W3" s="1" t="s">
        <v>83</v>
      </c>
      <c r="X3" s="1" t="s">
        <v>420</v>
      </c>
      <c r="Y3" s="63" t="s">
        <v>421</v>
      </c>
      <c r="Z3" s="1" t="s">
        <v>157</v>
      </c>
      <c r="AA3" s="1" t="s">
        <v>87</v>
      </c>
      <c r="AB3" s="1" t="s">
        <v>96</v>
      </c>
      <c r="AC3" s="63" t="s">
        <v>422</v>
      </c>
      <c r="AD3" s="1" t="s">
        <v>423</v>
      </c>
      <c r="AE3" s="1" t="s">
        <v>161</v>
      </c>
      <c r="AF3" s="1" t="s">
        <v>91</v>
      </c>
      <c r="AG3" s="64" t="s">
        <v>424</v>
      </c>
      <c r="AH3" s="1"/>
      <c r="AI3" s="1"/>
      <c r="AJ3" s="1"/>
      <c r="AK3" s="1"/>
      <c r="AL3" s="144" t="s">
        <v>425</v>
      </c>
      <c r="AM3" s="144"/>
      <c r="AN3" s="144"/>
      <c r="AO3" s="144" t="s">
        <v>426</v>
      </c>
      <c r="AP3" s="144"/>
      <c r="AQ3" s="144"/>
      <c r="AR3" s="15"/>
      <c r="AS3" s="15"/>
      <c r="AT3" s="15"/>
      <c r="AU3" s="15"/>
      <c r="AV3" s="15"/>
      <c r="AW3" s="15"/>
      <c r="AX3" s="15"/>
      <c r="AY3" s="15"/>
      <c r="AZ3" s="15"/>
      <c r="BA3" s="1"/>
      <c r="BB3" s="1"/>
      <c r="BC3" s="15"/>
    </row>
    <row r="4" spans="1:55">
      <c r="A4" s="1" t="s">
        <v>103</v>
      </c>
      <c r="B4" s="1"/>
      <c r="C4" s="1" t="s">
        <v>82</v>
      </c>
      <c r="D4" s="1" t="s">
        <v>427</v>
      </c>
      <c r="E4" s="1" t="s">
        <v>428</v>
      </c>
      <c r="F4" s="1"/>
      <c r="G4" s="1" t="s">
        <v>413</v>
      </c>
      <c r="H4" s="1" t="s">
        <v>413</v>
      </c>
      <c r="I4" s="1" t="s">
        <v>413</v>
      </c>
      <c r="J4" s="1"/>
      <c r="K4" s="1"/>
      <c r="L4" s="1" t="s">
        <v>429</v>
      </c>
      <c r="M4" s="1" t="s">
        <v>373</v>
      </c>
      <c r="N4" s="1" t="s">
        <v>158</v>
      </c>
      <c r="O4" s="1" t="s">
        <v>430</v>
      </c>
      <c r="P4" s="1" t="s">
        <v>431</v>
      </c>
      <c r="Q4" s="1" t="s">
        <v>432</v>
      </c>
      <c r="R4" s="1"/>
      <c r="S4" s="63" t="s">
        <v>429</v>
      </c>
      <c r="T4" s="1" t="s">
        <v>373</v>
      </c>
      <c r="U4" s="1" t="s">
        <v>158</v>
      </c>
      <c r="V4" s="1" t="s">
        <v>430</v>
      </c>
      <c r="W4" s="1" t="s">
        <v>431</v>
      </c>
      <c r="X4" s="1" t="s">
        <v>432</v>
      </c>
      <c r="Y4" s="63" t="s">
        <v>433</v>
      </c>
      <c r="Z4" s="1" t="s">
        <v>434</v>
      </c>
      <c r="AA4" s="1" t="s">
        <v>435</v>
      </c>
      <c r="AB4" s="1" t="s">
        <v>436</v>
      </c>
      <c r="AC4" s="63" t="s">
        <v>437</v>
      </c>
      <c r="AD4" s="1" t="s">
        <v>433</v>
      </c>
      <c r="AE4" s="1" t="s">
        <v>437</v>
      </c>
      <c r="AF4" s="1" t="s">
        <v>438</v>
      </c>
      <c r="AG4" s="64" t="s">
        <v>439</v>
      </c>
      <c r="AH4" s="1"/>
      <c r="AI4" s="1"/>
      <c r="AJ4" s="1"/>
      <c r="AK4" s="1"/>
      <c r="AL4" s="16" t="s">
        <v>440</v>
      </c>
      <c r="AM4" s="16" t="s">
        <v>441</v>
      </c>
      <c r="AN4" s="16" t="s">
        <v>442</v>
      </c>
      <c r="AO4" s="16" t="s">
        <v>443</v>
      </c>
      <c r="AP4" s="17" t="s">
        <v>444</v>
      </c>
      <c r="AQ4" s="16" t="s">
        <v>445</v>
      </c>
      <c r="AR4" s="15"/>
      <c r="AS4" s="15"/>
      <c r="AT4" s="1" t="s">
        <v>446</v>
      </c>
      <c r="AU4" s="1" t="s">
        <v>447</v>
      </c>
      <c r="AV4" s="1" t="s">
        <v>448</v>
      </c>
      <c r="AW4" s="1" t="s">
        <v>449</v>
      </c>
      <c r="AX4" s="1" t="s">
        <v>450</v>
      </c>
      <c r="AY4" s="1" t="s">
        <v>451</v>
      </c>
      <c r="AZ4" s="15"/>
      <c r="BA4" s="1"/>
      <c r="BB4" s="1"/>
      <c r="BC4" s="15"/>
    </row>
    <row r="5" spans="1:55">
      <c r="A5" s="1" t="s">
        <v>81</v>
      </c>
      <c r="B5" s="1"/>
      <c r="C5" s="1" t="s">
        <v>86</v>
      </c>
      <c r="D5" s="1" t="s">
        <v>452</v>
      </c>
      <c r="E5" s="1" t="s">
        <v>453</v>
      </c>
      <c r="F5" s="1"/>
      <c r="G5" s="1" t="s">
        <v>105</v>
      </c>
      <c r="H5" s="1" t="s">
        <v>105</v>
      </c>
      <c r="I5" s="1" t="s">
        <v>105</v>
      </c>
      <c r="J5" s="1"/>
      <c r="K5" s="1"/>
      <c r="L5" s="1" t="s">
        <v>454</v>
      </c>
      <c r="M5" s="1" t="s">
        <v>455</v>
      </c>
      <c r="N5" s="1" t="s">
        <v>456</v>
      </c>
      <c r="O5" s="1" t="s">
        <v>59</v>
      </c>
      <c r="P5" s="1" t="s">
        <v>370</v>
      </c>
      <c r="Q5" s="1" t="s">
        <v>457</v>
      </c>
      <c r="R5" s="1"/>
      <c r="S5" s="63" t="s">
        <v>454</v>
      </c>
      <c r="T5" s="1" t="s">
        <v>455</v>
      </c>
      <c r="U5" s="1" t="s">
        <v>456</v>
      </c>
      <c r="V5" s="1" t="s">
        <v>59</v>
      </c>
      <c r="W5" s="1" t="s">
        <v>370</v>
      </c>
      <c r="X5" s="1" t="s">
        <v>457</v>
      </c>
      <c r="Y5" s="63" t="s">
        <v>431</v>
      </c>
      <c r="Z5" s="1" t="s">
        <v>430</v>
      </c>
      <c r="AA5" s="1" t="s">
        <v>458</v>
      </c>
      <c r="AB5" s="1" t="s">
        <v>459</v>
      </c>
      <c r="AC5" s="63" t="s">
        <v>460</v>
      </c>
      <c r="AD5" s="1" t="s">
        <v>461</v>
      </c>
      <c r="AE5" s="65" t="s">
        <v>462</v>
      </c>
      <c r="AF5" s="1" t="s">
        <v>463</v>
      </c>
      <c r="AG5" s="64" t="s">
        <v>464</v>
      </c>
      <c r="AH5" s="1"/>
      <c r="AI5" s="1"/>
      <c r="AJ5" s="1"/>
      <c r="AK5" s="1"/>
      <c r="AL5" s="18" t="s">
        <v>465</v>
      </c>
      <c r="AM5" s="18" t="s">
        <v>466</v>
      </c>
      <c r="AN5" s="18" t="s">
        <v>458</v>
      </c>
      <c r="AO5" s="18" t="s">
        <v>467</v>
      </c>
      <c r="AP5" s="18" t="s">
        <v>431</v>
      </c>
      <c r="AQ5" s="18" t="s">
        <v>379</v>
      </c>
      <c r="AR5" s="18"/>
      <c r="AS5" s="18"/>
      <c r="AT5" s="19" t="s">
        <v>465</v>
      </c>
      <c r="AU5" s="20" t="s">
        <v>373</v>
      </c>
      <c r="AV5" s="19" t="s">
        <v>467</v>
      </c>
      <c r="AW5" s="19" t="s">
        <v>458</v>
      </c>
      <c r="AX5" s="20" t="s">
        <v>437</v>
      </c>
      <c r="AY5" s="20" t="s">
        <v>437</v>
      </c>
      <c r="AZ5" s="18"/>
      <c r="BA5" s="1"/>
      <c r="BB5" s="1"/>
      <c r="BC5" s="18"/>
    </row>
    <row r="6" spans="1:55">
      <c r="A6" s="1" t="s">
        <v>409</v>
      </c>
      <c r="B6" s="1"/>
      <c r="C6" s="1" t="s">
        <v>90</v>
      </c>
      <c r="D6" s="1" t="s">
        <v>468</v>
      </c>
      <c r="E6" s="1" t="s">
        <v>469</v>
      </c>
      <c r="F6" s="1"/>
      <c r="G6" s="1" t="s">
        <v>414</v>
      </c>
      <c r="H6" s="1" t="s">
        <v>414</v>
      </c>
      <c r="I6" s="1" t="s">
        <v>414</v>
      </c>
      <c r="J6" s="1"/>
      <c r="K6" s="1"/>
      <c r="L6" s="1" t="s">
        <v>470</v>
      </c>
      <c r="M6" s="1" t="s">
        <v>471</v>
      </c>
      <c r="N6" s="1" t="s">
        <v>472</v>
      </c>
      <c r="O6" s="1" t="s">
        <v>473</v>
      </c>
      <c r="P6" s="1" t="s">
        <v>436</v>
      </c>
      <c r="Q6" s="1" t="s">
        <v>474</v>
      </c>
      <c r="R6" s="1"/>
      <c r="S6" s="63" t="s">
        <v>470</v>
      </c>
      <c r="T6" s="1" t="s">
        <v>471</v>
      </c>
      <c r="U6" s="1" t="s">
        <v>472</v>
      </c>
      <c r="V6" s="1" t="s">
        <v>473</v>
      </c>
      <c r="W6" s="1" t="s">
        <v>436</v>
      </c>
      <c r="X6" s="1" t="s">
        <v>474</v>
      </c>
      <c r="Y6" s="63" t="s">
        <v>475</v>
      </c>
      <c r="Z6" s="1" t="s">
        <v>475</v>
      </c>
      <c r="AA6" s="1" t="s">
        <v>431</v>
      </c>
      <c r="AB6" s="1" t="s">
        <v>466</v>
      </c>
      <c r="AC6" s="63" t="s">
        <v>476</v>
      </c>
      <c r="AD6" s="1" t="s">
        <v>465</v>
      </c>
      <c r="AE6" s="1" t="s">
        <v>465</v>
      </c>
      <c r="AF6" s="1" t="s">
        <v>436</v>
      </c>
      <c r="AG6" s="64" t="s">
        <v>477</v>
      </c>
      <c r="AH6" s="1"/>
      <c r="AI6" s="1"/>
      <c r="AJ6" s="1"/>
      <c r="AK6" s="1"/>
      <c r="AL6" s="18" t="s">
        <v>470</v>
      </c>
      <c r="AM6" s="18" t="s">
        <v>478</v>
      </c>
      <c r="AN6" s="18" t="s">
        <v>467</v>
      </c>
      <c r="AO6" s="18" t="s">
        <v>430</v>
      </c>
      <c r="AP6" s="18" t="s">
        <v>479</v>
      </c>
      <c r="AQ6" s="18" t="s">
        <v>480</v>
      </c>
      <c r="AR6" s="18"/>
      <c r="AS6" s="18"/>
      <c r="AT6" s="21" t="s">
        <v>470</v>
      </c>
      <c r="AU6" s="22" t="s">
        <v>455</v>
      </c>
      <c r="AV6" s="20" t="s">
        <v>430</v>
      </c>
      <c r="AW6" s="21" t="s">
        <v>467</v>
      </c>
      <c r="AX6" s="22" t="s">
        <v>438</v>
      </c>
      <c r="AY6" s="20" t="s">
        <v>462</v>
      </c>
      <c r="AZ6" s="18"/>
      <c r="BA6" s="1"/>
      <c r="BB6" s="1"/>
      <c r="BC6" s="18"/>
    </row>
    <row r="7" spans="1:55">
      <c r="A7" s="1" t="s">
        <v>410</v>
      </c>
      <c r="B7" s="1"/>
      <c r="C7" s="1"/>
      <c r="D7" s="1" t="s">
        <v>481</v>
      </c>
      <c r="E7" s="1"/>
      <c r="F7" s="1"/>
      <c r="G7" s="1" t="s">
        <v>415</v>
      </c>
      <c r="H7" s="1" t="s">
        <v>415</v>
      </c>
      <c r="I7" s="1" t="s">
        <v>415</v>
      </c>
      <c r="J7" s="1"/>
      <c r="K7" s="1"/>
      <c r="L7" s="1" t="s">
        <v>482</v>
      </c>
      <c r="M7" s="1" t="s">
        <v>374</v>
      </c>
      <c r="N7" s="1" t="s">
        <v>483</v>
      </c>
      <c r="O7" s="1" t="s">
        <v>484</v>
      </c>
      <c r="P7" s="1" t="s">
        <v>436</v>
      </c>
      <c r="Q7" s="1" t="s">
        <v>485</v>
      </c>
      <c r="R7" s="1"/>
      <c r="S7" s="63" t="s">
        <v>482</v>
      </c>
      <c r="T7" s="1" t="s">
        <v>374</v>
      </c>
      <c r="U7" s="1" t="s">
        <v>483</v>
      </c>
      <c r="V7" s="1" t="s">
        <v>484</v>
      </c>
      <c r="W7" s="1" t="s">
        <v>436</v>
      </c>
      <c r="X7" s="1" t="s">
        <v>485</v>
      </c>
      <c r="Y7" s="63" t="s">
        <v>485</v>
      </c>
      <c r="Z7" s="1" t="s">
        <v>486</v>
      </c>
      <c r="AA7" s="1" t="s">
        <v>475</v>
      </c>
      <c r="AB7" s="1" t="s">
        <v>487</v>
      </c>
      <c r="AC7" s="63" t="s">
        <v>158</v>
      </c>
      <c r="AD7" s="1" t="s">
        <v>488</v>
      </c>
      <c r="AE7" s="1" t="s">
        <v>489</v>
      </c>
      <c r="AF7" s="1" t="s">
        <v>490</v>
      </c>
      <c r="AG7" s="64" t="s">
        <v>491</v>
      </c>
      <c r="AH7" s="1"/>
      <c r="AI7" s="1"/>
      <c r="AJ7" s="1"/>
      <c r="AK7" s="1"/>
      <c r="AL7" s="18" t="s">
        <v>492</v>
      </c>
      <c r="AM7" s="18" t="s">
        <v>493</v>
      </c>
      <c r="AN7" s="18" t="s">
        <v>473</v>
      </c>
      <c r="AO7" s="18" t="s">
        <v>494</v>
      </c>
      <c r="AP7" s="18" t="s">
        <v>477</v>
      </c>
      <c r="AQ7" s="18" t="s">
        <v>495</v>
      </c>
      <c r="AR7" s="18"/>
      <c r="AS7" s="18"/>
      <c r="AT7" s="19" t="s">
        <v>492</v>
      </c>
      <c r="AU7" s="1" t="s">
        <v>466</v>
      </c>
      <c r="AV7" s="22" t="s">
        <v>59</v>
      </c>
      <c r="AW7" s="20" t="s">
        <v>158</v>
      </c>
      <c r="AX7" s="20" t="s">
        <v>462</v>
      </c>
      <c r="AY7" s="20" t="s">
        <v>464</v>
      </c>
      <c r="AZ7" s="18"/>
      <c r="BA7" s="1"/>
      <c r="BB7" s="1"/>
      <c r="BC7" s="18"/>
    </row>
    <row r="8" spans="1:55">
      <c r="A8" s="1"/>
      <c r="B8" s="1"/>
      <c r="C8" s="1"/>
      <c r="D8" s="1"/>
      <c r="E8" s="1"/>
      <c r="F8" s="1"/>
      <c r="G8" s="1" t="s">
        <v>416</v>
      </c>
      <c r="H8" s="1" t="s">
        <v>416</v>
      </c>
      <c r="I8" s="1" t="s">
        <v>416</v>
      </c>
      <c r="J8" s="1"/>
      <c r="K8" s="1"/>
      <c r="L8" s="1" t="s">
        <v>496</v>
      </c>
      <c r="M8" s="1" t="s">
        <v>497</v>
      </c>
      <c r="N8" s="1" t="s">
        <v>375</v>
      </c>
      <c r="O8" s="1" t="s">
        <v>478</v>
      </c>
      <c r="P8" s="1" t="s">
        <v>99</v>
      </c>
      <c r="Q8" s="1" t="s">
        <v>498</v>
      </c>
      <c r="R8" s="1"/>
      <c r="S8" s="63" t="s">
        <v>496</v>
      </c>
      <c r="T8" s="1" t="s">
        <v>497</v>
      </c>
      <c r="U8" s="1" t="s">
        <v>375</v>
      </c>
      <c r="V8" s="1" t="s">
        <v>478</v>
      </c>
      <c r="W8" s="1" t="s">
        <v>99</v>
      </c>
      <c r="X8" s="1" t="s">
        <v>498</v>
      </c>
      <c r="Y8" s="63" t="s">
        <v>59</v>
      </c>
      <c r="Z8" s="1" t="s">
        <v>158</v>
      </c>
      <c r="AA8" s="1" t="s">
        <v>499</v>
      </c>
      <c r="AB8" s="1" t="s">
        <v>500</v>
      </c>
      <c r="AC8" s="63" t="s">
        <v>501</v>
      </c>
      <c r="AD8" s="65" t="s">
        <v>371</v>
      </c>
      <c r="AE8" s="1" t="s">
        <v>502</v>
      </c>
      <c r="AF8" s="1" t="s">
        <v>503</v>
      </c>
      <c r="AG8" s="64" t="s">
        <v>484</v>
      </c>
      <c r="AH8" s="1"/>
      <c r="AI8" s="1"/>
      <c r="AJ8" s="1"/>
      <c r="AK8" s="1"/>
      <c r="AL8" s="18" t="s">
        <v>496</v>
      </c>
      <c r="AM8" s="18" t="s">
        <v>504</v>
      </c>
      <c r="AN8" s="18" t="s">
        <v>484</v>
      </c>
      <c r="AO8" s="18" t="s">
        <v>505</v>
      </c>
      <c r="AP8" s="18" t="s">
        <v>506</v>
      </c>
      <c r="AQ8" s="18" t="s">
        <v>507</v>
      </c>
      <c r="AR8" s="18"/>
      <c r="AS8" s="18"/>
      <c r="AT8" s="21" t="s">
        <v>496</v>
      </c>
      <c r="AU8" s="20" t="s">
        <v>471</v>
      </c>
      <c r="AV8" s="20" t="s">
        <v>158</v>
      </c>
      <c r="AW8" s="19" t="s">
        <v>473</v>
      </c>
      <c r="AX8" s="22" t="s">
        <v>464</v>
      </c>
      <c r="AY8" s="20" t="s">
        <v>489</v>
      </c>
      <c r="AZ8" s="18"/>
      <c r="BA8" s="1"/>
      <c r="BB8" s="1"/>
      <c r="BC8" s="18"/>
    </row>
    <row r="9" spans="1:55">
      <c r="A9" s="1"/>
      <c r="B9" s="1"/>
      <c r="C9" s="1"/>
      <c r="D9" s="1"/>
      <c r="E9" s="1"/>
      <c r="F9" s="1"/>
      <c r="G9" s="1" t="s">
        <v>417</v>
      </c>
      <c r="H9" s="1" t="s">
        <v>417</v>
      </c>
      <c r="I9" s="1" t="s">
        <v>417</v>
      </c>
      <c r="J9" s="1"/>
      <c r="K9" s="1"/>
      <c r="L9" s="1" t="s">
        <v>378</v>
      </c>
      <c r="M9" s="1" t="s">
        <v>508</v>
      </c>
      <c r="N9" s="1" t="s">
        <v>509</v>
      </c>
      <c r="O9" s="1" t="s">
        <v>503</v>
      </c>
      <c r="P9" s="1" t="s">
        <v>510</v>
      </c>
      <c r="Q9" s="1" t="s">
        <v>371</v>
      </c>
      <c r="R9" s="1"/>
      <c r="S9" s="63" t="s">
        <v>378</v>
      </c>
      <c r="T9" s="1" t="s">
        <v>508</v>
      </c>
      <c r="U9" s="65" t="s">
        <v>509</v>
      </c>
      <c r="V9" s="1" t="s">
        <v>503</v>
      </c>
      <c r="W9" s="1" t="s">
        <v>510</v>
      </c>
      <c r="X9" s="1" t="s">
        <v>371</v>
      </c>
      <c r="Y9" s="63" t="s">
        <v>158</v>
      </c>
      <c r="Z9" s="1" t="s">
        <v>436</v>
      </c>
      <c r="AA9" s="1" t="s">
        <v>511</v>
      </c>
      <c r="AB9" s="1" t="s">
        <v>483</v>
      </c>
      <c r="AC9" s="63" t="s">
        <v>501</v>
      </c>
      <c r="AD9" s="1" t="s">
        <v>512</v>
      </c>
      <c r="AE9" s="1" t="s">
        <v>513</v>
      </c>
      <c r="AF9" s="1" t="s">
        <v>514</v>
      </c>
      <c r="AG9" s="64" t="s">
        <v>515</v>
      </c>
      <c r="AH9" s="1"/>
      <c r="AI9" s="1"/>
      <c r="AJ9" s="1"/>
      <c r="AK9" s="1"/>
      <c r="AL9" s="18" t="s">
        <v>378</v>
      </c>
      <c r="AM9" s="18" t="s">
        <v>516</v>
      </c>
      <c r="AN9" s="18" t="s">
        <v>490</v>
      </c>
      <c r="AO9" s="18" t="s">
        <v>484</v>
      </c>
      <c r="AP9" s="18" t="s">
        <v>517</v>
      </c>
      <c r="AQ9" s="18" t="s">
        <v>518</v>
      </c>
      <c r="AR9" s="18"/>
      <c r="AS9" s="18"/>
      <c r="AT9" s="19" t="s">
        <v>378</v>
      </c>
      <c r="AU9" s="21" t="s">
        <v>478</v>
      </c>
      <c r="AV9" s="20" t="s">
        <v>494</v>
      </c>
      <c r="AW9" s="22" t="s">
        <v>456</v>
      </c>
      <c r="AX9" s="22" t="s">
        <v>465</v>
      </c>
      <c r="AY9" s="22" t="s">
        <v>502</v>
      </c>
      <c r="AZ9" s="18"/>
      <c r="BA9" s="1"/>
      <c r="BB9" s="1"/>
      <c r="BC9" s="18"/>
    </row>
    <row r="10" spans="1:55">
      <c r="A10" s="1"/>
      <c r="B10" s="1"/>
      <c r="C10" s="1"/>
      <c r="D10" s="1"/>
      <c r="E10" s="1"/>
      <c r="F10" s="1"/>
      <c r="G10" s="1"/>
      <c r="H10" s="1"/>
      <c r="I10" s="1"/>
      <c r="J10" s="1"/>
      <c r="K10" s="1"/>
      <c r="L10" s="1" t="s">
        <v>519</v>
      </c>
      <c r="M10" s="1" t="s">
        <v>520</v>
      </c>
      <c r="N10" s="1" t="s">
        <v>504</v>
      </c>
      <c r="O10" s="1" t="s">
        <v>493</v>
      </c>
      <c r="P10" s="1" t="s">
        <v>473</v>
      </c>
      <c r="Q10" s="1" t="s">
        <v>372</v>
      </c>
      <c r="R10" s="1"/>
      <c r="S10" s="63" t="s">
        <v>519</v>
      </c>
      <c r="T10" s="1" t="s">
        <v>520</v>
      </c>
      <c r="U10" s="1" t="s">
        <v>504</v>
      </c>
      <c r="V10" s="1" t="s">
        <v>493</v>
      </c>
      <c r="W10" s="1" t="s">
        <v>473</v>
      </c>
      <c r="X10" s="1" t="s">
        <v>372</v>
      </c>
      <c r="Y10" s="63" t="s">
        <v>521</v>
      </c>
      <c r="Z10" s="1" t="s">
        <v>500</v>
      </c>
      <c r="AA10" s="1" t="s">
        <v>500</v>
      </c>
      <c r="AB10" s="1" t="s">
        <v>375</v>
      </c>
      <c r="AC10" s="63" t="s">
        <v>522</v>
      </c>
      <c r="AD10" s="1" t="s">
        <v>466</v>
      </c>
      <c r="AE10" s="1" t="s">
        <v>477</v>
      </c>
      <c r="AF10" s="1" t="s">
        <v>523</v>
      </c>
      <c r="AG10" s="64" t="s">
        <v>524</v>
      </c>
      <c r="AH10" s="1"/>
      <c r="AI10" s="1"/>
      <c r="AJ10" s="1"/>
      <c r="AK10" s="1"/>
      <c r="AL10" s="18" t="s">
        <v>519</v>
      </c>
      <c r="AM10" s="18" t="s">
        <v>525</v>
      </c>
      <c r="AN10" s="18" t="s">
        <v>526</v>
      </c>
      <c r="AO10" s="18" t="s">
        <v>527</v>
      </c>
      <c r="AP10" s="18" t="s">
        <v>472</v>
      </c>
      <c r="AQ10" s="18" t="s">
        <v>389</v>
      </c>
      <c r="AR10" s="18"/>
      <c r="AS10" s="18"/>
      <c r="AT10" s="21" t="s">
        <v>519</v>
      </c>
      <c r="AU10" s="22" t="s">
        <v>374</v>
      </c>
      <c r="AV10" s="22" t="s">
        <v>505</v>
      </c>
      <c r="AW10" s="21" t="s">
        <v>484</v>
      </c>
      <c r="AX10" s="22" t="s">
        <v>489</v>
      </c>
      <c r="AY10" s="20" t="s">
        <v>513</v>
      </c>
      <c r="AZ10" s="18"/>
      <c r="BA10" s="1"/>
      <c r="BB10" s="1"/>
      <c r="BC10" s="18"/>
    </row>
    <row r="11" spans="1:55">
      <c r="A11" s="1"/>
      <c r="B11" s="1"/>
      <c r="C11" s="1"/>
      <c r="D11" s="1"/>
      <c r="E11" s="1"/>
      <c r="F11" s="1"/>
      <c r="G11" s="1" t="s">
        <v>427</v>
      </c>
      <c r="H11" s="1" t="s">
        <v>452</v>
      </c>
      <c r="I11" s="1" t="s">
        <v>528</v>
      </c>
      <c r="J11" s="1" t="s">
        <v>481</v>
      </c>
      <c r="K11" s="1"/>
      <c r="L11" s="1" t="s">
        <v>504</v>
      </c>
      <c r="M11" s="1" t="s">
        <v>529</v>
      </c>
      <c r="N11" s="1" t="s">
        <v>530</v>
      </c>
      <c r="O11" s="1" t="s">
        <v>508</v>
      </c>
      <c r="P11" s="1" t="s">
        <v>483</v>
      </c>
      <c r="Q11" s="1" t="s">
        <v>531</v>
      </c>
      <c r="R11" s="1"/>
      <c r="S11" s="63" t="s">
        <v>504</v>
      </c>
      <c r="T11" s="1" t="s">
        <v>529</v>
      </c>
      <c r="U11" s="1" t="s">
        <v>530</v>
      </c>
      <c r="V11" s="1" t="s">
        <v>508</v>
      </c>
      <c r="W11" s="1" t="s">
        <v>483</v>
      </c>
      <c r="X11" s="1" t="s">
        <v>531</v>
      </c>
      <c r="Y11" s="63" t="s">
        <v>436</v>
      </c>
      <c r="Z11" s="1" t="s">
        <v>375</v>
      </c>
      <c r="AA11" s="1" t="s">
        <v>532</v>
      </c>
      <c r="AB11" s="1" t="s">
        <v>533</v>
      </c>
      <c r="AC11" s="73" t="s">
        <v>491</v>
      </c>
      <c r="AD11" s="1" t="s">
        <v>515</v>
      </c>
      <c r="AE11" s="1" t="s">
        <v>501</v>
      </c>
      <c r="AF11" s="66" t="s">
        <v>378</v>
      </c>
      <c r="AG11" s="64" t="s">
        <v>534</v>
      </c>
      <c r="AH11" s="1"/>
      <c r="AI11" s="1"/>
      <c r="AJ11" s="1"/>
      <c r="AK11" s="1"/>
      <c r="AL11" s="18" t="s">
        <v>535</v>
      </c>
      <c r="AM11" s="18" t="s">
        <v>536</v>
      </c>
      <c r="AN11" s="18" t="s">
        <v>504</v>
      </c>
      <c r="AO11" s="18" t="s">
        <v>478</v>
      </c>
      <c r="AP11" s="18" t="s">
        <v>478</v>
      </c>
      <c r="AQ11" s="18" t="s">
        <v>537</v>
      </c>
      <c r="AR11" s="18"/>
      <c r="AS11" s="18"/>
      <c r="AT11" s="19" t="s">
        <v>535</v>
      </c>
      <c r="AU11" s="19" t="s">
        <v>493</v>
      </c>
      <c r="AV11" s="20" t="s">
        <v>473</v>
      </c>
      <c r="AW11" s="20" t="s">
        <v>472</v>
      </c>
      <c r="AX11" s="22" t="s">
        <v>502</v>
      </c>
      <c r="AY11" s="20" t="s">
        <v>463</v>
      </c>
      <c r="AZ11" s="18"/>
      <c r="BA11" s="1"/>
      <c r="BB11" s="1"/>
      <c r="BC11" s="18"/>
    </row>
    <row r="12" spans="1:55">
      <c r="A12" s="1"/>
      <c r="B12" s="1"/>
      <c r="C12" s="1"/>
      <c r="D12" s="1"/>
      <c r="E12" s="1"/>
      <c r="F12" s="1"/>
      <c r="G12" s="1" t="s">
        <v>440</v>
      </c>
      <c r="H12" s="1" t="s">
        <v>440</v>
      </c>
      <c r="I12" s="1" t="s">
        <v>440</v>
      </c>
      <c r="J12" s="1" t="s">
        <v>440</v>
      </c>
      <c r="K12" s="1"/>
      <c r="L12" s="1" t="s">
        <v>538</v>
      </c>
      <c r="M12" s="1" t="s">
        <v>538</v>
      </c>
      <c r="N12" s="1" t="s">
        <v>539</v>
      </c>
      <c r="O12" s="1" t="s">
        <v>514</v>
      </c>
      <c r="P12" s="1" t="s">
        <v>540</v>
      </c>
      <c r="Q12" s="1" t="s">
        <v>473</v>
      </c>
      <c r="R12" s="1"/>
      <c r="S12" s="63" t="s">
        <v>538</v>
      </c>
      <c r="T12" s="1" t="s">
        <v>538</v>
      </c>
      <c r="U12" s="1" t="s">
        <v>539</v>
      </c>
      <c r="V12" s="1" t="s">
        <v>514</v>
      </c>
      <c r="W12" s="1" t="s">
        <v>540</v>
      </c>
      <c r="X12" s="1" t="s">
        <v>473</v>
      </c>
      <c r="Y12" s="63" t="s">
        <v>371</v>
      </c>
      <c r="Z12" s="1" t="s">
        <v>541</v>
      </c>
      <c r="AA12" s="1" t="s">
        <v>542</v>
      </c>
      <c r="AB12" s="1" t="s">
        <v>543</v>
      </c>
      <c r="AC12" s="63" t="s">
        <v>466</v>
      </c>
      <c r="AD12" s="1" t="s">
        <v>374</v>
      </c>
      <c r="AE12" s="1" t="s">
        <v>488</v>
      </c>
      <c r="AF12" s="66" t="s">
        <v>544</v>
      </c>
      <c r="AG12" s="64" t="s">
        <v>375</v>
      </c>
      <c r="AH12" s="1"/>
      <c r="AI12" s="1"/>
      <c r="AJ12" s="1"/>
      <c r="AK12" s="1"/>
      <c r="AL12" s="18" t="s">
        <v>545</v>
      </c>
      <c r="AM12" s="18" t="s">
        <v>546</v>
      </c>
      <c r="AN12" s="18" t="s">
        <v>379</v>
      </c>
      <c r="AO12" s="18" t="s">
        <v>547</v>
      </c>
      <c r="AP12" s="18" t="s">
        <v>548</v>
      </c>
      <c r="AQ12" s="18" t="s">
        <v>549</v>
      </c>
      <c r="AR12" s="18"/>
      <c r="AS12" s="18"/>
      <c r="AT12" s="21" t="s">
        <v>545</v>
      </c>
      <c r="AU12" s="20" t="s">
        <v>497</v>
      </c>
      <c r="AV12" s="22" t="s">
        <v>456</v>
      </c>
      <c r="AW12" s="22" t="s">
        <v>483</v>
      </c>
      <c r="AX12" s="20" t="s">
        <v>513</v>
      </c>
      <c r="AY12" s="22" t="s">
        <v>501</v>
      </c>
      <c r="AZ12" s="18"/>
      <c r="BA12" s="1"/>
      <c r="BB12" s="1"/>
      <c r="BC12" s="18"/>
    </row>
    <row r="13" spans="1:55">
      <c r="A13" s="1"/>
      <c r="B13" s="1"/>
      <c r="C13" s="1"/>
      <c r="D13" s="1"/>
      <c r="E13" s="1"/>
      <c r="F13" s="1"/>
      <c r="G13" s="1" t="s">
        <v>441</v>
      </c>
      <c r="H13" s="1" t="s">
        <v>441</v>
      </c>
      <c r="I13" s="1" t="s">
        <v>441</v>
      </c>
      <c r="J13" s="1" t="s">
        <v>441</v>
      </c>
      <c r="K13" s="1"/>
      <c r="L13" s="1" t="s">
        <v>545</v>
      </c>
      <c r="M13" s="1" t="s">
        <v>544</v>
      </c>
      <c r="N13" s="1" t="s">
        <v>550</v>
      </c>
      <c r="O13" s="1" t="s">
        <v>529</v>
      </c>
      <c r="P13" s="1" t="s">
        <v>551</v>
      </c>
      <c r="Q13" s="1" t="s">
        <v>552</v>
      </c>
      <c r="R13" s="1"/>
      <c r="S13" s="63" t="s">
        <v>545</v>
      </c>
      <c r="T13" s="1" t="s">
        <v>544</v>
      </c>
      <c r="U13" s="1" t="s">
        <v>550</v>
      </c>
      <c r="V13" s="1" t="s">
        <v>529</v>
      </c>
      <c r="W13" s="1" t="s">
        <v>551</v>
      </c>
      <c r="X13" s="1" t="s">
        <v>552</v>
      </c>
      <c r="Y13" s="63" t="s">
        <v>553</v>
      </c>
      <c r="Z13" s="1" t="s">
        <v>539</v>
      </c>
      <c r="AA13" s="1" t="s">
        <v>554</v>
      </c>
      <c r="AB13" s="1" t="s">
        <v>555</v>
      </c>
      <c r="AC13" s="63" t="s">
        <v>375</v>
      </c>
      <c r="AD13" s="1" t="s">
        <v>376</v>
      </c>
      <c r="AE13" s="1" t="s">
        <v>556</v>
      </c>
      <c r="AF13" s="66" t="s">
        <v>530</v>
      </c>
      <c r="AG13" s="64" t="s">
        <v>557</v>
      </c>
      <c r="AH13" s="1"/>
      <c r="AI13" s="1"/>
      <c r="AJ13" s="1"/>
      <c r="AK13" s="1"/>
      <c r="AL13" s="18" t="s">
        <v>558</v>
      </c>
      <c r="AM13" s="18" t="s">
        <v>559</v>
      </c>
      <c r="AN13" s="18" t="s">
        <v>560</v>
      </c>
      <c r="AO13" s="18" t="s">
        <v>561</v>
      </c>
      <c r="AP13" s="18" t="s">
        <v>483</v>
      </c>
      <c r="AQ13" s="18" t="s">
        <v>562</v>
      </c>
      <c r="AR13" s="18"/>
      <c r="AS13" s="18"/>
      <c r="AT13" s="19" t="s">
        <v>558</v>
      </c>
      <c r="AU13" s="22" t="s">
        <v>508</v>
      </c>
      <c r="AV13" s="22" t="s">
        <v>484</v>
      </c>
      <c r="AW13" s="20" t="s">
        <v>375</v>
      </c>
      <c r="AX13" s="22" t="s">
        <v>463</v>
      </c>
      <c r="AY13" s="20" t="s">
        <v>488</v>
      </c>
      <c r="AZ13" s="18"/>
      <c r="BA13" s="1"/>
      <c r="BB13" s="1"/>
      <c r="BC13" s="18"/>
    </row>
    <row r="14" spans="1:55">
      <c r="A14" s="1"/>
      <c r="B14" s="1"/>
      <c r="C14" s="1"/>
      <c r="D14" s="1"/>
      <c r="E14" s="1"/>
      <c r="F14" s="1"/>
      <c r="G14" s="1" t="s">
        <v>442</v>
      </c>
      <c r="H14" s="1" t="s">
        <v>442</v>
      </c>
      <c r="I14" s="1" t="s">
        <v>442</v>
      </c>
      <c r="J14" s="1" t="s">
        <v>442</v>
      </c>
      <c r="K14" s="1"/>
      <c r="L14" s="1" t="s">
        <v>563</v>
      </c>
      <c r="M14" s="1" t="s">
        <v>539</v>
      </c>
      <c r="N14" s="1" t="s">
        <v>56</v>
      </c>
      <c r="O14" s="1" t="s">
        <v>564</v>
      </c>
      <c r="P14" s="1" t="s">
        <v>490</v>
      </c>
      <c r="Q14" s="1" t="s">
        <v>565</v>
      </c>
      <c r="R14" s="1"/>
      <c r="S14" s="63" t="s">
        <v>563</v>
      </c>
      <c r="T14" s="1" t="s">
        <v>539</v>
      </c>
      <c r="U14" s="76" t="s">
        <v>56</v>
      </c>
      <c r="V14" s="1" t="s">
        <v>564</v>
      </c>
      <c r="W14" s="1" t="s">
        <v>490</v>
      </c>
      <c r="X14" s="1" t="s">
        <v>565</v>
      </c>
      <c r="Y14" s="63" t="s">
        <v>517</v>
      </c>
      <c r="Z14" s="1" t="s">
        <v>566</v>
      </c>
      <c r="AA14" s="1" t="s">
        <v>567</v>
      </c>
      <c r="AB14" s="1" t="s">
        <v>566</v>
      </c>
      <c r="AC14" s="63" t="s">
        <v>554</v>
      </c>
      <c r="AD14" s="1" t="s">
        <v>568</v>
      </c>
      <c r="AE14" s="1" t="s">
        <v>569</v>
      </c>
      <c r="AF14" s="1" t="s">
        <v>570</v>
      </c>
      <c r="AG14" s="64" t="s">
        <v>571</v>
      </c>
      <c r="AH14" s="1"/>
      <c r="AI14" s="1"/>
      <c r="AJ14" s="1"/>
      <c r="AK14" s="1"/>
      <c r="AL14" s="18" t="s">
        <v>572</v>
      </c>
      <c r="AM14" s="18" t="s">
        <v>573</v>
      </c>
      <c r="AN14" s="18" t="s">
        <v>545</v>
      </c>
      <c r="AO14" s="18" t="s">
        <v>574</v>
      </c>
      <c r="AP14" s="18" t="s">
        <v>509</v>
      </c>
      <c r="AQ14" s="18" t="s">
        <v>575</v>
      </c>
      <c r="AR14" s="18"/>
      <c r="AS14" s="18"/>
      <c r="AT14" s="21" t="s">
        <v>572</v>
      </c>
      <c r="AU14" s="20" t="s">
        <v>520</v>
      </c>
      <c r="AV14" s="21" t="s">
        <v>527</v>
      </c>
      <c r="AW14" s="19" t="s">
        <v>490</v>
      </c>
      <c r="AX14" s="22" t="s">
        <v>477</v>
      </c>
      <c r="AY14" s="20" t="s">
        <v>556</v>
      </c>
      <c r="AZ14" s="18"/>
      <c r="BA14" s="1"/>
      <c r="BB14" s="1"/>
      <c r="BC14" s="18"/>
    </row>
    <row r="15" spans="1:55">
      <c r="A15" s="1"/>
      <c r="B15" s="1"/>
      <c r="C15" s="1"/>
      <c r="D15" s="1"/>
      <c r="E15" s="1"/>
      <c r="F15" s="1"/>
      <c r="G15" s="1" t="s">
        <v>443</v>
      </c>
      <c r="H15" s="1" t="s">
        <v>443</v>
      </c>
      <c r="I15" s="1" t="s">
        <v>443</v>
      </c>
      <c r="J15" s="1" t="s">
        <v>443</v>
      </c>
      <c r="K15" s="1"/>
      <c r="L15" s="1" t="s">
        <v>558</v>
      </c>
      <c r="M15" s="1" t="s">
        <v>516</v>
      </c>
      <c r="N15" s="1" t="s">
        <v>560</v>
      </c>
      <c r="O15" s="1" t="s">
        <v>379</v>
      </c>
      <c r="P15" s="1" t="s">
        <v>509</v>
      </c>
      <c r="Q15" s="1" t="s">
        <v>466</v>
      </c>
      <c r="R15" s="1"/>
      <c r="S15" s="63" t="s">
        <v>558</v>
      </c>
      <c r="T15" s="1" t="s">
        <v>516</v>
      </c>
      <c r="U15" s="1" t="s">
        <v>560</v>
      </c>
      <c r="V15" s="1" t="s">
        <v>379</v>
      </c>
      <c r="W15" s="1" t="s">
        <v>509</v>
      </c>
      <c r="X15" s="1" t="s">
        <v>466</v>
      </c>
      <c r="Y15" s="63" t="s">
        <v>478</v>
      </c>
      <c r="Z15" s="72" t="s">
        <v>380</v>
      </c>
      <c r="AA15" s="1" t="s">
        <v>380</v>
      </c>
      <c r="AB15" s="66" t="s">
        <v>56</v>
      </c>
      <c r="AC15" s="63" t="s">
        <v>496</v>
      </c>
      <c r="AD15" s="1" t="s">
        <v>576</v>
      </c>
      <c r="AE15" s="1" t="s">
        <v>491</v>
      </c>
      <c r="AF15" s="1" t="s">
        <v>577</v>
      </c>
      <c r="AG15" s="77" t="s">
        <v>578</v>
      </c>
      <c r="AH15" s="1"/>
      <c r="AI15" s="1"/>
      <c r="AJ15" s="1"/>
      <c r="AK15" s="1"/>
      <c r="AL15" s="18" t="s">
        <v>579</v>
      </c>
      <c r="AM15" s="18" t="s">
        <v>580</v>
      </c>
      <c r="AN15" s="18" t="s">
        <v>162</v>
      </c>
      <c r="AO15" s="18" t="s">
        <v>581</v>
      </c>
      <c r="AP15" s="18" t="s">
        <v>582</v>
      </c>
      <c r="AQ15" s="18" t="s">
        <v>583</v>
      </c>
      <c r="AR15" s="18"/>
      <c r="AS15" s="18"/>
      <c r="AT15" s="19" t="s">
        <v>579</v>
      </c>
      <c r="AU15" s="22" t="s">
        <v>529</v>
      </c>
      <c r="AV15" s="20" t="s">
        <v>472</v>
      </c>
      <c r="AW15" s="22" t="s">
        <v>509</v>
      </c>
      <c r="AX15" s="22" t="s">
        <v>501</v>
      </c>
      <c r="AY15" s="20" t="s">
        <v>569</v>
      </c>
      <c r="AZ15" s="18"/>
      <c r="BA15" s="1"/>
      <c r="BB15" s="1"/>
      <c r="BC15" s="18"/>
    </row>
    <row r="16" spans="1:55">
      <c r="A16" s="1"/>
      <c r="B16" s="1"/>
      <c r="C16" s="1"/>
      <c r="D16" s="1"/>
      <c r="E16" s="1"/>
      <c r="F16" s="1"/>
      <c r="G16" s="1" t="s">
        <v>444</v>
      </c>
      <c r="H16" s="1" t="s">
        <v>444</v>
      </c>
      <c r="I16" s="1" t="s">
        <v>444</v>
      </c>
      <c r="J16" s="1" t="s">
        <v>444</v>
      </c>
      <c r="K16" s="1"/>
      <c r="L16" s="1" t="s">
        <v>381</v>
      </c>
      <c r="M16" s="1" t="s">
        <v>56</v>
      </c>
      <c r="N16" s="1" t="s">
        <v>584</v>
      </c>
      <c r="O16" s="1" t="s">
        <v>585</v>
      </c>
      <c r="P16" s="1" t="s">
        <v>586</v>
      </c>
      <c r="Q16" s="1" t="s">
        <v>540</v>
      </c>
      <c r="R16" s="1"/>
      <c r="S16" s="63" t="s">
        <v>381</v>
      </c>
      <c r="T16" s="1" t="s">
        <v>56</v>
      </c>
      <c r="U16" s="1" t="s">
        <v>584</v>
      </c>
      <c r="V16" s="1" t="s">
        <v>585</v>
      </c>
      <c r="W16" s="65" t="s">
        <v>586</v>
      </c>
      <c r="X16" s="1" t="s">
        <v>540</v>
      </c>
      <c r="Y16" s="63" t="s">
        <v>587</v>
      </c>
      <c r="Z16" s="1" t="s">
        <v>588</v>
      </c>
      <c r="AA16" s="1" t="s">
        <v>589</v>
      </c>
      <c r="AB16" s="1" t="s">
        <v>590</v>
      </c>
      <c r="AC16" s="63" t="s">
        <v>585</v>
      </c>
      <c r="AD16" s="1" t="s">
        <v>496</v>
      </c>
      <c r="AE16" s="1" t="s">
        <v>591</v>
      </c>
      <c r="AF16" s="1" t="s">
        <v>592</v>
      </c>
      <c r="AG16" s="64" t="s">
        <v>576</v>
      </c>
      <c r="AH16" s="1"/>
      <c r="AI16" s="1"/>
      <c r="AJ16" s="1"/>
      <c r="AK16" s="1"/>
      <c r="AL16" s="18" t="s">
        <v>593</v>
      </c>
      <c r="AM16" s="18" t="s">
        <v>594</v>
      </c>
      <c r="AN16" s="18" t="s">
        <v>563</v>
      </c>
      <c r="AO16" s="18" t="s">
        <v>595</v>
      </c>
      <c r="AP16" s="18" t="s">
        <v>586</v>
      </c>
      <c r="AQ16" s="18" t="s">
        <v>596</v>
      </c>
      <c r="AR16" s="18"/>
      <c r="AS16" s="18"/>
      <c r="AT16" s="21" t="s">
        <v>593</v>
      </c>
      <c r="AU16" s="21" t="s">
        <v>504</v>
      </c>
      <c r="AV16" s="20" t="s">
        <v>478</v>
      </c>
      <c r="AW16" s="19" t="s">
        <v>504</v>
      </c>
      <c r="AX16" s="22" t="s">
        <v>488</v>
      </c>
      <c r="AY16" s="20" t="s">
        <v>491</v>
      </c>
      <c r="AZ16" s="18"/>
      <c r="BA16" s="1"/>
      <c r="BB16" s="1"/>
      <c r="BC16" s="18"/>
    </row>
    <row r="17" spans="7:55">
      <c r="G17" s="1" t="s">
        <v>445</v>
      </c>
      <c r="H17" s="1" t="s">
        <v>445</v>
      </c>
      <c r="I17" s="1" t="s">
        <v>445</v>
      </c>
      <c r="J17" s="1" t="s">
        <v>445</v>
      </c>
      <c r="K17" s="1"/>
      <c r="L17" s="1" t="s">
        <v>597</v>
      </c>
      <c r="M17" s="1" t="s">
        <v>381</v>
      </c>
      <c r="N17" s="1" t="s">
        <v>545</v>
      </c>
      <c r="O17" s="1" t="s">
        <v>598</v>
      </c>
      <c r="P17" s="1" t="s">
        <v>599</v>
      </c>
      <c r="Q17" s="1" t="s">
        <v>551</v>
      </c>
      <c r="R17" s="1"/>
      <c r="S17" s="63" t="s">
        <v>597</v>
      </c>
      <c r="T17" s="65" t="s">
        <v>381</v>
      </c>
      <c r="U17" s="1" t="s">
        <v>545</v>
      </c>
      <c r="V17" s="65" t="s">
        <v>598</v>
      </c>
      <c r="W17" s="1" t="s">
        <v>599</v>
      </c>
      <c r="X17" s="1" t="s">
        <v>551</v>
      </c>
      <c r="Y17" s="63" t="s">
        <v>600</v>
      </c>
      <c r="Z17" s="1" t="s">
        <v>560</v>
      </c>
      <c r="AA17" s="1" t="s">
        <v>595</v>
      </c>
      <c r="AB17" s="1" t="s">
        <v>601</v>
      </c>
      <c r="AC17" s="63" t="s">
        <v>566</v>
      </c>
      <c r="AD17" s="1" t="s">
        <v>504</v>
      </c>
      <c r="AE17" s="1" t="s">
        <v>466</v>
      </c>
      <c r="AF17" s="1" t="s">
        <v>602</v>
      </c>
      <c r="AG17" s="64" t="s">
        <v>554</v>
      </c>
      <c r="AH17" s="1"/>
      <c r="AI17" s="1"/>
      <c r="AJ17" s="1"/>
      <c r="AK17" s="1"/>
      <c r="AL17" s="18" t="s">
        <v>603</v>
      </c>
      <c r="AM17" s="18" t="s">
        <v>604</v>
      </c>
      <c r="AN17" s="18" t="s">
        <v>605</v>
      </c>
      <c r="AO17" s="18" t="s">
        <v>545</v>
      </c>
      <c r="AP17" s="18" t="s">
        <v>508</v>
      </c>
      <c r="AQ17" s="18" t="s">
        <v>606</v>
      </c>
      <c r="AR17" s="18"/>
      <c r="AS17" s="18"/>
      <c r="AT17" s="19" t="s">
        <v>603</v>
      </c>
      <c r="AU17" s="20" t="s">
        <v>538</v>
      </c>
      <c r="AV17" s="22" t="s">
        <v>483</v>
      </c>
      <c r="AW17" s="21" t="s">
        <v>379</v>
      </c>
      <c r="AX17" s="22" t="s">
        <v>436</v>
      </c>
      <c r="AY17" s="20" t="s">
        <v>484</v>
      </c>
      <c r="AZ17" s="18"/>
      <c r="BA17" s="1"/>
      <c r="BB17" s="1"/>
      <c r="BC17" s="18"/>
    </row>
    <row r="18" spans="7:55">
      <c r="G18" s="1"/>
      <c r="H18" s="1"/>
      <c r="I18" s="1"/>
      <c r="J18" s="1"/>
      <c r="K18" s="1"/>
      <c r="L18" s="1" t="s">
        <v>607</v>
      </c>
      <c r="M18" s="1" t="s">
        <v>607</v>
      </c>
      <c r="N18" s="1" t="s">
        <v>608</v>
      </c>
      <c r="O18" s="1" t="s">
        <v>574</v>
      </c>
      <c r="P18" s="1" t="s">
        <v>564</v>
      </c>
      <c r="Q18" s="1" t="s">
        <v>609</v>
      </c>
      <c r="R18" s="1"/>
      <c r="S18" s="63" t="s">
        <v>607</v>
      </c>
      <c r="T18" s="1" t="s">
        <v>607</v>
      </c>
      <c r="U18" s="1" t="s">
        <v>608</v>
      </c>
      <c r="V18" s="1" t="s">
        <v>574</v>
      </c>
      <c r="W18" s="1" t="s">
        <v>564</v>
      </c>
      <c r="X18" s="1" t="s">
        <v>609</v>
      </c>
      <c r="Y18" s="63" t="s">
        <v>375</v>
      </c>
      <c r="Z18" s="1" t="s">
        <v>601</v>
      </c>
      <c r="AA18" s="1" t="s">
        <v>601</v>
      </c>
      <c r="AB18" s="1" t="s">
        <v>610</v>
      </c>
      <c r="AC18" s="63" t="s">
        <v>380</v>
      </c>
      <c r="AD18" s="1" t="s">
        <v>516</v>
      </c>
      <c r="AE18" s="1" t="s">
        <v>611</v>
      </c>
      <c r="AF18" s="1" t="s">
        <v>384</v>
      </c>
      <c r="AG18" s="64" t="s">
        <v>550</v>
      </c>
      <c r="AH18" s="1"/>
      <c r="AI18" s="1"/>
      <c r="AJ18" s="1"/>
      <c r="AK18" s="1"/>
      <c r="AL18" s="18" t="s">
        <v>612</v>
      </c>
      <c r="AM18" s="18" t="s">
        <v>84</v>
      </c>
      <c r="AN18" s="18" t="s">
        <v>613</v>
      </c>
      <c r="AO18" s="18" t="s">
        <v>614</v>
      </c>
      <c r="AP18" s="18" t="s">
        <v>529</v>
      </c>
      <c r="AQ18" s="18" t="s">
        <v>615</v>
      </c>
      <c r="AR18" s="18"/>
      <c r="AS18" s="18"/>
      <c r="AT18" s="21" t="s">
        <v>612</v>
      </c>
      <c r="AU18" s="22" t="s">
        <v>544</v>
      </c>
      <c r="AV18" s="20" t="s">
        <v>375</v>
      </c>
      <c r="AW18" s="19" t="s">
        <v>530</v>
      </c>
      <c r="AX18" s="22" t="s">
        <v>556</v>
      </c>
      <c r="AY18" s="20" t="s">
        <v>466</v>
      </c>
      <c r="AZ18" s="18"/>
      <c r="BA18" s="1"/>
      <c r="BB18" s="1"/>
      <c r="BC18" s="18"/>
    </row>
    <row r="19" spans="7:55">
      <c r="G19" s="1" t="s">
        <v>428</v>
      </c>
      <c r="H19" s="1" t="s">
        <v>616</v>
      </c>
      <c r="I19" s="1" t="s">
        <v>469</v>
      </c>
      <c r="J19" s="1"/>
      <c r="K19" s="1"/>
      <c r="L19" s="1" t="s">
        <v>607</v>
      </c>
      <c r="M19" s="1" t="s">
        <v>546</v>
      </c>
      <c r="N19" s="1" t="s">
        <v>162</v>
      </c>
      <c r="O19" s="1" t="s">
        <v>570</v>
      </c>
      <c r="P19" s="1" t="s">
        <v>617</v>
      </c>
      <c r="Q19" s="1" t="s">
        <v>618</v>
      </c>
      <c r="R19" s="1"/>
      <c r="S19" s="63" t="s">
        <v>607</v>
      </c>
      <c r="T19" s="1" t="s">
        <v>546</v>
      </c>
      <c r="U19" s="1" t="s">
        <v>162</v>
      </c>
      <c r="V19" s="1" t="s">
        <v>570</v>
      </c>
      <c r="W19" s="1" t="s">
        <v>617</v>
      </c>
      <c r="X19" s="1" t="s">
        <v>618</v>
      </c>
      <c r="Y19" s="73" t="s">
        <v>509</v>
      </c>
      <c r="Z19" s="1" t="s">
        <v>619</v>
      </c>
      <c r="AA19" s="1" t="s">
        <v>620</v>
      </c>
      <c r="AB19" s="1" t="s">
        <v>162</v>
      </c>
      <c r="AC19" s="63" t="s">
        <v>581</v>
      </c>
      <c r="AD19" s="1" t="s">
        <v>581</v>
      </c>
      <c r="AE19" s="65" t="s">
        <v>621</v>
      </c>
      <c r="AF19" s="75" t="s">
        <v>92</v>
      </c>
      <c r="AG19" s="64" t="s">
        <v>581</v>
      </c>
      <c r="AH19" s="1"/>
      <c r="AI19" s="1"/>
      <c r="AJ19" s="1"/>
      <c r="AK19" s="1"/>
      <c r="AL19" s="18" t="s">
        <v>622</v>
      </c>
      <c r="AM19" s="18" t="s">
        <v>612</v>
      </c>
      <c r="AN19" s="18" t="s">
        <v>92</v>
      </c>
      <c r="AO19" s="18" t="s">
        <v>623</v>
      </c>
      <c r="AP19" s="18" t="s">
        <v>599</v>
      </c>
      <c r="AQ19" s="18" t="s">
        <v>624</v>
      </c>
      <c r="AR19" s="18"/>
      <c r="AS19" s="18"/>
      <c r="AT19" s="19" t="s">
        <v>622</v>
      </c>
      <c r="AU19" s="20" t="s">
        <v>539</v>
      </c>
      <c r="AV19" s="22" t="s">
        <v>503</v>
      </c>
      <c r="AW19" s="19" t="s">
        <v>539</v>
      </c>
      <c r="AX19" s="20" t="s">
        <v>569</v>
      </c>
      <c r="AY19" s="20" t="s">
        <v>524</v>
      </c>
      <c r="AZ19" s="18"/>
      <c r="BA19" s="1"/>
      <c r="BB19" s="1"/>
      <c r="BC19" s="18"/>
    </row>
    <row r="20" spans="7:55">
      <c r="G20" s="1" t="s">
        <v>446</v>
      </c>
      <c r="H20" s="1" t="s">
        <v>446</v>
      </c>
      <c r="I20" s="1" t="s">
        <v>446</v>
      </c>
      <c r="J20" s="1"/>
      <c r="K20" s="1"/>
      <c r="L20" s="1" t="s">
        <v>625</v>
      </c>
      <c r="M20" s="1" t="s">
        <v>626</v>
      </c>
      <c r="N20" s="1" t="s">
        <v>536</v>
      </c>
      <c r="O20" s="1" t="s">
        <v>550</v>
      </c>
      <c r="P20" s="1" t="s">
        <v>379</v>
      </c>
      <c r="Q20" s="1" t="s">
        <v>627</v>
      </c>
      <c r="R20" s="1"/>
      <c r="S20" s="63" t="s">
        <v>625</v>
      </c>
      <c r="T20" s="1" t="s">
        <v>626</v>
      </c>
      <c r="U20" s="1" t="s">
        <v>536</v>
      </c>
      <c r="V20" s="1" t="s">
        <v>550</v>
      </c>
      <c r="W20" s="1" t="s">
        <v>379</v>
      </c>
      <c r="X20" s="1" t="s">
        <v>627</v>
      </c>
      <c r="Y20" s="63" t="s">
        <v>568</v>
      </c>
      <c r="Z20" s="1" t="s">
        <v>628</v>
      </c>
      <c r="AA20" s="1" t="s">
        <v>629</v>
      </c>
      <c r="AB20" s="1" t="s">
        <v>630</v>
      </c>
      <c r="AC20" s="63" t="s">
        <v>545</v>
      </c>
      <c r="AD20" s="1" t="s">
        <v>545</v>
      </c>
      <c r="AE20" s="1" t="s">
        <v>631</v>
      </c>
      <c r="AF20" s="1" t="s">
        <v>632</v>
      </c>
      <c r="AG20" s="64" t="s">
        <v>620</v>
      </c>
      <c r="AH20" s="1"/>
      <c r="AI20" s="1"/>
      <c r="AJ20" s="1"/>
      <c r="AK20" s="1"/>
      <c r="AL20" s="18" t="s">
        <v>633</v>
      </c>
      <c r="AM20" s="18" t="s">
        <v>633</v>
      </c>
      <c r="AN20" s="18" t="s">
        <v>84</v>
      </c>
      <c r="AO20" s="18" t="s">
        <v>381</v>
      </c>
      <c r="AP20" s="18" t="s">
        <v>564</v>
      </c>
      <c r="AQ20" s="18" t="s">
        <v>396</v>
      </c>
      <c r="AR20" s="18"/>
      <c r="AS20" s="18"/>
      <c r="AT20" s="21" t="s">
        <v>633</v>
      </c>
      <c r="AU20" s="19" t="s">
        <v>516</v>
      </c>
      <c r="AV20" s="22" t="s">
        <v>509</v>
      </c>
      <c r="AW20" s="19" t="s">
        <v>550</v>
      </c>
      <c r="AX20" s="20" t="s">
        <v>491</v>
      </c>
      <c r="AY20" s="20" t="s">
        <v>621</v>
      </c>
      <c r="AZ20" s="18"/>
      <c r="BA20" s="1"/>
      <c r="BB20" s="1"/>
      <c r="BC20" s="18"/>
    </row>
    <row r="21" spans="7:55">
      <c r="G21" s="1" t="s">
        <v>447</v>
      </c>
      <c r="H21" s="1" t="s">
        <v>447</v>
      </c>
      <c r="I21" s="1" t="s">
        <v>447</v>
      </c>
      <c r="J21" s="1"/>
      <c r="K21" s="1"/>
      <c r="L21" s="1" t="s">
        <v>387</v>
      </c>
      <c r="M21" s="1" t="s">
        <v>559</v>
      </c>
      <c r="N21" s="1" t="s">
        <v>634</v>
      </c>
      <c r="O21" s="1" t="s">
        <v>581</v>
      </c>
      <c r="P21" s="1" t="s">
        <v>538</v>
      </c>
      <c r="Q21" s="1" t="s">
        <v>578</v>
      </c>
      <c r="R21" s="1"/>
      <c r="S21" s="67" t="s">
        <v>387</v>
      </c>
      <c r="T21" s="1" t="s">
        <v>559</v>
      </c>
      <c r="U21" s="1" t="s">
        <v>634</v>
      </c>
      <c r="V21" s="1" t="s">
        <v>581</v>
      </c>
      <c r="W21" s="1" t="s">
        <v>538</v>
      </c>
      <c r="X21" s="1" t="s">
        <v>578</v>
      </c>
      <c r="Y21" s="63" t="s">
        <v>493</v>
      </c>
      <c r="Z21" s="1" t="s">
        <v>563</v>
      </c>
      <c r="AA21" s="1" t="s">
        <v>629</v>
      </c>
      <c r="AB21" s="1" t="s">
        <v>635</v>
      </c>
      <c r="AC21" s="67" t="s">
        <v>162</v>
      </c>
      <c r="AD21" s="1" t="s">
        <v>636</v>
      </c>
      <c r="AE21" s="1" t="s">
        <v>637</v>
      </c>
      <c r="AF21" s="1" t="s">
        <v>638</v>
      </c>
      <c r="AG21" s="64" t="s">
        <v>639</v>
      </c>
      <c r="AH21" s="1"/>
      <c r="AI21" s="1"/>
      <c r="AJ21" s="1"/>
      <c r="AK21" s="1"/>
      <c r="AL21" s="18" t="s">
        <v>640</v>
      </c>
      <c r="AM21" s="18" t="s">
        <v>641</v>
      </c>
      <c r="AN21" s="18" t="s">
        <v>642</v>
      </c>
      <c r="AO21" s="18" t="s">
        <v>607</v>
      </c>
      <c r="AP21" s="18" t="s">
        <v>523</v>
      </c>
      <c r="AQ21" s="18" t="s">
        <v>643</v>
      </c>
      <c r="AR21" s="18"/>
      <c r="AS21" s="18"/>
      <c r="AT21" s="19" t="s">
        <v>640</v>
      </c>
      <c r="AU21" s="20" t="s">
        <v>56</v>
      </c>
      <c r="AV21" s="20" t="s">
        <v>493</v>
      </c>
      <c r="AW21" s="19" t="s">
        <v>56</v>
      </c>
      <c r="AX21" s="22" t="s">
        <v>591</v>
      </c>
      <c r="AY21" s="20" t="s">
        <v>375</v>
      </c>
      <c r="AZ21" s="18"/>
      <c r="BA21" s="1"/>
      <c r="BB21" s="1"/>
      <c r="BC21" s="18"/>
    </row>
    <row r="22" spans="7:55">
      <c r="G22" s="1" t="s">
        <v>448</v>
      </c>
      <c r="H22" s="1" t="s">
        <v>448</v>
      </c>
      <c r="I22" s="1" t="s">
        <v>448</v>
      </c>
      <c r="J22" s="1"/>
      <c r="K22" s="1"/>
      <c r="L22" s="1" t="s">
        <v>92</v>
      </c>
      <c r="M22" s="1" t="s">
        <v>592</v>
      </c>
      <c r="N22" s="1" t="s">
        <v>644</v>
      </c>
      <c r="O22" s="1" t="s">
        <v>644</v>
      </c>
      <c r="P22" s="1" t="s">
        <v>645</v>
      </c>
      <c r="Q22" s="1" t="s">
        <v>646</v>
      </c>
      <c r="R22" s="1"/>
      <c r="S22" s="63" t="s">
        <v>92</v>
      </c>
      <c r="T22" s="1" t="s">
        <v>592</v>
      </c>
      <c r="U22" s="1" t="s">
        <v>644</v>
      </c>
      <c r="V22" s="65" t="s">
        <v>644</v>
      </c>
      <c r="W22" s="1" t="s">
        <v>645</v>
      </c>
      <c r="X22" s="1" t="s">
        <v>646</v>
      </c>
      <c r="Y22" s="63" t="s">
        <v>578</v>
      </c>
      <c r="Z22" s="1" t="s">
        <v>607</v>
      </c>
      <c r="AA22" s="1" t="s">
        <v>647</v>
      </c>
      <c r="AB22" s="1" t="s">
        <v>639</v>
      </c>
      <c r="AC22" s="63" t="s">
        <v>648</v>
      </c>
      <c r="AD22" s="1" t="s">
        <v>648</v>
      </c>
      <c r="AE22" s="1" t="s">
        <v>649</v>
      </c>
      <c r="AF22" s="1" t="s">
        <v>650</v>
      </c>
      <c r="AG22" s="64" t="s">
        <v>651</v>
      </c>
      <c r="AH22" s="1"/>
      <c r="AI22" s="1"/>
      <c r="AJ22" s="1"/>
      <c r="AK22" s="1"/>
      <c r="AL22" s="18" t="s">
        <v>652</v>
      </c>
      <c r="AM22" s="18" t="s">
        <v>653</v>
      </c>
      <c r="AN22" s="18" t="s">
        <v>654</v>
      </c>
      <c r="AO22" s="18" t="s">
        <v>594</v>
      </c>
      <c r="AP22" s="18" t="s">
        <v>504</v>
      </c>
      <c r="AQ22" s="1"/>
      <c r="AR22" s="1"/>
      <c r="AS22" s="1"/>
      <c r="AT22" s="19" t="s">
        <v>641</v>
      </c>
      <c r="AU22" s="20" t="s">
        <v>525</v>
      </c>
      <c r="AV22" s="22" t="s">
        <v>547</v>
      </c>
      <c r="AW22" s="19" t="s">
        <v>560</v>
      </c>
      <c r="AX22" s="22" t="s">
        <v>484</v>
      </c>
      <c r="AY22" s="20" t="s">
        <v>490</v>
      </c>
      <c r="AZ22" s="1"/>
      <c r="BA22" s="1"/>
      <c r="BB22" s="1"/>
      <c r="BC22" s="1"/>
    </row>
    <row r="23" spans="7:55">
      <c r="G23" s="1" t="s">
        <v>449</v>
      </c>
      <c r="H23" s="1" t="s">
        <v>449</v>
      </c>
      <c r="I23" s="1" t="s">
        <v>449</v>
      </c>
      <c r="J23" s="1"/>
      <c r="K23" s="1"/>
      <c r="L23" s="1" t="s">
        <v>580</v>
      </c>
      <c r="M23" s="1" t="s">
        <v>573</v>
      </c>
      <c r="N23" s="1" t="s">
        <v>644</v>
      </c>
      <c r="O23" s="1" t="s">
        <v>607</v>
      </c>
      <c r="P23" s="1" t="s">
        <v>380</v>
      </c>
      <c r="Q23" s="1" t="s">
        <v>508</v>
      </c>
      <c r="R23" s="1"/>
      <c r="S23" s="63" t="s">
        <v>580</v>
      </c>
      <c r="T23" s="1" t="s">
        <v>573</v>
      </c>
      <c r="U23" s="1" t="s">
        <v>644</v>
      </c>
      <c r="V23" s="1" t="s">
        <v>607</v>
      </c>
      <c r="W23" s="1" t="s">
        <v>380</v>
      </c>
      <c r="X23" s="1" t="s">
        <v>508</v>
      </c>
      <c r="Y23" s="63" t="s">
        <v>377</v>
      </c>
      <c r="Z23" s="74" t="s">
        <v>655</v>
      </c>
      <c r="AA23" s="1" t="s">
        <v>614</v>
      </c>
      <c r="AB23" s="1" t="s">
        <v>656</v>
      </c>
      <c r="AC23" s="63" t="s">
        <v>657</v>
      </c>
      <c r="AD23" s="1" t="s">
        <v>658</v>
      </c>
      <c r="AE23" s="1" t="s">
        <v>659</v>
      </c>
      <c r="AF23" s="66" t="s">
        <v>562</v>
      </c>
      <c r="AG23" s="64" t="s">
        <v>660</v>
      </c>
      <c r="AH23" s="1"/>
      <c r="AI23" s="1"/>
      <c r="AJ23" s="1"/>
      <c r="AK23" s="1"/>
      <c r="AL23" s="18" t="s">
        <v>661</v>
      </c>
      <c r="AM23" s="18" t="s">
        <v>638</v>
      </c>
      <c r="AN23" s="18" t="s">
        <v>391</v>
      </c>
      <c r="AO23" s="18" t="s">
        <v>662</v>
      </c>
      <c r="AP23" s="18" t="s">
        <v>663</v>
      </c>
      <c r="AQ23" s="1"/>
      <c r="AR23" s="1"/>
      <c r="AS23" s="1"/>
      <c r="AT23" s="21" t="s">
        <v>652</v>
      </c>
      <c r="AU23" s="20" t="s">
        <v>536</v>
      </c>
      <c r="AV23" s="22" t="s">
        <v>508</v>
      </c>
      <c r="AW23" s="20" t="s">
        <v>584</v>
      </c>
      <c r="AX23" s="20" t="s">
        <v>466</v>
      </c>
      <c r="AY23" s="20" t="s">
        <v>503</v>
      </c>
      <c r="AZ23" s="1"/>
      <c r="BA23" s="1"/>
      <c r="BB23" s="1"/>
      <c r="BC23" s="1"/>
    </row>
    <row r="24" spans="7:55">
      <c r="G24" s="1" t="s">
        <v>450</v>
      </c>
      <c r="H24" s="1" t="s">
        <v>450</v>
      </c>
      <c r="I24" s="1" t="s">
        <v>450</v>
      </c>
      <c r="J24" s="1"/>
      <c r="K24" s="1"/>
      <c r="L24" s="1" t="s">
        <v>579</v>
      </c>
      <c r="M24" s="1" t="s">
        <v>387</v>
      </c>
      <c r="N24" s="1" t="s">
        <v>382</v>
      </c>
      <c r="O24" s="1" t="s">
        <v>664</v>
      </c>
      <c r="P24" s="1" t="s">
        <v>56</v>
      </c>
      <c r="Q24" s="1" t="s">
        <v>514</v>
      </c>
      <c r="R24" s="1"/>
      <c r="S24" s="63" t="s">
        <v>579</v>
      </c>
      <c r="T24" s="1" t="s">
        <v>387</v>
      </c>
      <c r="U24" s="1" t="s">
        <v>382</v>
      </c>
      <c r="V24" s="1" t="s">
        <v>664</v>
      </c>
      <c r="W24" s="65" t="s">
        <v>56</v>
      </c>
      <c r="X24" s="1" t="s">
        <v>514</v>
      </c>
      <c r="Y24" s="63" t="s">
        <v>542</v>
      </c>
      <c r="Z24" s="1" t="s">
        <v>559</v>
      </c>
      <c r="AA24" s="1" t="s">
        <v>665</v>
      </c>
      <c r="AB24" s="1" t="s">
        <v>666</v>
      </c>
      <c r="AC24" s="63" t="s">
        <v>634</v>
      </c>
      <c r="AD24" s="1" t="s">
        <v>387</v>
      </c>
      <c r="AE24" s="1" t="s">
        <v>545</v>
      </c>
      <c r="AF24" s="1" t="s">
        <v>667</v>
      </c>
      <c r="AG24" s="64" t="s">
        <v>668</v>
      </c>
      <c r="AH24" s="1"/>
      <c r="AI24" s="1"/>
      <c r="AJ24" s="1"/>
      <c r="AK24" s="1"/>
      <c r="AL24" s="18" t="s">
        <v>400</v>
      </c>
      <c r="AM24" s="18" t="s">
        <v>669</v>
      </c>
      <c r="AN24" s="18" t="s">
        <v>670</v>
      </c>
      <c r="AO24" s="18" t="s">
        <v>671</v>
      </c>
      <c r="AP24" s="18" t="s">
        <v>56</v>
      </c>
      <c r="AQ24" s="1"/>
      <c r="AR24" s="1"/>
      <c r="AS24" s="1"/>
      <c r="AT24" s="19" t="s">
        <v>661</v>
      </c>
      <c r="AU24" s="20" t="s">
        <v>381</v>
      </c>
      <c r="AV24" s="20" t="s">
        <v>514</v>
      </c>
      <c r="AW24" s="21" t="s">
        <v>545</v>
      </c>
      <c r="AX24" s="20" t="s">
        <v>515</v>
      </c>
      <c r="AY24" s="20" t="s">
        <v>557</v>
      </c>
      <c r="AZ24" s="1"/>
      <c r="BA24" s="1"/>
      <c r="BB24" s="1"/>
      <c r="BC24" s="1"/>
    </row>
    <row r="25" spans="7:55">
      <c r="G25" s="1" t="s">
        <v>672</v>
      </c>
      <c r="H25" s="1" t="s">
        <v>672</v>
      </c>
      <c r="I25" s="1" t="s">
        <v>672</v>
      </c>
      <c r="J25" s="1"/>
      <c r="K25" s="1"/>
      <c r="L25" s="1" t="s">
        <v>673</v>
      </c>
      <c r="M25" s="1" t="s">
        <v>92</v>
      </c>
      <c r="N25" s="1" t="s">
        <v>664</v>
      </c>
      <c r="O25" s="1" t="s">
        <v>662</v>
      </c>
      <c r="P25" s="1" t="s">
        <v>620</v>
      </c>
      <c r="Q25" s="1" t="s">
        <v>674</v>
      </c>
      <c r="R25" s="1"/>
      <c r="S25" s="63" t="s">
        <v>673</v>
      </c>
      <c r="T25" s="1" t="s">
        <v>92</v>
      </c>
      <c r="U25" s="1" t="s">
        <v>664</v>
      </c>
      <c r="V25" s="1" t="s">
        <v>662</v>
      </c>
      <c r="W25" s="1" t="s">
        <v>620</v>
      </c>
      <c r="X25" s="1" t="s">
        <v>674</v>
      </c>
      <c r="Y25" s="63" t="s">
        <v>675</v>
      </c>
      <c r="Z25" s="1" t="s">
        <v>592</v>
      </c>
      <c r="AA25" s="1" t="s">
        <v>676</v>
      </c>
      <c r="AB25" s="1" t="s">
        <v>677</v>
      </c>
      <c r="AC25" s="63" t="s">
        <v>382</v>
      </c>
      <c r="AD25" s="1" t="s">
        <v>678</v>
      </c>
      <c r="AE25" s="1" t="s">
        <v>162</v>
      </c>
      <c r="AF25" s="1" t="s">
        <v>400</v>
      </c>
      <c r="AG25" s="64" t="s">
        <v>390</v>
      </c>
      <c r="AH25" s="1"/>
      <c r="AI25" s="1"/>
      <c r="AJ25" s="1"/>
      <c r="AK25" s="1"/>
      <c r="AL25" s="18" t="s">
        <v>669</v>
      </c>
      <c r="AM25" s="18" t="s">
        <v>679</v>
      </c>
      <c r="AN25" s="18" t="s">
        <v>393</v>
      </c>
      <c r="AO25" s="18" t="s">
        <v>680</v>
      </c>
      <c r="AP25" s="18" t="s">
        <v>634</v>
      </c>
      <c r="AQ25" s="1"/>
      <c r="AR25" s="1"/>
      <c r="AS25" s="1"/>
      <c r="AT25" s="21" t="s">
        <v>400</v>
      </c>
      <c r="AU25" s="20" t="s">
        <v>607</v>
      </c>
      <c r="AV25" s="22" t="s">
        <v>529</v>
      </c>
      <c r="AW25" s="20" t="s">
        <v>608</v>
      </c>
      <c r="AX25" s="20" t="s">
        <v>611</v>
      </c>
      <c r="AY25" s="20" t="s">
        <v>571</v>
      </c>
      <c r="AZ25" s="1"/>
      <c r="BA25" s="1"/>
      <c r="BB25" s="1"/>
      <c r="BC25" s="1"/>
    </row>
    <row r="26" spans="7:55">
      <c r="G26" s="1"/>
      <c r="H26" s="1"/>
      <c r="I26" s="1"/>
      <c r="J26" s="1"/>
      <c r="K26" s="1"/>
      <c r="L26" s="1" t="s">
        <v>622</v>
      </c>
      <c r="M26" s="1" t="s">
        <v>678</v>
      </c>
      <c r="N26" s="1" t="s">
        <v>580</v>
      </c>
      <c r="O26" s="1" t="s">
        <v>681</v>
      </c>
      <c r="P26" s="1" t="s">
        <v>682</v>
      </c>
      <c r="Q26" s="1" t="s">
        <v>529</v>
      </c>
      <c r="R26" s="1"/>
      <c r="S26" s="63" t="s">
        <v>622</v>
      </c>
      <c r="T26" s="1" t="s">
        <v>678</v>
      </c>
      <c r="U26" s="1" t="s">
        <v>580</v>
      </c>
      <c r="V26" s="1" t="s">
        <v>681</v>
      </c>
      <c r="W26" s="1" t="s">
        <v>682</v>
      </c>
      <c r="X26" s="1" t="s">
        <v>529</v>
      </c>
      <c r="Y26" s="63" t="s">
        <v>504</v>
      </c>
      <c r="Z26" s="74" t="s">
        <v>683</v>
      </c>
      <c r="AA26" s="1" t="s">
        <v>381</v>
      </c>
      <c r="AB26" s="1" t="s">
        <v>387</v>
      </c>
      <c r="AC26" s="63" t="s">
        <v>607</v>
      </c>
      <c r="AD26" s="1" t="s">
        <v>684</v>
      </c>
      <c r="AE26" s="1" t="s">
        <v>682</v>
      </c>
      <c r="AF26" s="1" t="s">
        <v>669</v>
      </c>
      <c r="AG26" s="64" t="s">
        <v>685</v>
      </c>
      <c r="AH26" s="1"/>
      <c r="AI26" s="1"/>
      <c r="AJ26" s="1"/>
      <c r="AK26" s="1"/>
      <c r="AL26" s="18" t="s">
        <v>669</v>
      </c>
      <c r="AM26" s="18" t="s">
        <v>686</v>
      </c>
      <c r="AN26" s="18" t="s">
        <v>679</v>
      </c>
      <c r="AO26" s="18" t="s">
        <v>633</v>
      </c>
      <c r="AP26" s="18" t="s">
        <v>382</v>
      </c>
      <c r="AQ26" s="1"/>
      <c r="AR26" s="1"/>
      <c r="AS26" s="1"/>
      <c r="AT26" s="19" t="s">
        <v>669</v>
      </c>
      <c r="AU26" s="20" t="s">
        <v>546</v>
      </c>
      <c r="AV26" s="20" t="s">
        <v>564</v>
      </c>
      <c r="AW26" s="22" t="s">
        <v>162</v>
      </c>
      <c r="AX26" s="20" t="s">
        <v>524</v>
      </c>
      <c r="AY26" s="20" t="s">
        <v>514</v>
      </c>
      <c r="AZ26" s="1"/>
      <c r="BA26" s="1"/>
      <c r="BB26" s="1"/>
      <c r="BC26" s="1"/>
    </row>
    <row r="27" spans="7:55">
      <c r="G27" s="1"/>
      <c r="H27" s="1"/>
      <c r="I27" s="1"/>
      <c r="J27" s="1"/>
      <c r="K27" s="1"/>
      <c r="L27" s="1" t="s">
        <v>687</v>
      </c>
      <c r="M27" s="1" t="s">
        <v>594</v>
      </c>
      <c r="N27" s="1" t="s">
        <v>678</v>
      </c>
      <c r="O27" s="1" t="s">
        <v>671</v>
      </c>
      <c r="P27" s="1" t="s">
        <v>558</v>
      </c>
      <c r="Q27" s="1" t="s">
        <v>599</v>
      </c>
      <c r="R27" s="1"/>
      <c r="S27" s="63" t="s">
        <v>687</v>
      </c>
      <c r="T27" s="1" t="s">
        <v>594</v>
      </c>
      <c r="U27" s="1" t="s">
        <v>678</v>
      </c>
      <c r="V27" s="1" t="s">
        <v>671</v>
      </c>
      <c r="W27" s="1" t="s">
        <v>558</v>
      </c>
      <c r="X27" s="1" t="s">
        <v>599</v>
      </c>
      <c r="Y27" s="63" t="s">
        <v>585</v>
      </c>
      <c r="Z27" s="1" t="s">
        <v>387</v>
      </c>
      <c r="AA27" s="1" t="s">
        <v>688</v>
      </c>
      <c r="AB27" s="76" t="s">
        <v>101</v>
      </c>
      <c r="AC27" s="63" t="s">
        <v>683</v>
      </c>
      <c r="AD27" s="1" t="s">
        <v>689</v>
      </c>
      <c r="AE27" s="1" t="s">
        <v>648</v>
      </c>
      <c r="AF27" s="1" t="s">
        <v>690</v>
      </c>
      <c r="AG27" s="68" t="s">
        <v>691</v>
      </c>
      <c r="AH27" s="1"/>
      <c r="AI27" s="1"/>
      <c r="AJ27" s="1"/>
      <c r="AK27" s="1"/>
      <c r="AL27" s="18" t="s">
        <v>692</v>
      </c>
      <c r="AM27" s="18" t="s">
        <v>693</v>
      </c>
      <c r="AN27" s="18" t="s">
        <v>694</v>
      </c>
      <c r="AO27" s="18" t="s">
        <v>695</v>
      </c>
      <c r="AP27" s="18" t="s">
        <v>664</v>
      </c>
      <c r="AQ27" s="1"/>
      <c r="AR27" s="1"/>
      <c r="AS27" s="1"/>
      <c r="AT27" s="23" t="s">
        <v>692</v>
      </c>
      <c r="AU27" s="20" t="s">
        <v>626</v>
      </c>
      <c r="AV27" s="20" t="s">
        <v>504</v>
      </c>
      <c r="AW27" s="21" t="s">
        <v>563</v>
      </c>
      <c r="AX27" s="22" t="s">
        <v>534</v>
      </c>
      <c r="AY27" s="20" t="s">
        <v>659</v>
      </c>
      <c r="AZ27" s="1"/>
      <c r="BA27" s="1"/>
      <c r="BB27" s="1"/>
      <c r="BC27" s="1"/>
    </row>
    <row r="28" spans="7:55">
      <c r="G28" s="1"/>
      <c r="H28" s="1"/>
      <c r="I28" s="1"/>
      <c r="J28" s="1"/>
      <c r="K28" s="1"/>
      <c r="L28" s="1" t="s">
        <v>633</v>
      </c>
      <c r="M28" s="1" t="s">
        <v>84</v>
      </c>
      <c r="N28" s="1" t="s">
        <v>84</v>
      </c>
      <c r="O28" s="1" t="s">
        <v>579</v>
      </c>
      <c r="P28" s="1" t="s">
        <v>381</v>
      </c>
      <c r="Q28" s="1" t="s">
        <v>564</v>
      </c>
      <c r="R28" s="1"/>
      <c r="S28" s="63" t="s">
        <v>633</v>
      </c>
      <c r="T28" s="1" t="s">
        <v>84</v>
      </c>
      <c r="U28" s="1" t="s">
        <v>84</v>
      </c>
      <c r="V28" s="1" t="s">
        <v>579</v>
      </c>
      <c r="W28" s="1" t="s">
        <v>381</v>
      </c>
      <c r="X28" s="1" t="s">
        <v>564</v>
      </c>
      <c r="Y28" s="63" t="s">
        <v>566</v>
      </c>
      <c r="Z28" s="1" t="s">
        <v>92</v>
      </c>
      <c r="AA28" s="1" t="s">
        <v>696</v>
      </c>
      <c r="AB28" s="1" t="s">
        <v>697</v>
      </c>
      <c r="AC28" s="67" t="s">
        <v>387</v>
      </c>
      <c r="AD28" s="1" t="s">
        <v>698</v>
      </c>
      <c r="AE28" s="1" t="s">
        <v>634</v>
      </c>
      <c r="AF28" s="1" t="s">
        <v>679</v>
      </c>
      <c r="AG28" s="64" t="s">
        <v>699</v>
      </c>
      <c r="AH28" s="1"/>
      <c r="AI28" s="1"/>
      <c r="AJ28" s="1"/>
      <c r="AK28" s="1"/>
      <c r="AL28" s="18"/>
      <c r="AM28" s="18"/>
      <c r="AN28" s="18" t="s">
        <v>700</v>
      </c>
      <c r="AO28" s="18" t="s">
        <v>638</v>
      </c>
      <c r="AP28" s="18" t="s">
        <v>546</v>
      </c>
      <c r="AQ28" s="1"/>
      <c r="AR28" s="1"/>
      <c r="AS28" s="1"/>
      <c r="AT28" s="23"/>
      <c r="AU28" s="20" t="s">
        <v>559</v>
      </c>
      <c r="AV28" s="22" t="s">
        <v>379</v>
      </c>
      <c r="AW28" s="19" t="s">
        <v>605</v>
      </c>
      <c r="AX28" s="20" t="s">
        <v>621</v>
      </c>
      <c r="AY28" s="20" t="s">
        <v>554</v>
      </c>
      <c r="AZ28" s="1"/>
      <c r="BA28" s="1"/>
      <c r="BB28" s="1"/>
      <c r="BC28" s="1"/>
    </row>
    <row r="29" spans="7:55">
      <c r="G29" s="1"/>
      <c r="H29" s="1"/>
      <c r="I29" s="1"/>
      <c r="J29" s="1"/>
      <c r="K29" s="1"/>
      <c r="L29" s="1" t="s">
        <v>701</v>
      </c>
      <c r="M29" s="1" t="s">
        <v>681</v>
      </c>
      <c r="N29" s="1" t="s">
        <v>671</v>
      </c>
      <c r="O29" s="1" t="s">
        <v>702</v>
      </c>
      <c r="P29" s="1" t="s">
        <v>703</v>
      </c>
      <c r="Q29" s="1" t="s">
        <v>523</v>
      </c>
      <c r="R29" s="1"/>
      <c r="S29" s="63" t="s">
        <v>701</v>
      </c>
      <c r="T29" s="1" t="s">
        <v>681</v>
      </c>
      <c r="U29" s="1" t="s">
        <v>671</v>
      </c>
      <c r="V29" s="1" t="s">
        <v>702</v>
      </c>
      <c r="W29" s="1" t="s">
        <v>703</v>
      </c>
      <c r="X29" s="1" t="s">
        <v>523</v>
      </c>
      <c r="Y29" s="63" t="s">
        <v>589</v>
      </c>
      <c r="Z29" s="1" t="s">
        <v>662</v>
      </c>
      <c r="AA29" s="1" t="s">
        <v>592</v>
      </c>
      <c r="AB29" s="1" t="s">
        <v>662</v>
      </c>
      <c r="AC29" s="63" t="s">
        <v>704</v>
      </c>
      <c r="AD29" s="1" t="s">
        <v>661</v>
      </c>
      <c r="AE29" s="1" t="s">
        <v>696</v>
      </c>
      <c r="AF29" s="1" t="s">
        <v>705</v>
      </c>
      <c r="AG29" s="68" t="s">
        <v>398</v>
      </c>
      <c r="AH29" s="1"/>
      <c r="AI29" s="1"/>
      <c r="AJ29" s="1"/>
      <c r="AK29" s="1"/>
      <c r="AL29" s="18"/>
      <c r="AM29" s="1"/>
      <c r="AN29" s="18" t="s">
        <v>706</v>
      </c>
      <c r="AO29" s="18" t="s">
        <v>707</v>
      </c>
      <c r="AP29" s="18" t="s">
        <v>666</v>
      </c>
      <c r="AQ29" s="1"/>
      <c r="AR29" s="1"/>
      <c r="AS29" s="1"/>
      <c r="AT29" s="1"/>
      <c r="AU29" s="20" t="s">
        <v>592</v>
      </c>
      <c r="AV29" s="20" t="s">
        <v>561</v>
      </c>
      <c r="AW29" s="20" t="s">
        <v>536</v>
      </c>
      <c r="AX29" s="20" t="s">
        <v>375</v>
      </c>
      <c r="AY29" s="20" t="s">
        <v>523</v>
      </c>
      <c r="AZ29" s="1"/>
      <c r="BA29" s="1"/>
      <c r="BB29" s="1"/>
      <c r="BC29" s="1"/>
    </row>
    <row r="30" spans="7:55">
      <c r="G30" s="1"/>
      <c r="H30" s="1"/>
      <c r="I30" s="1"/>
      <c r="J30" s="1"/>
      <c r="K30" s="1"/>
      <c r="L30" s="1" t="s">
        <v>695</v>
      </c>
      <c r="M30" s="1" t="s">
        <v>593</v>
      </c>
      <c r="N30" s="1" t="s">
        <v>579</v>
      </c>
      <c r="O30" s="1" t="s">
        <v>391</v>
      </c>
      <c r="P30" s="1" t="s">
        <v>708</v>
      </c>
      <c r="Q30" s="1" t="s">
        <v>523</v>
      </c>
      <c r="R30" s="1"/>
      <c r="S30" s="63" t="s">
        <v>695</v>
      </c>
      <c r="T30" s="1" t="s">
        <v>593</v>
      </c>
      <c r="U30" s="1" t="s">
        <v>579</v>
      </c>
      <c r="V30" s="1" t="s">
        <v>391</v>
      </c>
      <c r="W30" s="1" t="s">
        <v>708</v>
      </c>
      <c r="X30" s="1" t="s">
        <v>523</v>
      </c>
      <c r="Y30" s="63" t="s">
        <v>709</v>
      </c>
      <c r="Z30" s="1" t="s">
        <v>710</v>
      </c>
      <c r="AA30" s="1" t="s">
        <v>711</v>
      </c>
      <c r="AB30" s="1" t="s">
        <v>712</v>
      </c>
      <c r="AC30" s="67" t="s">
        <v>713</v>
      </c>
      <c r="AD30" s="1" t="s">
        <v>714</v>
      </c>
      <c r="AE30" s="1" t="s">
        <v>390</v>
      </c>
      <c r="AF30" s="1"/>
      <c r="AG30" s="64" t="s">
        <v>607</v>
      </c>
      <c r="AH30" s="1"/>
      <c r="AI30" s="1"/>
      <c r="AJ30" s="1"/>
      <c r="AK30" s="1"/>
      <c r="AL30" s="18"/>
      <c r="AM30" s="1"/>
      <c r="AN30" s="18" t="s">
        <v>715</v>
      </c>
      <c r="AO30" s="18" t="s">
        <v>716</v>
      </c>
      <c r="AP30" s="18" t="s">
        <v>384</v>
      </c>
      <c r="AQ30" s="1"/>
      <c r="AR30" s="1"/>
      <c r="AS30" s="1"/>
      <c r="AT30" s="1"/>
      <c r="AU30" s="20" t="s">
        <v>573</v>
      </c>
      <c r="AV30" s="20" t="s">
        <v>585</v>
      </c>
      <c r="AW30" s="22" t="s">
        <v>634</v>
      </c>
      <c r="AX30" s="22" t="s">
        <v>490</v>
      </c>
      <c r="AY30" s="20" t="s">
        <v>530</v>
      </c>
      <c r="AZ30" s="1"/>
      <c r="BA30" s="1"/>
      <c r="BB30" s="1"/>
      <c r="BC30" s="1"/>
    </row>
    <row r="31" spans="7:55">
      <c r="G31" s="1"/>
      <c r="H31" s="1"/>
      <c r="I31" s="1"/>
      <c r="J31" s="1"/>
      <c r="K31" s="1"/>
      <c r="L31" s="1" t="s">
        <v>654</v>
      </c>
      <c r="M31" s="1" t="s">
        <v>689</v>
      </c>
      <c r="N31" s="1" t="s">
        <v>642</v>
      </c>
      <c r="O31" s="1" t="s">
        <v>638</v>
      </c>
      <c r="P31" s="1" t="s">
        <v>384</v>
      </c>
      <c r="Q31" s="1" t="s">
        <v>530</v>
      </c>
      <c r="R31" s="1"/>
      <c r="S31" s="63" t="s">
        <v>654</v>
      </c>
      <c r="T31" s="1" t="s">
        <v>689</v>
      </c>
      <c r="U31" s="1" t="s">
        <v>642</v>
      </c>
      <c r="V31" s="1" t="s">
        <v>638</v>
      </c>
      <c r="W31" s="1" t="s">
        <v>384</v>
      </c>
      <c r="X31" s="1" t="s">
        <v>530</v>
      </c>
      <c r="Y31" s="63" t="s">
        <v>682</v>
      </c>
      <c r="Z31" s="1" t="s">
        <v>681</v>
      </c>
      <c r="AA31" s="1" t="s">
        <v>386</v>
      </c>
      <c r="AB31" s="1" t="s">
        <v>713</v>
      </c>
      <c r="AC31" s="63" t="s">
        <v>633</v>
      </c>
      <c r="AD31" s="1" t="s">
        <v>690</v>
      </c>
      <c r="AE31" s="1" t="s">
        <v>717</v>
      </c>
      <c r="AF31" s="1"/>
      <c r="AG31" s="64"/>
      <c r="AH31" s="1"/>
      <c r="AI31" s="1"/>
      <c r="AJ31" s="1"/>
      <c r="AK31" s="1"/>
      <c r="AL31" s="18"/>
      <c r="AM31" s="1"/>
      <c r="AN31" s="18" t="s">
        <v>718</v>
      </c>
      <c r="AO31" s="18" t="s">
        <v>719</v>
      </c>
      <c r="AP31" s="18" t="s">
        <v>720</v>
      </c>
      <c r="AQ31" s="1"/>
      <c r="AR31" s="1"/>
      <c r="AS31" s="1"/>
      <c r="AT31" s="1"/>
      <c r="AU31" s="20" t="s">
        <v>387</v>
      </c>
      <c r="AV31" s="22" t="s">
        <v>530</v>
      </c>
      <c r="AW31" s="20" t="s">
        <v>644</v>
      </c>
      <c r="AX31" s="22" t="s">
        <v>503</v>
      </c>
      <c r="AY31" s="20" t="s">
        <v>570</v>
      </c>
      <c r="AZ31" s="1"/>
      <c r="BA31" s="1"/>
      <c r="BB31" s="1"/>
      <c r="BC31" s="1"/>
    </row>
    <row r="32" spans="7:55">
      <c r="G32" s="1"/>
      <c r="H32" s="1"/>
      <c r="I32" s="1"/>
      <c r="J32" s="1"/>
      <c r="K32" s="1"/>
      <c r="L32" s="1" t="s">
        <v>638</v>
      </c>
      <c r="M32" s="1" t="s">
        <v>641</v>
      </c>
      <c r="N32" s="1" t="s">
        <v>389</v>
      </c>
      <c r="O32" s="1" t="s">
        <v>716</v>
      </c>
      <c r="P32" s="1" t="s">
        <v>385</v>
      </c>
      <c r="Q32" s="1" t="s">
        <v>516</v>
      </c>
      <c r="R32" s="1"/>
      <c r="S32" s="63" t="s">
        <v>638</v>
      </c>
      <c r="T32" s="1" t="s">
        <v>641</v>
      </c>
      <c r="U32" s="1" t="s">
        <v>389</v>
      </c>
      <c r="V32" s="1" t="s">
        <v>716</v>
      </c>
      <c r="W32" s="1" t="s">
        <v>385</v>
      </c>
      <c r="X32" s="1" t="s">
        <v>516</v>
      </c>
      <c r="Y32" s="63" t="s">
        <v>648</v>
      </c>
      <c r="Z32" s="1" t="s">
        <v>713</v>
      </c>
      <c r="AA32" s="1" t="s">
        <v>625</v>
      </c>
      <c r="AB32" s="1" t="s">
        <v>721</v>
      </c>
      <c r="AC32" s="63" t="s">
        <v>722</v>
      </c>
      <c r="AD32" s="76" t="s">
        <v>393</v>
      </c>
      <c r="AE32" s="1" t="s">
        <v>723</v>
      </c>
      <c r="AF32" s="1"/>
      <c r="AG32" s="64"/>
      <c r="AH32" s="1"/>
      <c r="AI32" s="1"/>
      <c r="AJ32" s="1"/>
      <c r="AK32" s="1"/>
      <c r="AL32" s="18"/>
      <c r="AM32" s="1"/>
      <c r="AN32" s="1"/>
      <c r="AO32" s="18" t="s">
        <v>724</v>
      </c>
      <c r="AP32" s="18" t="s">
        <v>725</v>
      </c>
      <c r="AQ32" s="1"/>
      <c r="AR32" s="1"/>
      <c r="AS32" s="1"/>
      <c r="AT32" s="1"/>
      <c r="AU32" s="20" t="s">
        <v>92</v>
      </c>
      <c r="AV32" s="22" t="s">
        <v>598</v>
      </c>
      <c r="AW32" s="20" t="s">
        <v>382</v>
      </c>
      <c r="AX32" s="20" t="s">
        <v>557</v>
      </c>
      <c r="AY32" s="20" t="s">
        <v>550</v>
      </c>
      <c r="AZ32" s="1"/>
      <c r="BA32" s="1"/>
      <c r="BB32" s="1"/>
      <c r="BC32" s="1"/>
    </row>
    <row r="33" spans="12:51">
      <c r="L33" s="1" t="s">
        <v>726</v>
      </c>
      <c r="M33" s="1" t="s">
        <v>726</v>
      </c>
      <c r="N33" s="1" t="s">
        <v>727</v>
      </c>
      <c r="O33" s="1" t="s">
        <v>400</v>
      </c>
      <c r="P33" s="1" t="s">
        <v>386</v>
      </c>
      <c r="Q33" s="1" t="s">
        <v>545</v>
      </c>
      <c r="R33" s="1"/>
      <c r="S33" s="67" t="s">
        <v>726</v>
      </c>
      <c r="T33" s="1" t="s">
        <v>726</v>
      </c>
      <c r="U33" s="1" t="s">
        <v>727</v>
      </c>
      <c r="V33" s="1" t="s">
        <v>400</v>
      </c>
      <c r="W33" s="66" t="s">
        <v>386</v>
      </c>
      <c r="X33" s="1" t="s">
        <v>545</v>
      </c>
      <c r="Y33" s="63" t="s">
        <v>728</v>
      </c>
      <c r="Z33" s="1" t="s">
        <v>729</v>
      </c>
      <c r="AA33" s="1" t="s">
        <v>387</v>
      </c>
      <c r="AB33" s="1" t="s">
        <v>730</v>
      </c>
      <c r="AC33" s="63" t="s">
        <v>638</v>
      </c>
      <c r="AD33" s="1" t="s">
        <v>694</v>
      </c>
      <c r="AE33" s="1" t="s">
        <v>731</v>
      </c>
      <c r="AF33" s="1"/>
      <c r="AG33" s="64"/>
      <c r="AH33" s="1"/>
      <c r="AI33" s="1"/>
      <c r="AJ33" s="1"/>
      <c r="AK33" s="1"/>
      <c r="AL33" s="1"/>
      <c r="AM33" s="1"/>
      <c r="AN33" s="1"/>
      <c r="AO33" s="18" t="s">
        <v>732</v>
      </c>
      <c r="AP33" s="18" t="s">
        <v>733</v>
      </c>
      <c r="AQ33" s="1"/>
      <c r="AR33" s="1"/>
      <c r="AS33" s="1"/>
      <c r="AT33" s="1"/>
      <c r="AU33" s="20" t="s">
        <v>580</v>
      </c>
      <c r="AV33" s="20" t="s">
        <v>539</v>
      </c>
      <c r="AW33" s="22" t="s">
        <v>664</v>
      </c>
      <c r="AX33" s="20" t="s">
        <v>571</v>
      </c>
      <c r="AY33" s="20" t="s">
        <v>581</v>
      </c>
    </row>
    <row r="34" spans="12:51">
      <c r="L34" s="1" t="s">
        <v>716</v>
      </c>
      <c r="M34" s="1" t="s">
        <v>690</v>
      </c>
      <c r="N34" s="1" t="s">
        <v>654</v>
      </c>
      <c r="O34" s="1" t="s">
        <v>669</v>
      </c>
      <c r="P34" s="1" t="s">
        <v>387</v>
      </c>
      <c r="Q34" s="1" t="s">
        <v>682</v>
      </c>
      <c r="R34" s="1"/>
      <c r="S34" s="63" t="s">
        <v>716</v>
      </c>
      <c r="T34" s="1" t="s">
        <v>690</v>
      </c>
      <c r="U34" s="1" t="s">
        <v>654</v>
      </c>
      <c r="V34" s="1" t="s">
        <v>669</v>
      </c>
      <c r="W34" s="1" t="s">
        <v>387</v>
      </c>
      <c r="X34" s="1" t="s">
        <v>682</v>
      </c>
      <c r="Y34" s="73" t="s">
        <v>386</v>
      </c>
      <c r="Z34" s="1" t="s">
        <v>642</v>
      </c>
      <c r="AA34" s="1" t="s">
        <v>734</v>
      </c>
      <c r="AB34" s="1" t="s">
        <v>695</v>
      </c>
      <c r="AC34" s="63" t="s">
        <v>735</v>
      </c>
      <c r="AD34" s="1"/>
      <c r="AE34" s="1" t="s">
        <v>736</v>
      </c>
      <c r="AF34" s="1"/>
      <c r="AG34" s="64"/>
      <c r="AH34" s="1"/>
      <c r="AI34" s="1"/>
      <c r="AJ34" s="1"/>
      <c r="AK34" s="1"/>
      <c r="AL34" s="1"/>
      <c r="AM34" s="1"/>
      <c r="AN34" s="1"/>
      <c r="AO34" s="18" t="s">
        <v>737</v>
      </c>
      <c r="AP34" s="18" t="s">
        <v>738</v>
      </c>
      <c r="AQ34" s="1"/>
      <c r="AR34" s="1"/>
      <c r="AS34" s="1"/>
      <c r="AT34" s="1"/>
      <c r="AU34" s="20" t="s">
        <v>678</v>
      </c>
      <c r="AV34" s="20" t="s">
        <v>574</v>
      </c>
      <c r="AW34" s="21" t="s">
        <v>613</v>
      </c>
      <c r="AX34" s="20" t="s">
        <v>631</v>
      </c>
      <c r="AY34" s="20" t="s">
        <v>620</v>
      </c>
    </row>
    <row r="35" spans="12:51">
      <c r="L35" s="1" t="s">
        <v>739</v>
      </c>
      <c r="M35" s="1" t="s">
        <v>740</v>
      </c>
      <c r="N35" s="1" t="s">
        <v>741</v>
      </c>
      <c r="O35" s="1" t="s">
        <v>737</v>
      </c>
      <c r="P35" s="1" t="s">
        <v>594</v>
      </c>
      <c r="Q35" s="1" t="s">
        <v>648</v>
      </c>
      <c r="R35" s="1"/>
      <c r="S35" s="63" t="s">
        <v>739</v>
      </c>
      <c r="T35" s="1" t="s">
        <v>740</v>
      </c>
      <c r="U35" s="1" t="s">
        <v>741</v>
      </c>
      <c r="V35" s="1" t="s">
        <v>737</v>
      </c>
      <c r="W35" s="1" t="s">
        <v>594</v>
      </c>
      <c r="X35" s="1" t="s">
        <v>648</v>
      </c>
      <c r="Y35" s="63" t="s">
        <v>387</v>
      </c>
      <c r="Z35" s="1" t="s">
        <v>507</v>
      </c>
      <c r="AA35" s="1" t="s">
        <v>742</v>
      </c>
      <c r="AB35" s="1" t="s">
        <v>743</v>
      </c>
      <c r="AC35" s="67" t="s">
        <v>739</v>
      </c>
      <c r="AD35" s="1"/>
      <c r="AE35" s="1" t="s">
        <v>694</v>
      </c>
      <c r="AF35" s="1"/>
      <c r="AG35" s="64"/>
      <c r="AH35" s="1"/>
      <c r="AI35" s="1"/>
      <c r="AJ35" s="1"/>
      <c r="AK35" s="1"/>
      <c r="AL35" s="1"/>
      <c r="AM35" s="1"/>
      <c r="AN35" s="1"/>
      <c r="AO35" s="18" t="s">
        <v>583</v>
      </c>
      <c r="AP35" s="18" t="s">
        <v>651</v>
      </c>
      <c r="AQ35" s="1"/>
      <c r="AR35" s="1"/>
      <c r="AS35" s="1"/>
      <c r="AT35" s="1"/>
      <c r="AU35" s="20" t="s">
        <v>594</v>
      </c>
      <c r="AV35" s="22" t="s">
        <v>570</v>
      </c>
      <c r="AW35" s="19" t="s">
        <v>92</v>
      </c>
      <c r="AX35" s="22" t="s">
        <v>578</v>
      </c>
      <c r="AY35" s="20" t="s">
        <v>545</v>
      </c>
    </row>
    <row r="36" spans="12:51">
      <c r="L36" s="1" t="s">
        <v>400</v>
      </c>
      <c r="M36" s="1" t="s">
        <v>679</v>
      </c>
      <c r="N36" s="1" t="s">
        <v>670</v>
      </c>
      <c r="O36" s="1" t="s">
        <v>744</v>
      </c>
      <c r="P36" s="1" t="s">
        <v>710</v>
      </c>
      <c r="Q36" s="1" t="s">
        <v>381</v>
      </c>
      <c r="R36" s="1"/>
      <c r="S36" s="63" t="s">
        <v>400</v>
      </c>
      <c r="T36" s="1" t="s">
        <v>679</v>
      </c>
      <c r="U36" s="1" t="s">
        <v>670</v>
      </c>
      <c r="V36" s="1" t="s">
        <v>744</v>
      </c>
      <c r="W36" s="1" t="s">
        <v>710</v>
      </c>
      <c r="X36" s="65" t="s">
        <v>381</v>
      </c>
      <c r="Y36" s="63" t="s">
        <v>662</v>
      </c>
      <c r="Z36" s="1" t="s">
        <v>745</v>
      </c>
      <c r="AA36" s="1" t="s">
        <v>746</v>
      </c>
      <c r="AB36" s="1" t="s">
        <v>638</v>
      </c>
      <c r="AC36" s="63" t="s">
        <v>694</v>
      </c>
      <c r="AD36" s="1"/>
      <c r="AE36" s="1" t="s">
        <v>747</v>
      </c>
      <c r="AF36" s="1"/>
      <c r="AG36" s="64"/>
      <c r="AH36" s="1"/>
      <c r="AI36" s="1"/>
      <c r="AJ36" s="1"/>
      <c r="AK36" s="1"/>
      <c r="AL36" s="1"/>
      <c r="AM36" s="1"/>
      <c r="AN36" s="1"/>
      <c r="AO36" s="1"/>
      <c r="AP36" s="18" t="s">
        <v>702</v>
      </c>
      <c r="AQ36" s="1"/>
      <c r="AR36" s="1"/>
      <c r="AS36" s="1"/>
      <c r="AT36" s="1"/>
      <c r="AU36" s="20" t="s">
        <v>604</v>
      </c>
      <c r="AV36" s="20" t="s">
        <v>550</v>
      </c>
      <c r="AW36" s="20" t="s">
        <v>580</v>
      </c>
      <c r="AX36" s="22" t="s">
        <v>637</v>
      </c>
      <c r="AY36" s="20" t="s">
        <v>648</v>
      </c>
    </row>
    <row r="37" spans="12:51">
      <c r="L37" s="1" t="s">
        <v>748</v>
      </c>
      <c r="M37" s="1" t="s">
        <v>686</v>
      </c>
      <c r="N37" s="1" t="s">
        <v>749</v>
      </c>
      <c r="O37" s="1"/>
      <c r="P37" s="1" t="s">
        <v>84</v>
      </c>
      <c r="Q37" s="1" t="s">
        <v>634</v>
      </c>
      <c r="R37" s="1"/>
      <c r="S37" s="63" t="s">
        <v>748</v>
      </c>
      <c r="T37" s="1" t="s">
        <v>686</v>
      </c>
      <c r="U37" s="1" t="s">
        <v>749</v>
      </c>
      <c r="V37" s="1"/>
      <c r="W37" s="1" t="s">
        <v>84</v>
      </c>
      <c r="X37" s="1" t="s">
        <v>634</v>
      </c>
      <c r="Y37" s="63" t="s">
        <v>750</v>
      </c>
      <c r="Z37" s="1" t="s">
        <v>751</v>
      </c>
      <c r="AA37" s="1" t="s">
        <v>84</v>
      </c>
      <c r="AB37" s="1" t="s">
        <v>716</v>
      </c>
      <c r="AC37" s="63" t="s">
        <v>685</v>
      </c>
      <c r="AD37" s="1"/>
      <c r="AE37" s="1" t="s">
        <v>691</v>
      </c>
      <c r="AF37" s="1"/>
      <c r="AG37" s="64"/>
      <c r="AH37" s="1"/>
      <c r="AI37" s="1"/>
      <c r="AJ37" s="1"/>
      <c r="AK37" s="1"/>
      <c r="AL37" s="1"/>
      <c r="AM37" s="1"/>
      <c r="AN37" s="1"/>
      <c r="AO37" s="1"/>
      <c r="AP37" s="18" t="s">
        <v>752</v>
      </c>
      <c r="AQ37" s="1"/>
      <c r="AR37" s="1"/>
      <c r="AS37" s="1"/>
      <c r="AT37" s="1"/>
      <c r="AU37" s="20" t="s">
        <v>84</v>
      </c>
      <c r="AV37" s="20" t="s">
        <v>56</v>
      </c>
      <c r="AW37" s="22" t="s">
        <v>678</v>
      </c>
      <c r="AX37" s="22" t="s">
        <v>576</v>
      </c>
      <c r="AY37" s="20" t="s">
        <v>634</v>
      </c>
    </row>
    <row r="38" spans="12:51">
      <c r="L38" s="1" t="s">
        <v>753</v>
      </c>
      <c r="M38" s="1" t="s">
        <v>694</v>
      </c>
      <c r="N38" s="1" t="s">
        <v>669</v>
      </c>
      <c r="O38" s="1"/>
      <c r="P38" s="1" t="s">
        <v>754</v>
      </c>
      <c r="Q38" s="1" t="s">
        <v>382</v>
      </c>
      <c r="R38" s="1"/>
      <c r="S38" s="63" t="s">
        <v>753</v>
      </c>
      <c r="T38" s="1" t="s">
        <v>694</v>
      </c>
      <c r="U38" s="1" t="s">
        <v>669</v>
      </c>
      <c r="V38" s="1"/>
      <c r="W38" s="1" t="s">
        <v>754</v>
      </c>
      <c r="X38" s="1" t="s">
        <v>382</v>
      </c>
      <c r="Y38" s="63" t="s">
        <v>755</v>
      </c>
      <c r="Z38" s="74" t="s">
        <v>400</v>
      </c>
      <c r="AA38" s="1" t="s">
        <v>756</v>
      </c>
      <c r="AB38" s="1" t="s">
        <v>757</v>
      </c>
      <c r="AC38" s="63" t="s">
        <v>758</v>
      </c>
      <c r="AD38" s="1"/>
      <c r="AE38" s="1" t="s">
        <v>758</v>
      </c>
      <c r="AF38" s="1"/>
      <c r="AG38" s="64"/>
      <c r="AH38" s="1"/>
      <c r="AI38" s="1"/>
      <c r="AJ38" s="1"/>
      <c r="AK38" s="1"/>
      <c r="AL38" s="1"/>
      <c r="AM38" s="1"/>
      <c r="AN38" s="1"/>
      <c r="AO38" s="1"/>
      <c r="AP38" s="18" t="s">
        <v>759</v>
      </c>
      <c r="AQ38" s="1"/>
      <c r="AR38" s="1"/>
      <c r="AS38" s="1"/>
      <c r="AT38" s="1"/>
      <c r="AU38" s="20" t="s">
        <v>681</v>
      </c>
      <c r="AV38" s="19" t="s">
        <v>581</v>
      </c>
      <c r="AW38" s="19" t="s">
        <v>84</v>
      </c>
      <c r="AX38" s="22" t="s">
        <v>649</v>
      </c>
      <c r="AY38" s="20" t="s">
        <v>696</v>
      </c>
    </row>
    <row r="39" spans="12:51">
      <c r="L39" s="1" t="s">
        <v>669</v>
      </c>
      <c r="M39" s="1" t="s">
        <v>737</v>
      </c>
      <c r="N39" s="1" t="s">
        <v>740</v>
      </c>
      <c r="O39" s="1"/>
      <c r="P39" s="1" t="s">
        <v>760</v>
      </c>
      <c r="Q39" s="1" t="s">
        <v>382</v>
      </c>
      <c r="R39" s="1"/>
      <c r="S39" s="63" t="s">
        <v>669</v>
      </c>
      <c r="T39" s="1" t="s">
        <v>737</v>
      </c>
      <c r="U39" s="1" t="s">
        <v>740</v>
      </c>
      <c r="V39" s="1"/>
      <c r="W39" s="1" t="s">
        <v>760</v>
      </c>
      <c r="X39" s="1" t="s">
        <v>382</v>
      </c>
      <c r="Y39" s="63" t="s">
        <v>761</v>
      </c>
      <c r="Z39" s="1" t="s">
        <v>753</v>
      </c>
      <c r="AA39" s="1" t="s">
        <v>593</v>
      </c>
      <c r="AB39" s="1" t="s">
        <v>400</v>
      </c>
      <c r="AC39" s="63" t="s">
        <v>718</v>
      </c>
      <c r="AD39" s="1"/>
      <c r="AE39" s="1" t="s">
        <v>715</v>
      </c>
      <c r="AF39" s="1"/>
      <c r="AG39" s="64"/>
      <c r="AH39" s="1"/>
      <c r="AI39" s="1"/>
      <c r="AJ39" s="1"/>
      <c r="AK39" s="1"/>
      <c r="AL39" s="1"/>
      <c r="AM39" s="1"/>
      <c r="AN39" s="1"/>
      <c r="AO39" s="1"/>
      <c r="AP39" s="18" t="s">
        <v>632</v>
      </c>
      <c r="AQ39" s="1"/>
      <c r="AR39" s="1"/>
      <c r="AS39" s="1"/>
      <c r="AT39" s="1"/>
      <c r="AU39" s="20" t="s">
        <v>593</v>
      </c>
      <c r="AV39" s="21" t="s">
        <v>595</v>
      </c>
      <c r="AW39" s="22" t="s">
        <v>671</v>
      </c>
      <c r="AX39" s="22" t="s">
        <v>514</v>
      </c>
      <c r="AY39" s="20" t="s">
        <v>577</v>
      </c>
    </row>
    <row r="40" spans="12:51" ht="17.100000000000001" thickBot="1">
      <c r="L40" s="1" t="s">
        <v>690</v>
      </c>
      <c r="M40" s="1" t="s">
        <v>693</v>
      </c>
      <c r="N40" s="1" t="s">
        <v>393</v>
      </c>
      <c r="O40" s="1"/>
      <c r="P40" s="1" t="s">
        <v>750</v>
      </c>
      <c r="Q40" s="1" t="s">
        <v>762</v>
      </c>
      <c r="R40" s="1"/>
      <c r="S40" s="63" t="s">
        <v>690</v>
      </c>
      <c r="T40" s="1" t="s">
        <v>693</v>
      </c>
      <c r="U40" s="65" t="s">
        <v>393</v>
      </c>
      <c r="V40" s="1"/>
      <c r="W40" s="1" t="s">
        <v>750</v>
      </c>
      <c r="X40" s="1" t="s">
        <v>762</v>
      </c>
      <c r="Y40" s="63" t="s">
        <v>761</v>
      </c>
      <c r="Z40" s="1" t="s">
        <v>686</v>
      </c>
      <c r="AA40" s="1" t="s">
        <v>713</v>
      </c>
      <c r="AB40" s="1" t="s">
        <v>763</v>
      </c>
      <c r="AC40" s="69" t="s">
        <v>764</v>
      </c>
      <c r="AD40" s="70"/>
      <c r="AE40" s="70"/>
      <c r="AF40" s="70"/>
      <c r="AG40" s="71"/>
      <c r="AH40" s="1"/>
      <c r="AI40" s="1"/>
      <c r="AJ40" s="1"/>
      <c r="AK40" s="1"/>
      <c r="AL40" s="1"/>
      <c r="AM40" s="1"/>
      <c r="AN40" s="1"/>
      <c r="AO40" s="1"/>
      <c r="AP40" s="18" t="s">
        <v>765</v>
      </c>
      <c r="AQ40" s="1"/>
      <c r="AR40" s="1"/>
      <c r="AS40" s="1"/>
      <c r="AT40" s="1"/>
      <c r="AU40" s="20" t="s">
        <v>612</v>
      </c>
      <c r="AV40" s="22" t="s">
        <v>560</v>
      </c>
      <c r="AW40" s="20" t="s">
        <v>579</v>
      </c>
      <c r="AX40" s="22" t="s">
        <v>659</v>
      </c>
      <c r="AY40" s="20" t="s">
        <v>592</v>
      </c>
    </row>
    <row r="41" spans="12:51">
      <c r="L41" s="1" t="s">
        <v>766</v>
      </c>
      <c r="M41" s="1" t="s">
        <v>396</v>
      </c>
      <c r="N41" s="1" t="s">
        <v>706</v>
      </c>
      <c r="O41" s="1"/>
      <c r="P41" s="1" t="s">
        <v>642</v>
      </c>
      <c r="Q41" s="1" t="s">
        <v>767</v>
      </c>
      <c r="R41" s="1"/>
      <c r="S41" s="63" t="s">
        <v>766</v>
      </c>
      <c r="T41" s="1" t="s">
        <v>396</v>
      </c>
      <c r="U41" s="1" t="s">
        <v>706</v>
      </c>
      <c r="V41" s="1"/>
      <c r="W41" s="1" t="s">
        <v>642</v>
      </c>
      <c r="X41" s="1" t="s">
        <v>767</v>
      </c>
      <c r="Y41" s="63" t="s">
        <v>695</v>
      </c>
      <c r="Z41" s="1" t="s">
        <v>768</v>
      </c>
      <c r="AA41" s="1" t="s">
        <v>729</v>
      </c>
      <c r="AB41" s="64" t="s">
        <v>769</v>
      </c>
      <c r="AC41" s="1"/>
      <c r="AD41" s="1"/>
      <c r="AE41" s="1"/>
      <c r="AF41" s="1"/>
      <c r="AG41" s="1"/>
      <c r="AH41" s="1"/>
      <c r="AI41" s="1"/>
      <c r="AJ41" s="1"/>
      <c r="AK41" s="1"/>
      <c r="AL41" s="1"/>
      <c r="AM41" s="1"/>
      <c r="AN41" s="1"/>
      <c r="AO41" s="1"/>
      <c r="AP41" s="18" t="s">
        <v>770</v>
      </c>
      <c r="AQ41" s="1"/>
      <c r="AR41" s="1"/>
      <c r="AS41" s="1"/>
      <c r="AT41" s="1"/>
      <c r="AU41" s="20" t="s">
        <v>689</v>
      </c>
      <c r="AV41" s="20" t="s">
        <v>584</v>
      </c>
      <c r="AW41" s="22" t="s">
        <v>642</v>
      </c>
      <c r="AX41" s="20" t="s">
        <v>554</v>
      </c>
      <c r="AY41" s="20" t="s">
        <v>384</v>
      </c>
    </row>
    <row r="42" spans="12:51">
      <c r="L42" s="1" t="s">
        <v>686</v>
      </c>
      <c r="M42" s="1" t="s">
        <v>771</v>
      </c>
      <c r="N42" s="1" t="s">
        <v>718</v>
      </c>
      <c r="O42" s="1"/>
      <c r="P42" s="1" t="s">
        <v>507</v>
      </c>
      <c r="Q42" s="1" t="s">
        <v>738</v>
      </c>
      <c r="R42" s="1"/>
      <c r="S42" s="63" t="s">
        <v>686</v>
      </c>
      <c r="T42" s="1" t="s">
        <v>771</v>
      </c>
      <c r="U42" s="1" t="s">
        <v>718</v>
      </c>
      <c r="V42" s="1"/>
      <c r="W42" s="1" t="s">
        <v>507</v>
      </c>
      <c r="X42" s="1" t="s">
        <v>738</v>
      </c>
      <c r="Y42" s="63" t="s">
        <v>654</v>
      </c>
      <c r="Z42" s="1"/>
      <c r="AA42" s="1" t="s">
        <v>642</v>
      </c>
      <c r="AB42" s="64" t="s">
        <v>772</v>
      </c>
      <c r="AC42" s="1"/>
      <c r="AD42" s="1"/>
      <c r="AE42" s="1"/>
      <c r="AF42" s="1"/>
      <c r="AG42" s="1"/>
      <c r="AH42" s="1"/>
      <c r="AI42" s="1"/>
      <c r="AJ42" s="1"/>
      <c r="AK42" s="1"/>
      <c r="AL42" s="1"/>
      <c r="AM42" s="1"/>
      <c r="AN42" s="1"/>
      <c r="AO42" s="1"/>
      <c r="AP42" s="18" t="s">
        <v>716</v>
      </c>
      <c r="AQ42" s="1"/>
      <c r="AR42" s="1"/>
      <c r="AS42" s="1"/>
      <c r="AT42" s="1"/>
      <c r="AU42" s="20" t="s">
        <v>633</v>
      </c>
      <c r="AV42" s="19" t="s">
        <v>545</v>
      </c>
      <c r="AW42" s="20" t="s">
        <v>389</v>
      </c>
      <c r="AX42" s="22" t="s">
        <v>523</v>
      </c>
      <c r="AY42" s="20" t="s">
        <v>92</v>
      </c>
    </row>
    <row r="43" spans="12:51">
      <c r="L43" s="1" t="s">
        <v>773</v>
      </c>
      <c r="M43" s="1"/>
      <c r="N43" s="1" t="s">
        <v>764</v>
      </c>
      <c r="O43" s="1"/>
      <c r="P43" s="1" t="s">
        <v>761</v>
      </c>
      <c r="Q43" s="1" t="s">
        <v>651</v>
      </c>
      <c r="R43" s="1"/>
      <c r="S43" s="63" t="s">
        <v>773</v>
      </c>
      <c r="T43" s="1"/>
      <c r="U43" s="1" t="s">
        <v>764</v>
      </c>
      <c r="V43" s="1"/>
      <c r="W43" s="1" t="s">
        <v>761</v>
      </c>
      <c r="X43" s="1" t="s">
        <v>651</v>
      </c>
      <c r="Y43" s="63" t="s">
        <v>774</v>
      </c>
      <c r="Z43" s="1"/>
      <c r="AA43" s="1" t="s">
        <v>702</v>
      </c>
      <c r="AB43" s="64" t="s">
        <v>775</v>
      </c>
      <c r="AC43" s="1"/>
      <c r="AD43" s="1"/>
      <c r="AE43" s="1"/>
      <c r="AF43" s="1"/>
      <c r="AG43" s="1"/>
      <c r="AH43" s="1"/>
      <c r="AI43" s="1"/>
      <c r="AJ43" s="1"/>
      <c r="AK43" s="1"/>
      <c r="AL43" s="1"/>
      <c r="AM43" s="1"/>
      <c r="AN43" s="1"/>
      <c r="AO43" s="1"/>
      <c r="AP43" s="18" t="s">
        <v>776</v>
      </c>
      <c r="AQ43" s="1"/>
      <c r="AR43" s="1"/>
      <c r="AS43" s="1"/>
      <c r="AT43" s="1"/>
      <c r="AU43" s="20" t="s">
        <v>653</v>
      </c>
      <c r="AV43" s="20" t="s">
        <v>608</v>
      </c>
      <c r="AW43" s="22" t="s">
        <v>727</v>
      </c>
      <c r="AX43" s="22" t="s">
        <v>378</v>
      </c>
      <c r="AY43" s="20" t="s">
        <v>651</v>
      </c>
    </row>
    <row r="44" spans="12:51">
      <c r="L44" s="1" t="s">
        <v>694</v>
      </c>
      <c r="M44" s="1"/>
      <c r="N44" s="1"/>
      <c r="O44" s="1"/>
      <c r="P44" s="1" t="s">
        <v>687</v>
      </c>
      <c r="Q44" s="1" t="s">
        <v>777</v>
      </c>
      <c r="R44" s="1"/>
      <c r="S44" s="67" t="s">
        <v>694</v>
      </c>
      <c r="T44" s="1"/>
      <c r="U44" s="1"/>
      <c r="V44" s="1"/>
      <c r="W44" s="1" t="s">
        <v>687</v>
      </c>
      <c r="X44" s="1" t="s">
        <v>777</v>
      </c>
      <c r="Y44" s="63" t="s">
        <v>716</v>
      </c>
      <c r="Z44" s="1"/>
      <c r="AA44" s="1" t="s">
        <v>778</v>
      </c>
      <c r="AB44" s="64" t="s">
        <v>766</v>
      </c>
      <c r="AC44" s="1"/>
      <c r="AD44" s="1"/>
      <c r="AE44" s="1"/>
      <c r="AF44" s="1"/>
      <c r="AG44" s="1"/>
      <c r="AH44" s="1"/>
      <c r="AI44" s="1"/>
      <c r="AJ44" s="1"/>
      <c r="AK44" s="1"/>
      <c r="AL44" s="1"/>
      <c r="AM44" s="1"/>
      <c r="AN44" s="1"/>
      <c r="AO44" s="1"/>
      <c r="AP44" s="18" t="s">
        <v>694</v>
      </c>
      <c r="AQ44" s="1"/>
      <c r="AR44" s="1"/>
      <c r="AS44" s="1"/>
      <c r="AT44" s="1"/>
      <c r="AU44" s="20" t="s">
        <v>638</v>
      </c>
      <c r="AV44" s="22" t="s">
        <v>162</v>
      </c>
      <c r="AW44" s="20" t="s">
        <v>654</v>
      </c>
      <c r="AX44" s="22" t="s">
        <v>544</v>
      </c>
      <c r="AY44" s="20" t="s">
        <v>660</v>
      </c>
    </row>
    <row r="45" spans="12:51">
      <c r="L45" s="1" t="s">
        <v>779</v>
      </c>
      <c r="M45" s="1"/>
      <c r="N45" s="1"/>
      <c r="O45" s="1"/>
      <c r="P45" s="1" t="s">
        <v>701</v>
      </c>
      <c r="Q45" s="1" t="s">
        <v>777</v>
      </c>
      <c r="R45" s="1"/>
      <c r="S45" s="63" t="s">
        <v>779</v>
      </c>
      <c r="T45" s="1"/>
      <c r="U45" s="1"/>
      <c r="V45" s="1"/>
      <c r="W45" s="1" t="s">
        <v>701</v>
      </c>
      <c r="X45" s="1" t="s">
        <v>777</v>
      </c>
      <c r="Y45" s="63" t="s">
        <v>780</v>
      </c>
      <c r="Z45" s="1"/>
      <c r="AA45" s="1" t="s">
        <v>781</v>
      </c>
      <c r="AB45" s="64" t="s">
        <v>393</v>
      </c>
      <c r="AC45" s="1"/>
      <c r="AD45" s="1"/>
      <c r="AE45" s="1"/>
      <c r="AF45" s="1"/>
      <c r="AG45" s="1"/>
      <c r="AH45" s="1"/>
      <c r="AI45" s="1"/>
      <c r="AJ45" s="1"/>
      <c r="AK45" s="1"/>
      <c r="AL45" s="1"/>
      <c r="AM45" s="1"/>
      <c r="AN45" s="1"/>
      <c r="AO45" s="1"/>
      <c r="AP45" s="18" t="s">
        <v>624</v>
      </c>
      <c r="AQ45" s="1"/>
      <c r="AR45" s="1"/>
      <c r="AS45" s="1"/>
      <c r="AT45" s="1"/>
      <c r="AU45" s="20" t="s">
        <v>726</v>
      </c>
      <c r="AV45" s="21" t="s">
        <v>614</v>
      </c>
      <c r="AW45" s="22" t="s">
        <v>741</v>
      </c>
      <c r="AX45" s="20" t="s">
        <v>530</v>
      </c>
      <c r="AY45" s="20" t="s">
        <v>668</v>
      </c>
    </row>
    <row r="46" spans="12:51">
      <c r="L46" s="1"/>
      <c r="M46" s="1"/>
      <c r="N46" s="1"/>
      <c r="O46" s="1"/>
      <c r="P46" s="1" t="s">
        <v>695</v>
      </c>
      <c r="Q46" s="1" t="s">
        <v>702</v>
      </c>
      <c r="R46" s="1"/>
      <c r="S46" s="63"/>
      <c r="T46" s="1"/>
      <c r="U46" s="1"/>
      <c r="V46" s="1"/>
      <c r="W46" s="1" t="s">
        <v>695</v>
      </c>
      <c r="X46" s="1" t="s">
        <v>702</v>
      </c>
      <c r="Y46" s="63" t="s">
        <v>749</v>
      </c>
      <c r="Z46" s="1"/>
      <c r="AA46" s="1" t="s">
        <v>761</v>
      </c>
      <c r="AB46" s="64" t="s">
        <v>782</v>
      </c>
      <c r="AC46" s="1"/>
      <c r="AD46" s="1"/>
      <c r="AE46" s="1"/>
      <c r="AF46" s="1"/>
      <c r="AG46" s="1"/>
      <c r="AH46" s="1"/>
      <c r="AI46" s="1"/>
      <c r="AJ46" s="1"/>
      <c r="AK46" s="1"/>
      <c r="AL46" s="1"/>
      <c r="AM46" s="1"/>
      <c r="AN46" s="1"/>
      <c r="AO46" s="1"/>
      <c r="AP46" s="18" t="s">
        <v>764</v>
      </c>
      <c r="AQ46" s="1"/>
      <c r="AR46" s="1"/>
      <c r="AS46" s="1"/>
      <c r="AT46" s="1"/>
      <c r="AU46" s="20" t="s">
        <v>669</v>
      </c>
      <c r="AV46" s="19" t="s">
        <v>623</v>
      </c>
      <c r="AW46" s="19" t="s">
        <v>391</v>
      </c>
      <c r="AX46" s="20" t="s">
        <v>570</v>
      </c>
      <c r="AY46" s="20" t="s">
        <v>390</v>
      </c>
    </row>
    <row r="47" spans="12:51">
      <c r="L47" s="1"/>
      <c r="M47" s="1"/>
      <c r="N47" s="1"/>
      <c r="O47" s="1"/>
      <c r="P47" s="1" t="s">
        <v>654</v>
      </c>
      <c r="Q47" s="1" t="s">
        <v>761</v>
      </c>
      <c r="R47" s="1"/>
      <c r="S47" s="63"/>
      <c r="T47" s="1"/>
      <c r="U47" s="1"/>
      <c r="V47" s="1"/>
      <c r="W47" s="1" t="s">
        <v>654</v>
      </c>
      <c r="X47" s="1" t="s">
        <v>761</v>
      </c>
      <c r="Y47" s="63" t="s">
        <v>783</v>
      </c>
      <c r="Z47" s="1"/>
      <c r="AA47" s="1" t="s">
        <v>730</v>
      </c>
      <c r="AB47" s="64" t="s">
        <v>686</v>
      </c>
      <c r="AC47" s="1"/>
      <c r="AD47" s="1"/>
      <c r="AE47" s="1"/>
      <c r="AF47" s="1"/>
      <c r="AG47" s="1"/>
      <c r="AH47" s="1"/>
      <c r="AI47" s="1"/>
      <c r="AJ47" s="1"/>
      <c r="AK47" s="1"/>
      <c r="AL47" s="1"/>
      <c r="AM47" s="1"/>
      <c r="AN47" s="1"/>
      <c r="AO47" s="1"/>
      <c r="AP47" s="18"/>
      <c r="AQ47" s="1"/>
      <c r="AR47" s="1"/>
      <c r="AS47" s="1"/>
      <c r="AT47" s="1"/>
      <c r="AU47" s="20" t="s">
        <v>690</v>
      </c>
      <c r="AV47" s="20" t="s">
        <v>536</v>
      </c>
      <c r="AW47" s="20" t="s">
        <v>670</v>
      </c>
      <c r="AX47" s="22" t="s">
        <v>550</v>
      </c>
      <c r="AY47" s="20" t="s">
        <v>632</v>
      </c>
    </row>
    <row r="48" spans="12:51">
      <c r="L48" s="1"/>
      <c r="M48" s="1"/>
      <c r="N48" s="1"/>
      <c r="O48" s="1"/>
      <c r="P48" s="1" t="s">
        <v>654</v>
      </c>
      <c r="Q48" s="1" t="s">
        <v>687</v>
      </c>
      <c r="R48" s="1"/>
      <c r="S48" s="63"/>
      <c r="T48" s="1"/>
      <c r="U48" s="1"/>
      <c r="V48" s="1"/>
      <c r="W48" s="1" t="s">
        <v>654</v>
      </c>
      <c r="X48" s="1" t="s">
        <v>687</v>
      </c>
      <c r="Y48" s="63" t="s">
        <v>784</v>
      </c>
      <c r="Z48" s="1"/>
      <c r="AA48" s="1" t="s">
        <v>660</v>
      </c>
      <c r="AB48" s="64" t="s">
        <v>785</v>
      </c>
      <c r="AC48" s="1"/>
      <c r="AD48" s="1"/>
      <c r="AE48" s="1"/>
      <c r="AF48" s="1"/>
      <c r="AG48" s="1"/>
      <c r="AH48" s="1"/>
      <c r="AI48" s="1"/>
      <c r="AJ48" s="1"/>
      <c r="AK48" s="1"/>
      <c r="AL48" s="1"/>
      <c r="AM48" s="1"/>
      <c r="AN48" s="1"/>
      <c r="AO48" s="1"/>
      <c r="AP48" s="1"/>
      <c r="AQ48" s="1"/>
      <c r="AR48" s="1"/>
      <c r="AS48" s="1"/>
      <c r="AT48" s="1"/>
      <c r="AU48" s="20" t="s">
        <v>740</v>
      </c>
      <c r="AV48" s="21" t="s">
        <v>381</v>
      </c>
      <c r="AW48" s="22" t="s">
        <v>749</v>
      </c>
      <c r="AX48" s="20" t="s">
        <v>581</v>
      </c>
      <c r="AY48" s="20" t="s">
        <v>638</v>
      </c>
    </row>
    <row r="49" spans="16:51">
      <c r="P49" s="1" t="s">
        <v>786</v>
      </c>
      <c r="Q49" s="1" t="s">
        <v>787</v>
      </c>
      <c r="R49" s="1"/>
      <c r="S49" s="63"/>
      <c r="T49" s="1"/>
      <c r="U49" s="1"/>
      <c r="V49" s="1"/>
      <c r="W49" s="1" t="s">
        <v>786</v>
      </c>
      <c r="X49" s="1" t="s">
        <v>787</v>
      </c>
      <c r="Y49" s="63" t="s">
        <v>788</v>
      </c>
      <c r="Z49" s="1"/>
      <c r="AA49" s="1" t="s">
        <v>727</v>
      </c>
      <c r="AB49" s="64" t="s">
        <v>685</v>
      </c>
      <c r="AC49" s="1"/>
      <c r="AD49" s="1"/>
      <c r="AE49" s="1"/>
      <c r="AF49" s="1"/>
      <c r="AG49" s="1"/>
      <c r="AH49" s="1"/>
      <c r="AI49" s="1"/>
      <c r="AJ49" s="1"/>
      <c r="AK49" s="1"/>
      <c r="AL49" s="1"/>
      <c r="AM49" s="1"/>
      <c r="AN49" s="1"/>
      <c r="AO49" s="1"/>
      <c r="AP49" s="1"/>
      <c r="AQ49" s="1"/>
      <c r="AR49" s="1"/>
      <c r="AS49" s="1"/>
      <c r="AT49" s="1"/>
      <c r="AU49" s="20" t="s">
        <v>679</v>
      </c>
      <c r="AV49" s="22" t="s">
        <v>634</v>
      </c>
      <c r="AW49" s="20" t="s">
        <v>669</v>
      </c>
      <c r="AX49" s="22" t="s">
        <v>620</v>
      </c>
      <c r="AY49" s="20" t="s">
        <v>650</v>
      </c>
    </row>
    <row r="50" spans="16:51">
      <c r="P50" s="1" t="s">
        <v>391</v>
      </c>
      <c r="Q50" s="1" t="s">
        <v>653</v>
      </c>
      <c r="R50" s="1"/>
      <c r="S50" s="63"/>
      <c r="T50" s="1"/>
      <c r="U50" s="1"/>
      <c r="V50" s="1"/>
      <c r="W50" s="1" t="s">
        <v>391</v>
      </c>
      <c r="X50" s="1" t="s">
        <v>653</v>
      </c>
      <c r="Y50" s="63" t="s">
        <v>396</v>
      </c>
      <c r="Z50" s="1"/>
      <c r="AA50" s="1" t="s">
        <v>695</v>
      </c>
      <c r="AB50" s="64" t="s">
        <v>789</v>
      </c>
      <c r="AC50" s="1"/>
      <c r="AD50" s="1"/>
      <c r="AE50" s="1"/>
      <c r="AF50" s="1"/>
      <c r="AG50" s="1"/>
      <c r="AH50" s="1"/>
      <c r="AI50" s="1"/>
      <c r="AJ50" s="1"/>
      <c r="AK50" s="1"/>
      <c r="AL50" s="1"/>
      <c r="AM50" s="1"/>
      <c r="AN50" s="1"/>
      <c r="AO50" s="1"/>
      <c r="AP50" s="1"/>
      <c r="AQ50" s="1"/>
      <c r="AR50" s="1"/>
      <c r="AS50" s="1"/>
      <c r="AT50" s="1"/>
      <c r="AU50" s="20" t="s">
        <v>686</v>
      </c>
      <c r="AV50" s="20" t="s">
        <v>644</v>
      </c>
      <c r="AW50" s="22" t="s">
        <v>740</v>
      </c>
      <c r="AX50" s="22" t="s">
        <v>545</v>
      </c>
      <c r="AY50" s="20" t="s">
        <v>562</v>
      </c>
    </row>
    <row r="51" spans="16:51">
      <c r="P51" s="1" t="s">
        <v>790</v>
      </c>
      <c r="Q51" s="1" t="s">
        <v>791</v>
      </c>
      <c r="R51" s="1"/>
      <c r="S51" s="63"/>
      <c r="T51" s="1"/>
      <c r="U51" s="1"/>
      <c r="V51" s="1"/>
      <c r="W51" s="1" t="s">
        <v>790</v>
      </c>
      <c r="X51" s="1" t="s">
        <v>791</v>
      </c>
      <c r="Y51" s="63" t="s">
        <v>768</v>
      </c>
      <c r="Z51" s="1"/>
      <c r="AA51" s="1" t="s">
        <v>654</v>
      </c>
      <c r="AB51" s="64" t="s">
        <v>792</v>
      </c>
      <c r="AC51" s="1"/>
      <c r="AD51" s="1"/>
      <c r="AE51" s="1"/>
      <c r="AF51" s="1"/>
      <c r="AG51" s="1"/>
      <c r="AH51" s="1"/>
      <c r="AI51" s="1"/>
      <c r="AJ51" s="1"/>
      <c r="AK51" s="1"/>
      <c r="AL51" s="1"/>
      <c r="AM51" s="1"/>
      <c r="AN51" s="1"/>
      <c r="AO51" s="1"/>
      <c r="AP51" s="1"/>
      <c r="AQ51" s="1"/>
      <c r="AR51" s="1"/>
      <c r="AS51" s="1"/>
      <c r="AT51" s="1"/>
      <c r="AU51" s="20" t="s">
        <v>694</v>
      </c>
      <c r="AV51" s="20" t="s">
        <v>382</v>
      </c>
      <c r="AW51" s="20" t="s">
        <v>393</v>
      </c>
      <c r="AX51" s="22" t="s">
        <v>682</v>
      </c>
      <c r="AY51" s="20" t="s">
        <v>723</v>
      </c>
    </row>
    <row r="52" spans="16:51">
      <c r="P52" s="1" t="s">
        <v>751</v>
      </c>
      <c r="Q52" s="1" t="s">
        <v>776</v>
      </c>
      <c r="R52" s="1"/>
      <c r="S52" s="63"/>
      <c r="T52" s="1"/>
      <c r="U52" s="1"/>
      <c r="V52" s="1"/>
      <c r="W52" s="1" t="s">
        <v>751</v>
      </c>
      <c r="X52" s="1" t="s">
        <v>776</v>
      </c>
      <c r="Y52" s="63" t="s">
        <v>398</v>
      </c>
      <c r="Z52" s="1"/>
      <c r="AA52" s="1" t="s">
        <v>793</v>
      </c>
      <c r="AB52" s="64" t="s">
        <v>794</v>
      </c>
      <c r="AC52" s="1"/>
      <c r="AD52" s="1"/>
      <c r="AE52" s="1"/>
      <c r="AF52" s="1"/>
      <c r="AG52" s="1"/>
      <c r="AH52" s="1"/>
      <c r="AI52" s="1"/>
      <c r="AJ52" s="1"/>
      <c r="AK52" s="1"/>
      <c r="AL52" s="1"/>
      <c r="AM52" s="1"/>
      <c r="AN52" s="1"/>
      <c r="AO52" s="1"/>
      <c r="AP52" s="1"/>
      <c r="AQ52" s="1"/>
      <c r="AR52" s="1"/>
      <c r="AS52" s="1"/>
      <c r="AT52" s="1"/>
      <c r="AU52" s="20" t="s">
        <v>737</v>
      </c>
      <c r="AV52" s="19" t="s">
        <v>607</v>
      </c>
      <c r="AW52" s="21" t="s">
        <v>679</v>
      </c>
      <c r="AX52" s="20" t="s">
        <v>639</v>
      </c>
      <c r="AY52" s="20" t="s">
        <v>731</v>
      </c>
    </row>
    <row r="53" spans="16:51">
      <c r="P53" s="1" t="s">
        <v>653</v>
      </c>
      <c r="Q53" s="1" t="s">
        <v>795</v>
      </c>
      <c r="R53" s="1"/>
      <c r="S53" s="63"/>
      <c r="T53" s="1"/>
      <c r="U53" s="1"/>
      <c r="V53" s="1"/>
      <c r="W53" s="1" t="s">
        <v>653</v>
      </c>
      <c r="X53" s="1" t="s">
        <v>795</v>
      </c>
      <c r="Y53" s="63"/>
      <c r="Z53" s="1"/>
      <c r="AA53" s="1" t="s">
        <v>391</v>
      </c>
      <c r="AB53" s="64" t="s">
        <v>606</v>
      </c>
      <c r="AC53" s="1"/>
      <c r="AD53" s="1"/>
      <c r="AE53" s="1"/>
      <c r="AF53" s="1"/>
      <c r="AG53" s="1"/>
      <c r="AH53" s="1"/>
      <c r="AI53" s="1"/>
      <c r="AJ53" s="1"/>
      <c r="AK53" s="1"/>
      <c r="AL53" s="1"/>
      <c r="AM53" s="1"/>
      <c r="AN53" s="1"/>
      <c r="AO53" s="1"/>
      <c r="AP53" s="1"/>
      <c r="AQ53" s="1"/>
      <c r="AR53" s="1"/>
      <c r="AS53" s="1"/>
      <c r="AT53" s="1"/>
      <c r="AU53" s="20" t="s">
        <v>693</v>
      </c>
      <c r="AV53" s="20" t="s">
        <v>664</v>
      </c>
      <c r="AW53" s="19" t="s">
        <v>694</v>
      </c>
      <c r="AX53" s="22" t="s">
        <v>648</v>
      </c>
      <c r="AY53" s="20" t="s">
        <v>400</v>
      </c>
    </row>
    <row r="54" spans="16:51">
      <c r="P54" s="1" t="s">
        <v>774</v>
      </c>
      <c r="Q54" s="1" t="s">
        <v>393</v>
      </c>
      <c r="R54" s="1"/>
      <c r="S54" s="63"/>
      <c r="T54" s="1"/>
      <c r="U54" s="1"/>
      <c r="V54" s="1"/>
      <c r="W54" s="1" t="s">
        <v>774</v>
      </c>
      <c r="X54" s="65" t="s">
        <v>393</v>
      </c>
      <c r="Y54" s="63"/>
      <c r="Z54" s="1"/>
      <c r="AA54" s="1" t="s">
        <v>796</v>
      </c>
      <c r="AB54" s="64" t="s">
        <v>797</v>
      </c>
      <c r="AC54" s="1"/>
      <c r="AD54" s="1"/>
      <c r="AE54" s="1"/>
      <c r="AF54" s="1"/>
      <c r="AG54" s="1"/>
      <c r="AH54" s="1"/>
      <c r="AI54" s="1"/>
      <c r="AJ54" s="1"/>
      <c r="AK54" s="1"/>
      <c r="AL54" s="1"/>
      <c r="AM54" s="1"/>
      <c r="AN54" s="1"/>
      <c r="AO54" s="1"/>
      <c r="AP54" s="1"/>
      <c r="AQ54" s="1"/>
      <c r="AR54" s="1"/>
      <c r="AS54" s="1"/>
      <c r="AT54" s="1"/>
      <c r="AU54" s="20" t="s">
        <v>396</v>
      </c>
      <c r="AV54" s="20" t="s">
        <v>580</v>
      </c>
      <c r="AW54" s="21" t="s">
        <v>700</v>
      </c>
      <c r="AX54" s="20" t="s">
        <v>634</v>
      </c>
      <c r="AY54" s="20" t="s">
        <v>669</v>
      </c>
    </row>
    <row r="55" spans="16:51">
      <c r="P55" s="1" t="s">
        <v>88</v>
      </c>
      <c r="Q55" s="1" t="s">
        <v>784</v>
      </c>
      <c r="R55" s="1"/>
      <c r="S55" s="63"/>
      <c r="T55" s="1"/>
      <c r="U55" s="1"/>
      <c r="V55" s="1"/>
      <c r="W55" s="1" t="s">
        <v>88</v>
      </c>
      <c r="X55" s="1" t="s">
        <v>784</v>
      </c>
      <c r="Y55" s="63"/>
      <c r="Z55" s="1"/>
      <c r="AA55" s="1" t="s">
        <v>670</v>
      </c>
      <c r="AB55" s="64" t="s">
        <v>693</v>
      </c>
      <c r="AC55" s="1"/>
      <c r="AD55" s="1"/>
      <c r="AE55" s="1"/>
      <c r="AF55" s="1"/>
      <c r="AG55" s="1"/>
      <c r="AH55" s="1"/>
      <c r="AI55" s="1"/>
      <c r="AJ55" s="1"/>
      <c r="AK55" s="1"/>
      <c r="AL55" s="1"/>
      <c r="AM55" s="1"/>
      <c r="AN55" s="1"/>
      <c r="AO55" s="1"/>
      <c r="AP55" s="1"/>
      <c r="AQ55" s="1"/>
      <c r="AR55" s="1"/>
      <c r="AS55" s="1"/>
      <c r="AT55" s="1"/>
      <c r="AU55" s="20" t="s">
        <v>771</v>
      </c>
      <c r="AV55" s="22" t="s">
        <v>678</v>
      </c>
      <c r="AW55" s="22" t="s">
        <v>706</v>
      </c>
      <c r="AX55" s="22" t="s">
        <v>696</v>
      </c>
      <c r="AY55" s="20" t="s">
        <v>679</v>
      </c>
    </row>
    <row r="56" spans="16:51">
      <c r="P56" s="1" t="s">
        <v>562</v>
      </c>
      <c r="Q56" s="1" t="s">
        <v>686</v>
      </c>
      <c r="R56" s="1"/>
      <c r="S56" s="63"/>
      <c r="T56" s="1"/>
      <c r="U56" s="1"/>
      <c r="V56" s="1"/>
      <c r="W56" s="1" t="s">
        <v>562</v>
      </c>
      <c r="X56" s="1" t="s">
        <v>686</v>
      </c>
      <c r="Y56" s="63"/>
      <c r="Z56" s="1"/>
      <c r="AA56" s="1" t="s">
        <v>726</v>
      </c>
      <c r="AB56" s="64" t="s">
        <v>798</v>
      </c>
      <c r="AC56" s="1"/>
      <c r="AD56" s="1"/>
      <c r="AE56" s="1"/>
      <c r="AF56" s="1"/>
      <c r="AG56" s="1"/>
      <c r="AH56" s="1"/>
      <c r="AI56" s="1"/>
      <c r="AJ56" s="1"/>
      <c r="AK56" s="1"/>
      <c r="AL56" s="1"/>
      <c r="AM56" s="1"/>
      <c r="AN56" s="1"/>
      <c r="AO56" s="1"/>
      <c r="AP56" s="1"/>
      <c r="AQ56" s="1"/>
      <c r="AR56" s="1"/>
      <c r="AS56" s="1"/>
      <c r="AT56" s="1"/>
      <c r="AU56" s="24"/>
      <c r="AV56" s="21" t="s">
        <v>594</v>
      </c>
      <c r="AW56" s="21" t="s">
        <v>715</v>
      </c>
      <c r="AX56" s="20" t="s">
        <v>577</v>
      </c>
      <c r="AY56" s="20" t="s">
        <v>694</v>
      </c>
    </row>
    <row r="57" spans="16:51">
      <c r="P57" s="1" t="s">
        <v>799</v>
      </c>
      <c r="Q57" s="1" t="s">
        <v>694</v>
      </c>
      <c r="R57" s="1"/>
      <c r="S57" s="63"/>
      <c r="T57" s="1"/>
      <c r="U57" s="1"/>
      <c r="V57" s="1"/>
      <c r="W57" s="1" t="s">
        <v>799</v>
      </c>
      <c r="X57" s="1" t="s">
        <v>694</v>
      </c>
      <c r="Y57" s="63"/>
      <c r="Z57" s="1"/>
      <c r="AA57" s="1" t="s">
        <v>88</v>
      </c>
      <c r="AB57" s="64" t="s">
        <v>800</v>
      </c>
      <c r="AC57" s="1"/>
      <c r="AD57" s="1"/>
      <c r="AE57" s="1"/>
      <c r="AF57" s="1"/>
      <c r="AG57" s="1"/>
      <c r="AH57" s="1"/>
      <c r="AI57" s="1"/>
      <c r="AJ57" s="1"/>
      <c r="AK57" s="1"/>
      <c r="AL57" s="1"/>
      <c r="AM57" s="1"/>
      <c r="AN57" s="1"/>
      <c r="AO57" s="1"/>
      <c r="AP57" s="1"/>
      <c r="AQ57" s="1"/>
      <c r="AR57" s="1"/>
      <c r="AS57" s="1"/>
      <c r="AT57" s="1"/>
      <c r="AU57" s="1"/>
      <c r="AV57" s="22" t="s">
        <v>662</v>
      </c>
      <c r="AW57" s="20" t="s">
        <v>718</v>
      </c>
      <c r="AX57" s="20" t="s">
        <v>592</v>
      </c>
      <c r="AY57" s="20" t="s">
        <v>747</v>
      </c>
    </row>
    <row r="58" spans="16:51">
      <c r="P58" s="1" t="s">
        <v>393</v>
      </c>
      <c r="Q58" s="1" t="s">
        <v>394</v>
      </c>
      <c r="R58" s="1"/>
      <c r="S58" s="63"/>
      <c r="T58" s="1"/>
      <c r="U58" s="1"/>
      <c r="V58" s="1"/>
      <c r="W58" s="1" t="s">
        <v>393</v>
      </c>
      <c r="X58" s="1" t="s">
        <v>394</v>
      </c>
      <c r="Y58" s="63"/>
      <c r="Z58" s="1"/>
      <c r="AA58" s="1" t="s">
        <v>801</v>
      </c>
      <c r="AB58" s="64" t="s">
        <v>771</v>
      </c>
      <c r="AC58" s="1"/>
      <c r="AD58" s="1"/>
      <c r="AE58" s="1"/>
      <c r="AF58" s="1"/>
      <c r="AG58" s="1"/>
      <c r="AH58" s="1"/>
      <c r="AI58" s="1"/>
      <c r="AJ58" s="1"/>
      <c r="AK58" s="1"/>
      <c r="AL58" s="1"/>
      <c r="AM58" s="1"/>
      <c r="AN58" s="1"/>
      <c r="AO58" s="1"/>
      <c r="AP58" s="1"/>
      <c r="AQ58" s="1"/>
      <c r="AR58" s="1"/>
      <c r="AS58" s="1"/>
      <c r="AT58" s="1"/>
      <c r="AU58" s="1"/>
      <c r="AV58" s="20" t="s">
        <v>84</v>
      </c>
      <c r="AW58" s="19"/>
      <c r="AX58" s="20" t="s">
        <v>602</v>
      </c>
      <c r="AY58" s="20" t="s">
        <v>715</v>
      </c>
    </row>
    <row r="59" spans="16:51">
      <c r="P59" s="1" t="s">
        <v>784</v>
      </c>
      <c r="Q59" s="1" t="s">
        <v>802</v>
      </c>
      <c r="R59" s="1"/>
      <c r="S59" s="63"/>
      <c r="T59" s="1"/>
      <c r="U59" s="1"/>
      <c r="V59" s="1"/>
      <c r="W59" s="1" t="s">
        <v>784</v>
      </c>
      <c r="X59" s="1" t="s">
        <v>802</v>
      </c>
      <c r="Y59" s="63"/>
      <c r="Z59" s="1"/>
      <c r="AA59" s="1" t="s">
        <v>739</v>
      </c>
      <c r="AB59" s="64" t="s">
        <v>718</v>
      </c>
      <c r="AC59" s="1"/>
      <c r="AD59" s="1"/>
      <c r="AE59" s="1"/>
      <c r="AF59" s="1"/>
      <c r="AG59" s="1"/>
      <c r="AH59" s="1"/>
      <c r="AI59" s="1"/>
      <c r="AJ59" s="1"/>
      <c r="AK59" s="1"/>
      <c r="AL59" s="1"/>
      <c r="AM59" s="1"/>
      <c r="AN59" s="1"/>
      <c r="AO59" s="1"/>
      <c r="AP59" s="1"/>
      <c r="AQ59" s="1"/>
      <c r="AR59" s="1"/>
      <c r="AS59" s="1"/>
      <c r="AT59" s="1"/>
      <c r="AU59" s="18"/>
      <c r="AV59" s="20" t="s">
        <v>681</v>
      </c>
      <c r="AW59" s="19"/>
      <c r="AX59" s="20" t="s">
        <v>384</v>
      </c>
      <c r="AY59" s="20" t="s">
        <v>764</v>
      </c>
    </row>
    <row r="60" spans="16:51">
      <c r="P60" s="1" t="s">
        <v>788</v>
      </c>
      <c r="Q60" s="1" t="s">
        <v>758</v>
      </c>
      <c r="R60" s="1"/>
      <c r="S60" s="63"/>
      <c r="T60" s="1"/>
      <c r="U60" s="1"/>
      <c r="V60" s="1"/>
      <c r="W60" s="1" t="s">
        <v>788</v>
      </c>
      <c r="X60" s="1" t="s">
        <v>758</v>
      </c>
      <c r="Y60" s="63"/>
      <c r="Z60" s="1"/>
      <c r="AA60" s="1" t="s">
        <v>803</v>
      </c>
      <c r="AB60" s="64" t="s">
        <v>97</v>
      </c>
      <c r="AC60" s="1"/>
      <c r="AD60" s="1"/>
      <c r="AE60" s="1"/>
      <c r="AF60" s="1"/>
      <c r="AG60" s="1"/>
      <c r="AH60" s="1"/>
      <c r="AI60" s="1"/>
      <c r="AJ60" s="1"/>
      <c r="AK60" s="1"/>
      <c r="AL60" s="1"/>
      <c r="AM60" s="1"/>
      <c r="AN60" s="1"/>
      <c r="AO60" s="1"/>
      <c r="AP60" s="1"/>
      <c r="AQ60" s="1"/>
      <c r="AR60" s="1"/>
      <c r="AS60" s="1"/>
      <c r="AT60" s="1"/>
      <c r="AU60" s="1"/>
      <c r="AV60" s="22" t="s">
        <v>671</v>
      </c>
      <c r="AW60" s="19"/>
      <c r="AX60" s="20" t="s">
        <v>92</v>
      </c>
      <c r="AY60" s="20"/>
    </row>
    <row r="61" spans="16:51">
      <c r="P61" s="1" t="s">
        <v>583</v>
      </c>
      <c r="Q61" s="1" t="s">
        <v>699</v>
      </c>
      <c r="R61" s="1"/>
      <c r="S61" s="63"/>
      <c r="T61" s="1"/>
      <c r="U61" s="1"/>
      <c r="V61" s="1"/>
      <c r="W61" s="1" t="s">
        <v>583</v>
      </c>
      <c r="X61" s="1" t="s">
        <v>699</v>
      </c>
      <c r="Y61" s="63"/>
      <c r="Z61" s="1"/>
      <c r="AA61" s="1" t="s">
        <v>795</v>
      </c>
      <c r="AB61" s="64" t="s">
        <v>397</v>
      </c>
      <c r="AC61" s="1"/>
      <c r="AD61" s="1"/>
      <c r="AE61" s="1"/>
      <c r="AF61" s="1"/>
      <c r="AG61" s="1"/>
      <c r="AH61" s="1"/>
      <c r="AI61" s="1"/>
      <c r="AJ61" s="1"/>
      <c r="AK61" s="1"/>
      <c r="AL61" s="1"/>
      <c r="AM61" s="1"/>
      <c r="AN61" s="1"/>
      <c r="AO61" s="1"/>
      <c r="AP61" s="1"/>
      <c r="AQ61" s="1"/>
      <c r="AR61" s="1"/>
      <c r="AS61" s="1"/>
      <c r="AT61" s="1"/>
      <c r="AU61" s="1"/>
      <c r="AV61" s="20" t="s">
        <v>579</v>
      </c>
      <c r="AW61" s="19"/>
      <c r="AX61" s="20" t="s">
        <v>651</v>
      </c>
      <c r="AY61" s="20"/>
    </row>
    <row r="62" spans="16:51">
      <c r="P62" s="1" t="s">
        <v>744</v>
      </c>
      <c r="Q62" s="1" t="s">
        <v>715</v>
      </c>
      <c r="R62" s="1"/>
      <c r="S62" s="63"/>
      <c r="T62" s="1"/>
      <c r="U62" s="1"/>
      <c r="V62" s="1"/>
      <c r="W62" s="1" t="s">
        <v>744</v>
      </c>
      <c r="X62" s="1" t="s">
        <v>715</v>
      </c>
      <c r="Y62" s="63"/>
      <c r="Z62" s="1"/>
      <c r="AA62" s="1" t="s">
        <v>804</v>
      </c>
      <c r="AB62" s="64" t="s">
        <v>398</v>
      </c>
      <c r="AC62" s="1"/>
      <c r="AD62" s="1"/>
      <c r="AE62" s="1"/>
      <c r="AF62" s="1"/>
      <c r="AG62" s="1"/>
      <c r="AH62" s="1"/>
      <c r="AI62" s="1"/>
      <c r="AJ62" s="1"/>
      <c r="AK62" s="1"/>
      <c r="AL62" s="1"/>
      <c r="AM62" s="1"/>
      <c r="AN62" s="1"/>
      <c r="AO62" s="1"/>
      <c r="AP62" s="1"/>
      <c r="AQ62" s="1"/>
      <c r="AR62" s="1"/>
      <c r="AS62" s="1"/>
      <c r="AT62" s="1"/>
      <c r="AU62" s="1"/>
      <c r="AV62" s="22" t="s">
        <v>642</v>
      </c>
      <c r="AW62" s="19"/>
      <c r="AX62" s="20" t="s">
        <v>660</v>
      </c>
      <c r="AY62" s="20"/>
    </row>
    <row r="63" spans="16:51">
      <c r="P63" s="1" t="s">
        <v>596</v>
      </c>
      <c r="Q63" s="1" t="s">
        <v>397</v>
      </c>
      <c r="R63" s="1"/>
      <c r="S63" s="63"/>
      <c r="T63" s="1"/>
      <c r="U63" s="1"/>
      <c r="V63" s="1"/>
      <c r="W63" s="1" t="s">
        <v>596</v>
      </c>
      <c r="X63" s="1" t="s">
        <v>397</v>
      </c>
      <c r="Y63" s="63"/>
      <c r="Z63" s="1"/>
      <c r="AA63" s="1" t="s">
        <v>805</v>
      </c>
      <c r="AB63" s="64" t="s">
        <v>379</v>
      </c>
      <c r="AC63" s="1"/>
      <c r="AD63" s="1"/>
      <c r="AE63" s="1"/>
      <c r="AF63" s="1"/>
      <c r="AG63" s="1"/>
      <c r="AH63" s="1"/>
      <c r="AI63" s="1"/>
      <c r="AJ63" s="1"/>
      <c r="AK63" s="1"/>
      <c r="AL63" s="1"/>
      <c r="AM63" s="1"/>
      <c r="AN63" s="1"/>
      <c r="AO63" s="1"/>
      <c r="AP63" s="1"/>
      <c r="AQ63" s="1"/>
      <c r="AR63" s="1"/>
      <c r="AS63" s="1"/>
      <c r="AT63" s="1"/>
      <c r="AU63" s="18"/>
      <c r="AV63" s="22" t="s">
        <v>702</v>
      </c>
      <c r="AW63" s="19"/>
      <c r="AX63" s="22" t="s">
        <v>668</v>
      </c>
      <c r="AY63" s="20"/>
    </row>
    <row r="64" spans="16:51">
      <c r="P64" s="1"/>
      <c r="Q64" s="1" t="s">
        <v>764</v>
      </c>
      <c r="R64" s="1"/>
      <c r="S64" s="63"/>
      <c r="T64" s="1"/>
      <c r="U64" s="1"/>
      <c r="V64" s="1"/>
      <c r="W64" s="1"/>
      <c r="X64" s="1" t="s">
        <v>764</v>
      </c>
      <c r="Y64" s="63"/>
      <c r="Z64" s="1"/>
      <c r="AA64" s="1" t="s">
        <v>686</v>
      </c>
      <c r="AB64" s="64"/>
      <c r="AC64" s="1"/>
      <c r="AD64" s="1"/>
      <c r="AE64" s="1"/>
      <c r="AF64" s="1"/>
      <c r="AG64" s="1"/>
      <c r="AH64" s="1"/>
      <c r="AI64" s="1"/>
      <c r="AJ64" s="1"/>
      <c r="AK64" s="1"/>
      <c r="AL64" s="1"/>
      <c r="AM64" s="1"/>
      <c r="AN64" s="1"/>
      <c r="AO64" s="1"/>
      <c r="AP64" s="1"/>
      <c r="AQ64" s="1"/>
      <c r="AR64" s="1"/>
      <c r="AS64" s="1"/>
      <c r="AT64" s="1"/>
      <c r="AU64" s="1"/>
      <c r="AV64" s="20" t="s">
        <v>389</v>
      </c>
      <c r="AW64" s="19"/>
      <c r="AX64" s="20" t="s">
        <v>390</v>
      </c>
      <c r="AY64" s="20"/>
    </row>
    <row r="65" spans="17:51">
      <c r="Q65" s="1" t="s">
        <v>398</v>
      </c>
      <c r="R65" s="1"/>
      <c r="S65" s="63"/>
      <c r="T65" s="1"/>
      <c r="U65" s="1"/>
      <c r="V65" s="1"/>
      <c r="W65" s="1"/>
      <c r="X65" s="1" t="s">
        <v>398</v>
      </c>
      <c r="Y65" s="63"/>
      <c r="Z65" s="1"/>
      <c r="AA65" s="1" t="s">
        <v>806</v>
      </c>
      <c r="AB65" s="64"/>
      <c r="AC65" s="1"/>
      <c r="AD65" s="1"/>
      <c r="AE65" s="1"/>
      <c r="AF65" s="1"/>
      <c r="AG65" s="1"/>
      <c r="AH65" s="1"/>
      <c r="AI65" s="1"/>
      <c r="AJ65" s="1"/>
      <c r="AK65" s="1"/>
      <c r="AL65" s="1"/>
      <c r="AM65" s="1"/>
      <c r="AN65" s="1"/>
      <c r="AO65" s="1"/>
      <c r="AP65" s="1"/>
      <c r="AQ65" s="1"/>
      <c r="AR65" s="1"/>
      <c r="AS65" s="1"/>
      <c r="AT65" s="1"/>
      <c r="AU65" s="1"/>
      <c r="AV65" s="19" t="s">
        <v>680</v>
      </c>
      <c r="AW65" s="19"/>
      <c r="AX65" s="22" t="s">
        <v>632</v>
      </c>
      <c r="AY65" s="20"/>
    </row>
    <row r="66" spans="17:51" ht="17.100000000000001" thickBot="1">
      <c r="Q66" s="1" t="s">
        <v>807</v>
      </c>
      <c r="R66" s="1"/>
      <c r="S66" s="69"/>
      <c r="T66" s="70"/>
      <c r="U66" s="70"/>
      <c r="V66" s="70"/>
      <c r="W66" s="70"/>
      <c r="X66" s="70" t="s">
        <v>807</v>
      </c>
      <c r="Y66" s="63"/>
      <c r="Z66" s="1"/>
      <c r="AA66" s="1" t="s">
        <v>808</v>
      </c>
      <c r="AB66" s="64"/>
      <c r="AC66" s="1"/>
      <c r="AD66" s="1"/>
      <c r="AE66" s="1"/>
      <c r="AF66" s="1"/>
      <c r="AG66" s="1"/>
      <c r="AH66" s="1"/>
      <c r="AI66" s="1"/>
      <c r="AJ66" s="1"/>
      <c r="AK66" s="1"/>
      <c r="AL66" s="1"/>
      <c r="AM66" s="1"/>
      <c r="AN66" s="1"/>
      <c r="AO66" s="1"/>
      <c r="AP66" s="1"/>
      <c r="AQ66" s="1"/>
      <c r="AR66" s="1"/>
      <c r="AS66" s="1"/>
      <c r="AT66" s="1"/>
      <c r="AU66" s="1"/>
      <c r="AV66" s="21" t="s">
        <v>633</v>
      </c>
      <c r="AW66" s="19"/>
      <c r="AX66" s="20" t="s">
        <v>638</v>
      </c>
      <c r="AY66" s="20"/>
    </row>
    <row r="67" spans="17:51">
      <c r="Q67" s="1"/>
      <c r="R67" s="1"/>
      <c r="S67" s="1"/>
      <c r="T67" s="1"/>
      <c r="U67" s="1"/>
      <c r="V67" s="1"/>
      <c r="W67" s="1"/>
      <c r="X67" s="1"/>
      <c r="Y67" s="63"/>
      <c r="Z67" s="1"/>
      <c r="AA67" s="1" t="s">
        <v>809</v>
      </c>
      <c r="AB67" s="64"/>
      <c r="AC67" s="1"/>
      <c r="AD67" s="1"/>
      <c r="AE67" s="1"/>
      <c r="AF67" s="1"/>
      <c r="AG67" s="1"/>
      <c r="AH67" s="1"/>
      <c r="AI67" s="1"/>
      <c r="AJ67" s="1"/>
      <c r="AK67" s="1"/>
      <c r="AL67" s="1"/>
      <c r="AM67" s="1"/>
      <c r="AN67" s="1"/>
      <c r="AO67" s="1"/>
      <c r="AP67" s="1"/>
      <c r="AQ67" s="1"/>
      <c r="AR67" s="1"/>
      <c r="AS67" s="1"/>
      <c r="AT67" s="1"/>
      <c r="AU67" s="1"/>
      <c r="AV67" s="22" t="s">
        <v>727</v>
      </c>
      <c r="AW67" s="19"/>
      <c r="AX67" s="20" t="s">
        <v>717</v>
      </c>
      <c r="AY67" s="20"/>
    </row>
    <row r="68" spans="17:51">
      <c r="Q68" s="1"/>
      <c r="R68" s="1"/>
      <c r="S68" s="1"/>
      <c r="T68" s="1"/>
      <c r="U68" s="1"/>
      <c r="V68" s="1"/>
      <c r="W68" s="1"/>
      <c r="X68" s="1"/>
      <c r="Y68" s="63"/>
      <c r="Z68" s="1"/>
      <c r="AA68" s="1" t="s">
        <v>810</v>
      </c>
      <c r="AB68" s="64"/>
      <c r="AC68" s="1"/>
      <c r="AD68" s="1"/>
      <c r="AE68" s="1"/>
      <c r="AF68" s="1"/>
      <c r="AG68" s="1"/>
      <c r="AH68" s="1"/>
      <c r="AI68" s="1"/>
      <c r="AJ68" s="1"/>
      <c r="AK68" s="1"/>
      <c r="AL68" s="1"/>
      <c r="AM68" s="1"/>
      <c r="AN68" s="1"/>
      <c r="AO68" s="1"/>
      <c r="AP68" s="1"/>
      <c r="AQ68" s="1"/>
      <c r="AR68" s="1"/>
      <c r="AS68" s="1"/>
      <c r="AT68" s="1"/>
      <c r="AU68" s="1"/>
      <c r="AV68" s="19" t="s">
        <v>695</v>
      </c>
      <c r="AW68" s="19"/>
      <c r="AX68" s="20" t="s">
        <v>650</v>
      </c>
      <c r="AY68" s="20"/>
    </row>
    <row r="69" spans="17:51" ht="17.100000000000001" thickBot="1">
      <c r="Q69" s="1"/>
      <c r="R69" s="1"/>
      <c r="S69" s="1"/>
      <c r="T69" s="1"/>
      <c r="U69" s="1"/>
      <c r="V69" s="1"/>
      <c r="W69" s="1"/>
      <c r="X69" s="1"/>
      <c r="Y69" s="69"/>
      <c r="Z69" s="70"/>
      <c r="AA69" s="70" t="s">
        <v>771</v>
      </c>
      <c r="AB69" s="71"/>
      <c r="AC69" s="1"/>
      <c r="AD69" s="1"/>
      <c r="AE69" s="1"/>
      <c r="AF69" s="1"/>
      <c r="AG69" s="1"/>
      <c r="AH69" s="1"/>
      <c r="AI69" s="1"/>
      <c r="AJ69" s="1"/>
      <c r="AK69" s="1"/>
      <c r="AL69" s="1"/>
      <c r="AM69" s="1"/>
      <c r="AN69" s="1"/>
      <c r="AO69" s="1"/>
      <c r="AP69" s="1"/>
      <c r="AQ69" s="1"/>
      <c r="AR69" s="1"/>
      <c r="AS69" s="1"/>
      <c r="AT69" s="1"/>
      <c r="AU69" s="1"/>
      <c r="AV69" s="20" t="s">
        <v>654</v>
      </c>
      <c r="AW69" s="19"/>
      <c r="AX69" s="20" t="s">
        <v>562</v>
      </c>
      <c r="AY69" s="20"/>
    </row>
    <row r="70" spans="17:51">
      <c r="Q70" s="1"/>
      <c r="R70" s="1"/>
      <c r="S70" s="1"/>
      <c r="T70" s="1"/>
      <c r="U70" s="1"/>
      <c r="V70" s="1"/>
      <c r="W70" s="1"/>
      <c r="X70" s="1"/>
      <c r="Y70" s="1"/>
      <c r="Z70" s="1"/>
      <c r="AA70" s="1" t="s">
        <v>480</v>
      </c>
      <c r="AB70" s="1"/>
      <c r="AC70" s="1"/>
      <c r="AD70" s="1"/>
      <c r="AE70" s="1"/>
      <c r="AF70" s="1"/>
      <c r="AG70" s="1"/>
      <c r="AH70" s="1"/>
      <c r="AI70" s="1"/>
      <c r="AJ70" s="1"/>
      <c r="AK70" s="1"/>
      <c r="AL70" s="1"/>
      <c r="AM70" s="1"/>
      <c r="AN70" s="1"/>
      <c r="AO70" s="1"/>
      <c r="AP70" s="1"/>
      <c r="AQ70" s="1"/>
      <c r="AR70" s="1"/>
      <c r="AS70" s="1"/>
      <c r="AT70" s="1"/>
      <c r="AU70" s="1"/>
      <c r="AV70" s="22" t="s">
        <v>741</v>
      </c>
      <c r="AW70" s="23"/>
      <c r="AX70" s="20" t="s">
        <v>723</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391</v>
      </c>
      <c r="AW71" s="1"/>
      <c r="AX71" s="20" t="s">
        <v>667</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670</v>
      </c>
      <c r="AW72" s="1"/>
      <c r="AX72" s="22" t="s">
        <v>731</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638</v>
      </c>
      <c r="AW73" s="1"/>
      <c r="AX73" s="20" t="s">
        <v>736</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707</v>
      </c>
      <c r="AW74" s="1"/>
      <c r="AX74" s="22" t="s">
        <v>400</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716</v>
      </c>
      <c r="AW75" s="1"/>
      <c r="AX75" s="20" t="s">
        <v>669</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719</v>
      </c>
      <c r="AW76" s="1"/>
      <c r="AX76" s="20" t="s">
        <v>690</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749</v>
      </c>
      <c r="AW77" s="1"/>
      <c r="AX77" s="22" t="s">
        <v>679</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400</v>
      </c>
      <c r="AW78" s="1"/>
      <c r="AX78" s="22" t="s">
        <v>705</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669</v>
      </c>
      <c r="AW79" s="1"/>
      <c r="AX79" s="20" t="s">
        <v>694</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724</v>
      </c>
      <c r="AW80" s="1"/>
      <c r="AX80" s="20" t="s">
        <v>747</v>
      </c>
      <c r="AY80" s="20"/>
    </row>
    <row r="81" spans="48:51">
      <c r="AV81" s="22" t="s">
        <v>740</v>
      </c>
      <c r="AW81" s="1"/>
      <c r="AX81" s="22" t="s">
        <v>685</v>
      </c>
      <c r="AY81" s="22"/>
    </row>
    <row r="82" spans="48:51">
      <c r="AV82" s="19" t="s">
        <v>732</v>
      </c>
      <c r="AW82" s="1"/>
      <c r="AX82" s="20" t="s">
        <v>691</v>
      </c>
      <c r="AY82" s="20"/>
    </row>
    <row r="83" spans="48:51">
      <c r="AV83" s="20" t="s">
        <v>393</v>
      </c>
      <c r="AW83" s="1"/>
      <c r="AX83" s="22" t="s">
        <v>758</v>
      </c>
      <c r="AY83" s="22"/>
    </row>
    <row r="84" spans="48:51">
      <c r="AV84" s="22" t="s">
        <v>737</v>
      </c>
      <c r="AW84" s="1"/>
      <c r="AX84" s="22" t="s">
        <v>699</v>
      </c>
      <c r="AY84" s="20"/>
    </row>
    <row r="85" spans="48:51">
      <c r="AV85" s="19" t="s">
        <v>583</v>
      </c>
      <c r="AW85" s="1"/>
      <c r="AX85" s="20" t="s">
        <v>715</v>
      </c>
      <c r="AY85" s="20"/>
    </row>
    <row r="86" spans="48:51">
      <c r="AV86" s="20" t="s">
        <v>744</v>
      </c>
      <c r="AW86" s="1"/>
      <c r="AX86" s="25" t="s">
        <v>764</v>
      </c>
      <c r="AY86" s="20"/>
    </row>
    <row r="87" spans="48:51">
      <c r="AV87" s="22" t="s">
        <v>706</v>
      </c>
      <c r="AW87" s="1"/>
      <c r="AX87" s="22" t="s">
        <v>398</v>
      </c>
      <c r="AY87" s="25"/>
    </row>
    <row r="88" spans="48:51">
      <c r="AV88" s="20" t="s">
        <v>718</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398591-DCD4-4E84-81B6-C225C92B9877}"/>
</file>

<file path=customXml/itemProps2.xml><?xml version="1.0" encoding="utf-8"?>
<ds:datastoreItem xmlns:ds="http://schemas.openxmlformats.org/officeDocument/2006/customXml" ds:itemID="{493507B7-C361-46E0-AF44-6194D8191CB1}"/>
</file>

<file path=customXml/itemProps3.xml><?xml version="1.0" encoding="utf-8"?>
<ds:datastoreItem xmlns:ds="http://schemas.openxmlformats.org/officeDocument/2006/customXml" ds:itemID="{F86D18D9-0B6E-411F-93FD-BE55E800AD09}"/>
</file>

<file path=customXml/itemProps4.xml><?xml version="1.0" encoding="utf-8"?>
<ds:datastoreItem xmlns:ds="http://schemas.openxmlformats.org/officeDocument/2006/customXml" ds:itemID="{49A8CC42-3498-4AB9-83FD-168387E0E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2026-03-03T18:11:58Z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