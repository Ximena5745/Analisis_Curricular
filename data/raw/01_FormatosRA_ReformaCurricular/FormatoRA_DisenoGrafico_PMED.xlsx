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309" documentId="13_ncr:1_{94FB665B-1B67-4B39-BC8D-386261EBEC57}" xr6:coauthVersionLast="47" xr6:coauthVersionMax="47" xr10:uidLastSave="{37F320F4-73DD-4D72-83A0-23381EEABB44}"/>
  <bookViews>
    <workbookView xWindow="-110" yWindow="-110" windowWidth="19420" windowHeight="10300" firstSheet="5" activeTab="5" xr2:uid="{BD68381A-4EB3-42BA-ADD5-D7B5B6C7E498}"/>
  </bookViews>
  <sheets>
    <sheet name="Paso1 Analisis perfil egreso" sheetId="1" r:id="rId1"/>
    <sheet name="Hoja1" sheetId="11" state="hidden" r:id="rId2"/>
    <sheet name="Paso 2 Redacción competen" sheetId="6" r:id="rId3"/>
    <sheet name="Paso 3 Redacción RA " sheetId="5" r:id="rId4"/>
    <sheet name="Paso 4 Estrategias mesocurricu" sheetId="8" r:id="rId5"/>
    <sheet name="Paso 5 Estrategias micro" sheetId="7" r:id="rId6"/>
    <sheet name="Taxonomía para competencias" sheetId="10" r:id="rId7"/>
    <sheet name="Taxonomias para RA" sheetId="9" r:id="rId8"/>
  </sheets>
  <definedNames>
    <definedName name="_xlnm._FilterDatabase" localSheetId="3" hidden="1">'Paso 3 Redacción RA '!$A$2:$I$21</definedName>
    <definedName name="_xlnm._FilterDatabase" localSheetId="4" hidden="1">'Paso 4 Estrategias mesocurricu'!$A$2:$F$15</definedName>
    <definedName name="_xlnm._FilterDatabase" localSheetId="5" hidden="1">'Paso 5 Estrategias micro'!$A$1:$Q$216</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egreso'!$E$3:$E$15</definedName>
    <definedName name="CognitivoAK">'Taxonomias para RA'!$AL$4:$AQ$4</definedName>
    <definedName name="cognitivoB">Tabla5583[CognitivoB]</definedName>
    <definedName name="CognitivoBAK">'Taxonomias para RA'!$S$3:$X$3</definedName>
    <definedName name="competencias">'Paso 2 Redacción competen'!$F$4:$F$14</definedName>
    <definedName name="ComprenderLK">'Taxonomias para RA'!$AM$5:$AM$27</definedName>
    <definedName name="Comprensió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egreso'!$E$3:$E$15</definedName>
    <definedName name="ControlBAK">Tabla4271[ControlBAK]</definedName>
    <definedName name="CrearLK">Tabla2333[CrearLK]</definedName>
    <definedName name="dominios">'Paso1 Analisis perfil egreso'!$E$2:$G$2</definedName>
    <definedName name="elementosfinalidad">#REF!</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'!$I$3:$I$22</definedName>
    <definedName name="Saber">'Paso1 Analisis perfil egreso'!$E$3:$E$9</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3" i="7" l="1"/>
  <c r="R138" i="7"/>
  <c r="J214" i="7"/>
  <c r="K214" i="7" s="1"/>
  <c r="K146" i="7"/>
  <c r="A153" i="7"/>
  <c r="K153" i="7"/>
  <c r="L153" i="7"/>
  <c r="A154" i="7"/>
  <c r="A155" i="7"/>
  <c r="A156" i="7"/>
  <c r="A157" i="7"/>
  <c r="A158" i="7"/>
  <c r="A159" i="7"/>
  <c r="A114" i="7"/>
  <c r="A115" i="7"/>
  <c r="A112" i="7"/>
  <c r="A108" i="7"/>
  <c r="A110" i="7"/>
  <c r="A87" i="7"/>
  <c r="A64" i="7"/>
  <c r="A65" i="7"/>
  <c r="M153" i="7" l="1"/>
  <c r="A9" i="7"/>
  <c r="A10" i="7"/>
  <c r="A11" i="7"/>
  <c r="A12" i="7"/>
  <c r="L78" i="7" l="1"/>
  <c r="K78" i="7"/>
  <c r="L54" i="7"/>
  <c r="K54" i="7"/>
  <c r="L53" i="7"/>
  <c r="K53" i="7"/>
  <c r="L25" i="7"/>
  <c r="K25" i="7"/>
  <c r="M25" i="7" s="1"/>
  <c r="L4" i="7"/>
  <c r="K4" i="7"/>
  <c r="D212" i="7"/>
  <c r="L198" i="7"/>
  <c r="K198" i="7"/>
  <c r="L197" i="7"/>
  <c r="K197" i="7"/>
  <c r="L175" i="7"/>
  <c r="L174" i="7"/>
  <c r="K175" i="7"/>
  <c r="K174" i="7"/>
  <c r="J213" i="7"/>
  <c r="K213" i="7" s="1"/>
  <c r="J212" i="7"/>
  <c r="K212" i="7" s="1"/>
  <c r="R211" i="7"/>
  <c r="R196" i="7"/>
  <c r="R103" i="7"/>
  <c r="R77" i="7"/>
  <c r="R52" i="7"/>
  <c r="R24" i="7"/>
  <c r="J215" i="7"/>
  <c r="K215" i="7" s="1"/>
  <c r="A182" i="7"/>
  <c r="A138" i="7"/>
  <c r="A131" i="7"/>
  <c r="M197" i="7" l="1"/>
  <c r="M53" i="7"/>
  <c r="M4" i="7"/>
  <c r="M54" i="7"/>
  <c r="M174" i="7"/>
  <c r="M175" i="7"/>
  <c r="M198" i="7"/>
  <c r="M78" i="7"/>
  <c r="A77" i="7"/>
  <c r="L206" i="7" l="1"/>
  <c r="K206" i="7"/>
  <c r="L199" i="7"/>
  <c r="K199" i="7"/>
  <c r="L176" i="7"/>
  <c r="K176" i="7"/>
  <c r="L183" i="7"/>
  <c r="K183" i="7"/>
  <c r="L139" i="7"/>
  <c r="K139" i="7"/>
  <c r="L160" i="7"/>
  <c r="K160" i="7"/>
  <c r="L146" i="7"/>
  <c r="L167" i="7"/>
  <c r="K167" i="7"/>
  <c r="L118" i="7"/>
  <c r="K118" i="7"/>
  <c r="L132" i="7"/>
  <c r="K132" i="7"/>
  <c r="L125" i="7"/>
  <c r="K125" i="7"/>
  <c r="L190" i="7"/>
  <c r="K190" i="7"/>
  <c r="L84" i="7"/>
  <c r="K84" i="7"/>
  <c r="L91" i="7"/>
  <c r="K91" i="7"/>
  <c r="L79" i="7"/>
  <c r="K79" i="7"/>
  <c r="L104" i="7"/>
  <c r="K104" i="7"/>
  <c r="L98" i="7"/>
  <c r="K98" i="7"/>
  <c r="L46" i="7"/>
  <c r="K46" i="7"/>
  <c r="L68" i="7"/>
  <c r="K68" i="7"/>
  <c r="L72" i="7"/>
  <c r="K72" i="7"/>
  <c r="A72" i="7"/>
  <c r="A37" i="7"/>
  <c r="L32" i="7"/>
  <c r="K32" i="7"/>
  <c r="L55" i="7"/>
  <c r="K55" i="7"/>
  <c r="L26" i="7"/>
  <c r="K26" i="7"/>
  <c r="L39" i="7"/>
  <c r="K39" i="7"/>
  <c r="L8" i="7"/>
  <c r="K8" i="7"/>
  <c r="L15" i="7"/>
  <c r="K15" i="7"/>
  <c r="L62" i="7"/>
  <c r="K62" i="7"/>
  <c r="L21" i="7"/>
  <c r="K21" i="7"/>
  <c r="L5" i="7"/>
  <c r="K5" i="7"/>
  <c r="A5" i="7"/>
  <c r="A6" i="7"/>
  <c r="A7" i="7"/>
  <c r="A21" i="7"/>
  <c r="A22" i="7"/>
  <c r="A23" i="7"/>
  <c r="A24" i="7"/>
  <c r="A62" i="7"/>
  <c r="A63" i="7"/>
  <c r="A66" i="7"/>
  <c r="A67" i="7"/>
  <c r="A15" i="7"/>
  <c r="A16" i="7"/>
  <c r="A17" i="7"/>
  <c r="A18" i="7"/>
  <c r="A19" i="7"/>
  <c r="A20" i="7"/>
  <c r="A8" i="7"/>
  <c r="A13" i="7"/>
  <c r="A14" i="7"/>
  <c r="A39" i="7"/>
  <c r="A40" i="7"/>
  <c r="A41" i="7"/>
  <c r="A42" i="7"/>
  <c r="A43" i="7"/>
  <c r="A44" i="7"/>
  <c r="A45" i="7"/>
  <c r="A26" i="7"/>
  <c r="A27" i="7"/>
  <c r="A28" i="7"/>
  <c r="A29" i="7"/>
  <c r="A30" i="7"/>
  <c r="A31" i="7"/>
  <c r="A55" i="7"/>
  <c r="A56" i="7"/>
  <c r="A57" i="7"/>
  <c r="A58" i="7"/>
  <c r="A59" i="7"/>
  <c r="A60" i="7"/>
  <c r="A61" i="7"/>
  <c r="A32" i="7"/>
  <c r="A33" i="7"/>
  <c r="A34" i="7"/>
  <c r="A35" i="7"/>
  <c r="A36" i="7"/>
  <c r="A38" i="7"/>
  <c r="A78" i="7"/>
  <c r="A111" i="7"/>
  <c r="A113" i="7"/>
  <c r="A116" i="7"/>
  <c r="A117" i="7"/>
  <c r="A73" i="7"/>
  <c r="A74" i="7"/>
  <c r="A75" i="7"/>
  <c r="A76" i="7"/>
  <c r="A68" i="7"/>
  <c r="A69" i="7"/>
  <c r="A70" i="7"/>
  <c r="A71" i="7"/>
  <c r="A46" i="7"/>
  <c r="A47" i="7"/>
  <c r="A48" i="7"/>
  <c r="A49" i="7"/>
  <c r="A50" i="7"/>
  <c r="A51" i="7"/>
  <c r="A52" i="7"/>
  <c r="A98" i="7"/>
  <c r="A99" i="7"/>
  <c r="A100" i="7"/>
  <c r="A101" i="7"/>
  <c r="A102" i="7"/>
  <c r="A103" i="7"/>
  <c r="A4" i="7"/>
  <c r="A104" i="7"/>
  <c r="A105" i="7"/>
  <c r="A106" i="7"/>
  <c r="A107" i="7"/>
  <c r="A109" i="7"/>
  <c r="A79" i="7"/>
  <c r="A80" i="7"/>
  <c r="A81" i="7"/>
  <c r="A82" i="7"/>
  <c r="A83" i="7"/>
  <c r="A91" i="7"/>
  <c r="A92" i="7"/>
  <c r="A93" i="7"/>
  <c r="A94" i="7"/>
  <c r="A95" i="7"/>
  <c r="A96" i="7"/>
  <c r="A97" i="7"/>
  <c r="A84" i="7"/>
  <c r="A85" i="7"/>
  <c r="A86" i="7"/>
  <c r="A88" i="7"/>
  <c r="A89" i="7"/>
  <c r="A90" i="7"/>
  <c r="A53" i="7"/>
  <c r="A190" i="7"/>
  <c r="A191" i="7"/>
  <c r="A192" i="7"/>
  <c r="A193" i="7"/>
  <c r="A194" i="7"/>
  <c r="A195" i="7"/>
  <c r="A196" i="7"/>
  <c r="A125" i="7"/>
  <c r="A126" i="7"/>
  <c r="A127" i="7"/>
  <c r="A128" i="7"/>
  <c r="A129" i="7"/>
  <c r="A130" i="7"/>
  <c r="A132" i="7"/>
  <c r="A133" i="7"/>
  <c r="A134" i="7"/>
  <c r="A135" i="7"/>
  <c r="A136" i="7"/>
  <c r="A137" i="7"/>
  <c r="A118" i="7"/>
  <c r="A119" i="7"/>
  <c r="A120" i="7"/>
  <c r="A121" i="7"/>
  <c r="A122" i="7"/>
  <c r="A123" i="7"/>
  <c r="A124" i="7"/>
  <c r="A54" i="7"/>
  <c r="A167" i="7"/>
  <c r="A168" i="7"/>
  <c r="A169" i="7"/>
  <c r="A170" i="7"/>
  <c r="A171" i="7"/>
  <c r="A172" i="7"/>
  <c r="A173" i="7"/>
  <c r="A146" i="7"/>
  <c r="A147" i="7"/>
  <c r="A148" i="7"/>
  <c r="A149" i="7"/>
  <c r="A150" i="7"/>
  <c r="A151" i="7"/>
  <c r="A152" i="7"/>
  <c r="A160" i="7"/>
  <c r="A161" i="7"/>
  <c r="A162" i="7"/>
  <c r="A163" i="7"/>
  <c r="A164" i="7"/>
  <c r="A165" i="7"/>
  <c r="A166" i="7"/>
  <c r="A139" i="7"/>
  <c r="A140" i="7"/>
  <c r="A141" i="7"/>
  <c r="A142" i="7"/>
  <c r="A143" i="7"/>
  <c r="A144" i="7"/>
  <c r="A145" i="7"/>
  <c r="A25" i="7"/>
  <c r="A183" i="7"/>
  <c r="A184" i="7"/>
  <c r="A185" i="7"/>
  <c r="A186" i="7"/>
  <c r="A187" i="7"/>
  <c r="A188" i="7"/>
  <c r="A189" i="7"/>
  <c r="A176" i="7"/>
  <c r="A177" i="7"/>
  <c r="A178" i="7"/>
  <c r="A179" i="7"/>
  <c r="A180" i="7"/>
  <c r="A181" i="7"/>
  <c r="A199" i="7"/>
  <c r="A200" i="7"/>
  <c r="A201" i="7"/>
  <c r="A202" i="7"/>
  <c r="A203" i="7"/>
  <c r="A204" i="7"/>
  <c r="A205" i="7"/>
  <c r="A206" i="7"/>
  <c r="A207" i="7"/>
  <c r="A208" i="7"/>
  <c r="A209" i="7"/>
  <c r="A210" i="7"/>
  <c r="A211" i="7"/>
  <c r="A3" i="7"/>
  <c r="L3" i="7"/>
  <c r="K3" i="7"/>
  <c r="M98" i="7" l="1"/>
  <c r="M84" i="7"/>
  <c r="M146" i="7"/>
  <c r="M183" i="7"/>
  <c r="M206" i="7"/>
  <c r="M79" i="7"/>
  <c r="M190" i="7"/>
  <c r="M118" i="7"/>
  <c r="M160" i="7"/>
  <c r="M46" i="7"/>
  <c r="M91" i="7"/>
  <c r="M125" i="7"/>
  <c r="M167" i="7"/>
  <c r="M32" i="7"/>
  <c r="M72" i="7"/>
  <c r="M132" i="7"/>
  <c r="M176" i="7"/>
  <c r="M139" i="7"/>
  <c r="M68" i="7"/>
  <c r="M104" i="7"/>
  <c r="M199" i="7"/>
  <c r="M62" i="7"/>
  <c r="M5" i="7"/>
  <c r="M39" i="7"/>
  <c r="M26" i="7"/>
  <c r="J216" i="7"/>
  <c r="M15" i="7"/>
  <c r="M55" i="7"/>
  <c r="M8" i="7"/>
  <c r="M21" i="7"/>
  <c r="M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2A6ADE6-B5CF-44E4-B518-7DA4AA2C132B}">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14DB0B11-45A7-468C-848F-9486D84605DC}">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97EC72B0-483B-4EE3-A655-33545AEC570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28BD65E2-7EF9-425E-8573-9D7F64DB92A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388AA24C-6889-483E-A7A3-F0C46E48DACE}">
      <text>
        <r>
          <rPr>
            <b/>
            <sz val="9"/>
            <color indexed="81"/>
            <rFont val="Tahoma"/>
            <family val="2"/>
          </rPr>
          <t>Dir. Currículo:</t>
        </r>
        <r>
          <rPr>
            <sz val="9"/>
            <color indexed="81"/>
            <rFont val="Tahoma"/>
            <family val="2"/>
          </rPr>
          <t xml:space="preserve">
Áreas en las que podrá laborar el profesional.</t>
        </r>
      </text>
    </comment>
    <comment ref="I2" authorId="0" shapeId="0" xr:uid="{08DF2927-4D29-48AB-A044-625274DDE4AC}">
      <text>
        <r>
          <rPr>
            <b/>
            <sz val="9"/>
            <color indexed="81"/>
            <rFont val="Tahoma"/>
            <family val="2"/>
          </rPr>
          <t>Dir. Currículo:</t>
        </r>
        <r>
          <rPr>
            <sz val="9"/>
            <color indexed="81"/>
            <rFont val="Tahoma"/>
            <family val="2"/>
          </rPr>
          <t xml:space="preserve">
Tareas potenciales que hará el profesional.</t>
        </r>
      </text>
    </comment>
    <comment ref="J2" authorId="0" shapeId="0" xr:uid="{C78CE78C-7591-4823-BEE0-F2CFFD121376}">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4E93A-0FC0-40E8-BFE7-B51D2041DE39}">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80007E5-694D-4AC5-A02E-164142661333}">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9F847CE5-24C6-4C21-93C3-B6A0C032499E}">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375473E3-58B6-4B57-A9B2-FE323A8FA7C3}">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95D7C1E2-70FC-41F1-9576-D712701FA24F}">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50AF899B-9FC2-461B-A9E3-D4A4F7E68EA1}">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78A0CBA7-6728-47AB-A2B4-70A6AACB26D4}">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BEC35C9-6BF7-4001-8E19-9F69EAA996E4}">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9FFE55C9-B748-4212-AD1B-2169496CDE5A}">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CCB31353-900D-43D1-B402-816DB0C23583}">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297C737F-06F0-44F5-AB22-864C6FC81EE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2B96850-E86E-4973-AE6C-2E1F1C66537C}">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5DD65F-AEB5-4D84-882D-680BB0954E8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E269F969-7B46-4D18-AAD3-6C075BB145C5}">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806C1EC7-6399-4676-A80D-222F37BDD6F2}">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B91E6C5E-2C9A-4ADD-A92B-68217DC124AC}">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651961B3-813F-4264-94EF-A604E1609CB9}">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2544249F-F10B-4AA6-9056-ED32A9F9D0F3}">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D580F-DAF9-4B40-8604-7ADC5461C916}" keepAlive="1" name="Consulta - Tabla2" description="Conexión a la consulta 'Tabla2' en el libro." type="5" refreshedVersion="0" background="1" saveData="1">
    <dbPr connection="Provider=Microsoft.Mashup.OleDb.1;Data Source=$Workbook$;Location=Tabla2;Extended Properties=&quot;&quot;" command="SELECT * FROM [Tabla2]"/>
  </connection>
</connections>
</file>

<file path=xl/sharedStrings.xml><?xml version="1.0" encoding="utf-8"?>
<sst xmlns="http://schemas.openxmlformats.org/spreadsheetml/2006/main" count="2946" uniqueCount="822">
  <si>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</si>
  <si>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</si>
  <si>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</si>
  <si>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</si>
  <si>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</si>
  <si>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</si>
  <si>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</si>
  <si>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</si>
  <si>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</si>
  <si>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</si>
  <si>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</si>
  <si>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</si>
  <si>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</si>
  <si>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</si>
  <si>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</si>
  <si>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</si>
  <si>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PoblacionesActuacion</t>
  </si>
  <si>
    <t>ValorAgregado</t>
  </si>
  <si>
    <t>Diseño Gráfico</t>
  </si>
  <si>
    <t>Presencial</t>
  </si>
  <si>
    <t xml:space="preserve">El egresado maneja criterios teóricos y tecnológicos del diseño que le permiten proyectar soluciones de diseño empleando recursos de la comunicación visual y multimedial, integrando líneas temáticas como la animación, la ilustración, la gráfica publicitaria, el medio editorial y la grafía para la moda, gestionando la información para la configuración de artefactos funcionales y accesibles. </t>
  </si>
  <si>
    <t>Estará en condiciones de vincularse con empresas manufactureras, de servicios, de producción o de comunicación, en tareas de análisis, planificación, producción y gestión de proyectos de diseño gráfico, reconociendo las necesidades de diseño de la organización para elaborar y gestionar su aplicación. También podrá ejercer bajo la figura de profesional independiente como consultor o a través del emprendimiento de proyectos personales y en agencias o empresas vinculadas al sector moda.</t>
  </si>
  <si>
    <t>Estrategias de comunicación visual</t>
  </si>
  <si>
    <t>resolver de problemas de diseño gráfico</t>
  </si>
  <si>
    <t>acordes con el contexto de aplicación.</t>
  </si>
  <si>
    <t>Creatividad publicitaria/Producción audiovisual/Medios editoriales/Comunicaciones corporativas/Empresas culturales/Departamentos de Marketing y Comunicación/Área de diseño y desarrollo de productos/Dirección creativa o Departamentos de arte/Profesional independiente</t>
  </si>
  <si>
    <t>Creación de propuestas gráficas/Planificación, coordinación y ejecución de proyectos de diseño gráfico/Diseño de contenido gráfico/Creación de materiales impresos y digitales/Asesor o consultor de diseño/Desarrollo de proyectos personalizados/Dirección y desarrollo de conceptos visuales</t>
  </si>
  <si>
    <t>Agencias de publicidad y marketing/Medios de comunicación y productoras audiovisuales/Empresas manufactureras y de moda/Empresas de comercio electrónico/Emprendimientos y consultorías/Sector cultural/</t>
  </si>
  <si>
    <t>Enfoque integral que incorpora la aplicación tecnológica y la gestión de la información para la creación de soluciones visuales y multimediales.
Desarrollo de líneas temáticas que amplían el espectro de habilidades en grafía para la moda, gráfica publicitaria y medios editoriales lo que permite abordar diversas áreas del diseño gráfico.</t>
  </si>
  <si>
    <t>Herramientas tecnológicas en el desarrollo de artefactos de diseño</t>
  </si>
  <si>
    <t>atender las necesidades en los entornos multimediales</t>
  </si>
  <si>
    <t>de acuerdo con el contexto en el que son pertinentes.</t>
  </si>
  <si>
    <t>Necesidades del contexto social y cultural así como del usuario</t>
  </si>
  <si>
    <t>desarrollar artefactos</t>
  </si>
  <si>
    <t>funcionales y accesibles.</t>
  </si>
  <si>
    <t>Correlaciones entre artefacto, contexto y usuario</t>
  </si>
  <si>
    <t>construir representaciones visuales</t>
  </si>
  <si>
    <t>que atiendan a las necesidades de diseño en situaciones o contextos que lo requieran.</t>
  </si>
  <si>
    <t>Proyectos y metodologías de diseño</t>
  </si>
  <si>
    <t>configurar artefactos</t>
  </si>
  <si>
    <t>acordes y pertinentes, funcionales y accesibles.</t>
  </si>
  <si>
    <t>Diseño de artefactos</t>
  </si>
  <si>
    <t>intervenir contextos en el sector de la moda</t>
  </si>
  <si>
    <t>con tendencias, estilismo y producción gráfica definidas.</t>
  </si>
  <si>
    <t>Fenómenos contemporáneos</t>
  </si>
  <si>
    <t>reconocer sus afectaciones o contribuciones</t>
  </si>
  <si>
    <t>en el marco de las ciudadanías globales y de una sociedad responsable y sostenible.</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</si>
  <si>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</si>
  <si>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</si>
  <si>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</si>
  <si>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</si>
  <si>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</si>
  <si>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</si>
  <si>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</si>
  <si>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</si>
  <si>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</si>
  <si>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</si>
  <si>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</si>
  <si>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</si>
  <si>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</si>
  <si>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RedacciónCompetencia</t>
  </si>
  <si>
    <t>Tipo de Competencia</t>
  </si>
  <si>
    <t>Formular</t>
  </si>
  <si>
    <t>Formular estrategias de comunicación visual para resolver problemas de diseño gráfico acordes con el contexto de aplicación.</t>
  </si>
  <si>
    <t>Específica</t>
  </si>
  <si>
    <t>Gestionar</t>
  </si>
  <si>
    <t>Gestionar herramientas tecnológicas en el desarrollo de artefactos de diseño, de acuerdo con el contexto en el que son pertinentes, para atender las necesidades en los entornos multimediales.</t>
  </si>
  <si>
    <t>Evaluar</t>
  </si>
  <si>
    <t>Evaluar las necesidades del contexto social y cultural así como del usuario para desarrollar artefactos funcionales y accesibles.</t>
  </si>
  <si>
    <t>Construir</t>
  </si>
  <si>
    <t>Construir representaciones gráficas, que atiendan a las necesidades de diseño en las situaciones que lo requieran, para comunicar las correlaciones entre artefacto, contexto y usuario.</t>
  </si>
  <si>
    <t>Aplicar</t>
  </si>
  <si>
    <t>Aplica metodologías de diseño, acordes y pertinentes, para desarrollar proyectos y configurar artefactos funcionales y accesibles.</t>
  </si>
  <si>
    <t>Diseñar</t>
  </si>
  <si>
    <t>Diseñar artefactos para intervenir contextos en el sector de la moda con tendencias, estilismo y producción gráfica definidas.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</si>
  <si>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</si>
  <si>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</si>
  <si>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</si>
  <si>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</si>
  <si>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</si>
  <si>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</si>
  <si>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</si>
  <si>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</si>
  <si>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</si>
  <si>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</si>
  <si>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</si>
  <si>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</si>
  <si>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</si>
  <si>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</si>
  <si>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 Saber</t>
  </si>
  <si>
    <t>Saber Asociado</t>
  </si>
  <si>
    <t>Taxonomía</t>
  </si>
  <si>
    <t>Dominio Asociado</t>
  </si>
  <si>
    <t>Nivel Dominio</t>
  </si>
  <si>
    <t>Verbo RA</t>
  </si>
  <si>
    <t>Resultados Aprendizaje</t>
  </si>
  <si>
    <t>BAK</t>
  </si>
  <si>
    <t>CognitivoBAK</t>
  </si>
  <si>
    <t>AnálisisBAK</t>
  </si>
  <si>
    <t>Relacionar</t>
  </si>
  <si>
    <t>Relaciona estrategias de comunicación visual con las necesidades de diseño para tomar decisiones en procesos creativos.</t>
  </si>
  <si>
    <t>ProcedimentalBAK</t>
  </si>
  <si>
    <t>ControlBAK</t>
  </si>
  <si>
    <t>Diseña artefactos visuales, en diversos medios y formatos, para desarrollar proyectos que respondan de manera funcional a las necesidades del usuario y de la estrategia de comunicación definida.</t>
  </si>
  <si>
    <t>ActitudinalBAK</t>
  </si>
  <si>
    <t>OrganizarBAK</t>
  </si>
  <si>
    <t>Determinar</t>
  </si>
  <si>
    <t>Determina los recursos técnicos, visuales y conceptuales necesarios para generar artefactos de diseño funcionales y accesibles, a partir del análisis del problema y el contexto de aplicación.</t>
  </si>
  <si>
    <t>ComprensiónBAK</t>
  </si>
  <si>
    <t>Identificar</t>
  </si>
  <si>
    <t xml:space="preserve">Identifica dispositivos, herramientas y plataformas tecnológicas para determinar sus posibilidades de uso en proyectos de diseño. </t>
  </si>
  <si>
    <t>ManipulaciónBAK</t>
  </si>
  <si>
    <t>Explorar</t>
  </si>
  <si>
    <t>Explora las posibilidades expresivas de las herramientas y los medios tecnológicos para generar soluciones en contextos de diseño.</t>
  </si>
  <si>
    <t>Analiza las variables relacionadas con las necesidades del contexto y el usuario para tomar decisiones de diseño.</t>
  </si>
  <si>
    <t>Interpretar</t>
  </si>
  <si>
    <t>Interpreta tendencias de la moda para diseñar productos gráficos acordes a su contexto de aplicación.</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</si>
  <si>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</si>
  <si>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</si>
  <si>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</si>
  <si>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</si>
  <si>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</si>
  <si>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</si>
  <si>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</si>
  <si>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</si>
  <si>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</si>
  <si>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</si>
  <si>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</si>
  <si>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</si>
  <si>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</si>
  <si>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</si>
  <si>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</si>
  <si>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</si>
  <si>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</si>
  <si>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t>• Icono media: semillero de investigación en el que participan los estudiantes de los programas adscritos a la Escuela de Diseño y en el cual se abordan diversos temas relacionados con estudios en comunicación e industrias culturales y creativas.
• LogoLab: semillero en el que participan los estudiantes del programa de Diseño Gráfico y en el cual se llevan a cabo ejercicios de proyección social con comunidades de emprendimiento.
• Lumen: semillero en el que participan estudiantes del programa de Diseño Gráfico y en el cual se realizan ejercicios de investigación-creación entorno al proceso fotográfico.</t>
  </si>
  <si>
    <t>Número de proyectos desarrollados en los semilleros.</t>
  </si>
  <si>
    <t>Formar a los estudiantes que participan en la estrategia en los temas que allí se aborden.</t>
  </si>
  <si>
    <t>Reporte o Informe</t>
  </si>
  <si>
    <t>Número de estudiantes que participan en la estrategia.</t>
  </si>
  <si>
    <t>Listados de participación</t>
  </si>
  <si>
    <t>Valoración a la contribución de la estrategia a los resultados de aprendizaje del programa.</t>
  </si>
  <si>
    <t>Encuesta</t>
  </si>
  <si>
    <t>Publicaciones PIF</t>
  </si>
  <si>
    <t>Proyectos resultados procesos de investigación formativa que derivan en publicaciones en revistas de divulgación propias de la Escuela de Diseño entorno a procesos editoriales y de ilustración.</t>
  </si>
  <si>
    <t>Número de actividades de divulgación del proyecto y de asignaturas que presentan PIF.</t>
  </si>
  <si>
    <t>Formar a los estudiantes que participan en la estrategia en los temas que allí se aborden.
Formar a los estudiantes que participan en la estrategia en la generación y divulgación de conocimiento exponiendo o presentando los alcances obtenidos en cada proceso ejecutado.</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</si>
  <si>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</si>
  <si>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</si>
  <si>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Número de proyectos presentados.</t>
  </si>
  <si>
    <t>Formar a los estudiantes que participan en la estrategia en los temas que allí se aborden.
Formar a los estudiantes que participan en la estrategia de generación y divulgación de conocimiento exponiendo o presentando los alcances obtenidos en cada proceso ejecutado.</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</si>
  <si>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</si>
  <si>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</si>
  <si>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Número de proyectos realizados.</t>
  </si>
  <si>
    <t>Formar a los estudiantes que participan en la estrategia de generación y divulgación de conocimiento exponiendo o presentando los alcances obtenidos en cada proceso ejecutado.</t>
  </si>
  <si>
    <t>Número de estudiantes que participan en la estrategia</t>
  </si>
  <si>
    <t>Actividades Formativas y de internacionalización</t>
  </si>
  <si>
    <t>• Clases Espejo: Actividad desarrollada desde el programa de Diseño Gráfico en el contexto de internacionalización que involucra un intercambio temático con docentes y grupos de universidades externas.</t>
  </si>
  <si>
    <t>Número de veces que se realiza la estrategia por el periodo que establezca el programa.</t>
  </si>
  <si>
    <t>Formar a los estudiantes que participan en la estrategia en los temas que allí se aborden.
Informar a los estudiantes sobre temas o tópicos en tendencia del campo profesional.</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</si>
  <si>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</si>
  <si>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</si>
  <si>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</si>
  <si>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</si>
  <si>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</si>
  <si>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</si>
  <si>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</si>
  <si>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</si>
  <si>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</si>
  <si>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</si>
  <si>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</si>
  <si>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</si>
  <si>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</si>
  <si>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</si>
  <si>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</si>
  <si>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</si>
  <si>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</si>
  <si>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</si>
  <si>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</si>
  <si>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</si>
  <si>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</si>
  <si>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</si>
  <si>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</si>
  <si>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</si>
  <si>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</si>
  <si>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</si>
  <si>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</si>
  <si>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</si>
  <si>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</si>
  <si>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</si>
  <si>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</si>
  <si>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</si>
  <si>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</si>
  <si>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</si>
  <si>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</si>
  <si>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</si>
  <si>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</si>
  <si>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</si>
  <si>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</si>
  <si>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</si>
  <si>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</si>
  <si>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</si>
  <si>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</si>
  <si>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 xml:space="preserve">Cultura, Política y Sociedad </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</si>
  <si>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</si>
  <si>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</si>
  <si>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</si>
  <si>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</si>
  <si>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de Comunicación</t>
  </si>
  <si>
    <t>Analiza los procesos de comunicación en distintos contextos socioculturales de los siglos XX y XXI, para interpretar sus transformaciones en la historia reciente.</t>
  </si>
  <si>
    <t>T</t>
  </si>
  <si>
    <t> </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</si>
  <si>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</si>
  <si>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Trabajo directo:
Clases magistrales
Talleres / Laboratorios
Uso de herramientas computacionales
Uso de herrramientas para el diseño
Resolución de problemas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</si>
  <si>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gráficas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</si>
  <si>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Muestras de los proyectos destacados. - Observación. - Heteroevaluación. - Socialización de trabajos de clases. - Socialización de actividades de evaluación.</t>
  </si>
  <si>
    <t>Teoría del Diseño</t>
  </si>
  <si>
    <t>Analiza los fundamentos disciplinares, teóricos y metodológicos del diseño para formular proyectos que respondan a problemáticas vinculadas con usuarios y contextos específicos.</t>
  </si>
  <si>
    <t xml:space="preserve">1. Qué es el diseño 
2. Diseño y otras disciplinas 
3. El diseño y sus metodologías
4. Otros diseños </t>
  </si>
  <si>
    <t>Trabajo directo:
Clases magistrales
Uso de herramientas tecnológicas
Resolución de problemas
Exposiciones magistrales
Análisis de casos
Talleres
Trabajo independiente:
Lecturas
Resolución de problemas
Uso de herramientas tecnológicas
Revisión de literatura
Estado del arte</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</si>
  <si>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</si>
  <si>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
</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</si>
  <si>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</si>
  <si>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</si>
  <si>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</si>
  <si>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Trabajo directo
Clase magistral activa
Estudio de casos
Talleres individuales
Trabajo con herramientas digitales
Trabajo independiente
Lecturas
Resolución de problemas
Uso de herramientas computacionales
Proyectos individuales</t>
  </si>
  <si>
    <t>Las estrategias pueden variar entre las siguientes u otras que puedan ser pertinentes para el proceso de aprendizaje.
Evaluación formativa:
Proyectos
Uso de herramientas digitales
Talleres
Sustentación de proyectos
Evaluación sumativa:
Taller
Presentación y sustentación de proyectos
Piezas gráficas
Exposiciones grupales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</si>
  <si>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</si>
  <si>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</si>
  <si>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</si>
  <si>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</si>
  <si>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Trabajo directo
Clase magistral activa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</si>
  <si>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
Evaluación sumativa:
Talleres
Presentación y sustentación de proyectos
Piezas gráficas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</si>
  <si>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</si>
  <si>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Análisis y Visualización de Datos</t>
  </si>
  <si>
    <t xml:space="preserve">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  </t>
  </si>
  <si>
    <t>1. Contextualización
2. Análisis de Datos y Visualización
3. Usos de la Inteligencia Artificial
4. Casos de Estudio</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</si>
  <si>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</si>
  <si>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</si>
  <si>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</si>
  <si>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</si>
  <si>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Sintaxis de la imagen
2. Intención comunicativa del color en el diseño
3. Proceso compositivo de la imagen
4. El color y la experiencia de usuario</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</si>
  <si>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</si>
  <si>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Composición y Color</t>
  </si>
  <si>
    <t>Identifica los conceptos de composición visual para desarrollar soluciones de diseño que den respuesta a los objetivos comunicacionales.
Interpreta las intenciones comunicativas del color para su aplicación en artefactos de diseño.
Articula fundamentos de composición visual e intenciones comunicativas del color para desarrollar proyectos de comunicación visual.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</si>
  <si>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</si>
  <si>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</si>
  <si>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</si>
  <si>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</si>
  <si>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</si>
  <si>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</si>
  <si>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</si>
  <si>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Trabajo directo:
Clases magistrales
Talleres / Laboratorios
Uso de herramientas computacionales
Uso de herrramientas para fotografía
Resolución de problemas
Trabajo independiente:
Lecturas
Resolución de problemas
Uso de herramientas computacionales
Uso de herramientas para fotografía</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</si>
  <si>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fotográficas</t>
  </si>
  <si>
    <t>Pensamiento Crítico y Ciudadanías Activas</t>
  </si>
  <si>
    <t>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</si>
  <si>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</si>
  <si>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 xml:space="preserve">Trabajo directo:
Encuentros presenciales
Estrategias de aprendizaje con metodologías activas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 </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</si>
  <si>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Lecturas cruzadas,  Plan de Inmersión Seguimiento,  Ejecución Plan de Inmersión , Socialización Plan
Seguimiento , Sistematización- Crónica , Análisis Plan de Inmersión , Feria de proyectos , Seguimiento </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</si>
  <si>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</si>
  <si>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</si>
  <si>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1. Empatía y Comprensión del Usuario
2. Co-creación con los Usuarios
3. Enfoque en la Experiencia del Usuario
4. Diseño del modelo de negocio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</si>
  <si>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</si>
  <si>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 xml:space="preserve">Geometría y Modulación </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</si>
  <si>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</si>
  <si>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</si>
  <si>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Trabajo directo
Clase magistral activa
Lecturas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</si>
  <si>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Evaluación sumativa:
Taller
Exposiciones grupales</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</si>
  <si>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</si>
  <si>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</si>
  <si>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</si>
  <si>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Trabajo directo
Clase magistral activa
Talleres individuales y grupales
Exposiciones
Trabajo independiente
Trabajo de campo
Lecturas
Proyectos</t>
  </si>
  <si>
    <t>Las estrategias pueden variar entre las siguientes u otras que puedan ser pertinentes para el proceso de aprendizaje.
Evaluación formativa:
Resolución de problemas
Proyectos
Sustentación de proyectos
Evaluación sumativa:
Presentación y sustentación de proyectos
Piezas gráficas
Exposiciones grupales
Foros
Evaluación escrita</t>
  </si>
  <si>
    <t>Pensamiento Creativo</t>
  </si>
  <si>
    <t>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</si>
  <si>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</si>
  <si>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Trabajo directo
Clase magistral activa
Estudio de casos
Trabajo con herramientas digitales
Lecturas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</si>
  <si>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
Exposiciones grupales</t>
  </si>
  <si>
    <t>Animación 2D</t>
  </si>
  <si>
    <t>Experimenta con herramientas de representación gráfica para la realización de productos de animación bidimensional aplicadas en piezas audiovisuales. 
Analiza conceptos y técnicas del movimiento de gráficos en movimiento para el análisis y pruebas de animación bidimensional.
Produce piezas audiovisuales integrales con movimiento, narrativa, función, composición y estética de animación 2D para la proyección y finalización audiovisual de cortos animados.</t>
  </si>
  <si>
    <t xml:space="preserve">1. Contexto de la animación bidimensional  
2. Narración audiovisual
3. Herramientas de software para animación 
4. Preproducción y producción de proyecto animado </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</si>
  <si>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</si>
  <si>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</si>
  <si>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</si>
  <si>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1. Análisis de la Era del Antropoceno
2. Otras Alternativas al Desarrollo Sostenible
3. Ciudadanía y Políticas Públicas para el Desarrollo Sostenible
4. El aporte de Negocios para la Búsqueda del Desarrollo Sostenible</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</si>
  <si>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</si>
  <si>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</si>
  <si>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</si>
  <si>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</si>
  <si>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</si>
  <si>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Trabajo directo
Clase magistral activa
Estudio de casos
Talleres individuales o grupales
Trabajo independiente
Proyectos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</si>
  <si>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Sustentación de proyectos
Evaluación sumativa:
Taller
Presentación y sustentación de proyectos
Piezas gráficas
Exposiciones grupales</t>
  </si>
  <si>
    <t>Técnicas de Ilustración</t>
  </si>
  <si>
    <t>Aplica diversas técnicas, materiales y medios en la realización de ilustraciones para expresar gráficamente ideas y conceptos visuales. 
Interpreta conceptos, narrativas y/o ideas para el desarrollo de ilustraciones en proyectos de diseño.
Reconoce los diversos medios de la comunicación visual para aplicar elementos conceptuales y narrativos acordes con los requerimiento de una ilustración.</t>
  </si>
  <si>
    <t xml:space="preserve">1. Bocetación y objetivo 
2. Recursos e ideas  
3. Elementos conceptuales y función 
4. Producción de la idea </t>
  </si>
  <si>
    <t>Modelado 3D</t>
  </si>
  <si>
    <t>Reconoce los recursos y herramientas digitales para desarrollar proyectos con modelos tridimensionales.
Estructura conceptos e ideas para construir modelos tridimensionales.</t>
  </si>
  <si>
    <t xml:space="preserve">1. Contexto del trabajo tridimensional 
2. Fundamentos del modelado 3D 
3. Polígonos 
4. Construcciones basadas en polígonos </t>
  </si>
  <si>
    <t>Trabajo directo
Clase magistral activa
Talleres individuales
Trabajo con herramientas digitales
Trabajo independiente
Proyectos
Lecturas
Resolución de problemas
Uso de herramientas computacionales</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</si>
  <si>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t>
  </si>
  <si>
    <t>Historia del Diseño Gráfico</t>
  </si>
  <si>
    <t>Identifica los diferentes contextos históricos y sus vínculos con los procesos de creación objetual como sustento para el desarrollo de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</si>
  <si>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</si>
  <si>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Trabajo directo:
Clases magistrales
Análisis de imágenes
Trabajo de campo
Foros de discusión
Trabajo independiente:
Lecturas
Análisis de imágenes
Trabajo de campo
Foros de discusión</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</si>
  <si>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</si>
  <si>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Producción Gráfica</t>
  </si>
  <si>
    <t>Identifica elementos técnicos, soportes, formatos y procesos de impresión para diseñar piezas graficas que dan respuesta a los requerimientos del contexto.
Gestiona la información de proyectos gráficos según las necesidades conceptuales que se identifiquen en el contexto, para  producir artefactos según procesos técnicos.</t>
  </si>
  <si>
    <t>1. Planificación de proyecto impreso
2. Procesos de impresión industrial
3. Procesos especiales de impresión
4. Procesos de acabado</t>
  </si>
  <si>
    <t>Trabajo directo:
Clases magistrales
Talleres / Laboratorios
Uso de herramientas computacionales
Uso de herramientas para fotografía
Resolución de problemas
Trabajo independiente:
Lecturas
Resolución de problemas
Uso de herramientas computacionales
Uso de herramientas para fotografía</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</si>
  <si>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</si>
  <si>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</si>
  <si>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</si>
  <si>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</si>
  <si>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</si>
  <si>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Diseño Editorial</t>
  </si>
  <si>
    <t>Integra conceptos de composición, tipografía y color aplicando herramientas técnicas y tecnológicas para realizar proyectos editoriales. 
Propone soluciones en el contexto editorial para llevar a cabo ejercicios de comunicación de proyectos de acuerdo con las necesidades de estos..</t>
  </si>
  <si>
    <t>1. Funciones del diseñador editorial y el grupo de trabajo editorial
2. Anatomía de las publicaciones periódicas y no periódicas
3. Principios tipográficos aplicados al diseño editorial
4. Diseño, composición textual y maquetación digital</t>
  </si>
  <si>
    <t>Trabajo directo
Clase magistral activa
Estudio de casos
Talleres individuales o grupales
Exposiciones
Trabajo independiente
Trabajo de campo
Talleres
Participación en webinars</t>
  </si>
  <si>
    <t>Ilustración para Medios</t>
  </si>
  <si>
    <t>Identifica los requerimientos y necesidades de los proyectos ilustrados para solucionar problemas de diseño, acorde con los medios de salida del proyecto.
Aplica los recursos y técnicas de ilustración adecuadas para satisfacer las necesidades de proyectos de ilustración, usuarios y el contexto.</t>
  </si>
  <si>
    <t>1. Fundamentos de la ilustración para medios
2. Dirección de proyecto de ilustración
3. Producción del proyecto ilustrado
4. El rol del ilustrador en la profesión</t>
  </si>
  <si>
    <t>Trabajo directo
Clase magistral activa
Estudio de casos
Trabajo con herramientas digitales
Talleres individuales y grupales
Exposiciones
Trabajo independiente
Trabajo de campo
Talleres
Proyectos
Lecturas</t>
  </si>
  <si>
    <t>Las estrategias pueden variar entre las siguientes u otras que puedan ser pertinentes para el proceso de aprendizaje.
Evaluación formativa:
Resolución de problemas
Proyectos
Uso de herramientas digitales
Talleres
Sustentación de proyectos
Evaluación sumativa:
Taller / Laboratorios
Presentación y sustentación de proyectos
Piezas gráficas
Exposiciones grupales</t>
  </si>
  <si>
    <t>Animación en 3D</t>
  </si>
  <si>
    <t>Reconoce los elementos de la realización audiovisual para incorporarlos en la configuración de proyectos animados en tres dimensiones, según las condiciones del contexto.
Explora posibilidades técnicas y conceptuales para ejecutar proyectos animados en tres dimensiones.</t>
  </si>
  <si>
    <t>1. Contexto de la animación en tres dimensiones
2. Nurbs
3. Elementos para la animación
4. Preproducción y producción de proyecto animado</t>
  </si>
  <si>
    <t>Trabajo directo
Clase magistral activa
Estudio de casos
Talleres individuales
Trabajo con herramientas digitales
Trabajo independiente
Proyectos individuales
Lecturas</t>
  </si>
  <si>
    <t xml:space="preserve">Identidad Visual </t>
  </si>
  <si>
    <t>Interpreta información de acuerdo con los criterios y las necesidades del usuario, para proponer representaciones gráficas según el contexto de aplicación.
Propone soluciones gráficas en las que se incorporen elementos del campo de la imagen corporativa y el branding como los signos y el lenguaje para resolver problemas de comunicación visual.</t>
  </si>
  <si>
    <t>1. La identidad visual y la comunicación corporativa
2. Fundamentos y conceptos generales de marca
3. Ideación y exploración formal del signo
4. Creación de sistema de identidad visual</t>
  </si>
  <si>
    <t>Trabajo directo
Clase magistral activa
Talleres individuales o grupales
Exposiciones
Trabajo independiente
Trabajo de campo
Proyectos
Lecturas
Talleres</t>
  </si>
  <si>
    <t>Grafía para la Moda</t>
  </si>
  <si>
    <t>Identifica necesidades de comunicación en el sector de la moda para desarrollar proyectos de ilustración en los que se incorpore el uso de figurines y grafía para textiles, y se atienda a las necesidades del contexto.
Conceptualiza ilustraciones a partir de temas o tendencias, para proponer soluciones de diseño en el sector de la moda en las que se usen materiales y técnicas de representación.</t>
  </si>
  <si>
    <t>1. Ilustración para textiles
2. El figurín femenino y masculino en la moda: esquemas, vistas, partes del cuerpo y el vestir
3. Materiales y técnicas de representación: Color, textura y formas
4. Objetos y accesorios para la moda</t>
  </si>
  <si>
    <t>Diseño de Empaques</t>
  </si>
  <si>
    <t>Analiza las variables relacionadas con las necesidades del contexto y el usuario para tomar decisiones de diseño funcionales y accesibles.
Explora las posibilidades expresivas de las herramientas y medios tecnológicos para desarrollar artefactos con recursos conceptuales y técnicos en un proyecto de empaque.</t>
  </si>
  <si>
    <t>1. Producto, empaque y marca
2. Materiales y procesos
3. Diseño de empaques sólidos
4. Diseño de empaques flexibles</t>
  </si>
  <si>
    <t>Diseño de Información</t>
  </si>
  <si>
    <t>Identifica los conceptos del diseño de información a través de la conexión entre información y pensamiento humano para aplicar en proyectos de comunicación visual. 
Desarrolla sistemas de información visual haciendo uso los recursos gráficos, navegabilidad, interactividad y usabilidad para  representar información compleja en proyectos de diseño.</t>
  </si>
  <si>
    <t>1. Análisis y contexto de la información
2. Contenidos y presentación visual
3. Recursos de la información
4. Sistemas de información aplicados</t>
  </si>
  <si>
    <t>Proyecto Animado 3D</t>
  </si>
  <si>
    <t xml:space="preserve">Integra recursos de producción audiovisual como el sonido, la composición y la edición para configurar proyectos animados en 3D.
Reconoce los procesos de preproducción, producción y posproducción para diseñar piezas animadas en 3D que cumplan con objetivos conceptuales planteados. </t>
  </si>
  <si>
    <t xml:space="preserve">1. Preproducción de proyecto animado
2. Herramientas del trabajo tridimensional 
3. Caracterización de personajes y escenarios
4. Producción y finalización de la animación </t>
  </si>
  <si>
    <t>Electiva I</t>
  </si>
  <si>
    <t>Electiva 2</t>
  </si>
  <si>
    <t>Imagen y Estilismo de Moda</t>
  </si>
  <si>
    <t>Propone estrategias de comunicación de la moda, para aplicarlas en procesos de preproducción y producción de contenidos editoriales.
Diseña editoriales de modas a partir de la interpretación y conceptualización, para comunicar colecciones o tendencias de acuerdo con las necesidades del contexto y el usuario.</t>
  </si>
  <si>
    <t>1. Planificación y diseño de editorial de moda
2. Estilismo de moda: para fotografía, revistas, catálogos, blogs, redes sociales y medios digitales
3. Preproducción, producción y posproducción para fotografía de moda
4. Plataformas y medios de distribución de contenidos para la moda</t>
  </si>
  <si>
    <t>Trabajo directo
Clase magistral activa
Estudio de casos
Talleres individuales o grupales
Trabajo independiente
Trabajo de campo
Talleres
Proyectos
Lecturas</t>
  </si>
  <si>
    <t>Fundamentos de Interactividad</t>
  </si>
  <si>
    <t xml:space="preserve">Reconoce lo aspectos históricos y evolutivos de la interactividad para proponer prototipos en los que se apliquen conceptos de usabilidad y accesibilidad digital.   
Realiza procesos de evaluación heurística para reconocer aciertos y posibles errores de diseño de interfaces digitales en el  desarrollo de productos interactivos.  </t>
  </si>
  <si>
    <t>1. Historia y fundamentación  
2. Arquitectura de la información  
3. Conceptos de Navegabilidad y Prototipado
4. Evaluación de Productos Digitales</t>
  </si>
  <si>
    <t>Trabajo directo
Clase magistral activa
Estudio de casos
Talleres individuales
Exposiciones
Trabajo independiente
Trabajo de campo
Proyectos
Lecturas</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</si>
  <si>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</si>
  <si>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</si>
  <si>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</si>
  <si>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Electiva 3</t>
  </si>
  <si>
    <t>Electiva 4</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</si>
  <si>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</si>
  <si>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</si>
  <si>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Trabajo directo
Clase magistral activa
Talleres individuales o grupales
Exposiciones
Trabajo independiente
Trabajo de campo
Talleres
Proyectos
Lecturas</t>
  </si>
  <si>
    <t>Proyecto para Medios Digitales</t>
  </si>
  <si>
    <t>Identifica necesidades y requerimientos del planteamiento de diseño para desarrollar proyectos digitales eficientes, eficaces y asertivos.
Integra conocimientos de planeación estratégica, diseño de experiencia de usuario, arquitectura de la información, interfaz de usuario, desarrollo de prototipos digitales (Front-end, Back-end) para implementar proyectos de diseño acordes con las necesidades del contexto.</t>
  </si>
  <si>
    <t>1. Planeación estratégica de soluciones digitales
2. Diseño de experiencia de usuario y arquitectura de la información
3. Diseño de interfaz de usuario
4. Producción Front-end y Back-end (Prototipado)</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</si>
  <si>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</si>
  <si>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</si>
  <si>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</si>
  <si>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</si>
  <si>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</si>
  <si>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</si>
  <si>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</si>
  <si>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</si>
  <si>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</si>
  <si>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</si>
  <si>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</si>
  <si>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</si>
  <si>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</si>
  <si>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</si>
  <si>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</si>
  <si>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</si>
  <si>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</si>
  <si>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</si>
  <si>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</si>
  <si>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</si>
  <si>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</si>
  <si>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Generar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</si>
  <si>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</si>
  <si>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</si>
  <si>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</si>
  <si>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</si>
  <si>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</si>
  <si>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</si>
  <si>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</si>
  <si>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</si>
  <si>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</si>
  <si>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</si>
  <si>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</si>
  <si>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</si>
  <si>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</si>
  <si>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</si>
  <si>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</si>
  <si>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Anderson y Krathwohl (AK)</t>
  </si>
  <si>
    <t>Taxonomía de Bloom adaptada bajo las ideas de Marzano y Kendal (MK)</t>
  </si>
  <si>
    <t>Taxonomía de Bloom</t>
  </si>
  <si>
    <t>Cognitivo(BAK)</t>
  </si>
  <si>
    <t>Procedimental(BAK)</t>
  </si>
  <si>
    <t>Actitudinal(BAK)</t>
  </si>
  <si>
    <t>Taxonomías</t>
  </si>
  <si>
    <t>AK</t>
  </si>
  <si>
    <t>MK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</si>
  <si>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</si>
  <si>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</si>
  <si>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</si>
  <si>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</si>
  <si>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</si>
  <si>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</si>
  <si>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</si>
  <si>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</si>
  <si>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</si>
  <si>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</si>
  <si>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</si>
  <si>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</si>
  <si>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</si>
  <si>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</si>
  <si>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</si>
  <si>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ValorarBAK</t>
  </si>
  <si>
    <t>CaracterizarBAK</t>
  </si>
  <si>
    <t>CognitivoInf(AK)</t>
  </si>
  <si>
    <t>CognitivoSup(AK)</t>
  </si>
  <si>
    <t>Procedimental(AK)</t>
  </si>
  <si>
    <t>Actitudinal(AK)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</si>
  <si>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</si>
  <si>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</si>
  <si>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</si>
  <si>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</si>
  <si>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</si>
  <si>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</si>
  <si>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</si>
  <si>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</si>
  <si>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</si>
  <si>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</si>
  <si>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</si>
  <si>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</si>
  <si>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</si>
  <si>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</si>
  <si>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</si>
  <si>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</si>
  <si>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</si>
  <si>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</si>
  <si>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</si>
  <si>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</si>
  <si>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</si>
  <si>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</si>
  <si>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</si>
  <si>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</si>
  <si>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</si>
  <si>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</si>
  <si>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</si>
  <si>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</si>
  <si>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</si>
  <si>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</si>
  <si>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</si>
  <si>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</si>
  <si>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</si>
  <si>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</si>
  <si>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</si>
  <si>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</si>
  <si>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</si>
  <si>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</si>
  <si>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</si>
  <si>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</si>
  <si>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</si>
  <si>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</si>
  <si>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</si>
  <si>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</si>
  <si>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</si>
  <si>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</si>
  <si>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</si>
  <si>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</si>
  <si>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</si>
  <si>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</si>
  <si>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</si>
  <si>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</si>
  <si>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</si>
  <si>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</si>
  <si>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</si>
  <si>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</si>
  <si>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</si>
  <si>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</si>
  <si>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</si>
  <si>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</si>
  <si>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</si>
  <si>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</si>
  <si>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</si>
  <si>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</si>
  <si>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</si>
  <si>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</si>
  <si>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</si>
  <si>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</si>
  <si>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</si>
  <si>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</si>
  <si>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</si>
  <si>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</si>
  <si>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</si>
  <si>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</si>
  <si>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</si>
  <si>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</si>
  <si>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</si>
  <si>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</si>
  <si>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</si>
  <si>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</si>
  <si>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</si>
  <si>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</si>
  <si>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</si>
  <si>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</si>
  <si>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</si>
  <si>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</si>
  <si>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</si>
  <si>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</si>
  <si>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</si>
  <si>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</si>
  <si>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</si>
  <si>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</si>
  <si>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</si>
  <si>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</si>
  <si>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</si>
  <si>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</si>
  <si>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</si>
  <si>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</si>
  <si>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</si>
  <si>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</si>
  <si>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</si>
  <si>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</si>
  <si>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</si>
  <si>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</si>
  <si>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</si>
  <si>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</si>
  <si>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</si>
  <si>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</si>
  <si>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</si>
  <si>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</si>
  <si>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</si>
  <si>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</si>
  <si>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</si>
  <si>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</si>
  <si>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</si>
  <si>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</si>
  <si>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</si>
  <si>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</si>
  <si>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</si>
  <si>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</si>
  <si>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</si>
  <si>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</si>
  <si>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</si>
  <si>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</si>
  <si>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</si>
  <si>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</si>
  <si>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</si>
  <si>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</si>
  <si>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</si>
  <si>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</si>
  <si>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</si>
  <si>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</si>
  <si>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</si>
  <si>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</si>
  <si>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</si>
  <si>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</si>
  <si>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</si>
  <si>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</si>
  <si>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</si>
  <si>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</si>
  <si>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</si>
  <si>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</si>
  <si>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</si>
  <si>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</si>
  <si>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</si>
  <si>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</si>
  <si>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</si>
  <si>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</si>
  <si>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</si>
  <si>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</si>
  <si>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</si>
  <si>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</si>
  <si>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</si>
  <si>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</si>
  <si>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</si>
  <si>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</si>
  <si>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</si>
  <si>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</si>
  <si>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</si>
  <si>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</si>
  <si>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</si>
  <si>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</si>
  <si>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</si>
  <si>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</si>
  <si>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</si>
  <si>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</si>
  <si>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</si>
  <si>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</si>
  <si>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</si>
  <si>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</si>
  <si>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</si>
  <si>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</si>
  <si>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</si>
  <si>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</si>
  <si>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</si>
  <si>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</si>
  <si>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</si>
  <si>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</si>
  <si>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</si>
  <si>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</si>
  <si>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</si>
  <si>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</si>
  <si>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</si>
  <si>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</si>
  <si>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</si>
  <si>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</si>
  <si>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</si>
  <si>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Valorar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</si>
  <si>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</si>
  <si>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</si>
  <si>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</si>
  <si>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</si>
  <si>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</si>
  <si>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</si>
  <si>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</si>
  <si>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</si>
  <si>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</si>
  <si>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</si>
  <si>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</si>
  <si>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</si>
  <si>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</si>
  <si>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</si>
  <si>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</si>
  <si>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</si>
  <si>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</si>
  <si>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</si>
  <si>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</si>
  <si>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</si>
  <si>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</si>
  <si>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</si>
  <si>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</si>
  <si>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</si>
  <si>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</si>
  <si>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</si>
  <si>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</si>
  <si>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</si>
  <si>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</si>
  <si>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</si>
  <si>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</si>
  <si>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</si>
  <si>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</si>
  <si>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</si>
  <si>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</si>
  <si>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</si>
  <si>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</si>
  <si>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</si>
  <si>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</si>
  <si>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</si>
  <si>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</si>
  <si>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</si>
  <si>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</si>
  <si>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</si>
  <si>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</si>
  <si>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</si>
  <si>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</si>
  <si>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</si>
  <si>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</si>
  <si>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</si>
  <si>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</si>
  <si>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</si>
  <si>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</si>
  <si>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</si>
  <si>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</si>
  <si>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</si>
  <si>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</si>
  <si>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</si>
  <si>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</si>
  <si>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</si>
  <si>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</si>
  <si>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</si>
  <si>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</si>
  <si>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</si>
  <si>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</si>
  <si>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</si>
  <si>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</si>
  <si>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</si>
  <si>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</si>
  <si>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</si>
  <si>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</si>
  <si>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</si>
  <si>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</si>
  <si>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</si>
  <si>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</si>
  <si>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</si>
  <si>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</si>
  <si>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</si>
  <si>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</si>
  <si>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</si>
  <si>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</si>
  <si>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</si>
  <si>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</si>
  <si>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</si>
  <si>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</si>
  <si>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</si>
  <si>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</si>
  <si>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</si>
  <si>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</si>
  <si>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</si>
  <si>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</si>
  <si>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</si>
  <si>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</si>
  <si>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</si>
  <si>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</si>
  <si>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</si>
  <si>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</si>
  <si>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</si>
  <si>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</si>
  <si>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</si>
  <si>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</si>
  <si>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</si>
  <si>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</si>
  <si>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</si>
  <si>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</si>
  <si>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</si>
  <si>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</si>
  <si>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</si>
  <si>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</si>
  <si>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</si>
  <si>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</si>
  <si>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</si>
  <si>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</si>
  <si>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</si>
  <si>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</si>
  <si>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</si>
  <si>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</si>
  <si>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</si>
  <si>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</si>
  <si>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</si>
  <si>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</si>
  <si>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</si>
  <si>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</si>
  <si>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</si>
  <si>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</si>
  <si>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</si>
  <si>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</si>
  <si>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</si>
  <si>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</si>
  <si>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</si>
  <si>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</si>
  <si>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</si>
  <si>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</si>
  <si>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</si>
  <si>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</si>
  <si>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</si>
  <si>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</si>
  <si>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</si>
  <si>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</si>
  <si>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</si>
  <si>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</si>
  <si>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</si>
  <si>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</si>
  <si>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</si>
  <si>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</si>
  <si>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</si>
  <si>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</si>
  <si>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</si>
  <si>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</si>
  <si>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</si>
  <si>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</si>
  <si>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</si>
  <si>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</si>
  <si>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</si>
  <si>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</si>
  <si>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</si>
  <si>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</si>
  <si>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</si>
  <si>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</si>
  <si>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</si>
  <si>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</si>
  <si>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</si>
  <si>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</si>
  <si>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</si>
  <si>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</si>
  <si>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</si>
  <si>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</si>
  <si>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</si>
  <si>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</si>
  <si>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</si>
  <si>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</si>
  <si>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</si>
  <si>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</si>
  <si>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</si>
  <si>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</si>
  <si>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</si>
  <si>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</si>
  <si>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</si>
  <si>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</si>
  <si>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</si>
  <si>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</si>
  <si>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</si>
  <si>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</si>
  <si>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</si>
  <si>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</si>
  <si>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</si>
  <si>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</si>
  <si>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</si>
  <si>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</si>
  <si>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</si>
  <si>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</si>
  <si>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</si>
  <si>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</si>
  <si>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</si>
  <si>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</si>
  <si>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</si>
  <si>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</si>
  <si>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</si>
  <si>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</si>
  <si>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</si>
  <si>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</si>
  <si>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</si>
  <si>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1. Historia de las tecnologías de la escritura y de la impresión.
2. Anatomía de los tipos, estilos, familias y fuentes tipográficas.
3. Principios de composición tipográfica.
4. Composición tipográfica para medios digitales.</t>
  </si>
  <si>
    <t>1. Identificación, diagnóstico y rastreo
2. Planteamiento de la ruta proyectual
3. Desarrollo de la propuesta de diseño
4. Implementación y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</si>
</sst>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9"/>
      <color theme="0"/>
      <name val="Gill Sans MT"/>
      <family val="2"/>
    </font>
    <font>
      <sz val="11"/>
      <color theme="0"/>
      <name val="Gill Sans MT"/>
      <family val="2"/>
    </font>
    <font>
      <b/>
      <sz val="11"/>
      <name val="Gill Sans MT"/>
      <family val="2"/>
    </font>
    <font>
      <b/>
      <sz val="11"/>
      <color theme="1"/>
      <name val="Gill Sans MT"/>
      <family val="2"/>
    </font>
    <font>
      <sz val="9"/>
      <color theme="1"/>
      <name val="Gill Sans MT"/>
      <family val="2"/>
    </font>
    <font>
      <sz val="11"/>
      <name val="Gill Sans MT"/>
      <family val="2"/>
    </font>
    <font>
      <sz val="8"/>
      <color theme="0"/>
      <name val="Gill Sans MT"/>
      <family val="2"/>
    </font>
    <font>
      <b/>
      <sz val="11"/>
      <color rgb="FFFFFFFF"/>
      <name val="Gill Sans MT"/>
      <family val="2"/>
    </font>
    <font>
      <sz val="10"/>
      <color rgb="FF000000"/>
      <name val="Gill Sans MT"/>
      <family val="2"/>
    </font>
    <font>
      <sz val="10"/>
      <color theme="1"/>
      <name val="Gill Sans MT"/>
      <family val="2"/>
    </font>
    <font>
      <sz val="10"/>
      <name val="Gill Sans MT"/>
      <family val="2"/>
    </font>
    <font>
      <b/>
      <sz val="9"/>
      <color rgb="FFFFFFFF"/>
      <name val="Gill Sans MT"/>
      <family val="2"/>
    </font>
    <font>
      <sz val="9"/>
      <color rgb="FF000000"/>
      <name val="Gill Sans MT"/>
      <family val="2"/>
    </font>
    <font>
      <sz val="8"/>
      <color rgb="FFFFFFFF"/>
      <name val="Gill Sans MT"/>
      <family val="2"/>
    </font>
    <font>
      <b/>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u/>
      <sz val="10"/>
      <color theme="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rgb="FFFFF2CC"/>
        <bgColor rgb="FF000000"/>
      </patternFill>
    </fill>
    <fill>
      <patternFill patternType="solid">
        <fgColor rgb="FFD9E1F2"/>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style="thin">
        <color rgb="FF1FB2DE"/>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rgb="FF000000"/>
      </bottom>
      <diagonal/>
    </border>
    <border>
      <left/>
      <right/>
      <top style="medium">
        <color rgb="FF000000"/>
      </top>
      <bottom/>
      <diagonal/>
    </border>
  </borders>
  <cellStyleXfs count="1">
    <xf numFmtId="0" fontId="0" fillId="0" borderId="0"/>
  </cellStyleXfs>
  <cellXfs count="174">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justify" vertical="center" wrapText="1"/>
    </xf>
    <xf numFmtId="0" fontId="3"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4" fillId="0" borderId="0" xfId="0" applyFont="1" applyAlignment="1">
      <alignment vertical="center" wrapText="1"/>
    </xf>
    <xf numFmtId="0" fontId="11" fillId="0" borderId="0" xfId="0" applyFont="1" applyAlignment="1">
      <alignment vertical="center" wrapText="1"/>
    </xf>
    <xf numFmtId="0" fontId="3" fillId="0" borderId="0" xfId="0" applyFont="1" applyAlignment="1">
      <alignment horizontal="left" vertical="center"/>
    </xf>
    <xf numFmtId="0" fontId="3" fillId="0" borderId="11" xfId="0" applyFont="1" applyBorder="1" applyAlignment="1">
      <alignment vertical="center" wrapText="1"/>
    </xf>
    <xf numFmtId="0" fontId="3" fillId="0" borderId="13" xfId="0" applyFont="1" applyBorder="1" applyAlignment="1">
      <alignment horizontal="center" vertical="center" wrapText="1"/>
    </xf>
    <xf numFmtId="0" fontId="3" fillId="0" borderId="13" xfId="0" applyFont="1" applyBorder="1" applyAlignment="1">
      <alignment vertical="center" wrapText="1"/>
    </xf>
    <xf numFmtId="0" fontId="3" fillId="0" borderId="0" xfId="0" applyFont="1" applyAlignment="1">
      <alignment vertical="center"/>
    </xf>
    <xf numFmtId="0" fontId="14" fillId="0" borderId="0" xfId="0" applyFont="1" applyAlignment="1">
      <alignment vertical="center" wrapText="1"/>
    </xf>
    <xf numFmtId="0" fontId="15" fillId="0" borderId="0" xfId="0" applyFont="1"/>
    <xf numFmtId="0" fontId="15" fillId="0" borderId="0" xfId="0" applyFont="1" applyAlignment="1">
      <alignment vertical="center"/>
    </xf>
    <xf numFmtId="0" fontId="15" fillId="0" borderId="0" xfId="0" applyFont="1" applyAlignment="1">
      <alignment vertical="top"/>
    </xf>
    <xf numFmtId="0" fontId="14" fillId="6" borderId="13" xfId="0" applyFont="1" applyFill="1" applyBorder="1" applyAlignment="1">
      <alignment vertical="center" wrapText="1"/>
    </xf>
    <xf numFmtId="0" fontId="14" fillId="6" borderId="13" xfId="0" applyFont="1" applyFill="1" applyBorder="1" applyAlignment="1">
      <alignment horizontal="center" vertical="center" wrapText="1"/>
    </xf>
    <xf numFmtId="0" fontId="14" fillId="6" borderId="13" xfId="0" applyFont="1" applyFill="1" applyBorder="1" applyAlignment="1">
      <alignment horizontal="left" vertical="center" wrapText="1"/>
    </xf>
    <xf numFmtId="0" fontId="16" fillId="6" borderId="13" xfId="0" applyFont="1" applyFill="1" applyBorder="1" applyAlignment="1">
      <alignment horizontal="center" vertical="center"/>
    </xf>
    <xf numFmtId="0" fontId="15" fillId="6" borderId="13" xfId="0" applyFont="1" applyFill="1" applyBorder="1" applyAlignment="1">
      <alignment horizontal="left" vertical="center" wrapText="1"/>
    </xf>
    <xf numFmtId="0" fontId="15" fillId="6" borderId="13" xfId="0" applyFont="1" applyFill="1" applyBorder="1" applyAlignment="1">
      <alignment horizontal="center" vertical="center"/>
    </xf>
    <xf numFmtId="0" fontId="16" fillId="6" borderId="13" xfId="0" applyFont="1" applyFill="1" applyBorder="1" applyAlignment="1">
      <alignment horizontal="left" vertical="center" wrapText="1"/>
    </xf>
    <xf numFmtId="0" fontId="16" fillId="6" borderId="13" xfId="0" applyFont="1" applyFill="1" applyBorder="1" applyAlignment="1">
      <alignment horizontal="center" vertical="center" wrapText="1"/>
    </xf>
    <xf numFmtId="0" fontId="14" fillId="7" borderId="13" xfId="0" applyFont="1" applyFill="1" applyBorder="1" applyAlignment="1">
      <alignment vertical="center" wrapText="1"/>
    </xf>
    <xf numFmtId="0" fontId="16" fillId="7" borderId="13" xfId="0" applyFont="1" applyFill="1" applyBorder="1" applyAlignment="1">
      <alignment horizontal="center" vertical="center" wrapText="1"/>
    </xf>
    <xf numFmtId="0" fontId="16" fillId="7" borderId="13" xfId="0" applyFont="1" applyFill="1" applyBorder="1" applyAlignment="1">
      <alignment horizontal="left" vertical="center" wrapText="1"/>
    </xf>
    <xf numFmtId="0" fontId="14" fillId="7" borderId="14" xfId="0" applyFont="1" applyFill="1" applyBorder="1" applyAlignment="1">
      <alignment vertical="center" wrapText="1"/>
    </xf>
    <xf numFmtId="0" fontId="16" fillId="7" borderId="14" xfId="0" applyFont="1" applyFill="1" applyBorder="1" applyAlignment="1">
      <alignment horizontal="center" vertical="center" wrapText="1"/>
    </xf>
    <xf numFmtId="0" fontId="16" fillId="7" borderId="14" xfId="0" applyFont="1" applyFill="1" applyBorder="1" applyAlignment="1">
      <alignment horizontal="left" vertical="center" wrapText="1"/>
    </xf>
    <xf numFmtId="0" fontId="16" fillId="7" borderId="13" xfId="0" applyFont="1" applyFill="1" applyBorder="1" applyAlignment="1">
      <alignment horizontal="center" vertical="center"/>
    </xf>
    <xf numFmtId="0" fontId="15" fillId="7" borderId="13" xfId="0" applyFont="1" applyFill="1" applyBorder="1" applyAlignment="1">
      <alignment horizontal="left" vertical="center" wrapText="1"/>
    </xf>
    <xf numFmtId="0" fontId="15" fillId="7" borderId="13" xfId="0" applyFont="1" applyFill="1" applyBorder="1" applyAlignment="1">
      <alignment horizontal="center" vertical="center"/>
    </xf>
    <xf numFmtId="0" fontId="14" fillId="0" borderId="13" xfId="0" applyFont="1" applyBorder="1" applyAlignment="1">
      <alignment vertical="center" wrapText="1"/>
    </xf>
    <xf numFmtId="0" fontId="14" fillId="0" borderId="11" xfId="0" applyFont="1" applyBorder="1" applyAlignment="1">
      <alignment vertical="center" wrapText="1"/>
    </xf>
    <xf numFmtId="0" fontId="17" fillId="8" borderId="2" xfId="0" applyFont="1" applyFill="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wrapText="1"/>
    </xf>
    <xf numFmtId="0" fontId="10" fillId="0" borderId="0" xfId="0" applyFont="1" applyAlignment="1">
      <alignment horizontal="left" wrapText="1"/>
    </xf>
    <xf numFmtId="0" fontId="10" fillId="0" borderId="0" xfId="0" applyFont="1"/>
    <xf numFmtId="0" fontId="10" fillId="0" borderId="0" xfId="0" applyFont="1" applyAlignment="1">
      <alignment wrapText="1"/>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xf>
    <xf numFmtId="0" fontId="6" fillId="0" borderId="0" xfId="0" applyFont="1"/>
    <xf numFmtId="0" fontId="15" fillId="6" borderId="14" xfId="0" applyFont="1" applyFill="1" applyBorder="1" applyAlignment="1">
      <alignment horizontal="center" vertical="center"/>
    </xf>
    <xf numFmtId="0" fontId="4" fillId="0" borderId="0" xfId="0" applyFont="1" applyAlignment="1">
      <alignment horizontal="left" vertical="center" wrapText="1"/>
    </xf>
    <xf numFmtId="0" fontId="15" fillId="6" borderId="13"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4" fillId="6" borderId="9" xfId="0" applyFont="1" applyFill="1" applyBorder="1" applyAlignment="1">
      <alignment vertical="center" wrapText="1"/>
    </xf>
    <xf numFmtId="0" fontId="14" fillId="6" borderId="14" xfId="0" applyFont="1" applyFill="1" applyBorder="1" applyAlignment="1">
      <alignment vertical="center" wrapText="1"/>
    </xf>
    <xf numFmtId="0" fontId="16" fillId="6" borderId="14" xfId="0" applyFont="1" applyFill="1" applyBorder="1" applyAlignment="1">
      <alignment horizontal="center" vertical="center" wrapText="1"/>
    </xf>
    <xf numFmtId="0" fontId="16" fillId="6" borderId="14" xfId="0" applyFont="1" applyFill="1" applyBorder="1" applyAlignment="1">
      <alignment horizontal="left" vertical="center" wrapText="1"/>
    </xf>
    <xf numFmtId="0" fontId="14" fillId="0" borderId="10" xfId="0" applyFont="1" applyBorder="1" applyAlignment="1">
      <alignment vertical="center" wrapText="1"/>
    </xf>
    <xf numFmtId="0" fontId="14" fillId="0" borderId="12" xfId="0" applyFont="1" applyBorder="1" applyAlignment="1">
      <alignment vertical="center" wrapText="1"/>
    </xf>
    <xf numFmtId="0" fontId="14" fillId="0" borderId="15" xfId="0" applyFont="1" applyBorder="1" applyAlignment="1">
      <alignment vertical="center" wrapText="1"/>
    </xf>
    <xf numFmtId="0" fontId="12"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2" fillId="0" borderId="0" xfId="0" applyFont="1" applyAlignment="1">
      <alignment horizontal="center" vertical="center" wrapText="1"/>
    </xf>
    <xf numFmtId="0" fontId="9" fillId="0" borderId="0" xfId="0" applyFont="1" applyAlignment="1">
      <alignment wrapText="1"/>
    </xf>
    <xf numFmtId="0" fontId="19" fillId="8" borderId="1" xfId="0" applyFont="1" applyFill="1" applyBorder="1" applyAlignment="1">
      <alignment horizontal="center" vertical="center" wrapText="1"/>
    </xf>
    <xf numFmtId="0" fontId="22" fillId="0" borderId="0" xfId="0" applyFont="1" applyAlignment="1">
      <alignment horizontal="left" vertical="center" wrapText="1"/>
    </xf>
    <xf numFmtId="0" fontId="13" fillId="8" borderId="8" xfId="0" applyFont="1" applyFill="1" applyBorder="1" applyAlignment="1">
      <alignment horizontal="center" vertical="center" wrapText="1"/>
    </xf>
    <xf numFmtId="0" fontId="9" fillId="0" borderId="0" xfId="0" applyFont="1" applyAlignment="1">
      <alignment horizontal="left" vertical="center" wrapText="1"/>
    </xf>
    <xf numFmtId="0" fontId="24" fillId="10" borderId="1" xfId="0" applyFont="1" applyFill="1" applyBorder="1" applyAlignment="1">
      <alignment horizontal="center" vertical="center" wrapText="1"/>
    </xf>
    <xf numFmtId="0" fontId="4" fillId="0" borderId="0" xfId="0" applyFont="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wrapText="1"/>
    </xf>
    <xf numFmtId="0" fontId="19"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14" fillId="0" borderId="16" xfId="0" applyFont="1" applyBorder="1" applyAlignment="1">
      <alignment vertical="center" wrapText="1"/>
    </xf>
    <xf numFmtId="0" fontId="14"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5" fillId="6" borderId="16"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15" fillId="7" borderId="16" xfId="0" applyFont="1" applyFill="1" applyBorder="1" applyAlignment="1">
      <alignment horizontal="left" vertical="center" wrapText="1"/>
    </xf>
    <xf numFmtId="0" fontId="15" fillId="0" borderId="0" xfId="0" applyFont="1" applyAlignment="1">
      <alignment horizontal="right" vertical="center"/>
    </xf>
    <xf numFmtId="0" fontId="4" fillId="0" borderId="11" xfId="0" applyFont="1" applyBorder="1" applyAlignment="1">
      <alignment vertical="center" wrapText="1"/>
    </xf>
    <xf numFmtId="0" fontId="8" fillId="3"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4" fillId="11" borderId="13" xfId="0" applyFont="1" applyFill="1" applyBorder="1" applyAlignment="1">
      <alignment vertical="center" wrapText="1"/>
    </xf>
    <xf numFmtId="0" fontId="16" fillId="11" borderId="13" xfId="0" applyFont="1" applyFill="1" applyBorder="1" applyAlignment="1">
      <alignment vertical="center" wrapText="1"/>
    </xf>
    <xf numFmtId="0" fontId="16" fillId="11" borderId="14" xfId="0" applyFont="1" applyFill="1" applyBorder="1" applyAlignment="1">
      <alignment vertical="center" wrapText="1"/>
    </xf>
    <xf numFmtId="0" fontId="14" fillId="11" borderId="16" xfId="0" applyFont="1" applyFill="1" applyBorder="1" applyAlignment="1">
      <alignment vertical="center" wrapText="1"/>
    </xf>
    <xf numFmtId="0" fontId="16" fillId="12" borderId="13" xfId="0" applyFont="1" applyFill="1" applyBorder="1" applyAlignment="1">
      <alignment vertical="center" wrapText="1"/>
    </xf>
    <xf numFmtId="0" fontId="14" fillId="12" borderId="13" xfId="0" applyFont="1" applyFill="1" applyBorder="1" applyAlignment="1">
      <alignment vertical="center" wrapText="1"/>
    </xf>
    <xf numFmtId="0" fontId="11" fillId="0" borderId="11" xfId="0" applyFont="1" applyBorder="1" applyAlignment="1">
      <alignment vertical="center" wrapText="1"/>
    </xf>
    <xf numFmtId="0" fontId="11" fillId="0" borderId="13" xfId="0" applyFont="1" applyBorder="1" applyAlignment="1">
      <alignment vertical="center" wrapText="1"/>
    </xf>
    <xf numFmtId="0" fontId="3" fillId="0" borderId="13" xfId="0" applyFont="1" applyBorder="1" applyAlignment="1">
      <alignment vertical="center"/>
    </xf>
    <xf numFmtId="0" fontId="15" fillId="0" borderId="0" xfId="0" applyFont="1" applyAlignment="1">
      <alignment horizontal="center" vertical="center" wrapText="1"/>
    </xf>
    <xf numFmtId="0" fontId="15" fillId="0" borderId="16"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0" xfId="0" applyFont="1" applyAlignment="1">
      <alignment horizontal="center" vertical="center" wrapText="1"/>
    </xf>
    <xf numFmtId="0" fontId="16" fillId="0" borderId="13" xfId="0" applyFont="1" applyBorder="1" applyAlignment="1">
      <alignment horizontal="center"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wrapText="1"/>
    </xf>
    <xf numFmtId="0" fontId="16" fillId="0" borderId="13" xfId="0" applyFont="1" applyBorder="1" applyAlignment="1">
      <alignment horizontal="left" vertical="center" wrapText="1"/>
    </xf>
    <xf numFmtId="0" fontId="16" fillId="0" borderId="0" xfId="0" applyFont="1" applyAlignment="1">
      <alignment horizontal="center" vertical="center"/>
    </xf>
    <xf numFmtId="0" fontId="16" fillId="0" borderId="16" xfId="0" applyFont="1" applyBorder="1" applyAlignment="1">
      <alignment horizontal="center" vertical="center"/>
    </xf>
    <xf numFmtId="0" fontId="16" fillId="0" borderId="16" xfId="0" applyFont="1" applyBorder="1" applyAlignment="1">
      <alignment horizontal="center" vertical="center" wrapText="1"/>
    </xf>
    <xf numFmtId="0" fontId="16" fillId="0" borderId="13" xfId="0" applyFont="1" applyBorder="1" applyAlignment="1">
      <alignment horizontal="center" vertical="center"/>
    </xf>
    <xf numFmtId="0" fontId="15" fillId="0" borderId="0" xfId="0" applyFont="1" applyAlignment="1">
      <alignment horizontal="left" vertical="center" wrapText="1"/>
    </xf>
    <xf numFmtId="0" fontId="25" fillId="0" borderId="0" xfId="0" applyFont="1" applyAlignment="1">
      <alignment horizontal="left" vertical="center" wrapText="1"/>
    </xf>
    <xf numFmtId="0" fontId="25" fillId="0" borderId="16" xfId="0" applyFont="1" applyBorder="1" applyAlignment="1">
      <alignment horizontal="left" vertical="center" wrapText="1"/>
    </xf>
    <xf numFmtId="0" fontId="15" fillId="0" borderId="13" xfId="0" applyFont="1" applyBorder="1" applyAlignment="1">
      <alignment horizontal="left" vertical="center" wrapText="1"/>
    </xf>
    <xf numFmtId="0" fontId="15" fillId="0" borderId="11" xfId="0" applyFont="1" applyBorder="1" applyAlignment="1">
      <alignment horizontal="left" vertical="center" wrapText="1"/>
    </xf>
    <xf numFmtId="0" fontId="16" fillId="0" borderId="11" xfId="0" applyFont="1" applyBorder="1" applyAlignment="1">
      <alignment horizontal="center" vertical="center"/>
    </xf>
    <xf numFmtId="0" fontId="16" fillId="0" borderId="16" xfId="0" applyFont="1" applyBorder="1" applyAlignment="1">
      <alignment horizontal="left" vertical="center" wrapText="1"/>
    </xf>
    <xf numFmtId="0" fontId="15" fillId="0" borderId="16" xfId="0" applyFont="1" applyBorder="1" applyAlignment="1">
      <alignment horizontal="left" vertical="center" wrapText="1"/>
    </xf>
    <xf numFmtId="0" fontId="15" fillId="0" borderId="11" xfId="0" applyFont="1" applyBorder="1" applyAlignment="1">
      <alignment horizontal="center"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14" fillId="0" borderId="0" xfId="0" applyFont="1" applyAlignment="1">
      <alignment horizontal="center" vertical="center" wrapText="1"/>
    </xf>
    <xf numFmtId="0" fontId="14" fillId="0" borderId="16"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0" xfId="0" applyFont="1" applyAlignment="1">
      <alignment horizontal="left" vertical="center" wrapText="1"/>
    </xf>
    <xf numFmtId="0" fontId="14" fillId="0" borderId="16" xfId="0" applyFont="1" applyBorder="1" applyAlignment="1">
      <alignment horizontal="left" vertical="center" wrapText="1"/>
    </xf>
    <xf numFmtId="0" fontId="19" fillId="8" borderId="1" xfId="0" applyFont="1" applyFill="1" applyBorder="1" applyAlignment="1">
      <alignment horizontal="center" vertical="center" wrapText="1"/>
    </xf>
    <xf numFmtId="0" fontId="14" fillId="0" borderId="11" xfId="0" applyFont="1" applyBorder="1" applyAlignment="1">
      <alignment horizontal="center"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15" fillId="0" borderId="16" xfId="0" applyFont="1" applyBorder="1" applyAlignment="1">
      <alignment horizontal="center" vertical="center"/>
    </xf>
    <xf numFmtId="0" fontId="15" fillId="0" borderId="17" xfId="0" applyFont="1" applyBorder="1" applyAlignment="1">
      <alignment horizontal="left" vertical="center" wrapText="1"/>
    </xf>
    <xf numFmtId="0" fontId="14" fillId="0" borderId="13" xfId="0" applyFont="1" applyBorder="1" applyAlignment="1">
      <alignment horizontal="left" vertical="center" wrapText="1"/>
    </xf>
    <xf numFmtId="0" fontId="14" fillId="0" borderId="11" xfId="0" applyFont="1" applyBorder="1" applyAlignment="1">
      <alignment horizontal="left" vertical="center" wrapText="1"/>
    </xf>
    <xf numFmtId="0" fontId="3" fillId="0" borderId="0" xfId="0" applyFont="1" applyAlignment="1">
      <alignment horizontal="center" vertical="center" wrapText="1"/>
    </xf>
    <xf numFmtId="0" fontId="12" fillId="2" borderId="1" xfId="0" applyFont="1" applyFill="1" applyBorder="1" applyAlignment="1">
      <alignment horizontal="center" vertical="center" wrapText="1"/>
    </xf>
    <xf numFmtId="0" fontId="3" fillId="0" borderId="0" xfId="0" applyFont="1" applyAlignment="1">
      <alignment horizontal="left" vertical="center" wrapText="1"/>
    </xf>
    <xf numFmtId="0" fontId="13" fillId="8" borderId="0" xfId="0" applyFont="1" applyFill="1" applyAlignment="1">
      <alignment horizontal="center" vertical="center" wrapText="1"/>
    </xf>
    <xf numFmtId="0" fontId="3" fillId="0" borderId="11" xfId="0" applyFont="1" applyBorder="1" applyAlignment="1">
      <alignment horizontal="center" vertical="center" wrapText="1"/>
    </xf>
    <xf numFmtId="0" fontId="11" fillId="0" borderId="11" xfId="0" applyFont="1" applyBorder="1" applyAlignment="1">
      <alignment horizontal="left" vertical="center" wrapText="1"/>
    </xf>
    <xf numFmtId="0" fontId="11" fillId="0" borderId="0" xfId="0" applyFont="1" applyAlignment="1">
      <alignment horizontal="left" vertical="center" wrapText="1"/>
    </xf>
    <xf numFmtId="0" fontId="11" fillId="0" borderId="13" xfId="0" applyFont="1" applyBorder="1" applyAlignment="1">
      <alignment horizontal="left" vertical="center" wrapText="1"/>
    </xf>
    <xf numFmtId="0" fontId="3" fillId="0" borderId="11" xfId="0" applyFont="1" applyBorder="1" applyAlignment="1">
      <alignment horizontal="left" vertical="center" wrapText="1"/>
    </xf>
    <xf numFmtId="0" fontId="3" fillId="0" borderId="13" xfId="0" applyFont="1" applyBorder="1" applyAlignment="1">
      <alignment horizontal="left"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xf>
    <xf numFmtId="0" fontId="5" fillId="4" borderId="1"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9" totalsRowShown="0" headerRowDxfId="175" dataDxfId="174">
  <autoFilter ref="B1:B39" xr:uid="{B2A92B26-EF0C-4878-B50A-6837C8B938F9}"/>
  <sortState xmlns:xlrd2="http://schemas.microsoft.com/office/spreadsheetml/2017/richdata2" ref="B2:B35">
    <sortCondition ref="B2:B36"/>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zoomScale="112" zoomScaleNormal="112" workbookViewId="0">
      <selection activeCell="A3" sqref="A3:A9"/>
    </sheetView>
  </sheetViews>
  <sheetFormatPr baseColWidth="10" defaultColWidth="76.453125" defaultRowHeight="16.5" x14ac:dyDescent="0.5"/>
  <cols>
    <col min="1" max="1" width="15.453125" style="3" customWidth="1"/>
    <col min="2" max="2" width="13.1796875" style="3" customWidth="1"/>
    <col min="3" max="3" width="42.26953125" style="3" customWidth="1"/>
    <col min="4" max="4" width="49.453125" style="3" customWidth="1"/>
    <col min="5" max="5" width="35.81640625" style="3" customWidth="1"/>
    <col min="6" max="7" width="31.1796875" customWidth="1"/>
    <col min="8" max="10" width="24.453125" style="3" customWidth="1"/>
    <col min="11" max="11" width="47.81640625" style="3" customWidth="1"/>
    <col min="12" max="16384" width="76.453125" style="3"/>
  </cols>
  <sheetData>
    <row r="1" spans="1:11" s="77" customFormat="1" ht="39" x14ac:dyDescent="0.35">
      <c r="A1" s="80" t="s">
        <v>0</v>
      </c>
      <c r="B1" s="80" t="s">
        <v>1</v>
      </c>
      <c r="C1" s="80" t="s">
        <v>2</v>
      </c>
      <c r="D1" s="80" t="s">
        <v>3</v>
      </c>
      <c r="E1" s="157" t="s">
        <v>4</v>
      </c>
      <c r="F1" s="157"/>
      <c r="G1" s="157"/>
      <c r="H1" s="157" t="s">
        <v>5</v>
      </c>
      <c r="I1" s="157"/>
      <c r="J1" s="157"/>
      <c r="K1" s="80" t="s">
        <v>6</v>
      </c>
    </row>
    <row r="2" spans="1:11" s="7" customFormat="1" x14ac:dyDescent="0.35">
      <c r="A2" s="83" t="s">
        <v>7</v>
      </c>
      <c r="B2" s="83" t="s">
        <v>8</v>
      </c>
      <c r="C2" s="83" t="s">
        <v>9</v>
      </c>
      <c r="D2" s="83" t="s">
        <v>10</v>
      </c>
      <c r="E2" s="105" t="s">
        <v>11</v>
      </c>
      <c r="F2" s="105" t="s">
        <v>12</v>
      </c>
      <c r="G2" s="105" t="s">
        <v>13</v>
      </c>
      <c r="H2" s="105" t="s">
        <v>14</v>
      </c>
      <c r="I2" s="105" t="s">
        <v>15</v>
      </c>
      <c r="J2" s="105" t="s">
        <v>16</v>
      </c>
      <c r="K2" s="105" t="s">
        <v>17</v>
      </c>
    </row>
    <row r="3" spans="1:11" ht="33" x14ac:dyDescent="0.5">
      <c r="A3" s="156" t="s">
        <v>18</v>
      </c>
      <c r="B3" s="156" t="s">
        <v>19</v>
      </c>
      <c r="C3" s="156" t="s">
        <v>20</v>
      </c>
      <c r="D3" s="156" t="s">
        <v>21</v>
      </c>
      <c r="E3" s="5" t="s">
        <v>22</v>
      </c>
      <c r="F3" s="5" t="s">
        <v>23</v>
      </c>
      <c r="G3" s="5" t="s">
        <v>24</v>
      </c>
      <c r="H3" s="158" t="s">
        <v>25</v>
      </c>
      <c r="I3" s="158" t="s">
        <v>26</v>
      </c>
      <c r="J3" s="158" t="s">
        <v>27</v>
      </c>
      <c r="K3" s="156" t="s">
        <v>28</v>
      </c>
    </row>
    <row r="4" spans="1:11" ht="33" x14ac:dyDescent="0.5">
      <c r="A4" s="156"/>
      <c r="B4" s="156"/>
      <c r="C4" s="156"/>
      <c r="D4" s="156"/>
      <c r="E4" s="5" t="s">
        <v>29</v>
      </c>
      <c r="F4" s="5" t="s">
        <v>30</v>
      </c>
      <c r="G4" s="5" t="s">
        <v>31</v>
      </c>
      <c r="H4" s="158"/>
      <c r="I4" s="158"/>
      <c r="J4" s="158"/>
      <c r="K4" s="156"/>
    </row>
    <row r="5" spans="1:11" ht="33" x14ac:dyDescent="0.5">
      <c r="A5" s="156"/>
      <c r="B5" s="156"/>
      <c r="C5" s="156"/>
      <c r="D5" s="156"/>
      <c r="E5" s="5" t="s">
        <v>32</v>
      </c>
      <c r="F5" s="5" t="s">
        <v>33</v>
      </c>
      <c r="G5" s="5" t="s">
        <v>34</v>
      </c>
      <c r="H5" s="158"/>
      <c r="I5" s="158"/>
      <c r="J5" s="158"/>
      <c r="K5" s="156"/>
    </row>
    <row r="6" spans="1:11" ht="49.5" x14ac:dyDescent="0.5">
      <c r="A6" s="156"/>
      <c r="B6" s="156"/>
      <c r="C6" s="156"/>
      <c r="D6" s="156"/>
      <c r="E6" s="5" t="s">
        <v>35</v>
      </c>
      <c r="F6" s="5" t="s">
        <v>36</v>
      </c>
      <c r="G6" s="5" t="s">
        <v>37</v>
      </c>
      <c r="H6" s="158"/>
      <c r="I6" s="158"/>
      <c r="J6" s="158"/>
      <c r="K6" s="156"/>
    </row>
    <row r="7" spans="1:11" ht="33" x14ac:dyDescent="0.5">
      <c r="A7" s="156"/>
      <c r="B7" s="156"/>
      <c r="C7" s="156"/>
      <c r="D7" s="156"/>
      <c r="E7" s="5" t="s">
        <v>38</v>
      </c>
      <c r="F7" s="5" t="s">
        <v>39</v>
      </c>
      <c r="G7" s="5" t="s">
        <v>40</v>
      </c>
      <c r="H7" s="158"/>
      <c r="I7" s="158"/>
      <c r="J7" s="158"/>
      <c r="K7" s="156"/>
    </row>
    <row r="8" spans="1:11" ht="33.5" thickBot="1" x14ac:dyDescent="0.55000000000000004">
      <c r="A8" s="156"/>
      <c r="B8" s="156"/>
      <c r="C8" s="156"/>
      <c r="D8" s="156"/>
      <c r="E8" s="3" t="s">
        <v>41</v>
      </c>
      <c r="F8" s="5" t="s">
        <v>42</v>
      </c>
      <c r="G8" s="5" t="s">
        <v>43</v>
      </c>
      <c r="H8" s="158"/>
      <c r="I8" s="158"/>
      <c r="J8" s="158"/>
      <c r="K8" s="156"/>
    </row>
    <row r="9" spans="1:11" ht="49.5" x14ac:dyDescent="0.5">
      <c r="A9" s="156"/>
      <c r="B9" s="156"/>
      <c r="C9" s="156"/>
      <c r="D9" s="156"/>
      <c r="E9" s="104" t="s">
        <v>44</v>
      </c>
      <c r="F9" s="104" t="s">
        <v>45</v>
      </c>
      <c r="G9" s="104" t="s">
        <v>46</v>
      </c>
      <c r="H9" s="158"/>
      <c r="I9" s="158"/>
      <c r="J9" s="158"/>
      <c r="K9" s="156"/>
    </row>
    <row r="10" spans="1:11" x14ac:dyDescent="0.5">
      <c r="A10" s="5"/>
      <c r="B10" s="7"/>
      <c r="C10" s="22"/>
      <c r="D10" s="5"/>
      <c r="E10" s="67"/>
      <c r="F10" s="67"/>
      <c r="G10" s="67"/>
    </row>
    <row r="11" spans="1:11" x14ac:dyDescent="0.5">
      <c r="A11" s="5"/>
      <c r="B11" s="7"/>
      <c r="C11" s="22"/>
      <c r="D11" s="5"/>
      <c r="E11" s="67"/>
      <c r="F11" s="67"/>
      <c r="G11" s="67"/>
    </row>
    <row r="12" spans="1:11" x14ac:dyDescent="0.5">
      <c r="A12" s="5"/>
      <c r="B12" s="7"/>
      <c r="C12" s="22"/>
      <c r="D12" s="5"/>
      <c r="E12" s="67"/>
      <c r="F12" s="67"/>
      <c r="G12" s="67"/>
    </row>
    <row r="13" spans="1:11" x14ac:dyDescent="0.5">
      <c r="A13" s="5"/>
      <c r="B13" s="7"/>
      <c r="C13" s="22"/>
      <c r="D13" s="5"/>
      <c r="E13" s="67"/>
      <c r="F13" s="67"/>
      <c r="G13" s="67"/>
    </row>
    <row r="14" spans="1:11" x14ac:dyDescent="0.5">
      <c r="A14" s="5"/>
      <c r="B14" s="5"/>
      <c r="C14" s="5"/>
      <c r="D14" s="5"/>
      <c r="E14" s="4"/>
      <c r="F14" s="4"/>
      <c r="I14" s="4"/>
    </row>
    <row r="15" spans="1:11" x14ac:dyDescent="0.5">
      <c r="A15" s="5"/>
      <c r="B15" s="5"/>
      <c r="C15" s="5"/>
      <c r="D15" s="5"/>
      <c r="E15" s="4"/>
      <c r="F15" s="4"/>
      <c r="I15" s="4"/>
    </row>
    <row r="16" spans="1:11" x14ac:dyDescent="0.5">
      <c r="A16" s="5"/>
      <c r="B16" s="5"/>
      <c r="C16" s="5"/>
      <c r="D16" s="5"/>
    </row>
    <row r="17" spans="1:4" x14ac:dyDescent="0.5">
      <c r="A17" s="5"/>
      <c r="B17" s="5"/>
      <c r="C17" s="5"/>
      <c r="D17" s="5"/>
    </row>
    <row r="18" spans="1:4" x14ac:dyDescent="0.5">
      <c r="A18" s="5"/>
      <c r="B18" s="5"/>
      <c r="C18" s="5"/>
      <c r="D18" s="5"/>
    </row>
    <row r="19" spans="1:4" x14ac:dyDescent="0.5">
      <c r="A19" s="5"/>
      <c r="B19" s="5"/>
      <c r="C19" s="5"/>
      <c r="D19" s="5"/>
    </row>
    <row r="20" spans="1:4" x14ac:dyDescent="0.5">
      <c r="A20" s="5"/>
      <c r="B20" s="5"/>
      <c r="C20" s="5"/>
      <c r="D20" s="5"/>
    </row>
    <row r="21" spans="1:4" x14ac:dyDescent="0.5">
      <c r="A21" s="5"/>
      <c r="B21" s="5"/>
      <c r="C21" s="5"/>
      <c r="D21" s="5"/>
    </row>
    <row r="22" spans="1:4" x14ac:dyDescent="0.5">
      <c r="A22" s="5"/>
      <c r="B22" s="5"/>
      <c r="C22" s="5"/>
      <c r="D22" s="5"/>
    </row>
    <row r="23" spans="1:4" x14ac:dyDescent="0.5">
      <c r="A23" s="5"/>
      <c r="B23" s="5"/>
      <c r="C23" s="5"/>
      <c r="D23" s="5"/>
    </row>
    <row r="24" spans="1:4" x14ac:dyDescent="0.5">
      <c r="C24" s="5"/>
      <c r="D24" s="5"/>
    </row>
  </sheetData>
  <mergeCells count="10">
    <mergeCell ref="H1:J1"/>
    <mergeCell ref="E1:G1"/>
    <mergeCell ref="H3:H9"/>
    <mergeCell ref="I3:I9"/>
    <mergeCell ref="J3:J9"/>
    <mergeCell ref="K3:K9"/>
    <mergeCell ref="D3:D9"/>
    <mergeCell ref="C3:C9"/>
    <mergeCell ref="A3:A9"/>
    <mergeCell ref="B3:B9"/>
  </mergeCells>
  <dataValidations count="1">
    <dataValidation type="list" allowBlank="1" showInputMessage="1" showErrorMessage="1" sqref="G3:G8" xr:uid="{FEDA8E25-6FA9-4984-9128-B33F50AC4E6F}">
      <formula1>elementosfinalidad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9E16-5F62-47E7-AD70-009F06A0572E}">
  <dimension ref="A1"/>
  <sheetViews>
    <sheetView workbookViewId="0"/>
  </sheetViews>
  <sheetFormatPr baseColWidth="10" defaultColWidth="9.1796875"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4"/>
  <sheetViews>
    <sheetView zoomScaleNormal="100" workbookViewId="0">
      <selection sqref="A1:G1"/>
    </sheetView>
  </sheetViews>
  <sheetFormatPr baseColWidth="10" defaultColWidth="11.453125" defaultRowHeight="16.5" x14ac:dyDescent="0.5"/>
  <cols>
    <col min="1" max="1" width="13.453125" style="7" customWidth="1"/>
    <col min="2" max="2" width="16.26953125" style="3" customWidth="1"/>
    <col min="3" max="3" width="29.1796875" style="3" customWidth="1"/>
    <col min="4" max="4" width="25.26953125" style="3" customWidth="1"/>
    <col min="5" max="5" width="42.1796875" style="3" customWidth="1"/>
    <col min="6" max="6" width="73.81640625" style="3" customWidth="1"/>
    <col min="7" max="7" width="33.453125" style="3" customWidth="1"/>
    <col min="8" max="16384" width="11.453125" style="3"/>
  </cols>
  <sheetData>
    <row r="1" spans="1:7" x14ac:dyDescent="0.5">
      <c r="A1" s="159" t="s">
        <v>47</v>
      </c>
      <c r="B1" s="159"/>
      <c r="C1" s="159"/>
      <c r="D1" s="159"/>
      <c r="E1" s="159"/>
      <c r="F1" s="159"/>
      <c r="G1" s="159"/>
    </row>
    <row r="2" spans="1:7" s="84" customFormat="1" ht="65" x14ac:dyDescent="0.35">
      <c r="A2" s="78" t="s">
        <v>48</v>
      </c>
      <c r="B2" s="79" t="s">
        <v>49</v>
      </c>
      <c r="C2" s="79" t="s">
        <v>50</v>
      </c>
      <c r="D2" s="79" t="s">
        <v>51</v>
      </c>
      <c r="E2" s="79" t="s">
        <v>52</v>
      </c>
      <c r="F2" s="80" t="s">
        <v>53</v>
      </c>
      <c r="G2" s="80" t="s">
        <v>54</v>
      </c>
    </row>
    <row r="3" spans="1:7" s="85" customFormat="1" ht="33" x14ac:dyDescent="0.5">
      <c r="A3" s="81" t="s">
        <v>55</v>
      </c>
      <c r="B3" s="82" t="s">
        <v>56</v>
      </c>
      <c r="C3" s="82" t="s">
        <v>57</v>
      </c>
      <c r="D3" s="82" t="s">
        <v>58</v>
      </c>
      <c r="E3" s="82" t="s">
        <v>59</v>
      </c>
      <c r="F3" s="83" t="s">
        <v>60</v>
      </c>
      <c r="G3" s="83" t="s">
        <v>61</v>
      </c>
    </row>
    <row r="4" spans="1:7" s="5" customFormat="1" ht="33" x14ac:dyDescent="0.35">
      <c r="A4" s="7">
        <v>1</v>
      </c>
      <c r="B4" s="5" t="s">
        <v>62</v>
      </c>
      <c r="C4" s="5" t="s">
        <v>22</v>
      </c>
      <c r="D4" s="5" t="s">
        <v>23</v>
      </c>
      <c r="E4" s="5" t="s">
        <v>24</v>
      </c>
      <c r="F4" s="5" t="s">
        <v>63</v>
      </c>
      <c r="G4" s="5" t="s">
        <v>64</v>
      </c>
    </row>
    <row r="5" spans="1:7" s="5" customFormat="1" ht="49.5" x14ac:dyDescent="0.35">
      <c r="A5" s="7">
        <v>2</v>
      </c>
      <c r="B5" s="5" t="s">
        <v>65</v>
      </c>
      <c r="C5" s="5" t="s">
        <v>29</v>
      </c>
      <c r="D5" s="5" t="s">
        <v>30</v>
      </c>
      <c r="E5" s="5" t="s">
        <v>31</v>
      </c>
      <c r="F5" s="5" t="s">
        <v>66</v>
      </c>
      <c r="G5" s="5" t="s">
        <v>64</v>
      </c>
    </row>
    <row r="6" spans="1:7" s="5" customFormat="1" ht="33" x14ac:dyDescent="0.35">
      <c r="A6" s="7">
        <v>3</v>
      </c>
      <c r="B6" s="5" t="s">
        <v>67</v>
      </c>
      <c r="C6" s="5" t="s">
        <v>32</v>
      </c>
      <c r="D6" s="5" t="s">
        <v>33</v>
      </c>
      <c r="E6" s="5" t="s">
        <v>34</v>
      </c>
      <c r="F6" s="5" t="s">
        <v>68</v>
      </c>
      <c r="G6" s="5" t="s">
        <v>64</v>
      </c>
    </row>
    <row r="7" spans="1:7" s="5" customFormat="1" ht="49.5" x14ac:dyDescent="0.35">
      <c r="A7" s="7">
        <v>4</v>
      </c>
      <c r="B7" s="5" t="s">
        <v>69</v>
      </c>
      <c r="C7" s="5" t="s">
        <v>35</v>
      </c>
      <c r="D7" s="5" t="s">
        <v>36</v>
      </c>
      <c r="E7" s="5" t="s">
        <v>37</v>
      </c>
      <c r="F7" s="23" t="s">
        <v>70</v>
      </c>
      <c r="G7" s="5" t="s">
        <v>64</v>
      </c>
    </row>
    <row r="8" spans="1:7" s="5" customFormat="1" ht="33" x14ac:dyDescent="0.35">
      <c r="A8" s="7">
        <v>5</v>
      </c>
      <c r="B8" s="5" t="s">
        <v>71</v>
      </c>
      <c r="C8" s="5" t="s">
        <v>38</v>
      </c>
      <c r="D8" s="5" t="s">
        <v>39</v>
      </c>
      <c r="E8" s="5" t="s">
        <v>40</v>
      </c>
      <c r="F8" s="23" t="s">
        <v>72</v>
      </c>
      <c r="G8" s="5" t="s">
        <v>64</v>
      </c>
    </row>
    <row r="9" spans="1:7" s="5" customFormat="1" ht="33.5" thickBot="1" x14ac:dyDescent="0.4">
      <c r="A9" s="26">
        <v>6</v>
      </c>
      <c r="B9" s="27" t="s">
        <v>73</v>
      </c>
      <c r="C9" s="27" t="s">
        <v>41</v>
      </c>
      <c r="D9" s="27" t="s">
        <v>42</v>
      </c>
      <c r="E9" s="27" t="s">
        <v>43</v>
      </c>
      <c r="F9" s="27" t="s">
        <v>74</v>
      </c>
      <c r="G9" s="27" t="s">
        <v>64</v>
      </c>
    </row>
    <row r="10" spans="1:7" s="5" customFormat="1" ht="49.5" x14ac:dyDescent="0.35">
      <c r="A10" s="7">
        <v>7</v>
      </c>
      <c r="B10" s="22" t="s">
        <v>75</v>
      </c>
      <c r="C10" s="22" t="s">
        <v>44</v>
      </c>
      <c r="D10" s="22" t="s">
        <v>45</v>
      </c>
      <c r="E10" s="22" t="s">
        <v>46</v>
      </c>
      <c r="F10" s="22" t="s">
        <v>76</v>
      </c>
      <c r="G10" s="5" t="s">
        <v>77</v>
      </c>
    </row>
    <row r="11" spans="1:7" x14ac:dyDescent="0.5">
      <c r="B11" s="5"/>
      <c r="C11" s="5"/>
      <c r="D11" s="5"/>
      <c r="E11" s="6"/>
    </row>
    <row r="12" spans="1:7" x14ac:dyDescent="0.5">
      <c r="B12" s="5"/>
      <c r="C12" s="5"/>
      <c r="D12" s="5"/>
      <c r="E12" s="6"/>
    </row>
    <row r="13" spans="1:7" x14ac:dyDescent="0.5">
      <c r="B13" s="5"/>
      <c r="C13" s="5"/>
      <c r="D13" s="5"/>
      <c r="E13" s="6"/>
      <c r="F13" s="5"/>
    </row>
    <row r="14" spans="1:7" x14ac:dyDescent="0.5">
      <c r="B14" s="5"/>
      <c r="C14" s="5"/>
      <c r="D14" s="5"/>
      <c r="E14" s="6"/>
      <c r="F14" s="5"/>
    </row>
  </sheetData>
  <mergeCells count="1">
    <mergeCell ref="A1:G1"/>
  </mergeCells>
  <dataValidations count="4">
    <dataValidation type="list" allowBlank="1" showInputMessage="1" showErrorMessage="1" sqref="C4:C10" xr:uid="{296160A6-FB03-49EA-93B2-DD1CAF2E1EB2}">
      <formula1>Conocimientos</formula1>
    </dataValidation>
    <dataValidation type="list" allowBlank="1" showInputMessage="1" showErrorMessage="1" sqref="B4:B10" xr:uid="{7FF6EE86-2F70-4AF5-821E-634C08680A10}">
      <formula1>Verboscompetencias</formula1>
    </dataValidation>
    <dataValidation type="list" allowBlank="1" showInputMessage="1" showErrorMessage="1" sqref="E4:E9 E11:E14" xr:uid="{7F984901-5933-49F2-B8FD-83AD9F17C8F9}">
      <formula1>elementosfinalidad</formula1>
    </dataValidation>
    <dataValidation allowBlank="1" showInputMessage="1" showErrorMessage="1" sqref="E10" xr:uid="{3C022716-3853-400A-815C-1B11197C0B75}"/>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24"/>
  <sheetViews>
    <sheetView zoomScaleNormal="100" workbookViewId="0"/>
  </sheetViews>
  <sheetFormatPr baseColWidth="10" defaultColWidth="11.453125" defaultRowHeight="16.5" x14ac:dyDescent="0.5"/>
  <cols>
    <col min="1" max="1" width="56.453125" style="6" customWidth="1"/>
    <col min="2" max="2" width="16.453125" style="7" customWidth="1"/>
    <col min="3" max="3" width="19.1796875" style="6" customWidth="1"/>
    <col min="4" max="4" width="23.81640625" style="6" customWidth="1"/>
    <col min="5" max="5" width="17.453125" style="6" customWidth="1"/>
    <col min="6" max="6" width="17.81640625" style="6" customWidth="1"/>
    <col min="7" max="7" width="20.1796875" style="8" customWidth="1"/>
    <col min="8" max="8" width="18.453125" style="1" customWidth="1"/>
    <col min="9" max="9" width="61.453125" style="1" customWidth="1"/>
    <col min="10" max="10" width="43.453125" style="6" customWidth="1"/>
    <col min="11" max="16384" width="11.453125" style="6"/>
  </cols>
  <sheetData>
    <row r="1" spans="1:9" s="87" customFormat="1" ht="78" x14ac:dyDescent="0.35">
      <c r="A1" s="86" t="s">
        <v>78</v>
      </c>
      <c r="B1" s="86" t="s">
        <v>79</v>
      </c>
      <c r="C1" s="79" t="s">
        <v>80</v>
      </c>
      <c r="D1" s="90" t="s">
        <v>81</v>
      </c>
      <c r="E1" s="90" t="s">
        <v>82</v>
      </c>
      <c r="F1" s="79" t="s">
        <v>83</v>
      </c>
      <c r="G1" s="79" t="s">
        <v>84</v>
      </c>
      <c r="H1" s="79" t="s">
        <v>85</v>
      </c>
      <c r="I1" s="86" t="s">
        <v>86</v>
      </c>
    </row>
    <row r="2" spans="1:9" s="89" customFormat="1" ht="33" x14ac:dyDescent="0.35">
      <c r="A2" s="106" t="s">
        <v>87</v>
      </c>
      <c r="B2" s="106" t="s">
        <v>88</v>
      </c>
      <c r="C2" s="82" t="s">
        <v>89</v>
      </c>
      <c r="D2" s="107" t="s">
        <v>90</v>
      </c>
      <c r="E2" s="107" t="s">
        <v>91</v>
      </c>
      <c r="F2" s="82" t="s">
        <v>92</v>
      </c>
      <c r="G2" s="82" t="s">
        <v>93</v>
      </c>
      <c r="H2" s="82" t="s">
        <v>94</v>
      </c>
      <c r="I2" s="106" t="s">
        <v>95</v>
      </c>
    </row>
    <row r="3" spans="1:9" ht="33" x14ac:dyDescent="0.35">
      <c r="A3" s="5" t="s">
        <v>63</v>
      </c>
      <c r="B3" s="7">
        <v>1</v>
      </c>
      <c r="C3" s="5" t="s">
        <v>11</v>
      </c>
      <c r="D3" s="5" t="s">
        <v>22</v>
      </c>
      <c r="E3" s="5" t="s">
        <v>96</v>
      </c>
      <c r="F3" s="5" t="s">
        <v>97</v>
      </c>
      <c r="G3" s="5" t="s">
        <v>98</v>
      </c>
      <c r="H3" s="5" t="s">
        <v>99</v>
      </c>
      <c r="I3" s="5" t="s">
        <v>100</v>
      </c>
    </row>
    <row r="4" spans="1:9" ht="49.5" x14ac:dyDescent="0.35">
      <c r="A4" s="5" t="s">
        <v>63</v>
      </c>
      <c r="B4" s="7">
        <v>6</v>
      </c>
      <c r="C4" s="5" t="s">
        <v>12</v>
      </c>
      <c r="D4" s="5" t="s">
        <v>23</v>
      </c>
      <c r="E4" s="5" t="s">
        <v>96</v>
      </c>
      <c r="F4" s="5" t="s">
        <v>101</v>
      </c>
      <c r="G4" s="5" t="s">
        <v>102</v>
      </c>
      <c r="H4" s="5" t="s">
        <v>73</v>
      </c>
      <c r="I4" s="5" t="s">
        <v>103</v>
      </c>
    </row>
    <row r="5" spans="1:9" ht="50" thickBot="1" x14ac:dyDescent="0.4">
      <c r="A5" s="27" t="s">
        <v>63</v>
      </c>
      <c r="B5" s="26">
        <v>8</v>
      </c>
      <c r="C5" s="27" t="s">
        <v>13</v>
      </c>
      <c r="D5" s="27" t="s">
        <v>24</v>
      </c>
      <c r="E5" s="27" t="s">
        <v>96</v>
      </c>
      <c r="F5" s="27" t="s">
        <v>104</v>
      </c>
      <c r="G5" s="27" t="s">
        <v>105</v>
      </c>
      <c r="H5" s="27" t="s">
        <v>106</v>
      </c>
      <c r="I5" s="27" t="s">
        <v>107</v>
      </c>
    </row>
    <row r="6" spans="1:9" ht="49.5" x14ac:dyDescent="0.35">
      <c r="A6" s="25" t="s">
        <v>66</v>
      </c>
      <c r="B6" s="92">
        <v>2</v>
      </c>
      <c r="C6" s="25" t="s">
        <v>11</v>
      </c>
      <c r="D6" s="25" t="s">
        <v>29</v>
      </c>
      <c r="E6" s="25" t="s">
        <v>96</v>
      </c>
      <c r="F6" s="25" t="s">
        <v>97</v>
      </c>
      <c r="G6" s="25" t="s">
        <v>108</v>
      </c>
      <c r="H6" s="25" t="s">
        <v>109</v>
      </c>
      <c r="I6" s="25" t="s">
        <v>110</v>
      </c>
    </row>
    <row r="7" spans="1:9" ht="49.5" x14ac:dyDescent="0.35">
      <c r="A7" s="5" t="s">
        <v>66</v>
      </c>
      <c r="B7" s="7">
        <v>7</v>
      </c>
      <c r="C7" s="5" t="s">
        <v>12</v>
      </c>
      <c r="D7" s="5" t="s">
        <v>30</v>
      </c>
      <c r="E7" s="5" t="s">
        <v>96</v>
      </c>
      <c r="F7" s="5" t="s">
        <v>101</v>
      </c>
      <c r="G7" s="5" t="s">
        <v>111</v>
      </c>
      <c r="H7" s="5" t="s">
        <v>112</v>
      </c>
      <c r="I7" s="5" t="s">
        <v>113</v>
      </c>
    </row>
    <row r="8" spans="1:9" ht="50" thickBot="1" x14ac:dyDescent="0.4">
      <c r="A8" s="27" t="s">
        <v>66</v>
      </c>
      <c r="B8" s="26">
        <v>8</v>
      </c>
      <c r="C8" s="27" t="s">
        <v>13</v>
      </c>
      <c r="D8" s="27" t="s">
        <v>31</v>
      </c>
      <c r="E8" s="27" t="s">
        <v>96</v>
      </c>
      <c r="F8" s="27" t="s">
        <v>104</v>
      </c>
      <c r="G8" s="27" t="s">
        <v>105</v>
      </c>
      <c r="H8" s="27" t="s">
        <v>106</v>
      </c>
      <c r="I8" s="27" t="s">
        <v>107</v>
      </c>
    </row>
    <row r="9" spans="1:9" ht="49.5" x14ac:dyDescent="0.35">
      <c r="A9" s="25" t="s">
        <v>68</v>
      </c>
      <c r="B9" s="92">
        <v>3</v>
      </c>
      <c r="C9" s="25" t="s">
        <v>11</v>
      </c>
      <c r="D9" s="25" t="s">
        <v>32</v>
      </c>
      <c r="E9" s="25" t="s">
        <v>96</v>
      </c>
      <c r="F9" s="25" t="s">
        <v>97</v>
      </c>
      <c r="G9" s="25" t="s">
        <v>98</v>
      </c>
      <c r="H9" s="25" t="s">
        <v>75</v>
      </c>
      <c r="I9" s="25" t="s">
        <v>114</v>
      </c>
    </row>
    <row r="10" spans="1:9" ht="49.5" x14ac:dyDescent="0.35">
      <c r="A10" s="5" t="s">
        <v>68</v>
      </c>
      <c r="B10" s="7">
        <v>6</v>
      </c>
      <c r="C10" s="5" t="s">
        <v>12</v>
      </c>
      <c r="D10" s="5" t="s">
        <v>33</v>
      </c>
      <c r="E10" s="5" t="s">
        <v>96</v>
      </c>
      <c r="F10" s="5" t="s">
        <v>101</v>
      </c>
      <c r="G10" s="5" t="s">
        <v>102</v>
      </c>
      <c r="H10" s="5" t="s">
        <v>73</v>
      </c>
      <c r="I10" s="5" t="s">
        <v>103</v>
      </c>
    </row>
    <row r="11" spans="1:9" ht="50" thickBot="1" x14ac:dyDescent="0.4">
      <c r="A11" s="27" t="s">
        <v>68</v>
      </c>
      <c r="B11" s="26">
        <v>8</v>
      </c>
      <c r="C11" s="27" t="s">
        <v>13</v>
      </c>
      <c r="D11" s="27" t="s">
        <v>34</v>
      </c>
      <c r="E11" s="27" t="s">
        <v>96</v>
      </c>
      <c r="F11" s="27" t="s">
        <v>104</v>
      </c>
      <c r="G11" s="27" t="s">
        <v>105</v>
      </c>
      <c r="H11" s="27" t="s">
        <v>106</v>
      </c>
      <c r="I11" s="27" t="s">
        <v>107</v>
      </c>
    </row>
    <row r="12" spans="1:9" ht="49.5" x14ac:dyDescent="0.35">
      <c r="A12" s="5" t="s">
        <v>70</v>
      </c>
      <c r="B12" s="7">
        <v>1</v>
      </c>
      <c r="C12" s="5" t="s">
        <v>11</v>
      </c>
      <c r="D12" s="5" t="s">
        <v>35</v>
      </c>
      <c r="E12" s="5" t="s">
        <v>96</v>
      </c>
      <c r="F12" s="5" t="s">
        <v>97</v>
      </c>
      <c r="G12" s="5" t="s">
        <v>98</v>
      </c>
      <c r="H12" s="5" t="s">
        <v>99</v>
      </c>
      <c r="I12" s="5" t="s">
        <v>100</v>
      </c>
    </row>
    <row r="13" spans="1:9" ht="49.5" x14ac:dyDescent="0.35">
      <c r="A13" s="5" t="s">
        <v>70</v>
      </c>
      <c r="B13" s="7">
        <v>7</v>
      </c>
      <c r="C13" s="5" t="s">
        <v>12</v>
      </c>
      <c r="D13" s="5" t="s">
        <v>36</v>
      </c>
      <c r="E13" s="5" t="s">
        <v>96</v>
      </c>
      <c r="F13" s="5" t="s">
        <v>101</v>
      </c>
      <c r="G13" s="5" t="s">
        <v>111</v>
      </c>
      <c r="H13" s="5" t="s">
        <v>112</v>
      </c>
      <c r="I13" s="5" t="s">
        <v>113</v>
      </c>
    </row>
    <row r="14" spans="1:9" ht="66.5" thickBot="1" x14ac:dyDescent="0.4">
      <c r="A14" s="27" t="s">
        <v>70</v>
      </c>
      <c r="B14" s="26">
        <v>8</v>
      </c>
      <c r="C14" s="27" t="s">
        <v>13</v>
      </c>
      <c r="D14" s="27" t="s">
        <v>37</v>
      </c>
      <c r="E14" s="27" t="s">
        <v>96</v>
      </c>
      <c r="F14" s="27" t="s">
        <v>104</v>
      </c>
      <c r="G14" s="27" t="s">
        <v>105</v>
      </c>
      <c r="H14" s="27" t="s">
        <v>106</v>
      </c>
      <c r="I14" s="27" t="s">
        <v>107</v>
      </c>
    </row>
    <row r="15" spans="1:9" ht="49.5" x14ac:dyDescent="0.35">
      <c r="A15" s="5" t="s">
        <v>72</v>
      </c>
      <c r="B15" s="7">
        <v>3</v>
      </c>
      <c r="C15" s="5" t="s">
        <v>11</v>
      </c>
      <c r="D15" s="5" t="s">
        <v>38</v>
      </c>
      <c r="E15" s="5" t="s">
        <v>96</v>
      </c>
      <c r="F15" s="25" t="s">
        <v>97</v>
      </c>
      <c r="G15" s="5" t="s">
        <v>98</v>
      </c>
      <c r="H15" s="5" t="s">
        <v>75</v>
      </c>
      <c r="I15" s="5" t="s">
        <v>114</v>
      </c>
    </row>
    <row r="16" spans="1:9" ht="49.5" x14ac:dyDescent="0.35">
      <c r="A16" s="5" t="s">
        <v>72</v>
      </c>
      <c r="B16" s="7">
        <v>6</v>
      </c>
      <c r="C16" s="5" t="s">
        <v>12</v>
      </c>
      <c r="D16" s="5" t="s">
        <v>39</v>
      </c>
      <c r="E16" s="5" t="s">
        <v>96</v>
      </c>
      <c r="F16" s="5" t="s">
        <v>101</v>
      </c>
      <c r="G16" s="5" t="s">
        <v>102</v>
      </c>
      <c r="H16" s="5" t="s">
        <v>73</v>
      </c>
      <c r="I16" s="5" t="s">
        <v>103</v>
      </c>
    </row>
    <row r="17" spans="1:9" ht="50" thickBot="1" x14ac:dyDescent="0.4">
      <c r="A17" s="27" t="s">
        <v>72</v>
      </c>
      <c r="B17" s="26">
        <v>8</v>
      </c>
      <c r="C17" s="27" t="s">
        <v>13</v>
      </c>
      <c r="D17" s="27" t="s">
        <v>40</v>
      </c>
      <c r="E17" s="27" t="s">
        <v>96</v>
      </c>
      <c r="F17" s="27" t="s">
        <v>104</v>
      </c>
      <c r="G17" s="27" t="s">
        <v>105</v>
      </c>
      <c r="H17" s="27" t="s">
        <v>106</v>
      </c>
      <c r="I17" s="27" t="s">
        <v>107</v>
      </c>
    </row>
    <row r="18" spans="1:9" s="5" customFormat="1" ht="33" x14ac:dyDescent="0.35">
      <c r="A18" s="5" t="s">
        <v>74</v>
      </c>
      <c r="B18" s="7">
        <v>4</v>
      </c>
      <c r="C18" s="5" t="s">
        <v>11</v>
      </c>
      <c r="D18" s="5" t="s">
        <v>41</v>
      </c>
      <c r="E18" s="5" t="s">
        <v>96</v>
      </c>
      <c r="F18" s="25" t="s">
        <v>97</v>
      </c>
      <c r="G18" s="5" t="s">
        <v>108</v>
      </c>
      <c r="H18" s="5" t="s">
        <v>115</v>
      </c>
      <c r="I18" s="5" t="s">
        <v>116</v>
      </c>
    </row>
    <row r="19" spans="1:9" ht="49.5" x14ac:dyDescent="0.35">
      <c r="A19" s="5" t="s">
        <v>74</v>
      </c>
      <c r="B19" s="7">
        <v>6</v>
      </c>
      <c r="C19" s="5" t="s">
        <v>12</v>
      </c>
      <c r="D19" s="6" t="s">
        <v>42</v>
      </c>
      <c r="E19" s="6" t="s">
        <v>96</v>
      </c>
      <c r="F19" s="5" t="s">
        <v>101</v>
      </c>
      <c r="G19" s="5" t="s">
        <v>102</v>
      </c>
      <c r="H19" s="5" t="s">
        <v>73</v>
      </c>
      <c r="I19" s="5" t="s">
        <v>103</v>
      </c>
    </row>
    <row r="20" spans="1:9" ht="50" thickBot="1" x14ac:dyDescent="0.4">
      <c r="A20" s="27" t="s">
        <v>74</v>
      </c>
      <c r="B20" s="26">
        <v>8</v>
      </c>
      <c r="C20" s="27" t="s">
        <v>13</v>
      </c>
      <c r="D20" s="93" t="s">
        <v>43</v>
      </c>
      <c r="E20" s="93" t="s">
        <v>96</v>
      </c>
      <c r="F20" s="27" t="s">
        <v>104</v>
      </c>
      <c r="G20" s="27" t="s">
        <v>105</v>
      </c>
      <c r="H20" s="27" t="s">
        <v>106</v>
      </c>
      <c r="I20" s="27" t="s">
        <v>107</v>
      </c>
    </row>
    <row r="21" spans="1:9" ht="66" x14ac:dyDescent="0.35">
      <c r="A21" s="22" t="s">
        <v>76</v>
      </c>
      <c r="B21" s="91">
        <v>5</v>
      </c>
      <c r="C21" s="6" t="s">
        <v>11</v>
      </c>
      <c r="D21" s="5" t="s">
        <v>44</v>
      </c>
      <c r="E21" s="5" t="s">
        <v>117</v>
      </c>
      <c r="F21" s="5" t="s">
        <v>118</v>
      </c>
      <c r="G21" s="5" t="s">
        <v>119</v>
      </c>
      <c r="H21" s="5" t="s">
        <v>109</v>
      </c>
      <c r="I21" s="22" t="s">
        <v>120</v>
      </c>
    </row>
    <row r="22" spans="1:9" x14ac:dyDescent="0.35">
      <c r="A22" s="5"/>
      <c r="C22" s="5"/>
      <c r="D22" s="5"/>
      <c r="E22" s="5"/>
      <c r="F22" s="5"/>
      <c r="G22" s="5"/>
      <c r="H22" s="5"/>
      <c r="I22" s="5"/>
    </row>
    <row r="23" spans="1:9" x14ac:dyDescent="0.35">
      <c r="A23" s="5"/>
      <c r="C23" s="5"/>
      <c r="D23" s="5"/>
      <c r="E23" s="5"/>
      <c r="F23" s="5"/>
      <c r="G23" s="5"/>
      <c r="H23" s="5"/>
      <c r="I23" s="5"/>
    </row>
    <row r="24" spans="1:9" x14ac:dyDescent="0.35">
      <c r="A24" s="5"/>
      <c r="C24" s="5"/>
      <c r="D24" s="5"/>
      <c r="E24" s="5"/>
      <c r="F24" s="5"/>
      <c r="G24" s="5"/>
      <c r="H24" s="5"/>
      <c r="I24" s="5"/>
    </row>
    <row r="25" spans="1:9" x14ac:dyDescent="0.35">
      <c r="A25" s="5"/>
      <c r="C25" s="5"/>
      <c r="D25" s="5"/>
      <c r="E25" s="5"/>
      <c r="F25" s="5"/>
      <c r="G25" s="5"/>
      <c r="H25" s="5"/>
      <c r="I25" s="5"/>
    </row>
    <row r="26" spans="1:9" x14ac:dyDescent="0.35">
      <c r="A26" s="5"/>
      <c r="C26" s="5"/>
      <c r="D26" s="5"/>
      <c r="E26" s="5"/>
      <c r="F26" s="5"/>
      <c r="G26" s="5"/>
      <c r="H26" s="5"/>
      <c r="I26" s="5"/>
    </row>
    <row r="27" spans="1:9" x14ac:dyDescent="0.35">
      <c r="A27" s="5"/>
      <c r="C27" s="5"/>
      <c r="D27" s="5"/>
      <c r="E27" s="5"/>
      <c r="F27" s="5"/>
      <c r="G27" s="5"/>
      <c r="H27" s="5"/>
      <c r="I27" s="5"/>
    </row>
    <row r="28" spans="1:9" x14ac:dyDescent="0.35">
      <c r="A28" s="5"/>
      <c r="C28" s="5"/>
      <c r="D28" s="5"/>
      <c r="E28" s="5"/>
      <c r="F28" s="5"/>
      <c r="G28" s="5"/>
      <c r="H28" s="5"/>
      <c r="I28" s="5"/>
    </row>
    <row r="29" spans="1:9" x14ac:dyDescent="0.5">
      <c r="F29" s="3"/>
      <c r="G29" s="1"/>
    </row>
    <row r="30" spans="1:9" x14ac:dyDescent="0.5">
      <c r="F30" s="3"/>
      <c r="G30" s="1"/>
    </row>
    <row r="31" spans="1:9" x14ac:dyDescent="0.5">
      <c r="F31" s="3"/>
      <c r="G31" s="1"/>
    </row>
    <row r="32" spans="1:9" x14ac:dyDescent="0.5">
      <c r="F32" s="3"/>
      <c r="G32" s="1"/>
    </row>
    <row r="33" spans="6:7" x14ac:dyDescent="0.5">
      <c r="F33" s="3"/>
      <c r="G33" s="1"/>
    </row>
    <row r="34" spans="6:7" x14ac:dyDescent="0.5">
      <c r="F34" s="3"/>
      <c r="G34" s="1"/>
    </row>
    <row r="35" spans="6:7" x14ac:dyDescent="0.5">
      <c r="F35" s="3"/>
      <c r="G35" s="1"/>
    </row>
    <row r="36" spans="6:7" x14ac:dyDescent="0.5">
      <c r="F36" s="3"/>
      <c r="G36" s="1"/>
    </row>
    <row r="37" spans="6:7" x14ac:dyDescent="0.5">
      <c r="F37" s="3"/>
      <c r="G37" s="1"/>
    </row>
    <row r="38" spans="6:7" x14ac:dyDescent="0.5">
      <c r="F38" s="3"/>
      <c r="G38" s="1"/>
    </row>
    <row r="39" spans="6:7" x14ac:dyDescent="0.5">
      <c r="F39" s="3"/>
      <c r="G39" s="1"/>
    </row>
    <row r="40" spans="6:7" x14ac:dyDescent="0.5">
      <c r="F40" s="3"/>
      <c r="G40" s="1"/>
    </row>
    <row r="41" spans="6:7" x14ac:dyDescent="0.5">
      <c r="F41" s="3"/>
      <c r="G41" s="1"/>
    </row>
    <row r="42" spans="6:7" x14ac:dyDescent="0.5">
      <c r="F42" s="3"/>
      <c r="G42" s="1"/>
    </row>
    <row r="43" spans="6:7" x14ac:dyDescent="0.5">
      <c r="F43" s="3"/>
      <c r="G43" s="1"/>
    </row>
    <row r="44" spans="6:7" x14ac:dyDescent="0.5">
      <c r="F44" s="3"/>
      <c r="G44" s="1"/>
    </row>
    <row r="45" spans="6:7" x14ac:dyDescent="0.5">
      <c r="F45" s="3"/>
      <c r="G45" s="1"/>
    </row>
    <row r="46" spans="6:7" x14ac:dyDescent="0.5">
      <c r="F46" s="3"/>
      <c r="G46" s="1"/>
    </row>
    <row r="47" spans="6:7" x14ac:dyDescent="0.5">
      <c r="F47" s="3"/>
      <c r="G47" s="1"/>
    </row>
    <row r="48" spans="6:7" x14ac:dyDescent="0.5">
      <c r="F48" s="3"/>
      <c r="G48" s="1"/>
    </row>
    <row r="49" spans="6:7" x14ac:dyDescent="0.5">
      <c r="F49" s="3"/>
      <c r="G49" s="1"/>
    </row>
    <row r="50" spans="6:7" x14ac:dyDescent="0.5">
      <c r="F50" s="3"/>
      <c r="G50" s="1"/>
    </row>
    <row r="51" spans="6:7" x14ac:dyDescent="0.5">
      <c r="F51" s="3"/>
      <c r="G51" s="1"/>
    </row>
    <row r="52" spans="6:7" x14ac:dyDescent="0.5">
      <c r="F52" s="3"/>
      <c r="G52" s="1"/>
    </row>
    <row r="53" spans="6:7" x14ac:dyDescent="0.5">
      <c r="F53" s="3"/>
      <c r="G53" s="1"/>
    </row>
    <row r="54" spans="6:7" x14ac:dyDescent="0.5">
      <c r="F54" s="3"/>
      <c r="G54" s="1"/>
    </row>
    <row r="55" spans="6:7" x14ac:dyDescent="0.5">
      <c r="F55" s="3"/>
      <c r="G55" s="1"/>
    </row>
    <row r="56" spans="6:7" x14ac:dyDescent="0.5">
      <c r="F56" s="3"/>
      <c r="G56" s="1"/>
    </row>
    <row r="57" spans="6:7" x14ac:dyDescent="0.5">
      <c r="F57" s="3"/>
      <c r="G57" s="1"/>
    </row>
    <row r="58" spans="6:7" x14ac:dyDescent="0.5">
      <c r="F58" s="3"/>
      <c r="G58" s="1"/>
    </row>
    <row r="59" spans="6:7" x14ac:dyDescent="0.5">
      <c r="F59" s="3"/>
      <c r="G59" s="1"/>
    </row>
    <row r="60" spans="6:7" x14ac:dyDescent="0.5">
      <c r="F60" s="3"/>
      <c r="G60" s="1"/>
    </row>
    <row r="61" spans="6:7" x14ac:dyDescent="0.5">
      <c r="F61" s="3"/>
      <c r="G61" s="1"/>
    </row>
    <row r="62" spans="6:7" x14ac:dyDescent="0.5">
      <c r="F62" s="3"/>
      <c r="G62" s="1"/>
    </row>
    <row r="63" spans="6:7" x14ac:dyDescent="0.5">
      <c r="F63" s="3"/>
      <c r="G63" s="1"/>
    </row>
    <row r="64" spans="6:7" x14ac:dyDescent="0.5">
      <c r="F64" s="3"/>
      <c r="G64" s="1"/>
    </row>
    <row r="65" spans="6:7" x14ac:dyDescent="0.5">
      <c r="F65" s="3"/>
      <c r="G65" s="1"/>
    </row>
    <row r="66" spans="6:7" x14ac:dyDescent="0.5">
      <c r="F66" s="3"/>
      <c r="G66" s="1"/>
    </row>
    <row r="67" spans="6:7" x14ac:dyDescent="0.5">
      <c r="F67" s="3"/>
      <c r="G67" s="1"/>
    </row>
    <row r="68" spans="6:7" x14ac:dyDescent="0.5">
      <c r="F68" s="3"/>
      <c r="G68" s="1"/>
    </row>
    <row r="69" spans="6:7" x14ac:dyDescent="0.5">
      <c r="F69" s="3"/>
      <c r="G69" s="1"/>
    </row>
    <row r="70" spans="6:7" x14ac:dyDescent="0.5">
      <c r="F70" s="3"/>
      <c r="G70" s="1"/>
    </row>
    <row r="71" spans="6:7" x14ac:dyDescent="0.5">
      <c r="F71" s="3"/>
      <c r="G71" s="1"/>
    </row>
    <row r="72" spans="6:7" x14ac:dyDescent="0.5">
      <c r="F72" s="3"/>
      <c r="G72" s="1"/>
    </row>
    <row r="73" spans="6:7" x14ac:dyDescent="0.5">
      <c r="F73" s="3"/>
      <c r="G73" s="1"/>
    </row>
    <row r="74" spans="6:7" x14ac:dyDescent="0.5">
      <c r="F74" s="3"/>
      <c r="G74" s="1"/>
    </row>
    <row r="75" spans="6:7" x14ac:dyDescent="0.5">
      <c r="F75" s="3"/>
      <c r="G75" s="1"/>
    </row>
    <row r="76" spans="6:7" x14ac:dyDescent="0.5">
      <c r="F76" s="3"/>
      <c r="G76" s="1"/>
    </row>
    <row r="77" spans="6:7" x14ac:dyDescent="0.5">
      <c r="F77" s="3"/>
      <c r="G77" s="1"/>
    </row>
    <row r="78" spans="6:7" x14ac:dyDescent="0.5">
      <c r="F78" s="3"/>
      <c r="G78" s="1"/>
    </row>
    <row r="79" spans="6:7" x14ac:dyDescent="0.5">
      <c r="F79" s="3"/>
      <c r="G79" s="1"/>
    </row>
    <row r="80" spans="6:7" x14ac:dyDescent="0.5">
      <c r="F80" s="3"/>
      <c r="G80" s="1"/>
    </row>
    <row r="81" spans="6:7" x14ac:dyDescent="0.5">
      <c r="F81" s="3"/>
      <c r="G81" s="1"/>
    </row>
    <row r="82" spans="6:7" x14ac:dyDescent="0.5">
      <c r="F82" s="3"/>
      <c r="G82" s="1"/>
    </row>
    <row r="83" spans="6:7" x14ac:dyDescent="0.5">
      <c r="F83" s="3"/>
      <c r="G83" s="1"/>
    </row>
    <row r="84" spans="6:7" x14ac:dyDescent="0.5">
      <c r="F84" s="3"/>
      <c r="G84" s="1"/>
    </row>
    <row r="85" spans="6:7" x14ac:dyDescent="0.5">
      <c r="F85" s="3"/>
      <c r="G85" s="1"/>
    </row>
    <row r="86" spans="6:7" x14ac:dyDescent="0.5">
      <c r="F86" s="3"/>
      <c r="G86" s="1"/>
    </row>
    <row r="87" spans="6:7" x14ac:dyDescent="0.5">
      <c r="F87" s="3"/>
      <c r="G87" s="1"/>
    </row>
    <row r="88" spans="6:7" x14ac:dyDescent="0.5">
      <c r="F88" s="3"/>
      <c r="G88" s="1"/>
    </row>
    <row r="89" spans="6:7" x14ac:dyDescent="0.5">
      <c r="F89" s="3"/>
      <c r="G89" s="1"/>
    </row>
    <row r="90" spans="6:7" x14ac:dyDescent="0.5">
      <c r="F90" s="3"/>
      <c r="G90" s="1"/>
    </row>
    <row r="91" spans="6:7" x14ac:dyDescent="0.5">
      <c r="F91" s="3"/>
      <c r="G91" s="1"/>
    </row>
    <row r="92" spans="6:7" x14ac:dyDescent="0.5">
      <c r="F92" s="3"/>
      <c r="G92" s="1"/>
    </row>
    <row r="93" spans="6:7" x14ac:dyDescent="0.5">
      <c r="F93" s="3"/>
      <c r="G93" s="1"/>
    </row>
    <row r="94" spans="6:7" x14ac:dyDescent="0.5">
      <c r="F94" s="3"/>
      <c r="G94" s="1"/>
    </row>
    <row r="95" spans="6:7" x14ac:dyDescent="0.5">
      <c r="F95" s="3"/>
      <c r="G95" s="1"/>
    </row>
    <row r="96" spans="6:7" x14ac:dyDescent="0.5">
      <c r="F96" s="3"/>
      <c r="G96" s="1"/>
    </row>
    <row r="97" spans="6:7" x14ac:dyDescent="0.5">
      <c r="F97" s="3"/>
      <c r="G97" s="1"/>
    </row>
    <row r="98" spans="6:7" x14ac:dyDescent="0.5">
      <c r="F98" s="3"/>
      <c r="G98" s="1"/>
    </row>
    <row r="99" spans="6:7" x14ac:dyDescent="0.5">
      <c r="F99" s="3"/>
      <c r="G99" s="1"/>
    </row>
    <row r="100" spans="6:7" x14ac:dyDescent="0.5">
      <c r="F100" s="3"/>
      <c r="G100" s="1"/>
    </row>
    <row r="101" spans="6:7" x14ac:dyDescent="0.5">
      <c r="F101" s="3"/>
      <c r="G101" s="1"/>
    </row>
    <row r="102" spans="6:7" x14ac:dyDescent="0.5">
      <c r="F102" s="3"/>
      <c r="G102" s="1"/>
    </row>
    <row r="103" spans="6:7" x14ac:dyDescent="0.5">
      <c r="F103" s="3"/>
      <c r="G103" s="1"/>
    </row>
    <row r="104" spans="6:7" x14ac:dyDescent="0.5">
      <c r="F104" s="3"/>
      <c r="G104" s="1"/>
    </row>
    <row r="105" spans="6:7" x14ac:dyDescent="0.5">
      <c r="F105" s="3"/>
      <c r="G105" s="1"/>
    </row>
    <row r="106" spans="6:7" x14ac:dyDescent="0.5">
      <c r="F106" s="3"/>
      <c r="G106" s="1"/>
    </row>
    <row r="107" spans="6:7" x14ac:dyDescent="0.5">
      <c r="F107" s="3"/>
      <c r="G107" s="1"/>
    </row>
    <row r="108" spans="6:7" x14ac:dyDescent="0.5">
      <c r="F108" s="3"/>
      <c r="G108" s="1"/>
    </row>
    <row r="109" spans="6:7" x14ac:dyDescent="0.5">
      <c r="F109" s="3"/>
      <c r="G109" s="1"/>
    </row>
    <row r="110" spans="6:7" x14ac:dyDescent="0.5">
      <c r="F110" s="3"/>
      <c r="G110" s="1"/>
    </row>
    <row r="111" spans="6:7" x14ac:dyDescent="0.5">
      <c r="F111" s="3"/>
      <c r="G111" s="1"/>
    </row>
    <row r="112" spans="6:7" x14ac:dyDescent="0.5">
      <c r="F112" s="3"/>
      <c r="G112" s="1"/>
    </row>
    <row r="113" spans="6:7" x14ac:dyDescent="0.5">
      <c r="F113" s="3"/>
      <c r="G113" s="1"/>
    </row>
    <row r="114" spans="6:7" x14ac:dyDescent="0.5">
      <c r="F114" s="3"/>
      <c r="G114" s="1"/>
    </row>
    <row r="115" spans="6:7" x14ac:dyDescent="0.5">
      <c r="F115" s="3"/>
      <c r="G115" s="1"/>
    </row>
    <row r="116" spans="6:7" x14ac:dyDescent="0.5">
      <c r="F116" s="3"/>
      <c r="G116" s="1"/>
    </row>
    <row r="117" spans="6:7" x14ac:dyDescent="0.5">
      <c r="F117" s="3"/>
      <c r="G117" s="1"/>
    </row>
    <row r="118" spans="6:7" x14ac:dyDescent="0.5">
      <c r="F118" s="3"/>
      <c r="G118" s="1"/>
    </row>
    <row r="119" spans="6:7" x14ac:dyDescent="0.5">
      <c r="F119" s="3"/>
      <c r="G119" s="1"/>
    </row>
    <row r="120" spans="6:7" x14ac:dyDescent="0.5">
      <c r="F120" s="3"/>
      <c r="G120" s="1"/>
    </row>
    <row r="121" spans="6:7" x14ac:dyDescent="0.5">
      <c r="G121" s="1"/>
    </row>
    <row r="122" spans="6:7" x14ac:dyDescent="0.5">
      <c r="G122" s="1"/>
    </row>
    <row r="123" spans="6:7" x14ac:dyDescent="0.5">
      <c r="G123" s="1"/>
    </row>
    <row r="124" spans="6:7" x14ac:dyDescent="0.5">
      <c r="G124" s="1"/>
    </row>
  </sheetData>
  <autoFilter ref="A2:I21" xr:uid="{94AAF649-42F4-466A-BE11-44357078F961}"/>
  <dataValidations count="9">
    <dataValidation type="list" allowBlank="1" showInputMessage="1" showErrorMessage="1" sqref="C3:C21" xr:uid="{3B0FAE21-4414-4928-BE47-40DBF73D85A6}">
      <formula1>dominios</formula1>
    </dataValidation>
    <dataValidation type="list" allowBlank="1" showInputMessage="1" showErrorMessage="1" sqref="A3:A21" xr:uid="{1BC8411C-0029-4475-BC4D-F429B66D863D}">
      <formula1>competencias</formula1>
    </dataValidation>
    <dataValidation type="list" allowBlank="1" showInputMessage="1" showErrorMessage="1" sqref="F29:F120 F3:F21" xr:uid="{EDC32C5E-443E-464B-B420-6F6CD6A8E099}">
      <formula1>INDIRECT($E3)</formula1>
    </dataValidation>
    <dataValidation type="list" allowBlank="1" showInputMessage="1" showErrorMessage="1" sqref="D3:D21 D29:D90" xr:uid="{D2786A4C-D4BE-47D1-BDF5-271CFB539CAE}">
      <formula1>INDIRECT($C3)</formula1>
    </dataValidation>
    <dataValidation type="list" allowBlank="1" showInputMessage="1" showErrorMessage="1" sqref="H29:H114 H3:H21" xr:uid="{5DC517A5-FC6B-4375-B3E1-04A2C1D437C5}">
      <formula1>INDIRECT($G3)</formula1>
    </dataValidation>
    <dataValidation type="list" allowBlank="1" showInputMessage="1" showErrorMessage="1" sqref="G29:G124 G3:G21" xr:uid="{DF3498F9-E1A3-4395-90A6-D9BF5E92F1D0}">
      <formula1>INDIRECT($F3)</formula1>
    </dataValidation>
    <dataValidation type="list" allowBlank="1" showInputMessage="1" showErrorMessage="1" sqref="G125" xr:uid="{2147F390-DEA6-46FC-B015-E96EFBEBA5F9}">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121:E122" xr:uid="{91AF69DB-29AC-4636-A60A-F864E6B2F972}">
      <formula1>taxonomiasra</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21 E29:E120" xr:uid="{FDDA669C-34EE-4294-9725-E19E2D0ED109}">
      <formula1>taxonomiasra</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G30"/>
  <sheetViews>
    <sheetView zoomScaleNormal="100" workbookViewId="0">
      <selection activeCell="B3" sqref="B3:B5"/>
    </sheetView>
  </sheetViews>
  <sheetFormatPr baseColWidth="10" defaultColWidth="11.453125" defaultRowHeight="16.5" x14ac:dyDescent="0.35"/>
  <cols>
    <col min="1" max="1" width="64.1796875" style="28" customWidth="1"/>
    <col min="2" max="2" width="33.1796875" style="28" customWidth="1"/>
    <col min="3" max="3" width="45.7265625" style="28" customWidth="1"/>
    <col min="4" max="4" width="36.453125" style="28" customWidth="1"/>
    <col min="5" max="5" width="40.453125" style="28" customWidth="1"/>
    <col min="6" max="6" width="39.1796875" style="28" customWidth="1"/>
    <col min="7" max="7" width="22.1796875" style="28" customWidth="1"/>
    <col min="8" max="16384" width="11.453125" style="28"/>
  </cols>
  <sheetData>
    <row r="1" spans="1:7" ht="91" x14ac:dyDescent="0.35">
      <c r="A1" s="86" t="s">
        <v>121</v>
      </c>
      <c r="B1" s="86" t="s">
        <v>122</v>
      </c>
      <c r="C1" s="86" t="s">
        <v>123</v>
      </c>
      <c r="D1" s="86" t="s">
        <v>124</v>
      </c>
      <c r="E1" s="86" t="s">
        <v>125</v>
      </c>
      <c r="F1" s="86" t="s">
        <v>126</v>
      </c>
    </row>
    <row r="2" spans="1:7" ht="33" x14ac:dyDescent="0.35">
      <c r="A2" s="88" t="s">
        <v>127</v>
      </c>
      <c r="B2" s="88" t="s">
        <v>128</v>
      </c>
      <c r="C2" s="88" t="s">
        <v>129</v>
      </c>
      <c r="D2" s="88" t="s">
        <v>130</v>
      </c>
      <c r="E2" s="88" t="s">
        <v>131</v>
      </c>
      <c r="F2" s="88" t="s">
        <v>132</v>
      </c>
    </row>
    <row r="3" spans="1:7" ht="33" x14ac:dyDescent="0.35">
      <c r="A3" s="5" t="s">
        <v>100</v>
      </c>
      <c r="B3" s="166" t="s">
        <v>133</v>
      </c>
      <c r="C3" s="162" t="s">
        <v>134</v>
      </c>
      <c r="D3" s="23" t="s">
        <v>135</v>
      </c>
      <c r="E3" s="158" t="s">
        <v>136</v>
      </c>
      <c r="F3" s="5" t="s">
        <v>137</v>
      </c>
      <c r="G3" s="5"/>
    </row>
    <row r="4" spans="1:7" ht="49.5" x14ac:dyDescent="0.35">
      <c r="A4" s="5" t="s">
        <v>103</v>
      </c>
      <c r="B4" s="166"/>
      <c r="C4" s="162"/>
      <c r="D4" s="23" t="s">
        <v>138</v>
      </c>
      <c r="E4" s="158"/>
      <c r="F4" s="28" t="s">
        <v>139</v>
      </c>
    </row>
    <row r="5" spans="1:7" ht="50" thickBot="1" x14ac:dyDescent="0.4">
      <c r="A5" s="5" t="s">
        <v>107</v>
      </c>
      <c r="B5" s="167"/>
      <c r="C5" s="162"/>
      <c r="D5" s="23" t="s">
        <v>140</v>
      </c>
      <c r="E5" s="158"/>
      <c r="F5" s="28" t="s">
        <v>141</v>
      </c>
    </row>
    <row r="6" spans="1:7" ht="49.5" x14ac:dyDescent="0.35">
      <c r="A6" s="25" t="s">
        <v>107</v>
      </c>
      <c r="B6" s="160" t="s">
        <v>142</v>
      </c>
      <c r="C6" s="161" t="s">
        <v>143</v>
      </c>
      <c r="D6" s="114" t="s">
        <v>144</v>
      </c>
      <c r="E6" s="161" t="s">
        <v>145</v>
      </c>
      <c r="F6" s="25" t="s">
        <v>137</v>
      </c>
      <c r="G6" s="5"/>
    </row>
    <row r="7" spans="1:7" ht="33" x14ac:dyDescent="0.35">
      <c r="A7" s="5" t="s">
        <v>113</v>
      </c>
      <c r="B7" s="156"/>
      <c r="C7" s="162"/>
      <c r="D7" s="23" t="s">
        <v>138</v>
      </c>
      <c r="E7" s="162"/>
      <c r="F7" s="28" t="s">
        <v>139</v>
      </c>
    </row>
    <row r="8" spans="1:7" ht="50" thickBot="1" x14ac:dyDescent="0.4">
      <c r="A8" s="27" t="s">
        <v>103</v>
      </c>
      <c r="B8" s="168"/>
      <c r="C8" s="162"/>
      <c r="D8" s="23" t="s">
        <v>140</v>
      </c>
      <c r="E8" s="163"/>
      <c r="F8" s="116" t="s">
        <v>141</v>
      </c>
    </row>
    <row r="9" spans="1:7" ht="49.5" x14ac:dyDescent="0.35">
      <c r="A9" s="5" t="s">
        <v>103</v>
      </c>
      <c r="B9" s="156" t="s">
        <v>146</v>
      </c>
      <c r="C9" s="161" t="s">
        <v>147</v>
      </c>
      <c r="D9" s="114" t="s">
        <v>148</v>
      </c>
      <c r="E9" s="161" t="s">
        <v>149</v>
      </c>
      <c r="F9" s="5" t="s">
        <v>137</v>
      </c>
      <c r="G9" s="5"/>
    </row>
    <row r="10" spans="1:7" ht="49.5" x14ac:dyDescent="0.35">
      <c r="A10" s="5" t="s">
        <v>107</v>
      </c>
      <c r="B10" s="156"/>
      <c r="C10" s="162"/>
      <c r="D10" s="23" t="s">
        <v>138</v>
      </c>
      <c r="E10" s="162"/>
      <c r="F10" s="5" t="s">
        <v>139</v>
      </c>
      <c r="G10" s="5"/>
    </row>
    <row r="11" spans="1:7" ht="50" thickBot="1" x14ac:dyDescent="0.4">
      <c r="A11" s="5" t="s">
        <v>113</v>
      </c>
      <c r="B11" s="156"/>
      <c r="C11" s="162"/>
      <c r="D11" s="23" t="s">
        <v>140</v>
      </c>
      <c r="E11" s="163"/>
      <c r="F11" s="28" t="s">
        <v>141</v>
      </c>
      <c r="G11" s="5"/>
    </row>
    <row r="12" spans="1:7" ht="49.5" x14ac:dyDescent="0.35">
      <c r="A12" s="25" t="s">
        <v>103</v>
      </c>
      <c r="B12" s="160" t="s">
        <v>150</v>
      </c>
      <c r="C12" s="161" t="s">
        <v>151</v>
      </c>
      <c r="D12" s="114" t="s">
        <v>152</v>
      </c>
      <c r="E12" s="162" t="s">
        <v>153</v>
      </c>
      <c r="F12" s="25" t="s">
        <v>137</v>
      </c>
      <c r="G12" s="5"/>
    </row>
    <row r="13" spans="1:7" ht="33" x14ac:dyDescent="0.35">
      <c r="A13" s="5" t="s">
        <v>113</v>
      </c>
      <c r="B13" s="156"/>
      <c r="C13" s="162"/>
      <c r="D13" s="23" t="s">
        <v>154</v>
      </c>
      <c r="E13" s="162"/>
      <c r="F13" s="28" t="s">
        <v>139</v>
      </c>
    </row>
    <row r="14" spans="1:7" ht="50" thickBot="1" x14ac:dyDescent="0.4">
      <c r="A14" s="5" t="s">
        <v>114</v>
      </c>
      <c r="B14" s="156"/>
      <c r="C14" s="162"/>
      <c r="D14" s="115" t="s">
        <v>140</v>
      </c>
      <c r="E14" s="162"/>
      <c r="F14" s="28" t="s">
        <v>141</v>
      </c>
    </row>
    <row r="15" spans="1:7" ht="82.5" x14ac:dyDescent="0.35">
      <c r="A15" s="25" t="s">
        <v>107</v>
      </c>
      <c r="B15" s="160" t="s">
        <v>155</v>
      </c>
      <c r="C15" s="114" t="s">
        <v>156</v>
      </c>
      <c r="D15" s="23" t="s">
        <v>157</v>
      </c>
      <c r="E15" s="164" t="s">
        <v>158</v>
      </c>
      <c r="F15" s="25" t="s">
        <v>137</v>
      </c>
      <c r="G15" s="5"/>
    </row>
    <row r="16" spans="1:7" ht="99" x14ac:dyDescent="0.35">
      <c r="A16" s="5" t="s">
        <v>110</v>
      </c>
      <c r="B16" s="156"/>
      <c r="C16" s="23" t="s">
        <v>159</v>
      </c>
      <c r="D16" s="23" t="s">
        <v>154</v>
      </c>
      <c r="E16" s="158"/>
      <c r="F16" s="5" t="s">
        <v>139</v>
      </c>
    </row>
    <row r="17" spans="1:6" ht="66" x14ac:dyDescent="0.35">
      <c r="A17" s="5" t="s">
        <v>114</v>
      </c>
      <c r="B17" s="156"/>
      <c r="C17" s="23" t="s">
        <v>160</v>
      </c>
      <c r="D17" s="23" t="s">
        <v>140</v>
      </c>
      <c r="E17" s="158"/>
      <c r="F17" s="28" t="s">
        <v>141</v>
      </c>
    </row>
    <row r="18" spans="1:6" ht="66" x14ac:dyDescent="0.35">
      <c r="A18" s="5" t="s">
        <v>114</v>
      </c>
      <c r="B18" s="156"/>
      <c r="C18" s="22" t="s">
        <v>161</v>
      </c>
      <c r="D18" s="23"/>
      <c r="E18" s="158"/>
    </row>
    <row r="19" spans="1:6" ht="66.5" thickBot="1" x14ac:dyDescent="0.4">
      <c r="A19" s="27" t="s">
        <v>100</v>
      </c>
      <c r="B19" s="156"/>
      <c r="C19" s="22" t="s">
        <v>162</v>
      </c>
      <c r="D19" s="115"/>
      <c r="E19" s="165"/>
      <c r="F19" s="116"/>
    </row>
    <row r="20" spans="1:6" x14ac:dyDescent="0.35">
      <c r="B20" s="104"/>
      <c r="C20" s="104"/>
      <c r="D20" s="23"/>
      <c r="E20" s="9"/>
    </row>
    <row r="21" spans="1:6" x14ac:dyDescent="0.35">
      <c r="B21" s="22"/>
      <c r="C21" s="22"/>
      <c r="D21" s="23"/>
      <c r="E21" s="9"/>
    </row>
    <row r="22" spans="1:6" x14ac:dyDescent="0.35">
      <c r="B22" s="22"/>
      <c r="C22" s="22"/>
      <c r="D22" s="23"/>
      <c r="E22" s="10"/>
    </row>
    <row r="23" spans="1:6" x14ac:dyDescent="0.35">
      <c r="B23" s="22"/>
      <c r="C23" s="22"/>
      <c r="D23" s="23"/>
      <c r="E23" s="9"/>
    </row>
    <row r="24" spans="1:6" x14ac:dyDescent="0.35">
      <c r="B24" s="22"/>
      <c r="C24" s="22"/>
      <c r="D24" s="23"/>
      <c r="E24" s="9"/>
    </row>
    <row r="25" spans="1:6" x14ac:dyDescent="0.35">
      <c r="B25" s="22"/>
      <c r="C25" s="22"/>
      <c r="D25" s="23"/>
      <c r="E25" s="9"/>
    </row>
    <row r="26" spans="1:6" x14ac:dyDescent="0.35">
      <c r="B26" s="22"/>
      <c r="C26" s="22"/>
      <c r="D26" s="23"/>
      <c r="E26" s="9"/>
    </row>
    <row r="27" spans="1:6" x14ac:dyDescent="0.35">
      <c r="B27" s="22"/>
      <c r="C27" s="22"/>
      <c r="D27" s="23"/>
      <c r="E27" s="9"/>
    </row>
    <row r="28" spans="1:6" x14ac:dyDescent="0.35">
      <c r="B28" s="22"/>
      <c r="C28" s="22"/>
      <c r="D28" s="23"/>
      <c r="E28" s="9"/>
    </row>
    <row r="29" spans="1:6" x14ac:dyDescent="0.35">
      <c r="B29" s="22"/>
      <c r="C29" s="22"/>
      <c r="D29" s="23"/>
      <c r="E29" s="9"/>
    </row>
    <row r="30" spans="1:6" x14ac:dyDescent="0.35">
      <c r="B30" s="22"/>
      <c r="C30" s="22"/>
      <c r="D30" s="23"/>
      <c r="E30" s="9"/>
    </row>
  </sheetData>
  <autoFilter ref="A2:F15" xr:uid="{1F726B80-E6B4-4ED4-A764-E59AF4E18393}"/>
  <mergeCells count="14">
    <mergeCell ref="B15:B19"/>
    <mergeCell ref="E3:E5"/>
    <mergeCell ref="E6:E8"/>
    <mergeCell ref="E9:E11"/>
    <mergeCell ref="E12:E14"/>
    <mergeCell ref="E15:E19"/>
    <mergeCell ref="C3:C5"/>
    <mergeCell ref="C6:C8"/>
    <mergeCell ref="C9:C11"/>
    <mergeCell ref="C12:C14"/>
    <mergeCell ref="B3:B5"/>
    <mergeCell ref="B6:B8"/>
    <mergeCell ref="B9:B11"/>
    <mergeCell ref="B12:B14"/>
  </mergeCells>
  <dataValidations count="1">
    <dataValidation type="list" allowBlank="1" showInputMessage="1" showErrorMessage="1" sqref="A18:A30" xr:uid="{D048ED25-334D-4F32-B2A7-D11385F03FF6}">
      <formula1>resultadoaprendizaje</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C4DEC4F-96FE-4E36-BE7F-963CF6AF9D02}">
          <x14:formula1>
            <xm:f>'Paso 3 Redacción RA '!$I$3:$I$21</xm:f>
          </x14:formula1>
          <xm:sqref>A3:A17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S218"/>
  <sheetViews>
    <sheetView tabSelected="1" zoomScale="106" zoomScaleNormal="106" workbookViewId="0">
      <selection activeCell="N4" sqref="N4"/>
    </sheetView>
  </sheetViews>
  <sheetFormatPr baseColWidth="10" defaultColWidth="11.453125" defaultRowHeight="16.5" x14ac:dyDescent="0.5"/>
  <cols>
    <col min="1" max="1" width="15.81640625" style="28" customWidth="1"/>
    <col min="2" max="2" width="62.26953125" style="3" customWidth="1"/>
    <col min="3" max="3" width="13.453125" style="8" customWidth="1"/>
    <col min="4" max="4" width="29.453125" style="7" customWidth="1"/>
    <col min="5" max="5" width="53.7265625" style="24" customWidth="1"/>
    <col min="6" max="6" width="20.453125" style="8" customWidth="1"/>
    <col min="7" max="7" width="19" style="11" customWidth="1"/>
    <col min="8" max="8" width="17.7265625" style="11" customWidth="1"/>
    <col min="9" max="9" width="14.453125" style="11" customWidth="1"/>
    <col min="10" max="10" width="14.453125" style="1" customWidth="1"/>
    <col min="11" max="11" width="21.26953125" style="28" customWidth="1"/>
    <col min="12" max="12" width="24.26953125" style="28" customWidth="1"/>
    <col min="13" max="13" width="13.1796875" style="28" customWidth="1"/>
    <col min="14" max="14" width="33.7265625" style="6" customWidth="1"/>
    <col min="15" max="15" width="31.453125" style="4" customWidth="1"/>
    <col min="16" max="16" width="51.7265625" style="4" customWidth="1"/>
    <col min="17" max="17" width="104.1796875" style="4" customWidth="1"/>
    <col min="18" max="16384" width="11.453125" style="1"/>
  </cols>
  <sheetData>
    <row r="1" spans="1:19" s="28" customFormat="1" ht="52" x14ac:dyDescent="0.35">
      <c r="A1" s="86" t="s">
        <v>163</v>
      </c>
      <c r="B1" s="86" t="s">
        <v>164</v>
      </c>
      <c r="C1" s="86" t="s">
        <v>165</v>
      </c>
      <c r="D1" s="86" t="s">
        <v>166</v>
      </c>
      <c r="E1" s="86" t="s">
        <v>167</v>
      </c>
      <c r="F1" s="86" t="s">
        <v>168</v>
      </c>
      <c r="G1" s="148" t="s">
        <v>169</v>
      </c>
      <c r="H1" s="148"/>
      <c r="I1" s="148"/>
      <c r="J1" s="86" t="s">
        <v>170</v>
      </c>
      <c r="K1" s="86" t="s">
        <v>171</v>
      </c>
      <c r="L1" s="86" t="s">
        <v>172</v>
      </c>
      <c r="M1" s="86" t="s">
        <v>173</v>
      </c>
      <c r="N1" s="86" t="s">
        <v>174</v>
      </c>
      <c r="O1" s="86" t="s">
        <v>175</v>
      </c>
      <c r="P1" s="86" t="s">
        <v>176</v>
      </c>
      <c r="Q1" s="86" t="s">
        <v>177</v>
      </c>
      <c r="R1" s="94"/>
      <c r="S1" s="94"/>
    </row>
    <row r="2" spans="1:19" s="28" customFormat="1" ht="33" x14ac:dyDescent="0.35">
      <c r="A2" s="106" t="s">
        <v>178</v>
      </c>
      <c r="B2" s="106" t="s">
        <v>127</v>
      </c>
      <c r="C2" s="106" t="s">
        <v>179</v>
      </c>
      <c r="D2" s="106" t="s">
        <v>180</v>
      </c>
      <c r="E2" s="106" t="s">
        <v>181</v>
      </c>
      <c r="F2" s="106" t="s">
        <v>182</v>
      </c>
      <c r="G2" s="106" t="s">
        <v>183</v>
      </c>
      <c r="H2" s="106" t="s">
        <v>184</v>
      </c>
      <c r="I2" s="106" t="s">
        <v>185</v>
      </c>
      <c r="J2" s="106" t="s">
        <v>186</v>
      </c>
      <c r="K2" s="106" t="s">
        <v>187</v>
      </c>
      <c r="L2" s="106" t="s">
        <v>188</v>
      </c>
      <c r="M2" s="106" t="s">
        <v>189</v>
      </c>
      <c r="N2" s="106" t="s">
        <v>190</v>
      </c>
      <c r="O2" s="106" t="s">
        <v>191</v>
      </c>
      <c r="P2" s="106" t="s">
        <v>192</v>
      </c>
      <c r="Q2" s="106" t="s">
        <v>193</v>
      </c>
      <c r="R2" s="95"/>
      <c r="S2" s="95"/>
    </row>
    <row r="3" spans="1:19" s="30" customFormat="1" ht="192.5" thickBot="1" x14ac:dyDescent="0.55000000000000004">
      <c r="A3" s="33" t="str">
        <f>_xlfn.XLOOKUP(B3,'Paso 3 Redacción RA '!I$3:I$21,'Paso 3 Redacción RA '!C$3:C$21,,0,1)</f>
        <v>Saber</v>
      </c>
      <c r="B3" s="33" t="s">
        <v>120</v>
      </c>
      <c r="C3" s="34">
        <v>1</v>
      </c>
      <c r="D3" s="34" t="s">
        <v>194</v>
      </c>
      <c r="E3" s="35" t="s">
        <v>195</v>
      </c>
      <c r="F3" s="34" t="s">
        <v>196</v>
      </c>
      <c r="G3" s="34" t="s">
        <v>197</v>
      </c>
      <c r="H3" s="33"/>
      <c r="I3" s="33"/>
      <c r="J3" s="34">
        <v>3</v>
      </c>
      <c r="K3" s="33">
        <f>16*J3</f>
        <v>48</v>
      </c>
      <c r="L3" s="33">
        <f>32*J3</f>
        <v>96</v>
      </c>
      <c r="M3" s="33">
        <f>SUM(K3:L3)</f>
        <v>144</v>
      </c>
      <c r="N3" s="35" t="s">
        <v>198</v>
      </c>
      <c r="O3" s="108" t="s">
        <v>199</v>
      </c>
      <c r="P3" s="108" t="s">
        <v>200</v>
      </c>
      <c r="Q3" s="98" t="s">
        <v>201</v>
      </c>
    </row>
    <row r="4" spans="1:19" s="31" customFormat="1" ht="272.5" thickBot="1" x14ac:dyDescent="0.4">
      <c r="A4" s="33" t="str">
        <f>_xlfn.XLOOKUP(B4,'Paso 3 Redacción RA '!I$3:I$21,'Paso 3 Redacción RA '!C$3:C$21,,0,1)</f>
        <v>Saber</v>
      </c>
      <c r="B4" s="33" t="s">
        <v>120</v>
      </c>
      <c r="C4" s="40">
        <v>1</v>
      </c>
      <c r="D4" s="40" t="s">
        <v>202</v>
      </c>
      <c r="E4" s="39" t="s">
        <v>203</v>
      </c>
      <c r="F4" s="40" t="s">
        <v>196</v>
      </c>
      <c r="G4" s="40" t="s">
        <v>197</v>
      </c>
      <c r="H4" s="40"/>
      <c r="I4" s="40"/>
      <c r="J4" s="40">
        <v>3</v>
      </c>
      <c r="K4" s="40">
        <f>16*J4</f>
        <v>48</v>
      </c>
      <c r="L4" s="40">
        <f>32*J4</f>
        <v>96</v>
      </c>
      <c r="M4" s="40">
        <f>SUM(K4:L4)</f>
        <v>144</v>
      </c>
      <c r="N4" s="39" t="s">
        <v>204</v>
      </c>
      <c r="O4" s="109" t="s">
        <v>205</v>
      </c>
      <c r="P4" s="109" t="s">
        <v>206</v>
      </c>
      <c r="Q4" s="99" t="s">
        <v>201</v>
      </c>
    </row>
    <row r="5" spans="1:19" s="30" customFormat="1" ht="32" x14ac:dyDescent="0.5">
      <c r="A5" s="51" t="str">
        <f>_xlfn.XLOOKUP(B5,'Paso 3 Redacción RA '!I$3:I$21,'Paso 3 Redacción RA '!C$3:C$21,,0,1)</f>
        <v>Saber</v>
      </c>
      <c r="B5" s="51" t="s">
        <v>100</v>
      </c>
      <c r="C5" s="121">
        <v>1</v>
      </c>
      <c r="D5" s="121" t="s">
        <v>207</v>
      </c>
      <c r="E5" s="124" t="s">
        <v>208</v>
      </c>
      <c r="F5" s="121" t="s">
        <v>209</v>
      </c>
      <c r="G5" s="121" t="s">
        <v>210</v>
      </c>
      <c r="H5" s="121" t="s">
        <v>197</v>
      </c>
      <c r="I5" s="121" t="s">
        <v>210</v>
      </c>
      <c r="J5" s="121">
        <v>3</v>
      </c>
      <c r="K5" s="121">
        <f>16*J5</f>
        <v>48</v>
      </c>
      <c r="L5" s="121">
        <f>32*J5</f>
        <v>96</v>
      </c>
      <c r="M5" s="121">
        <f>SUM(K5:L7)</f>
        <v>144</v>
      </c>
      <c r="N5" s="124" t="s">
        <v>211</v>
      </c>
      <c r="O5" s="124" t="s">
        <v>212</v>
      </c>
      <c r="P5" s="124" t="s">
        <v>213</v>
      </c>
      <c r="Q5" s="125" t="s">
        <v>214</v>
      </c>
    </row>
    <row r="6" spans="1:19" s="30" customFormat="1" ht="32" x14ac:dyDescent="0.5">
      <c r="A6" s="29" t="str">
        <f>_xlfn.XLOOKUP(B6,'Paso 3 Redacción RA '!I$3:I$21,'Paso 3 Redacción RA '!C$3:C$21,,0,1)</f>
        <v>Saber</v>
      </c>
      <c r="B6" s="29" t="s">
        <v>114</v>
      </c>
      <c r="C6" s="122"/>
      <c r="D6" s="122"/>
      <c r="E6" s="125"/>
      <c r="F6" s="122"/>
      <c r="G6" s="122"/>
      <c r="H6" s="122"/>
      <c r="I6" s="122"/>
      <c r="J6" s="122"/>
      <c r="K6" s="122"/>
      <c r="L6" s="122"/>
      <c r="M6" s="122"/>
      <c r="N6" s="125"/>
      <c r="O6" s="125"/>
      <c r="P6" s="125"/>
      <c r="Q6" s="125"/>
    </row>
    <row r="7" spans="1:19" s="30" customFormat="1" ht="32.5" thickBot="1" x14ac:dyDescent="0.55000000000000004">
      <c r="A7" s="50" t="str">
        <f>_xlfn.XLOOKUP(B7,'Paso 3 Redacción RA '!I$3:I$21,'Paso 3 Redacción RA '!C$3:C$21,,0,1)</f>
        <v>Saber</v>
      </c>
      <c r="B7" s="50" t="s">
        <v>116</v>
      </c>
      <c r="C7" s="123"/>
      <c r="D7" s="123"/>
      <c r="E7" s="126"/>
      <c r="F7" s="123"/>
      <c r="G7" s="123"/>
      <c r="H7" s="123"/>
      <c r="I7" s="123"/>
      <c r="J7" s="123"/>
      <c r="K7" s="123"/>
      <c r="L7" s="123"/>
      <c r="M7" s="123"/>
      <c r="N7" s="126"/>
      <c r="O7" s="126" t="s">
        <v>210</v>
      </c>
      <c r="P7" s="126" t="s">
        <v>210</v>
      </c>
      <c r="Q7" s="137"/>
    </row>
    <row r="8" spans="1:19" s="31" customFormat="1" ht="32" x14ac:dyDescent="0.35">
      <c r="A8" s="51" t="str">
        <f>_xlfn.XLOOKUP(B8,'Paso 3 Redacción RA '!I$3:I$21,'Paso 3 Redacción RA '!C$3:C$21,,0,1)</f>
        <v>Saber</v>
      </c>
      <c r="B8" s="51" t="s">
        <v>100</v>
      </c>
      <c r="C8" s="121">
        <v>1</v>
      </c>
      <c r="D8" s="121" t="s">
        <v>215</v>
      </c>
      <c r="E8" s="124" t="s">
        <v>216</v>
      </c>
      <c r="F8" s="121" t="s">
        <v>196</v>
      </c>
      <c r="G8" s="121"/>
      <c r="H8" s="121" t="s">
        <v>197</v>
      </c>
      <c r="I8" s="121"/>
      <c r="J8" s="121">
        <v>3</v>
      </c>
      <c r="K8" s="121">
        <f>16*J8</f>
        <v>48</v>
      </c>
      <c r="L8" s="121">
        <f>32*J8</f>
        <v>96</v>
      </c>
      <c r="M8" s="121">
        <f>SUM(K8:L14)</f>
        <v>144</v>
      </c>
      <c r="N8" s="124" t="s">
        <v>217</v>
      </c>
      <c r="O8" s="124" t="s">
        <v>218</v>
      </c>
      <c r="P8" s="124" t="s">
        <v>219</v>
      </c>
      <c r="Q8" s="131" t="s">
        <v>220</v>
      </c>
    </row>
    <row r="9" spans="1:19" s="31" customFormat="1" ht="48" x14ac:dyDescent="0.35">
      <c r="A9" s="29" t="str">
        <f>_xlfn.XLOOKUP(B9,'Paso 3 Redacción RA '!I$3:I$21,'Paso 3 Redacción RA '!C$3:C$21,,0,1)</f>
        <v>Saberhacer</v>
      </c>
      <c r="B9" s="29" t="s">
        <v>103</v>
      </c>
      <c r="C9" s="122"/>
      <c r="D9" s="122"/>
      <c r="E9" s="125"/>
      <c r="F9" s="122"/>
      <c r="G9" s="122"/>
      <c r="H9" s="122"/>
      <c r="I9" s="122"/>
      <c r="J9" s="122"/>
      <c r="K9" s="122"/>
      <c r="L9" s="122"/>
      <c r="M9" s="122"/>
      <c r="N9" s="125"/>
      <c r="O9" s="125"/>
      <c r="P9" s="125"/>
      <c r="Q9" s="131"/>
    </row>
    <row r="10" spans="1:19" s="31" customFormat="1" ht="48" x14ac:dyDescent="0.35">
      <c r="A10" s="29" t="str">
        <f>_xlfn.XLOOKUP(B10,'Paso 3 Redacción RA '!I$3:I$21,'Paso 3 Redacción RA '!C$3:C$21,,0,1)</f>
        <v>Saberser</v>
      </c>
      <c r="B10" s="29" t="s">
        <v>107</v>
      </c>
      <c r="C10" s="122"/>
      <c r="D10" s="122"/>
      <c r="E10" s="125"/>
      <c r="F10" s="122"/>
      <c r="G10" s="122"/>
      <c r="H10" s="122"/>
      <c r="I10" s="122"/>
      <c r="J10" s="122"/>
      <c r="K10" s="122"/>
      <c r="L10" s="122"/>
      <c r="M10" s="122"/>
      <c r="N10" s="125"/>
      <c r="O10" s="125"/>
      <c r="P10" s="125"/>
      <c r="Q10" s="131"/>
    </row>
    <row r="11" spans="1:19" s="31" customFormat="1" ht="32" x14ac:dyDescent="0.35">
      <c r="A11" s="29" t="str">
        <f>_xlfn.XLOOKUP(B11,'Paso 3 Redacción RA '!I$3:I$21,'Paso 3 Redacción RA '!C$3:C$21,,0,1)</f>
        <v>Saber</v>
      </c>
      <c r="B11" s="29" t="s">
        <v>110</v>
      </c>
      <c r="C11" s="122"/>
      <c r="D11" s="122"/>
      <c r="E11" s="125"/>
      <c r="F11" s="122"/>
      <c r="G11" s="122"/>
      <c r="H11" s="122"/>
      <c r="I11" s="122"/>
      <c r="J11" s="122"/>
      <c r="K11" s="122"/>
      <c r="L11" s="122"/>
      <c r="M11" s="122"/>
      <c r="N11" s="125"/>
      <c r="O11" s="125"/>
      <c r="P11" s="125"/>
      <c r="Q11" s="131"/>
    </row>
    <row r="12" spans="1:19" s="31" customFormat="1" ht="32" x14ac:dyDescent="0.35">
      <c r="A12" s="29" t="str">
        <f>_xlfn.XLOOKUP(B12,'Paso 3 Redacción RA '!I$3:I$21,'Paso 3 Redacción RA '!C$3:C$21,,0,1)</f>
        <v>Saberhacer</v>
      </c>
      <c r="B12" s="29" t="s">
        <v>113</v>
      </c>
      <c r="C12" s="122"/>
      <c r="D12" s="122"/>
      <c r="E12" s="125"/>
      <c r="F12" s="122"/>
      <c r="G12" s="122"/>
      <c r="H12" s="122"/>
      <c r="I12" s="122"/>
      <c r="J12" s="122"/>
      <c r="K12" s="122"/>
      <c r="L12" s="122"/>
      <c r="M12" s="122"/>
      <c r="N12" s="125"/>
      <c r="O12" s="125"/>
      <c r="P12" s="125"/>
      <c r="Q12" s="131"/>
    </row>
    <row r="13" spans="1:19" s="31" customFormat="1" ht="32" x14ac:dyDescent="0.35">
      <c r="A13" s="29" t="str">
        <f>_xlfn.XLOOKUP(B13,'Paso 3 Redacción RA '!I$3:I$21,'Paso 3 Redacción RA '!C$3:C$21,,0,1)</f>
        <v>Saber</v>
      </c>
      <c r="B13" s="29" t="s">
        <v>114</v>
      </c>
      <c r="C13" s="122"/>
      <c r="D13" s="122"/>
      <c r="E13" s="125"/>
      <c r="F13" s="122"/>
      <c r="G13" s="122"/>
      <c r="H13" s="122"/>
      <c r="I13" s="122"/>
      <c r="J13" s="122"/>
      <c r="K13" s="122"/>
      <c r="L13" s="122"/>
      <c r="M13" s="122"/>
      <c r="N13" s="125"/>
      <c r="O13" s="125"/>
      <c r="P13" s="125"/>
      <c r="Q13" s="125"/>
    </row>
    <row r="14" spans="1:19" s="31" customFormat="1" ht="32.5" thickBot="1" x14ac:dyDescent="0.4">
      <c r="A14" s="50" t="str">
        <f>_xlfn.XLOOKUP(B14,'Paso 3 Redacción RA '!I$3:I$21,'Paso 3 Redacción RA '!C$3:C$21,,0,1)</f>
        <v>Saber</v>
      </c>
      <c r="B14" s="50" t="s">
        <v>116</v>
      </c>
      <c r="C14" s="123"/>
      <c r="D14" s="123"/>
      <c r="E14" s="126"/>
      <c r="F14" s="123"/>
      <c r="G14" s="123"/>
      <c r="H14" s="123"/>
      <c r="I14" s="123"/>
      <c r="J14" s="123"/>
      <c r="K14" s="123"/>
      <c r="L14" s="123"/>
      <c r="M14" s="123"/>
      <c r="N14" s="126"/>
      <c r="O14" s="126" t="s">
        <v>210</v>
      </c>
      <c r="P14" s="126" t="s">
        <v>210</v>
      </c>
      <c r="Q14" s="137"/>
    </row>
    <row r="15" spans="1:19" s="30" customFormat="1" ht="32" x14ac:dyDescent="0.5">
      <c r="A15" s="51" t="str">
        <f>_xlfn.XLOOKUP(B15,'Paso 3 Redacción RA '!I$3:I$21,'Paso 3 Redacción RA '!C$3:C$21,,0,1)</f>
        <v>Saber</v>
      </c>
      <c r="B15" s="51" t="s">
        <v>100</v>
      </c>
      <c r="C15" s="136">
        <v>1</v>
      </c>
      <c r="D15" s="121" t="s">
        <v>221</v>
      </c>
      <c r="E15" s="124" t="s">
        <v>222</v>
      </c>
      <c r="F15" s="121" t="s">
        <v>196</v>
      </c>
      <c r="G15" s="121"/>
      <c r="H15" s="121" t="s">
        <v>197</v>
      </c>
      <c r="I15" s="121"/>
      <c r="J15" s="121">
        <v>3</v>
      </c>
      <c r="K15" s="121">
        <f>16*J15</f>
        <v>48</v>
      </c>
      <c r="L15" s="121">
        <f>32*J15</f>
        <v>96</v>
      </c>
      <c r="M15" s="121">
        <f>SUM(K15:L20)</f>
        <v>144</v>
      </c>
      <c r="N15" s="124" t="s">
        <v>223</v>
      </c>
      <c r="O15" s="124" t="s">
        <v>224</v>
      </c>
      <c r="P15" s="124" t="s">
        <v>225</v>
      </c>
      <c r="Q15" s="131" t="s">
        <v>226</v>
      </c>
      <c r="R15" s="29"/>
    </row>
    <row r="16" spans="1:19" s="30" customFormat="1" ht="48" x14ac:dyDescent="0.5">
      <c r="A16" s="29" t="str">
        <f>_xlfn.XLOOKUP(B16,'Paso 3 Redacción RA '!I$3:I$21,'Paso 3 Redacción RA '!C$3:C$21,,0,1)</f>
        <v>Saberhacer</v>
      </c>
      <c r="B16" s="29" t="s">
        <v>103</v>
      </c>
      <c r="C16" s="127"/>
      <c r="D16" s="122"/>
      <c r="E16" s="125"/>
      <c r="F16" s="122"/>
      <c r="G16" s="122"/>
      <c r="H16" s="122"/>
      <c r="I16" s="122"/>
      <c r="J16" s="122"/>
      <c r="K16" s="122"/>
      <c r="L16" s="122"/>
      <c r="M16" s="122"/>
      <c r="N16" s="125"/>
      <c r="O16" s="125"/>
      <c r="P16" s="125"/>
      <c r="Q16" s="125"/>
    </row>
    <row r="17" spans="1:18" s="30" customFormat="1" ht="48" x14ac:dyDescent="0.5">
      <c r="A17" s="29" t="str">
        <f>_xlfn.XLOOKUP(B17,'Paso 3 Redacción RA '!I$3:I$21,'Paso 3 Redacción RA '!C$3:C$21,,0,1)</f>
        <v>Saberser</v>
      </c>
      <c r="B17" s="29" t="s">
        <v>107</v>
      </c>
      <c r="C17" s="127"/>
      <c r="D17" s="122"/>
      <c r="E17" s="125"/>
      <c r="F17" s="122"/>
      <c r="G17" s="122"/>
      <c r="H17" s="122"/>
      <c r="I17" s="122"/>
      <c r="J17" s="122"/>
      <c r="K17" s="122"/>
      <c r="L17" s="122"/>
      <c r="M17" s="122"/>
      <c r="N17" s="125"/>
      <c r="O17" s="125"/>
      <c r="P17" s="125"/>
      <c r="Q17" s="125"/>
    </row>
    <row r="18" spans="1:18" s="30" customFormat="1" ht="32" x14ac:dyDescent="0.5">
      <c r="A18" s="29" t="str">
        <f>_xlfn.XLOOKUP(B18,'Paso 3 Redacción RA '!I$3:I$21,'Paso 3 Redacción RA '!C$3:C$21,,0,1)</f>
        <v>Saber</v>
      </c>
      <c r="B18" s="29" t="s">
        <v>110</v>
      </c>
      <c r="C18" s="127"/>
      <c r="D18" s="122"/>
      <c r="E18" s="125"/>
      <c r="F18" s="122"/>
      <c r="G18" s="122"/>
      <c r="H18" s="122"/>
      <c r="I18" s="122"/>
      <c r="J18" s="122"/>
      <c r="K18" s="122"/>
      <c r="L18" s="122"/>
      <c r="M18" s="122"/>
      <c r="N18" s="125"/>
      <c r="O18" s="125"/>
      <c r="P18" s="125"/>
      <c r="Q18" s="125"/>
    </row>
    <row r="19" spans="1:18" s="30" customFormat="1" ht="32" x14ac:dyDescent="0.5">
      <c r="A19" s="29" t="str">
        <f>_xlfn.XLOOKUP(B19,'Paso 3 Redacción RA '!I$3:I$21,'Paso 3 Redacción RA '!C$3:C$21,,0,1)</f>
        <v>Saberhacer</v>
      </c>
      <c r="B19" s="29" t="s">
        <v>113</v>
      </c>
      <c r="C19" s="127"/>
      <c r="D19" s="122"/>
      <c r="E19" s="125"/>
      <c r="F19" s="122"/>
      <c r="G19" s="122"/>
      <c r="H19" s="122"/>
      <c r="I19" s="122"/>
      <c r="J19" s="122"/>
      <c r="K19" s="122"/>
      <c r="L19" s="122"/>
      <c r="M19" s="122"/>
      <c r="N19" s="125"/>
      <c r="O19" s="125"/>
      <c r="P19" s="125"/>
      <c r="Q19" s="125"/>
    </row>
    <row r="20" spans="1:18" s="30" customFormat="1" ht="32.5" thickBot="1" x14ac:dyDescent="0.55000000000000004">
      <c r="A20" s="50" t="str">
        <f>_xlfn.XLOOKUP(B20,'Paso 3 Redacción RA '!I$3:I$21,'Paso 3 Redacción RA '!C$3:C$21,,0,1)</f>
        <v>Saber</v>
      </c>
      <c r="B20" s="50" t="s">
        <v>116</v>
      </c>
      <c r="C20" s="130"/>
      <c r="D20" s="123"/>
      <c r="E20" s="126"/>
      <c r="F20" s="123"/>
      <c r="G20" s="123"/>
      <c r="H20" s="123"/>
      <c r="I20" s="123"/>
      <c r="J20" s="123"/>
      <c r="K20" s="123"/>
      <c r="L20" s="123"/>
      <c r="M20" s="123"/>
      <c r="N20" s="126"/>
      <c r="O20" s="126" t="s">
        <v>210</v>
      </c>
      <c r="P20" s="126" t="s">
        <v>210</v>
      </c>
      <c r="Q20" s="137"/>
    </row>
    <row r="21" spans="1:18" s="30" customFormat="1" ht="32" x14ac:dyDescent="0.5">
      <c r="A21" s="51" t="str">
        <f>_xlfn.XLOOKUP(B21,'Paso 3 Redacción RA '!I$3:I$21,'Paso 3 Redacción RA '!C$3:C$21,,0,1)</f>
        <v>Saber</v>
      </c>
      <c r="B21" s="51" t="s">
        <v>100</v>
      </c>
      <c r="C21" s="120">
        <v>1</v>
      </c>
      <c r="D21" s="120" t="s">
        <v>227</v>
      </c>
      <c r="E21" s="124" t="s">
        <v>228</v>
      </c>
      <c r="F21" s="121" t="s">
        <v>196</v>
      </c>
      <c r="G21" s="149"/>
      <c r="H21" s="149" t="s">
        <v>197</v>
      </c>
      <c r="I21" s="149"/>
      <c r="J21" s="149">
        <v>3</v>
      </c>
      <c r="K21" s="121">
        <f>16*J21</f>
        <v>48</v>
      </c>
      <c r="L21" s="121">
        <f>32*J21</f>
        <v>96</v>
      </c>
      <c r="M21" s="121">
        <f>SUM(K21:L24)</f>
        <v>144</v>
      </c>
      <c r="N21" s="155" t="s">
        <v>229</v>
      </c>
      <c r="O21" s="155" t="s">
        <v>230</v>
      </c>
      <c r="P21" s="155" t="s">
        <v>231</v>
      </c>
      <c r="Q21" s="131" t="s">
        <v>232</v>
      </c>
    </row>
    <row r="22" spans="1:18" s="30" customFormat="1" ht="48" x14ac:dyDescent="0.5">
      <c r="A22" s="29" t="str">
        <f>_xlfn.XLOOKUP(B22,'Paso 3 Redacción RA '!I$3:I$21,'Paso 3 Redacción RA '!C$3:C$21,,0,1)</f>
        <v>Saberhacer</v>
      </c>
      <c r="B22" s="29" t="s">
        <v>103</v>
      </c>
      <c r="C22" s="117"/>
      <c r="D22" s="117"/>
      <c r="E22" s="125"/>
      <c r="F22" s="122"/>
      <c r="G22" s="150"/>
      <c r="H22" s="150"/>
      <c r="I22" s="150"/>
      <c r="J22" s="150"/>
      <c r="K22" s="122"/>
      <c r="L22" s="122"/>
      <c r="M22" s="122"/>
      <c r="N22" s="146"/>
      <c r="O22" s="146"/>
      <c r="P22" s="146"/>
      <c r="Q22" s="131"/>
    </row>
    <row r="23" spans="1:18" s="30" customFormat="1" ht="32" x14ac:dyDescent="0.5">
      <c r="A23" s="29" t="str">
        <f>_xlfn.XLOOKUP(B23,'Paso 3 Redacción RA '!I$3:I$21,'Paso 3 Redacción RA '!C$3:C$21,,0,1)</f>
        <v>Saberhacer</v>
      </c>
      <c r="B23" s="29" t="s">
        <v>113</v>
      </c>
      <c r="C23" s="117"/>
      <c r="D23" s="117"/>
      <c r="E23" s="125"/>
      <c r="F23" s="122"/>
      <c r="G23" s="150"/>
      <c r="H23" s="150"/>
      <c r="I23" s="150"/>
      <c r="J23" s="150"/>
      <c r="K23" s="122"/>
      <c r="L23" s="122"/>
      <c r="M23" s="122"/>
      <c r="N23" s="146"/>
      <c r="O23" s="146"/>
      <c r="P23" s="146"/>
      <c r="Q23" s="131"/>
    </row>
    <row r="24" spans="1:18" s="30" customFormat="1" ht="32.5" thickBot="1" x14ac:dyDescent="0.55000000000000004">
      <c r="A24" s="50" t="str">
        <f>_xlfn.XLOOKUP(B24,'Paso 3 Redacción RA '!I$3:I$21,'Paso 3 Redacción RA '!C$3:C$21,,0,1)</f>
        <v>Saber</v>
      </c>
      <c r="B24" s="50" t="s">
        <v>114</v>
      </c>
      <c r="C24" s="119"/>
      <c r="D24" s="119"/>
      <c r="E24" s="126"/>
      <c r="F24" s="123"/>
      <c r="G24" s="151"/>
      <c r="H24" s="151"/>
      <c r="I24" s="151"/>
      <c r="J24" s="151"/>
      <c r="K24" s="123"/>
      <c r="L24" s="123"/>
      <c r="M24" s="123"/>
      <c r="N24" s="154"/>
      <c r="O24" s="154" t="s">
        <v>210</v>
      </c>
      <c r="P24" s="154" t="s">
        <v>210</v>
      </c>
      <c r="Q24" s="138"/>
      <c r="R24" s="30">
        <f>SUM(J3:J24)</f>
        <v>18</v>
      </c>
    </row>
    <row r="25" spans="1:18" s="30" customFormat="1" ht="208.5" thickBot="1" x14ac:dyDescent="0.55000000000000004">
      <c r="A25" s="33" t="str">
        <f>_xlfn.XLOOKUP(B25,'Paso 3 Redacción RA '!I$3:I$21,'Paso 3 Redacción RA '!C$3:C$21,,0,1)</f>
        <v>Saber</v>
      </c>
      <c r="B25" s="33" t="s">
        <v>120</v>
      </c>
      <c r="C25" s="36">
        <v>2</v>
      </c>
      <c r="D25" s="40" t="s">
        <v>233</v>
      </c>
      <c r="E25" s="37" t="s">
        <v>234</v>
      </c>
      <c r="F25" s="68" t="s">
        <v>196</v>
      </c>
      <c r="G25" s="38" t="s">
        <v>197</v>
      </c>
      <c r="H25" s="38"/>
      <c r="I25" s="38"/>
      <c r="J25" s="36">
        <v>3</v>
      </c>
      <c r="K25" s="38">
        <f>16*J25</f>
        <v>48</v>
      </c>
      <c r="L25" s="38">
        <f>32*J25</f>
        <v>96</v>
      </c>
      <c r="M25" s="38">
        <f>SUM(K25:L25)</f>
        <v>144</v>
      </c>
      <c r="N25" s="37" t="s">
        <v>235</v>
      </c>
      <c r="O25" s="108" t="s">
        <v>236</v>
      </c>
      <c r="P25" s="108" t="s">
        <v>237</v>
      </c>
      <c r="Q25" s="100" t="s">
        <v>201</v>
      </c>
    </row>
    <row r="26" spans="1:18" s="31" customFormat="1" ht="32" x14ac:dyDescent="0.35">
      <c r="A26" s="51" t="str">
        <f>_xlfn.XLOOKUP(B26,'Paso 3 Redacción RA '!I$3:I$21,'Paso 3 Redacción RA '!C$3:C$21,,0,1)</f>
        <v>Saber</v>
      </c>
      <c r="B26" s="51" t="s">
        <v>100</v>
      </c>
      <c r="C26" s="121">
        <v>2</v>
      </c>
      <c r="D26" s="121" t="s">
        <v>238</v>
      </c>
      <c r="E26" s="124" t="s">
        <v>239</v>
      </c>
      <c r="F26" s="121" t="s">
        <v>196</v>
      </c>
      <c r="G26" s="121"/>
      <c r="H26" s="121" t="s">
        <v>197</v>
      </c>
      <c r="I26" s="121"/>
      <c r="J26" s="121">
        <v>4</v>
      </c>
      <c r="K26" s="121">
        <f>16*J26</f>
        <v>64</v>
      </c>
      <c r="L26" s="121">
        <f>32*J26</f>
        <v>128</v>
      </c>
      <c r="M26" s="121">
        <f>SUM(K26:L31)</f>
        <v>192</v>
      </c>
      <c r="N26" s="124" t="s">
        <v>820</v>
      </c>
      <c r="O26" s="124" t="s">
        <v>212</v>
      </c>
      <c r="P26" s="124" t="s">
        <v>241</v>
      </c>
      <c r="Q26" s="125" t="s">
        <v>226</v>
      </c>
      <c r="R26" s="29"/>
    </row>
    <row r="27" spans="1:18" s="31" customFormat="1" ht="48" x14ac:dyDescent="0.35">
      <c r="A27" s="29" t="str">
        <f>_xlfn.XLOOKUP(B27,'Paso 3 Redacción RA '!I$3:I$21,'Paso 3 Redacción RA '!C$3:C$21,,0,1)</f>
        <v>Saberhacer</v>
      </c>
      <c r="B27" s="29" t="s">
        <v>103</v>
      </c>
      <c r="C27" s="122"/>
      <c r="D27" s="122"/>
      <c r="E27" s="125"/>
      <c r="F27" s="122"/>
      <c r="G27" s="122"/>
      <c r="H27" s="122"/>
      <c r="I27" s="122"/>
      <c r="J27" s="122"/>
      <c r="K27" s="122"/>
      <c r="L27" s="122"/>
      <c r="M27" s="122"/>
      <c r="N27" s="125"/>
      <c r="O27" s="125"/>
      <c r="P27" s="125"/>
      <c r="Q27" s="125"/>
      <c r="R27" s="29"/>
    </row>
    <row r="28" spans="1:18" s="31" customFormat="1" ht="48" x14ac:dyDescent="0.35">
      <c r="A28" s="29" t="str">
        <f>_xlfn.XLOOKUP(B28,'Paso 3 Redacción RA '!I$3:I$21,'Paso 3 Redacción RA '!C$3:C$21,,0,1)</f>
        <v>Saberser</v>
      </c>
      <c r="B28" s="29" t="s">
        <v>107</v>
      </c>
      <c r="C28" s="122"/>
      <c r="D28" s="122"/>
      <c r="E28" s="125"/>
      <c r="F28" s="122"/>
      <c r="G28" s="122"/>
      <c r="H28" s="122"/>
      <c r="I28" s="122"/>
      <c r="J28" s="122"/>
      <c r="K28" s="122"/>
      <c r="L28" s="122"/>
      <c r="M28" s="122"/>
      <c r="N28" s="125"/>
      <c r="O28" s="125"/>
      <c r="P28" s="125"/>
      <c r="Q28" s="125"/>
      <c r="R28" s="29"/>
    </row>
    <row r="29" spans="1:18" s="31" customFormat="1" ht="32" x14ac:dyDescent="0.35">
      <c r="A29" s="29" t="str">
        <f>_xlfn.XLOOKUP(B29,'Paso 3 Redacción RA '!I$3:I$21,'Paso 3 Redacción RA '!C$3:C$21,,0,1)</f>
        <v>Saber</v>
      </c>
      <c r="B29" s="29" t="s">
        <v>110</v>
      </c>
      <c r="C29" s="122"/>
      <c r="D29" s="122"/>
      <c r="E29" s="125"/>
      <c r="F29" s="122"/>
      <c r="G29" s="122"/>
      <c r="H29" s="122"/>
      <c r="I29" s="122"/>
      <c r="J29" s="122"/>
      <c r="K29" s="122"/>
      <c r="L29" s="122"/>
      <c r="M29" s="122"/>
      <c r="N29" s="125"/>
      <c r="O29" s="125"/>
      <c r="P29" s="125"/>
      <c r="Q29" s="125"/>
      <c r="R29" s="29"/>
    </row>
    <row r="30" spans="1:18" s="31" customFormat="1" ht="32" x14ac:dyDescent="0.35">
      <c r="A30" s="29" t="str">
        <f>_xlfn.XLOOKUP(B30,'Paso 3 Redacción RA '!I$3:I$21,'Paso 3 Redacción RA '!C$3:C$21,,0,1)</f>
        <v>Saberhacer</v>
      </c>
      <c r="B30" s="29" t="s">
        <v>113</v>
      </c>
      <c r="C30" s="122"/>
      <c r="D30" s="122"/>
      <c r="E30" s="125"/>
      <c r="F30" s="122"/>
      <c r="G30" s="122"/>
      <c r="H30" s="122"/>
      <c r="I30" s="122"/>
      <c r="J30" s="122"/>
      <c r="K30" s="122"/>
      <c r="L30" s="122"/>
      <c r="M30" s="122"/>
      <c r="N30" s="125"/>
      <c r="O30" s="125"/>
      <c r="P30" s="125"/>
      <c r="Q30" s="125"/>
      <c r="R30" s="29"/>
    </row>
    <row r="31" spans="1:18" s="31" customFormat="1" ht="32.5" thickBot="1" x14ac:dyDescent="0.4">
      <c r="A31" s="50" t="str">
        <f>_xlfn.XLOOKUP(B31,'Paso 3 Redacción RA '!I$3:I$21,'Paso 3 Redacción RA '!C$3:C$21,,0,1)</f>
        <v>Saber</v>
      </c>
      <c r="B31" s="50" t="s">
        <v>114</v>
      </c>
      <c r="C31" s="123"/>
      <c r="D31" s="123"/>
      <c r="E31" s="126"/>
      <c r="F31" s="123"/>
      <c r="G31" s="123"/>
      <c r="H31" s="123"/>
      <c r="I31" s="123"/>
      <c r="J31" s="123"/>
      <c r="K31" s="123"/>
      <c r="L31" s="123"/>
      <c r="M31" s="123"/>
      <c r="N31" s="126"/>
      <c r="O31" s="126" t="s">
        <v>210</v>
      </c>
      <c r="P31" s="126" t="s">
        <v>210</v>
      </c>
      <c r="Q31" s="137"/>
      <c r="R31" s="29"/>
    </row>
    <row r="32" spans="1:18" s="30" customFormat="1" ht="32" x14ac:dyDescent="0.5">
      <c r="A32" s="51" t="str">
        <f>_xlfn.XLOOKUP(B32,'Paso 3 Redacción RA '!I$3:I$21,'Paso 3 Redacción RA '!C$3:C$21,,0,1)</f>
        <v>Saber</v>
      </c>
      <c r="B32" s="51" t="s">
        <v>100</v>
      </c>
      <c r="C32" s="136">
        <v>2</v>
      </c>
      <c r="D32" s="121" t="s">
        <v>242</v>
      </c>
      <c r="E32" s="124" t="s">
        <v>243</v>
      </c>
      <c r="F32" s="121" t="s">
        <v>196</v>
      </c>
      <c r="G32" s="136"/>
      <c r="H32" s="136" t="s">
        <v>197</v>
      </c>
      <c r="I32" s="136"/>
      <c r="J32" s="136">
        <v>4</v>
      </c>
      <c r="K32" s="121">
        <f>16*J32</f>
        <v>64</v>
      </c>
      <c r="L32" s="121">
        <f>32*J32</f>
        <v>128</v>
      </c>
      <c r="M32" s="121">
        <f>SUM(K32:L38)</f>
        <v>192</v>
      </c>
      <c r="N32" s="124" t="s">
        <v>240</v>
      </c>
      <c r="O32" s="124" t="s">
        <v>218</v>
      </c>
      <c r="P32" s="124" t="s">
        <v>241</v>
      </c>
      <c r="Q32" s="125" t="s">
        <v>244</v>
      </c>
    </row>
    <row r="33" spans="1:17" s="30" customFormat="1" ht="48" x14ac:dyDescent="0.5">
      <c r="A33" s="29" t="str">
        <f>_xlfn.XLOOKUP(B33,'Paso 3 Redacción RA '!I$3:I$21,'Paso 3 Redacción RA '!C$3:C$21,,0,1)</f>
        <v>Saberhacer</v>
      </c>
      <c r="B33" s="29" t="s">
        <v>103</v>
      </c>
      <c r="C33" s="127"/>
      <c r="D33" s="122"/>
      <c r="E33" s="125"/>
      <c r="F33" s="122"/>
      <c r="G33" s="127"/>
      <c r="H33" s="127"/>
      <c r="I33" s="127"/>
      <c r="J33" s="127"/>
      <c r="K33" s="122"/>
      <c r="L33" s="122"/>
      <c r="M33" s="122"/>
      <c r="N33" s="125"/>
      <c r="O33" s="125"/>
      <c r="P33" s="125"/>
      <c r="Q33" s="125"/>
    </row>
    <row r="34" spans="1:17" s="30" customFormat="1" ht="48" x14ac:dyDescent="0.5">
      <c r="A34" s="29" t="str">
        <f>_xlfn.XLOOKUP(B34,'Paso 3 Redacción RA '!I$3:I$21,'Paso 3 Redacción RA '!C$3:C$21,,0,1)</f>
        <v>Saberser</v>
      </c>
      <c r="B34" s="29" t="s">
        <v>107</v>
      </c>
      <c r="C34" s="127"/>
      <c r="D34" s="122"/>
      <c r="E34" s="125"/>
      <c r="F34" s="122"/>
      <c r="G34" s="127"/>
      <c r="H34" s="127"/>
      <c r="I34" s="127"/>
      <c r="J34" s="127"/>
      <c r="K34" s="122"/>
      <c r="L34" s="122"/>
      <c r="M34" s="122"/>
      <c r="N34" s="125"/>
      <c r="O34" s="125"/>
      <c r="P34" s="125"/>
      <c r="Q34" s="125"/>
    </row>
    <row r="35" spans="1:17" s="30" customFormat="1" ht="32" x14ac:dyDescent="0.5">
      <c r="A35" s="29" t="str">
        <f>_xlfn.XLOOKUP(B35,'Paso 3 Redacción RA '!I$3:I$21,'Paso 3 Redacción RA '!C$3:C$21,,0,1)</f>
        <v>Saber</v>
      </c>
      <c r="B35" s="29" t="s">
        <v>110</v>
      </c>
      <c r="C35" s="127"/>
      <c r="D35" s="122"/>
      <c r="E35" s="125"/>
      <c r="F35" s="122"/>
      <c r="G35" s="127"/>
      <c r="H35" s="127"/>
      <c r="I35" s="127"/>
      <c r="J35" s="127"/>
      <c r="K35" s="122"/>
      <c r="L35" s="122"/>
      <c r="M35" s="122"/>
      <c r="N35" s="125"/>
      <c r="O35" s="125"/>
      <c r="P35" s="125"/>
      <c r="Q35" s="125"/>
    </row>
    <row r="36" spans="1:17" s="30" customFormat="1" ht="32" x14ac:dyDescent="0.5">
      <c r="A36" s="29" t="str">
        <f>_xlfn.XLOOKUP(B36,'Paso 3 Redacción RA '!I$3:I$21,'Paso 3 Redacción RA '!C$3:C$21,,0,1)</f>
        <v>Saberhacer</v>
      </c>
      <c r="B36" s="29" t="s">
        <v>113</v>
      </c>
      <c r="C36" s="127"/>
      <c r="D36" s="122"/>
      <c r="E36" s="125"/>
      <c r="F36" s="122"/>
      <c r="G36" s="127"/>
      <c r="H36" s="127"/>
      <c r="I36" s="127"/>
      <c r="J36" s="127"/>
      <c r="K36" s="122"/>
      <c r="L36" s="122"/>
      <c r="M36" s="122"/>
      <c r="N36" s="125"/>
      <c r="O36" s="125"/>
      <c r="P36" s="125"/>
      <c r="Q36" s="125"/>
    </row>
    <row r="37" spans="1:17" s="30" customFormat="1" ht="32" x14ac:dyDescent="0.5">
      <c r="A37" s="29" t="str">
        <f>_xlfn.XLOOKUP(B37,'Paso 3 Redacción RA '!I$3:I$21,'Paso 3 Redacción RA '!C$3:C$21,,0,1)</f>
        <v>Saber</v>
      </c>
      <c r="B37" s="29" t="s">
        <v>114</v>
      </c>
      <c r="C37" s="127"/>
      <c r="D37" s="122"/>
      <c r="E37" s="125"/>
      <c r="F37" s="122"/>
      <c r="G37" s="127"/>
      <c r="H37" s="127"/>
      <c r="I37" s="127"/>
      <c r="J37" s="127"/>
      <c r="K37" s="122"/>
      <c r="L37" s="122"/>
      <c r="M37" s="122"/>
      <c r="N37" s="125"/>
      <c r="O37" s="125"/>
      <c r="P37" s="125"/>
      <c r="Q37" s="125"/>
    </row>
    <row r="38" spans="1:17" s="30" customFormat="1" ht="32.5" thickBot="1" x14ac:dyDescent="0.55000000000000004">
      <c r="A38" s="50" t="str">
        <f>_xlfn.XLOOKUP(B38,'Paso 3 Redacción RA '!I$3:I$21,'Paso 3 Redacción RA '!C$3:C$21,,0,1)</f>
        <v>Saber</v>
      </c>
      <c r="B38" s="50" t="s">
        <v>116</v>
      </c>
      <c r="C38" s="130"/>
      <c r="D38" s="123"/>
      <c r="E38" s="126"/>
      <c r="F38" s="123"/>
      <c r="G38" s="130"/>
      <c r="H38" s="130"/>
      <c r="I38" s="130"/>
      <c r="J38" s="130"/>
      <c r="K38" s="123"/>
      <c r="L38" s="123"/>
      <c r="M38" s="123"/>
      <c r="N38" s="126"/>
      <c r="O38" s="126" t="s">
        <v>210</v>
      </c>
      <c r="P38" s="126" t="s">
        <v>210</v>
      </c>
      <c r="Q38" s="137"/>
    </row>
    <row r="39" spans="1:17" s="31" customFormat="1" ht="32" x14ac:dyDescent="0.35">
      <c r="A39" s="51" t="str">
        <f>_xlfn.XLOOKUP(B39,'Paso 3 Redacción RA '!I$3:I$21,'Paso 3 Redacción RA '!C$3:C$21,,0,1)</f>
        <v>Saber</v>
      </c>
      <c r="B39" s="51" t="s">
        <v>100</v>
      </c>
      <c r="C39" s="121">
        <v>2</v>
      </c>
      <c r="D39" s="121" t="s">
        <v>245</v>
      </c>
      <c r="E39" s="124" t="s">
        <v>246</v>
      </c>
      <c r="F39" s="121" t="s">
        <v>196</v>
      </c>
      <c r="G39" s="121"/>
      <c r="H39" s="121" t="s">
        <v>197</v>
      </c>
      <c r="I39" s="121"/>
      <c r="J39" s="121">
        <v>3</v>
      </c>
      <c r="K39" s="121">
        <f>16*J39</f>
        <v>48</v>
      </c>
      <c r="L39" s="121">
        <f>32*J39</f>
        <v>96</v>
      </c>
      <c r="M39" s="121">
        <f>SUM(K39:L45)</f>
        <v>144</v>
      </c>
      <c r="N39" s="124" t="s">
        <v>247</v>
      </c>
      <c r="O39" s="124" t="s">
        <v>218</v>
      </c>
      <c r="P39" s="124" t="s">
        <v>241</v>
      </c>
      <c r="Q39" s="125" t="s">
        <v>244</v>
      </c>
    </row>
    <row r="40" spans="1:17" s="31" customFormat="1" ht="48" x14ac:dyDescent="0.35">
      <c r="A40" s="29" t="str">
        <f>_xlfn.XLOOKUP(B40,'Paso 3 Redacción RA '!I$3:I$21,'Paso 3 Redacción RA '!C$3:C$21,,0,1)</f>
        <v>Saberhacer</v>
      </c>
      <c r="B40" s="29" t="s">
        <v>103</v>
      </c>
      <c r="C40" s="122"/>
      <c r="D40" s="122"/>
      <c r="E40" s="125"/>
      <c r="F40" s="122"/>
      <c r="G40" s="122"/>
      <c r="H40" s="122"/>
      <c r="I40" s="122"/>
      <c r="J40" s="122"/>
      <c r="K40" s="122"/>
      <c r="L40" s="122"/>
      <c r="M40" s="122"/>
      <c r="N40" s="125"/>
      <c r="O40" s="125"/>
      <c r="P40" s="125"/>
      <c r="Q40" s="125"/>
    </row>
    <row r="41" spans="1:17" s="31" customFormat="1" ht="48" x14ac:dyDescent="0.35">
      <c r="A41" s="29" t="str">
        <f>_xlfn.XLOOKUP(B41,'Paso 3 Redacción RA '!I$3:I$21,'Paso 3 Redacción RA '!C$3:C$21,,0,1)</f>
        <v>Saberser</v>
      </c>
      <c r="B41" s="29" t="s">
        <v>107</v>
      </c>
      <c r="C41" s="122"/>
      <c r="D41" s="122"/>
      <c r="E41" s="125"/>
      <c r="F41" s="122"/>
      <c r="G41" s="122"/>
      <c r="H41" s="122"/>
      <c r="I41" s="122"/>
      <c r="J41" s="122"/>
      <c r="K41" s="122"/>
      <c r="L41" s="122"/>
      <c r="M41" s="122"/>
      <c r="N41" s="125"/>
      <c r="O41" s="125"/>
      <c r="P41" s="125"/>
      <c r="Q41" s="125"/>
    </row>
    <row r="42" spans="1:17" s="31" customFormat="1" ht="32" x14ac:dyDescent="0.35">
      <c r="A42" s="29" t="str">
        <f>_xlfn.XLOOKUP(B42,'Paso 3 Redacción RA '!I$3:I$21,'Paso 3 Redacción RA '!C$3:C$21,,0,1)</f>
        <v>Saber</v>
      </c>
      <c r="B42" s="29" t="s">
        <v>110</v>
      </c>
      <c r="C42" s="122"/>
      <c r="D42" s="122"/>
      <c r="E42" s="125"/>
      <c r="F42" s="122"/>
      <c r="G42" s="122"/>
      <c r="H42" s="122"/>
      <c r="I42" s="122"/>
      <c r="J42" s="122"/>
      <c r="K42" s="122"/>
      <c r="L42" s="122"/>
      <c r="M42" s="122"/>
      <c r="N42" s="125"/>
      <c r="O42" s="125"/>
      <c r="P42" s="125"/>
      <c r="Q42" s="125"/>
    </row>
    <row r="43" spans="1:17" s="31" customFormat="1" ht="32" x14ac:dyDescent="0.35">
      <c r="A43" s="29" t="str">
        <f>_xlfn.XLOOKUP(B43,'Paso 3 Redacción RA '!I$3:I$21,'Paso 3 Redacción RA '!C$3:C$21,,0,1)</f>
        <v>Saberhacer</v>
      </c>
      <c r="B43" s="29" t="s">
        <v>113</v>
      </c>
      <c r="C43" s="122"/>
      <c r="D43" s="122"/>
      <c r="E43" s="125"/>
      <c r="F43" s="122"/>
      <c r="G43" s="122"/>
      <c r="H43" s="122"/>
      <c r="I43" s="122"/>
      <c r="J43" s="122"/>
      <c r="K43" s="122"/>
      <c r="L43" s="122"/>
      <c r="M43" s="122"/>
      <c r="N43" s="125"/>
      <c r="O43" s="125"/>
      <c r="P43" s="125"/>
      <c r="Q43" s="125"/>
    </row>
    <row r="44" spans="1:17" s="31" customFormat="1" ht="32" x14ac:dyDescent="0.35">
      <c r="A44" s="29" t="str">
        <f>_xlfn.XLOOKUP(B44,'Paso 3 Redacción RA '!I$3:I$21,'Paso 3 Redacción RA '!C$3:C$21,,0,1)</f>
        <v>Saber</v>
      </c>
      <c r="B44" s="29" t="s">
        <v>114</v>
      </c>
      <c r="C44" s="122"/>
      <c r="D44" s="122"/>
      <c r="E44" s="125"/>
      <c r="F44" s="122"/>
      <c r="G44" s="122"/>
      <c r="H44" s="122"/>
      <c r="I44" s="122"/>
      <c r="J44" s="122"/>
      <c r="K44" s="122"/>
      <c r="L44" s="122"/>
      <c r="M44" s="122"/>
      <c r="N44" s="125"/>
      <c r="O44" s="125"/>
      <c r="P44" s="125"/>
      <c r="Q44" s="125"/>
    </row>
    <row r="45" spans="1:17" s="31" customFormat="1" ht="32.5" thickBot="1" x14ac:dyDescent="0.4">
      <c r="A45" s="50" t="str">
        <f>_xlfn.XLOOKUP(B45,'Paso 3 Redacción RA '!I$3:I$21,'Paso 3 Redacción RA '!C$3:C$21,,0,1)</f>
        <v>Saber</v>
      </c>
      <c r="B45" s="50" t="s">
        <v>116</v>
      </c>
      <c r="C45" s="123"/>
      <c r="D45" s="123"/>
      <c r="E45" s="126"/>
      <c r="F45" s="123"/>
      <c r="G45" s="123"/>
      <c r="H45" s="123"/>
      <c r="I45" s="123"/>
      <c r="J45" s="123"/>
      <c r="K45" s="123"/>
      <c r="L45" s="123"/>
      <c r="M45" s="123"/>
      <c r="N45" s="126"/>
      <c r="O45" s="126" t="s">
        <v>210</v>
      </c>
      <c r="P45" s="126" t="s">
        <v>210</v>
      </c>
      <c r="Q45" s="137"/>
    </row>
    <row r="46" spans="1:17" s="31" customFormat="1" ht="32" x14ac:dyDescent="0.35">
      <c r="A46" s="29" t="str">
        <f>_xlfn.XLOOKUP(B46,'Paso 3 Redacción RA '!I$3:I$21,'Paso 3 Redacción RA '!C$3:C$21,,0,1)</f>
        <v>Saber</v>
      </c>
      <c r="B46" s="29" t="s">
        <v>100</v>
      </c>
      <c r="C46" s="122">
        <v>2</v>
      </c>
      <c r="D46" s="122" t="s">
        <v>248</v>
      </c>
      <c r="E46" s="125" t="s">
        <v>249</v>
      </c>
      <c r="F46" s="122" t="s">
        <v>196</v>
      </c>
      <c r="G46" s="122" t="s">
        <v>210</v>
      </c>
      <c r="H46" s="122" t="s">
        <v>197</v>
      </c>
      <c r="I46" s="122" t="s">
        <v>210</v>
      </c>
      <c r="J46" s="122">
        <v>3</v>
      </c>
      <c r="K46" s="122">
        <f>16*J46</f>
        <v>48</v>
      </c>
      <c r="L46" s="122">
        <f>32*J46</f>
        <v>96</v>
      </c>
      <c r="M46" s="122">
        <f>SUM(K46:L52)</f>
        <v>144</v>
      </c>
      <c r="N46" s="125" t="s">
        <v>250</v>
      </c>
      <c r="O46" s="125" t="s">
        <v>251</v>
      </c>
      <c r="P46" s="125" t="s">
        <v>252</v>
      </c>
      <c r="Q46" s="125" t="s">
        <v>214</v>
      </c>
    </row>
    <row r="47" spans="1:17" s="31" customFormat="1" ht="48" x14ac:dyDescent="0.35">
      <c r="A47" s="29" t="str">
        <f>_xlfn.XLOOKUP(B47,'Paso 3 Redacción RA '!I$3:I$21,'Paso 3 Redacción RA '!C$3:C$21,,0,1)</f>
        <v>Saberhacer</v>
      </c>
      <c r="B47" s="29" t="s">
        <v>103</v>
      </c>
      <c r="C47" s="122"/>
      <c r="D47" s="122"/>
      <c r="E47" s="125"/>
      <c r="F47" s="122"/>
      <c r="G47" s="122"/>
      <c r="H47" s="122"/>
      <c r="I47" s="122"/>
      <c r="J47" s="122"/>
      <c r="K47" s="122"/>
      <c r="L47" s="122"/>
      <c r="M47" s="122"/>
      <c r="N47" s="125"/>
      <c r="O47" s="125"/>
      <c r="P47" s="125"/>
      <c r="Q47" s="125"/>
    </row>
    <row r="48" spans="1:17" s="31" customFormat="1" ht="48" x14ac:dyDescent="0.35">
      <c r="A48" s="29" t="str">
        <f>_xlfn.XLOOKUP(B48,'Paso 3 Redacción RA '!I$3:I$21,'Paso 3 Redacción RA '!C$3:C$21,,0,1)</f>
        <v>Saberser</v>
      </c>
      <c r="B48" s="29" t="s">
        <v>107</v>
      </c>
      <c r="C48" s="122"/>
      <c r="D48" s="122"/>
      <c r="E48" s="125"/>
      <c r="F48" s="122"/>
      <c r="G48" s="122"/>
      <c r="H48" s="122"/>
      <c r="I48" s="122"/>
      <c r="J48" s="122"/>
      <c r="K48" s="122"/>
      <c r="L48" s="122"/>
      <c r="M48" s="122"/>
      <c r="N48" s="125"/>
      <c r="O48" s="125"/>
      <c r="P48" s="125"/>
      <c r="Q48" s="125"/>
    </row>
    <row r="49" spans="1:18" s="31" customFormat="1" ht="32" x14ac:dyDescent="0.35">
      <c r="A49" s="29" t="str">
        <f>_xlfn.XLOOKUP(B49,'Paso 3 Redacción RA '!I$3:I$21,'Paso 3 Redacción RA '!C$3:C$21,,0,1)</f>
        <v>Saber</v>
      </c>
      <c r="B49" s="29" t="s">
        <v>110</v>
      </c>
      <c r="C49" s="122"/>
      <c r="D49" s="122"/>
      <c r="E49" s="125"/>
      <c r="F49" s="122"/>
      <c r="G49" s="122"/>
      <c r="H49" s="122"/>
      <c r="I49" s="122"/>
      <c r="J49" s="122"/>
      <c r="K49" s="122"/>
      <c r="L49" s="122"/>
      <c r="M49" s="122"/>
      <c r="N49" s="125"/>
      <c r="O49" s="125"/>
      <c r="P49" s="125"/>
      <c r="Q49" s="125"/>
    </row>
    <row r="50" spans="1:18" s="31" customFormat="1" ht="32" x14ac:dyDescent="0.35">
      <c r="A50" s="29" t="str">
        <f>_xlfn.XLOOKUP(B50,'Paso 3 Redacción RA '!I$3:I$21,'Paso 3 Redacción RA '!C$3:C$21,,0,1)</f>
        <v>Saberhacer</v>
      </c>
      <c r="B50" s="29" t="s">
        <v>113</v>
      </c>
      <c r="C50" s="122"/>
      <c r="D50" s="122"/>
      <c r="E50" s="125"/>
      <c r="F50" s="122"/>
      <c r="G50" s="122"/>
      <c r="H50" s="122"/>
      <c r="I50" s="122"/>
      <c r="J50" s="122"/>
      <c r="K50" s="122"/>
      <c r="L50" s="122"/>
      <c r="M50" s="122"/>
      <c r="N50" s="125"/>
      <c r="O50" s="125"/>
      <c r="P50" s="125"/>
      <c r="Q50" s="125"/>
    </row>
    <row r="51" spans="1:18" s="31" customFormat="1" ht="32" x14ac:dyDescent="0.35">
      <c r="A51" s="29" t="str">
        <f>_xlfn.XLOOKUP(B51,'Paso 3 Redacción RA '!I$3:I$21,'Paso 3 Redacción RA '!C$3:C$21,,0,1)</f>
        <v>Saber</v>
      </c>
      <c r="B51" s="29" t="s">
        <v>114</v>
      </c>
      <c r="C51" s="122"/>
      <c r="D51" s="122"/>
      <c r="E51" s="125"/>
      <c r="F51" s="122"/>
      <c r="G51" s="122"/>
      <c r="H51" s="122"/>
      <c r="I51" s="122"/>
      <c r="J51" s="122"/>
      <c r="K51" s="122"/>
      <c r="L51" s="122"/>
      <c r="M51" s="122"/>
      <c r="N51" s="125"/>
      <c r="O51" s="125"/>
      <c r="P51" s="125"/>
      <c r="Q51" s="125"/>
    </row>
    <row r="52" spans="1:18" s="31" customFormat="1" ht="32.5" thickBot="1" x14ac:dyDescent="0.4">
      <c r="A52" s="29" t="str">
        <f>_xlfn.XLOOKUP(B52,'Paso 3 Redacción RA '!I$3:I$21,'Paso 3 Redacción RA '!C$3:C$21,,0,1)</f>
        <v>Saber</v>
      </c>
      <c r="B52" s="29" t="s">
        <v>116</v>
      </c>
      <c r="C52" s="122"/>
      <c r="D52" s="122"/>
      <c r="E52" s="125"/>
      <c r="F52" s="122"/>
      <c r="G52" s="122"/>
      <c r="H52" s="122"/>
      <c r="I52" s="122"/>
      <c r="J52" s="122"/>
      <c r="K52" s="122"/>
      <c r="L52" s="122"/>
      <c r="M52" s="122"/>
      <c r="N52" s="125"/>
      <c r="O52" s="125"/>
      <c r="P52" s="125"/>
      <c r="Q52" s="137"/>
      <c r="R52" s="31">
        <f>SUM(J25:J46)</f>
        <v>17</v>
      </c>
    </row>
    <row r="53" spans="1:18" s="30" customFormat="1" ht="288.5" thickBot="1" x14ac:dyDescent="0.55000000000000004">
      <c r="A53" s="70" t="str">
        <f>_xlfn.XLOOKUP(B53,'Paso 3 Redacción RA '!I$3:I$21,'Paso 3 Redacción RA '!C$3:C$21,,0,1)</f>
        <v>Saber</v>
      </c>
      <c r="B53" s="71" t="s">
        <v>120</v>
      </c>
      <c r="C53" s="72">
        <v>3</v>
      </c>
      <c r="D53" s="72" t="s">
        <v>253</v>
      </c>
      <c r="E53" s="73" t="s">
        <v>254</v>
      </c>
      <c r="F53" s="72" t="s">
        <v>196</v>
      </c>
      <c r="G53" s="72" t="s">
        <v>197</v>
      </c>
      <c r="H53" s="72"/>
      <c r="I53" s="72"/>
      <c r="J53" s="72">
        <v>3</v>
      </c>
      <c r="K53" s="72">
        <f>16*J53</f>
        <v>48</v>
      </c>
      <c r="L53" s="72">
        <f>32*J53</f>
        <v>96</v>
      </c>
      <c r="M53" s="72">
        <f>SUM(K53:L53)</f>
        <v>144</v>
      </c>
      <c r="N53" s="73" t="s">
        <v>255</v>
      </c>
      <c r="O53" s="110" t="s">
        <v>256</v>
      </c>
      <c r="P53" s="110" t="s">
        <v>257</v>
      </c>
      <c r="Q53" s="99" t="s">
        <v>201</v>
      </c>
    </row>
    <row r="54" spans="1:18" s="30" customFormat="1" ht="192.5" thickBot="1" x14ac:dyDescent="0.55000000000000004">
      <c r="A54" s="33" t="str">
        <f>_xlfn.XLOOKUP(B54,'Paso 3 Redacción RA '!I$3:I$21,'Paso 3 Redacción RA '!C$3:C$21,,0,1)</f>
        <v>Saber</v>
      </c>
      <c r="B54" s="33" t="s">
        <v>120</v>
      </c>
      <c r="C54" s="40">
        <v>3</v>
      </c>
      <c r="D54" s="40" t="s">
        <v>258</v>
      </c>
      <c r="E54" s="39" t="s">
        <v>259</v>
      </c>
      <c r="F54" s="40" t="s">
        <v>196</v>
      </c>
      <c r="G54" s="40" t="s">
        <v>197</v>
      </c>
      <c r="H54" s="40"/>
      <c r="I54" s="40"/>
      <c r="J54" s="40">
        <v>3</v>
      </c>
      <c r="K54" s="40">
        <f>16*J54</f>
        <v>48</v>
      </c>
      <c r="L54" s="40">
        <f>32*J54</f>
        <v>96</v>
      </c>
      <c r="M54" s="40">
        <f>SUM(K54:L54)</f>
        <v>144</v>
      </c>
      <c r="N54" s="39" t="s">
        <v>260</v>
      </c>
      <c r="O54" s="109" t="s">
        <v>236</v>
      </c>
      <c r="P54" s="109" t="s">
        <v>261</v>
      </c>
      <c r="Q54" s="99" t="s">
        <v>201</v>
      </c>
    </row>
    <row r="55" spans="1:18" s="30" customFormat="1" ht="32" x14ac:dyDescent="0.5">
      <c r="A55" s="51" t="str">
        <f>_xlfn.XLOOKUP(B55,'Paso 3 Redacción RA '!I$3:I$21,'Paso 3 Redacción RA '!C$3:C$21,,0,1)</f>
        <v>Saber</v>
      </c>
      <c r="B55" s="51" t="s">
        <v>100</v>
      </c>
      <c r="C55" s="136">
        <v>3</v>
      </c>
      <c r="D55" s="121" t="s">
        <v>262</v>
      </c>
      <c r="E55" s="124" t="s">
        <v>263</v>
      </c>
      <c r="F55" s="121" t="s">
        <v>196</v>
      </c>
      <c r="G55" s="121"/>
      <c r="H55" s="121" t="s">
        <v>197</v>
      </c>
      <c r="I55" s="121"/>
      <c r="J55" s="121">
        <v>3</v>
      </c>
      <c r="K55" s="121">
        <f>16*J55</f>
        <v>48</v>
      </c>
      <c r="L55" s="121">
        <f>32*J55</f>
        <v>96</v>
      </c>
      <c r="M55" s="121">
        <f>SUM(K55:L61)</f>
        <v>144</v>
      </c>
      <c r="N55" s="124" t="s">
        <v>264</v>
      </c>
      <c r="O55" s="124" t="s">
        <v>265</v>
      </c>
      <c r="P55" s="124" t="s">
        <v>266</v>
      </c>
      <c r="Q55" s="131" t="s">
        <v>226</v>
      </c>
    </row>
    <row r="56" spans="1:18" s="30" customFormat="1" ht="48" x14ac:dyDescent="0.5">
      <c r="A56" s="29" t="str">
        <f>_xlfn.XLOOKUP(B56,'Paso 3 Redacción RA '!I$3:I$21,'Paso 3 Redacción RA '!C$3:C$21,,0,1)</f>
        <v>Saberhacer</v>
      </c>
      <c r="B56" s="29" t="s">
        <v>103</v>
      </c>
      <c r="C56" s="127"/>
      <c r="D56" s="122"/>
      <c r="E56" s="125"/>
      <c r="F56" s="122"/>
      <c r="G56" s="122"/>
      <c r="H56" s="122"/>
      <c r="I56" s="122"/>
      <c r="J56" s="122"/>
      <c r="K56" s="122"/>
      <c r="L56" s="122"/>
      <c r="M56" s="122"/>
      <c r="N56" s="125"/>
      <c r="O56" s="125"/>
      <c r="P56" s="125"/>
      <c r="Q56" s="125"/>
    </row>
    <row r="57" spans="1:18" s="30" customFormat="1" ht="48" x14ac:dyDescent="0.5">
      <c r="A57" s="29" t="str">
        <f>_xlfn.XLOOKUP(B57,'Paso 3 Redacción RA '!I$3:I$21,'Paso 3 Redacción RA '!C$3:C$21,,0,1)</f>
        <v>Saberser</v>
      </c>
      <c r="B57" s="29" t="s">
        <v>107</v>
      </c>
      <c r="C57" s="127"/>
      <c r="D57" s="122"/>
      <c r="E57" s="125"/>
      <c r="F57" s="122"/>
      <c r="G57" s="122"/>
      <c r="H57" s="122"/>
      <c r="I57" s="122"/>
      <c r="J57" s="122"/>
      <c r="K57" s="122"/>
      <c r="L57" s="122"/>
      <c r="M57" s="122"/>
      <c r="N57" s="125"/>
      <c r="O57" s="125"/>
      <c r="P57" s="125"/>
      <c r="Q57" s="125"/>
    </row>
    <row r="58" spans="1:18" s="30" customFormat="1" ht="32" x14ac:dyDescent="0.5">
      <c r="A58" s="29" t="str">
        <f>_xlfn.XLOOKUP(B58,'Paso 3 Redacción RA '!I$3:I$21,'Paso 3 Redacción RA '!C$3:C$21,,0,1)</f>
        <v>Saber</v>
      </c>
      <c r="B58" s="29" t="s">
        <v>110</v>
      </c>
      <c r="C58" s="127"/>
      <c r="D58" s="122"/>
      <c r="E58" s="125"/>
      <c r="F58" s="122"/>
      <c r="G58" s="122"/>
      <c r="H58" s="122"/>
      <c r="I58" s="122"/>
      <c r="J58" s="122"/>
      <c r="K58" s="122"/>
      <c r="L58" s="122"/>
      <c r="M58" s="122"/>
      <c r="N58" s="125"/>
      <c r="O58" s="125"/>
      <c r="P58" s="125"/>
      <c r="Q58" s="125"/>
    </row>
    <row r="59" spans="1:18" s="30" customFormat="1" ht="32" x14ac:dyDescent="0.5">
      <c r="A59" s="29" t="str">
        <f>_xlfn.XLOOKUP(B59,'Paso 3 Redacción RA '!I$3:I$21,'Paso 3 Redacción RA '!C$3:C$21,,0,1)</f>
        <v>Saberhacer</v>
      </c>
      <c r="B59" s="29" t="s">
        <v>113</v>
      </c>
      <c r="C59" s="127"/>
      <c r="D59" s="122"/>
      <c r="E59" s="125"/>
      <c r="F59" s="122"/>
      <c r="G59" s="122"/>
      <c r="H59" s="122"/>
      <c r="I59" s="122"/>
      <c r="J59" s="122"/>
      <c r="K59" s="122"/>
      <c r="L59" s="122"/>
      <c r="M59" s="122"/>
      <c r="N59" s="125"/>
      <c r="O59" s="125"/>
      <c r="P59" s="125"/>
      <c r="Q59" s="125"/>
    </row>
    <row r="60" spans="1:18" s="30" customFormat="1" ht="32" x14ac:dyDescent="0.5">
      <c r="A60" s="29" t="str">
        <f>_xlfn.XLOOKUP(B60,'Paso 3 Redacción RA '!I$3:I$21,'Paso 3 Redacción RA '!C$3:C$21,,0,1)</f>
        <v>Saber</v>
      </c>
      <c r="B60" s="29" t="s">
        <v>114</v>
      </c>
      <c r="C60" s="127"/>
      <c r="D60" s="122"/>
      <c r="E60" s="125"/>
      <c r="F60" s="122"/>
      <c r="G60" s="122"/>
      <c r="H60" s="122"/>
      <c r="I60" s="122"/>
      <c r="J60" s="122"/>
      <c r="K60" s="122"/>
      <c r="L60" s="122"/>
      <c r="M60" s="122"/>
      <c r="N60" s="125"/>
      <c r="O60" s="125"/>
      <c r="P60" s="125"/>
      <c r="Q60" s="125"/>
    </row>
    <row r="61" spans="1:18" s="30" customFormat="1" ht="32.5" thickBot="1" x14ac:dyDescent="0.55000000000000004">
      <c r="A61" s="50" t="str">
        <f>_xlfn.XLOOKUP(B61,'Paso 3 Redacción RA '!I$3:I$21,'Paso 3 Redacción RA '!C$3:C$21,,0,1)</f>
        <v>Saber</v>
      </c>
      <c r="B61" s="50" t="s">
        <v>116</v>
      </c>
      <c r="C61" s="130"/>
      <c r="D61" s="123"/>
      <c r="E61" s="126"/>
      <c r="F61" s="123"/>
      <c r="G61" s="123"/>
      <c r="H61" s="123"/>
      <c r="I61" s="123"/>
      <c r="J61" s="123"/>
      <c r="K61" s="123"/>
      <c r="L61" s="123"/>
      <c r="M61" s="123"/>
      <c r="N61" s="126"/>
      <c r="O61" s="126" t="s">
        <v>210</v>
      </c>
      <c r="P61" s="126" t="s">
        <v>210</v>
      </c>
      <c r="Q61" s="137"/>
    </row>
    <row r="62" spans="1:18" s="30" customFormat="1" ht="32" x14ac:dyDescent="0.5">
      <c r="A62" s="51" t="str">
        <f>_xlfn.XLOOKUP(B62,'Paso 3 Redacción RA '!I$3:I$21,'Paso 3 Redacción RA '!C$3:C$21,,0,1)</f>
        <v>Saber</v>
      </c>
      <c r="B62" s="51" t="s">
        <v>100</v>
      </c>
      <c r="C62" s="136">
        <v>3</v>
      </c>
      <c r="D62" s="121" t="s">
        <v>267</v>
      </c>
      <c r="E62" s="155" t="s">
        <v>268</v>
      </c>
      <c r="F62" s="144" t="s">
        <v>196</v>
      </c>
      <c r="G62" s="139"/>
      <c r="H62" s="139" t="s">
        <v>197</v>
      </c>
      <c r="I62" s="139"/>
      <c r="J62" s="136">
        <v>3</v>
      </c>
      <c r="K62" s="121">
        <f>16*J62</f>
        <v>48</v>
      </c>
      <c r="L62" s="121">
        <f>32*J62</f>
        <v>96</v>
      </c>
      <c r="M62" s="121">
        <f>SUM(K62:L67)</f>
        <v>144</v>
      </c>
      <c r="N62" s="135" t="s">
        <v>269</v>
      </c>
      <c r="O62" s="135" t="s">
        <v>270</v>
      </c>
      <c r="P62" s="135" t="s">
        <v>271</v>
      </c>
      <c r="Q62" s="131" t="s">
        <v>226</v>
      </c>
    </row>
    <row r="63" spans="1:18" s="30" customFormat="1" ht="48" x14ac:dyDescent="0.5">
      <c r="A63" s="29" t="str">
        <f>_xlfn.XLOOKUP(B63,'Paso 3 Redacción RA '!I$3:I$21,'Paso 3 Redacción RA '!C$3:C$21,,0,1)</f>
        <v>Saberhacer</v>
      </c>
      <c r="B63" s="29" t="s">
        <v>103</v>
      </c>
      <c r="C63" s="127"/>
      <c r="D63" s="122"/>
      <c r="E63" s="146"/>
      <c r="F63" s="142"/>
      <c r="G63" s="140"/>
      <c r="H63" s="140"/>
      <c r="I63" s="140"/>
      <c r="J63" s="127"/>
      <c r="K63" s="122"/>
      <c r="L63" s="122"/>
      <c r="M63" s="122"/>
      <c r="N63" s="131"/>
      <c r="O63" s="131"/>
      <c r="P63" s="131"/>
      <c r="Q63" s="131"/>
    </row>
    <row r="64" spans="1:18" s="30" customFormat="1" ht="48" x14ac:dyDescent="0.5">
      <c r="A64" s="29" t="str">
        <f>_xlfn.XLOOKUP(B64,'Paso 3 Redacción RA '!I$3:I$21,'Paso 3 Redacción RA '!C$3:C$21,,0,1)</f>
        <v>Saberser</v>
      </c>
      <c r="B64" s="29" t="s">
        <v>107</v>
      </c>
      <c r="C64" s="127"/>
      <c r="D64" s="122"/>
      <c r="E64" s="146"/>
      <c r="F64" s="142"/>
      <c r="G64" s="140"/>
      <c r="H64" s="140"/>
      <c r="I64" s="140"/>
      <c r="J64" s="127"/>
      <c r="K64" s="122"/>
      <c r="L64" s="122"/>
      <c r="M64" s="122"/>
      <c r="N64" s="131"/>
      <c r="O64" s="131"/>
      <c r="P64" s="131"/>
      <c r="Q64" s="131"/>
    </row>
    <row r="65" spans="1:18" s="30" customFormat="1" ht="32" x14ac:dyDescent="0.5">
      <c r="A65" s="29" t="str">
        <f>_xlfn.XLOOKUP(B65,'Paso 3 Redacción RA '!I$3:I$21,'Paso 3 Redacción RA '!C$3:C$21,,0,1)</f>
        <v>Saberhacer</v>
      </c>
      <c r="B65" s="29" t="s">
        <v>113</v>
      </c>
      <c r="C65" s="127"/>
      <c r="D65" s="122"/>
      <c r="E65" s="146"/>
      <c r="F65" s="142"/>
      <c r="G65" s="140"/>
      <c r="H65" s="140"/>
      <c r="I65" s="140"/>
      <c r="J65" s="127"/>
      <c r="K65" s="122"/>
      <c r="L65" s="122"/>
      <c r="M65" s="122"/>
      <c r="N65" s="131"/>
      <c r="O65" s="131"/>
      <c r="P65" s="131"/>
      <c r="Q65" s="131"/>
    </row>
    <row r="66" spans="1:18" s="30" customFormat="1" ht="32" x14ac:dyDescent="0.5">
      <c r="A66" s="29" t="str">
        <f>_xlfn.XLOOKUP(B66,'Paso 3 Redacción RA '!I$3:I$21,'Paso 3 Redacción RA '!C$3:C$21,,0,1)</f>
        <v>Saber</v>
      </c>
      <c r="B66" s="29" t="s">
        <v>114</v>
      </c>
      <c r="C66" s="127"/>
      <c r="D66" s="122"/>
      <c r="E66" s="146"/>
      <c r="F66" s="142"/>
      <c r="G66" s="140"/>
      <c r="H66" s="140"/>
      <c r="I66" s="140"/>
      <c r="J66" s="127"/>
      <c r="K66" s="122"/>
      <c r="L66" s="122"/>
      <c r="M66" s="122"/>
      <c r="N66" s="131"/>
      <c r="O66" s="131"/>
      <c r="P66" s="131"/>
      <c r="Q66" s="131"/>
    </row>
    <row r="67" spans="1:18" s="30" customFormat="1" ht="32.5" thickBot="1" x14ac:dyDescent="0.55000000000000004">
      <c r="A67" s="50" t="str">
        <f>_xlfn.XLOOKUP(B67,'Paso 3 Redacción RA '!I$3:I$21,'Paso 3 Redacción RA '!C$3:C$21,,0,1)</f>
        <v>Saber</v>
      </c>
      <c r="B67" s="50" t="s">
        <v>116</v>
      </c>
      <c r="C67" s="130"/>
      <c r="D67" s="123"/>
      <c r="E67" s="154"/>
      <c r="F67" s="145"/>
      <c r="G67" s="141"/>
      <c r="H67" s="141"/>
      <c r="I67" s="141"/>
      <c r="J67" s="130"/>
      <c r="K67" s="123"/>
      <c r="L67" s="123"/>
      <c r="M67" s="123"/>
      <c r="N67" s="134"/>
      <c r="O67" s="134" t="s">
        <v>210</v>
      </c>
      <c r="P67" s="134" t="s">
        <v>210</v>
      </c>
      <c r="Q67" s="138"/>
    </row>
    <row r="68" spans="1:18" s="30" customFormat="1" ht="32" x14ac:dyDescent="0.5">
      <c r="A68" s="74" t="str">
        <f>_xlfn.XLOOKUP(B68,'Paso 3 Redacción RA '!I$3:I$21,'Paso 3 Redacción RA '!C$3:C$21,,0,1)</f>
        <v>Saber</v>
      </c>
      <c r="B68" s="51" t="s">
        <v>100</v>
      </c>
      <c r="C68" s="136">
        <v>3</v>
      </c>
      <c r="D68" s="121" t="s">
        <v>272</v>
      </c>
      <c r="E68" s="135" t="s">
        <v>273</v>
      </c>
      <c r="F68" s="120" t="s">
        <v>196</v>
      </c>
      <c r="G68" s="139"/>
      <c r="H68" s="139" t="s">
        <v>197</v>
      </c>
      <c r="I68" s="139"/>
      <c r="J68" s="120">
        <v>3</v>
      </c>
      <c r="K68" s="121">
        <f>16*J68</f>
        <v>48</v>
      </c>
      <c r="L68" s="121">
        <f>32*J68</f>
        <v>96</v>
      </c>
      <c r="M68" s="121">
        <f>SUM(K68:L71)</f>
        <v>144</v>
      </c>
      <c r="N68" s="135" t="s">
        <v>274</v>
      </c>
      <c r="O68" s="135" t="s">
        <v>275</v>
      </c>
      <c r="P68" s="135" t="s">
        <v>276</v>
      </c>
      <c r="Q68" s="131" t="s">
        <v>226</v>
      </c>
    </row>
    <row r="69" spans="1:18" s="30" customFormat="1" ht="48" x14ac:dyDescent="0.5">
      <c r="A69" s="75" t="str">
        <f>_xlfn.XLOOKUP(B69,'Paso 3 Redacción RA '!I$3:I$21,'Paso 3 Redacción RA '!C$3:C$21,,0,1)</f>
        <v>Saberhacer</v>
      </c>
      <c r="B69" s="29" t="s">
        <v>103</v>
      </c>
      <c r="C69" s="127"/>
      <c r="D69" s="122"/>
      <c r="E69" s="131"/>
      <c r="F69" s="117"/>
      <c r="G69" s="140"/>
      <c r="H69" s="140"/>
      <c r="I69" s="140"/>
      <c r="J69" s="117"/>
      <c r="K69" s="122"/>
      <c r="L69" s="122"/>
      <c r="M69" s="122"/>
      <c r="N69" s="131"/>
      <c r="O69" s="131"/>
      <c r="P69" s="131"/>
      <c r="Q69" s="131"/>
    </row>
    <row r="70" spans="1:18" s="30" customFormat="1" ht="48" x14ac:dyDescent="0.5">
      <c r="A70" s="75" t="str">
        <f>_xlfn.XLOOKUP(B70,'Paso 3 Redacción RA '!I$3:I$21,'Paso 3 Redacción RA '!C$3:C$21,,0,1)</f>
        <v>Saberser</v>
      </c>
      <c r="B70" s="29" t="s">
        <v>107</v>
      </c>
      <c r="C70" s="127"/>
      <c r="D70" s="122"/>
      <c r="E70" s="131"/>
      <c r="F70" s="117"/>
      <c r="G70" s="140"/>
      <c r="H70" s="140"/>
      <c r="I70" s="140"/>
      <c r="J70" s="117"/>
      <c r="K70" s="122"/>
      <c r="L70" s="122"/>
      <c r="M70" s="122"/>
      <c r="N70" s="131"/>
      <c r="O70" s="131"/>
      <c r="P70" s="131"/>
      <c r="Q70" s="131"/>
    </row>
    <row r="71" spans="1:18" s="30" customFormat="1" ht="32.5" thickBot="1" x14ac:dyDescent="0.55000000000000004">
      <c r="A71" s="76" t="str">
        <f>_xlfn.XLOOKUP(B71,'Paso 3 Redacción RA '!I$3:I$21,'Paso 3 Redacción RA '!C$3:C$21,,0,1)</f>
        <v>Saber</v>
      </c>
      <c r="B71" s="50" t="s">
        <v>114</v>
      </c>
      <c r="C71" s="130"/>
      <c r="D71" s="123"/>
      <c r="E71" s="134"/>
      <c r="F71" s="119"/>
      <c r="G71" s="141"/>
      <c r="H71" s="141"/>
      <c r="I71" s="141"/>
      <c r="J71" s="119"/>
      <c r="K71" s="123"/>
      <c r="L71" s="123"/>
      <c r="M71" s="123"/>
      <c r="N71" s="134"/>
      <c r="O71" s="134" t="s">
        <v>210</v>
      </c>
      <c r="P71" s="134" t="s">
        <v>210</v>
      </c>
      <c r="Q71" s="138"/>
    </row>
    <row r="72" spans="1:18" s="30" customFormat="1" ht="32" x14ac:dyDescent="0.5">
      <c r="A72" s="74" t="str">
        <f>_xlfn.XLOOKUP(B72,'Paso 3 Redacción RA '!I$3:I$21,'Paso 3 Redacción RA '!C$3:C$21,,0,1)</f>
        <v>Saber</v>
      </c>
      <c r="B72" s="51" t="s">
        <v>100</v>
      </c>
      <c r="C72" s="136">
        <v>3</v>
      </c>
      <c r="D72" s="121" t="s">
        <v>277</v>
      </c>
      <c r="E72" s="135" t="s">
        <v>278</v>
      </c>
      <c r="F72" s="144" t="s">
        <v>196</v>
      </c>
      <c r="G72" s="139"/>
      <c r="H72" s="139" t="s">
        <v>197</v>
      </c>
      <c r="I72" s="139"/>
      <c r="J72" s="136">
        <v>3</v>
      </c>
      <c r="K72" s="121">
        <f>16*J72</f>
        <v>48</v>
      </c>
      <c r="L72" s="121">
        <f>32*J72</f>
        <v>96</v>
      </c>
      <c r="M72" s="121">
        <f>SUM(K72:L77)</f>
        <v>144</v>
      </c>
      <c r="N72" s="135" t="s">
        <v>279</v>
      </c>
      <c r="O72" s="135" t="s">
        <v>230</v>
      </c>
      <c r="P72" s="135" t="s">
        <v>231</v>
      </c>
      <c r="Q72" s="131" t="s">
        <v>280</v>
      </c>
    </row>
    <row r="73" spans="1:18" s="30" customFormat="1" ht="48" x14ac:dyDescent="0.5">
      <c r="A73" s="75" t="str">
        <f>_xlfn.XLOOKUP(B73,'Paso 3 Redacción RA '!I$3:I$21,'Paso 3 Redacción RA '!C$3:C$21,,0,1)</f>
        <v>Saberhacer</v>
      </c>
      <c r="B73" s="29" t="s">
        <v>103</v>
      </c>
      <c r="C73" s="127"/>
      <c r="D73" s="122"/>
      <c r="E73" s="131"/>
      <c r="F73" s="142"/>
      <c r="G73" s="140"/>
      <c r="H73" s="140"/>
      <c r="I73" s="140"/>
      <c r="J73" s="127"/>
      <c r="K73" s="122"/>
      <c r="L73" s="122"/>
      <c r="M73" s="122"/>
      <c r="N73" s="131"/>
      <c r="O73" s="131"/>
      <c r="P73" s="131"/>
      <c r="Q73" s="131"/>
    </row>
    <row r="74" spans="1:18" s="30" customFormat="1" ht="48" x14ac:dyDescent="0.5">
      <c r="A74" s="75" t="str">
        <f>_xlfn.XLOOKUP(B74,'Paso 3 Redacción RA '!I$3:I$21,'Paso 3 Redacción RA '!C$3:C$21,,0,1)</f>
        <v>Saberser</v>
      </c>
      <c r="B74" s="29" t="s">
        <v>107</v>
      </c>
      <c r="C74" s="127"/>
      <c r="D74" s="122"/>
      <c r="E74" s="131"/>
      <c r="F74" s="142"/>
      <c r="G74" s="140"/>
      <c r="H74" s="140"/>
      <c r="I74" s="140"/>
      <c r="J74" s="127"/>
      <c r="K74" s="122"/>
      <c r="L74" s="122"/>
      <c r="M74" s="122"/>
      <c r="N74" s="131"/>
      <c r="O74" s="131"/>
      <c r="P74" s="131"/>
      <c r="Q74" s="131"/>
    </row>
    <row r="75" spans="1:18" s="30" customFormat="1" ht="32" x14ac:dyDescent="0.5">
      <c r="A75" s="75" t="str">
        <f>_xlfn.XLOOKUP(B75,'Paso 3 Redacción RA '!I$3:I$21,'Paso 3 Redacción RA '!C$3:C$21,,0,1)</f>
        <v>Saber</v>
      </c>
      <c r="B75" s="29" t="s">
        <v>110</v>
      </c>
      <c r="C75" s="127"/>
      <c r="D75" s="122"/>
      <c r="E75" s="131"/>
      <c r="F75" s="142"/>
      <c r="G75" s="140"/>
      <c r="H75" s="140"/>
      <c r="I75" s="140"/>
      <c r="J75" s="127"/>
      <c r="K75" s="122"/>
      <c r="L75" s="122"/>
      <c r="M75" s="122"/>
      <c r="N75" s="131"/>
      <c r="O75" s="131"/>
      <c r="P75" s="131"/>
      <c r="Q75" s="131"/>
    </row>
    <row r="76" spans="1:18" s="30" customFormat="1" ht="32" x14ac:dyDescent="0.5">
      <c r="A76" s="75" t="str">
        <f>_xlfn.XLOOKUP(B76,'Paso 3 Redacción RA '!I$3:I$21,'Paso 3 Redacción RA '!C$3:C$21,,0,1)</f>
        <v>Saberhacer</v>
      </c>
      <c r="B76" s="29" t="s">
        <v>113</v>
      </c>
      <c r="C76" s="127"/>
      <c r="D76" s="122"/>
      <c r="E76" s="131"/>
      <c r="F76" s="142"/>
      <c r="G76" s="140"/>
      <c r="H76" s="140"/>
      <c r="I76" s="140"/>
      <c r="J76" s="127"/>
      <c r="K76" s="122"/>
      <c r="L76" s="122"/>
      <c r="M76" s="122"/>
      <c r="N76" s="131"/>
      <c r="O76" s="131"/>
      <c r="P76" s="131"/>
      <c r="Q76" s="131"/>
    </row>
    <row r="77" spans="1:18" s="30" customFormat="1" ht="32.5" thickBot="1" x14ac:dyDescent="0.55000000000000004">
      <c r="A77" s="76" t="str">
        <f>_xlfn.XLOOKUP(B77,'Paso 3 Redacción RA '!I$3:I$21,'Paso 3 Redacción RA '!C$3:C$21,,0,1)</f>
        <v>Saber</v>
      </c>
      <c r="B77" s="50" t="s">
        <v>114</v>
      </c>
      <c r="C77" s="130"/>
      <c r="D77" s="123"/>
      <c r="E77" s="134"/>
      <c r="F77" s="145"/>
      <c r="G77" s="141"/>
      <c r="H77" s="141"/>
      <c r="I77" s="141"/>
      <c r="J77" s="130"/>
      <c r="K77" s="123"/>
      <c r="L77" s="123"/>
      <c r="M77" s="123"/>
      <c r="N77" s="134"/>
      <c r="O77" s="134" t="s">
        <v>210</v>
      </c>
      <c r="P77" s="134" t="s">
        <v>210</v>
      </c>
      <c r="Q77" s="138"/>
      <c r="R77" s="30">
        <f>SUM(J53:J72)</f>
        <v>18</v>
      </c>
    </row>
    <row r="78" spans="1:18" s="30" customFormat="1" ht="192.5" thickBot="1" x14ac:dyDescent="0.55000000000000004">
      <c r="A78" s="33" t="str">
        <f>_xlfn.XLOOKUP(B78,'Paso 3 Redacción RA '!I$3:I$21,'Paso 3 Redacción RA '!C$3:C$21,,0,1)</f>
        <v>Saber</v>
      </c>
      <c r="B78" s="33" t="s">
        <v>120</v>
      </c>
      <c r="C78" s="36">
        <v>4</v>
      </c>
      <c r="D78" s="40" t="s">
        <v>281</v>
      </c>
      <c r="E78" s="37" t="s">
        <v>282</v>
      </c>
      <c r="F78" s="68" t="s">
        <v>196</v>
      </c>
      <c r="G78" s="38" t="s">
        <v>197</v>
      </c>
      <c r="H78" s="38"/>
      <c r="I78" s="38"/>
      <c r="J78" s="36">
        <v>3</v>
      </c>
      <c r="K78" s="66">
        <f>16*J78</f>
        <v>48</v>
      </c>
      <c r="L78" s="66">
        <f>32*J78</f>
        <v>96</v>
      </c>
      <c r="M78" s="66">
        <f>SUM(K78:L78)</f>
        <v>144</v>
      </c>
      <c r="N78" s="37" t="s">
        <v>283</v>
      </c>
      <c r="O78" s="108" t="s">
        <v>284</v>
      </c>
      <c r="P78" s="111" t="s">
        <v>285</v>
      </c>
      <c r="Q78" s="99" t="s">
        <v>201</v>
      </c>
    </row>
    <row r="79" spans="1:18" s="30" customFormat="1" ht="32" x14ac:dyDescent="0.5">
      <c r="A79" s="51" t="str">
        <f>_xlfn.XLOOKUP(B79,'Paso 3 Redacción RA '!I$3:I$21,'Paso 3 Redacción RA '!C$3:C$21,,0,1)</f>
        <v>Saber</v>
      </c>
      <c r="B79" s="51" t="s">
        <v>100</v>
      </c>
      <c r="C79" s="136">
        <v>4</v>
      </c>
      <c r="D79" s="121" t="s">
        <v>286</v>
      </c>
      <c r="E79" s="135" t="s">
        <v>287</v>
      </c>
      <c r="F79" s="120" t="s">
        <v>196</v>
      </c>
      <c r="G79" s="139"/>
      <c r="H79" s="139" t="s">
        <v>197</v>
      </c>
      <c r="I79" s="139"/>
      <c r="J79" s="136">
        <v>3</v>
      </c>
      <c r="K79" s="121">
        <f>16*J79</f>
        <v>48</v>
      </c>
      <c r="L79" s="121">
        <f>32*J79</f>
        <v>96</v>
      </c>
      <c r="M79" s="121">
        <f>SUM(K79:L83)</f>
        <v>144</v>
      </c>
      <c r="N79" s="135" t="s">
        <v>288</v>
      </c>
      <c r="O79" s="135" t="s">
        <v>289</v>
      </c>
      <c r="P79" s="135" t="s">
        <v>290</v>
      </c>
      <c r="Q79" s="131" t="s">
        <v>226</v>
      </c>
    </row>
    <row r="80" spans="1:18" s="31" customFormat="1" ht="48" x14ac:dyDescent="0.35">
      <c r="A80" s="29" t="str">
        <f>_xlfn.XLOOKUP(B80,'Paso 3 Redacción RA '!I$3:I$21,'Paso 3 Redacción RA '!C$3:C$21,,0,1)</f>
        <v>Saberser</v>
      </c>
      <c r="B80" s="29" t="s">
        <v>107</v>
      </c>
      <c r="C80" s="127"/>
      <c r="D80" s="122"/>
      <c r="E80" s="131"/>
      <c r="F80" s="117"/>
      <c r="G80" s="140"/>
      <c r="H80" s="140"/>
      <c r="I80" s="140"/>
      <c r="J80" s="127"/>
      <c r="K80" s="122"/>
      <c r="L80" s="122"/>
      <c r="M80" s="122"/>
      <c r="N80" s="131"/>
      <c r="O80" s="131"/>
      <c r="P80" s="131"/>
      <c r="Q80" s="131"/>
    </row>
    <row r="81" spans="1:17" s="31" customFormat="1" ht="32" x14ac:dyDescent="0.35">
      <c r="A81" s="29" t="str">
        <f>_xlfn.XLOOKUP(B81,'Paso 3 Redacción RA '!I$3:I$21,'Paso 3 Redacción RA '!C$3:C$21,,0,1)</f>
        <v>Saberhacer</v>
      </c>
      <c r="B81" s="29" t="s">
        <v>113</v>
      </c>
      <c r="C81" s="127"/>
      <c r="D81" s="122"/>
      <c r="E81" s="131"/>
      <c r="F81" s="117"/>
      <c r="G81" s="140"/>
      <c r="H81" s="140"/>
      <c r="I81" s="140"/>
      <c r="J81" s="127"/>
      <c r="K81" s="122"/>
      <c r="L81" s="122"/>
      <c r="M81" s="122"/>
      <c r="N81" s="131"/>
      <c r="O81" s="131"/>
      <c r="P81" s="131"/>
      <c r="Q81" s="131"/>
    </row>
    <row r="82" spans="1:17" s="31" customFormat="1" ht="32" x14ac:dyDescent="0.35">
      <c r="A82" s="29" t="str">
        <f>_xlfn.XLOOKUP(B82,'Paso 3 Redacción RA '!I$3:I$21,'Paso 3 Redacción RA '!C$3:C$21,,0,1)</f>
        <v>Saber</v>
      </c>
      <c r="B82" s="29" t="s">
        <v>114</v>
      </c>
      <c r="C82" s="127"/>
      <c r="D82" s="122"/>
      <c r="E82" s="131"/>
      <c r="F82" s="117"/>
      <c r="G82" s="140"/>
      <c r="H82" s="140"/>
      <c r="I82" s="140"/>
      <c r="J82" s="127"/>
      <c r="K82" s="122"/>
      <c r="L82" s="122"/>
      <c r="M82" s="122"/>
      <c r="N82" s="131"/>
      <c r="O82" s="131"/>
      <c r="P82" s="131"/>
      <c r="Q82" s="131"/>
    </row>
    <row r="83" spans="1:17" s="31" customFormat="1" ht="32.5" thickBot="1" x14ac:dyDescent="0.4">
      <c r="A83" s="50" t="str">
        <f>_xlfn.XLOOKUP(B83,'Paso 3 Redacción RA '!I$3:I$21,'Paso 3 Redacción RA '!C$3:C$21,,0,1)</f>
        <v>Saber</v>
      </c>
      <c r="B83" s="50" t="s">
        <v>116</v>
      </c>
      <c r="C83" s="130"/>
      <c r="D83" s="123"/>
      <c r="E83" s="134"/>
      <c r="F83" s="119"/>
      <c r="G83" s="141"/>
      <c r="H83" s="141"/>
      <c r="I83" s="141"/>
      <c r="J83" s="130"/>
      <c r="K83" s="123"/>
      <c r="L83" s="123"/>
      <c r="M83" s="123"/>
      <c r="N83" s="134"/>
      <c r="O83" s="134" t="s">
        <v>210</v>
      </c>
      <c r="P83" s="134" t="s">
        <v>210</v>
      </c>
      <c r="Q83" s="138"/>
    </row>
    <row r="84" spans="1:17" s="30" customFormat="1" ht="32" x14ac:dyDescent="0.5">
      <c r="A84" s="51" t="str">
        <f>_xlfn.XLOOKUP(B84,'Paso 3 Redacción RA '!I$3:I$21,'Paso 3 Redacción RA '!C$3:C$21,,0,1)</f>
        <v>Saber</v>
      </c>
      <c r="B84" s="51" t="s">
        <v>100</v>
      </c>
      <c r="C84" s="121">
        <v>4</v>
      </c>
      <c r="D84" s="121" t="s">
        <v>291</v>
      </c>
      <c r="E84" s="135" t="s">
        <v>292</v>
      </c>
      <c r="F84" s="120" t="s">
        <v>196</v>
      </c>
      <c r="G84" s="139"/>
      <c r="H84" s="139" t="s">
        <v>197</v>
      </c>
      <c r="I84" s="139"/>
      <c r="J84" s="136">
        <v>3</v>
      </c>
      <c r="K84" s="121">
        <f>16*J84</f>
        <v>48</v>
      </c>
      <c r="L84" s="121">
        <f>32*J84</f>
        <v>96</v>
      </c>
      <c r="M84" s="121">
        <f>SUM(K84:L90)</f>
        <v>144</v>
      </c>
      <c r="N84" s="135" t="s">
        <v>293</v>
      </c>
      <c r="O84" s="135" t="s">
        <v>270</v>
      </c>
      <c r="P84" s="135" t="s">
        <v>271</v>
      </c>
      <c r="Q84" s="153" t="s">
        <v>226</v>
      </c>
    </row>
    <row r="85" spans="1:17" s="30" customFormat="1" ht="48" x14ac:dyDescent="0.5">
      <c r="A85" s="29" t="str">
        <f>_xlfn.XLOOKUP(B85,'Paso 3 Redacción RA '!I$3:I$21,'Paso 3 Redacción RA '!C$3:C$21,,0,1)</f>
        <v>Saberhacer</v>
      </c>
      <c r="B85" s="29" t="s">
        <v>103</v>
      </c>
      <c r="C85" s="122"/>
      <c r="D85" s="122"/>
      <c r="E85" s="131"/>
      <c r="F85" s="117"/>
      <c r="G85" s="140"/>
      <c r="H85" s="140"/>
      <c r="I85" s="140"/>
      <c r="J85" s="127"/>
      <c r="K85" s="122"/>
      <c r="L85" s="122"/>
      <c r="M85" s="122"/>
      <c r="N85" s="131"/>
      <c r="O85" s="131"/>
      <c r="P85" s="131"/>
      <c r="Q85" s="131"/>
    </row>
    <row r="86" spans="1:17" s="30" customFormat="1" ht="48" x14ac:dyDescent="0.5">
      <c r="A86" s="29" t="str">
        <f>_xlfn.XLOOKUP(B86,'Paso 3 Redacción RA '!I$3:I$21,'Paso 3 Redacción RA '!C$3:C$21,,0,1)</f>
        <v>Saberser</v>
      </c>
      <c r="B86" s="29" t="s">
        <v>107</v>
      </c>
      <c r="C86" s="122"/>
      <c r="D86" s="122"/>
      <c r="E86" s="131"/>
      <c r="F86" s="117"/>
      <c r="G86" s="140"/>
      <c r="H86" s="140"/>
      <c r="I86" s="140"/>
      <c r="J86" s="127"/>
      <c r="K86" s="122"/>
      <c r="L86" s="122"/>
      <c r="M86" s="122"/>
      <c r="N86" s="131"/>
      <c r="O86" s="131"/>
      <c r="P86" s="131"/>
      <c r="Q86" s="131"/>
    </row>
    <row r="87" spans="1:17" s="30" customFormat="1" ht="32" x14ac:dyDescent="0.5">
      <c r="A87" s="29" t="str">
        <f>_xlfn.XLOOKUP(B87,'Paso 3 Redacción RA '!I$3:I$21,'Paso 3 Redacción RA '!C$3:C$21,,0,1)</f>
        <v>Saber</v>
      </c>
      <c r="B87" s="29" t="s">
        <v>110</v>
      </c>
      <c r="C87" s="122"/>
      <c r="D87" s="122"/>
      <c r="E87" s="131"/>
      <c r="F87" s="117"/>
      <c r="G87" s="140"/>
      <c r="H87" s="140"/>
      <c r="I87" s="140"/>
      <c r="J87" s="127"/>
      <c r="K87" s="122"/>
      <c r="L87" s="122"/>
      <c r="M87" s="122"/>
      <c r="N87" s="131"/>
      <c r="O87" s="131"/>
      <c r="P87" s="131"/>
      <c r="Q87" s="131"/>
    </row>
    <row r="88" spans="1:17" s="30" customFormat="1" ht="32" x14ac:dyDescent="0.5">
      <c r="A88" s="29" t="str">
        <f>_xlfn.XLOOKUP(B88,'Paso 3 Redacción RA '!I$3:I$21,'Paso 3 Redacción RA '!C$3:C$21,,0,1)</f>
        <v>Saberhacer</v>
      </c>
      <c r="B88" s="29" t="s">
        <v>113</v>
      </c>
      <c r="C88" s="122"/>
      <c r="D88" s="122"/>
      <c r="E88" s="131"/>
      <c r="F88" s="117"/>
      <c r="G88" s="140"/>
      <c r="H88" s="140"/>
      <c r="I88" s="140"/>
      <c r="J88" s="127"/>
      <c r="K88" s="122"/>
      <c r="L88" s="122"/>
      <c r="M88" s="122"/>
      <c r="N88" s="131"/>
      <c r="O88" s="131"/>
      <c r="P88" s="131"/>
      <c r="Q88" s="131"/>
    </row>
    <row r="89" spans="1:17" s="30" customFormat="1" ht="32" x14ac:dyDescent="0.5">
      <c r="A89" s="29" t="str">
        <f>_xlfn.XLOOKUP(B89,'Paso 3 Redacción RA '!I$3:I$21,'Paso 3 Redacción RA '!C$3:C$21,,0,1)</f>
        <v>Saber</v>
      </c>
      <c r="B89" s="29" t="s">
        <v>114</v>
      </c>
      <c r="C89" s="122"/>
      <c r="D89" s="122"/>
      <c r="E89" s="131"/>
      <c r="F89" s="117"/>
      <c r="G89" s="140"/>
      <c r="H89" s="140"/>
      <c r="I89" s="140"/>
      <c r="J89" s="127"/>
      <c r="K89" s="122"/>
      <c r="L89" s="122"/>
      <c r="M89" s="122"/>
      <c r="N89" s="131"/>
      <c r="O89" s="131"/>
      <c r="P89" s="131"/>
      <c r="Q89" s="131"/>
    </row>
    <row r="90" spans="1:17" s="30" customFormat="1" ht="32.5" thickBot="1" x14ac:dyDescent="0.55000000000000004">
      <c r="A90" s="29" t="str">
        <f>_xlfn.XLOOKUP(B90,'Paso 3 Redacción RA '!I$3:I$21,'Paso 3 Redacción RA '!C$3:C$21,,0,1)</f>
        <v>Saber</v>
      </c>
      <c r="B90" s="29" t="s">
        <v>116</v>
      </c>
      <c r="C90" s="122"/>
      <c r="D90" s="123"/>
      <c r="E90" s="134"/>
      <c r="F90" s="117"/>
      <c r="G90" s="140"/>
      <c r="H90" s="140"/>
      <c r="I90" s="140"/>
      <c r="J90" s="127"/>
      <c r="K90" s="122"/>
      <c r="L90" s="122"/>
      <c r="M90" s="122"/>
      <c r="N90" s="134"/>
      <c r="O90" s="131"/>
      <c r="P90" s="131"/>
      <c r="Q90" s="134"/>
    </row>
    <row r="91" spans="1:17" s="30" customFormat="1" ht="32" x14ac:dyDescent="0.5">
      <c r="A91" s="51" t="str">
        <f>_xlfn.XLOOKUP(B91,'Paso 3 Redacción RA '!I$3:I$21,'Paso 3 Redacción RA '!C$3:C$21,,0,1)</f>
        <v>Saber</v>
      </c>
      <c r="B91" s="51" t="s">
        <v>100</v>
      </c>
      <c r="C91" s="136">
        <v>4</v>
      </c>
      <c r="D91" s="121" t="s">
        <v>294</v>
      </c>
      <c r="E91" s="135" t="s">
        <v>295</v>
      </c>
      <c r="F91" s="120" t="s">
        <v>196</v>
      </c>
      <c r="G91" s="139"/>
      <c r="H91" s="139" t="s">
        <v>197</v>
      </c>
      <c r="I91" s="139"/>
      <c r="J91" s="136">
        <v>4</v>
      </c>
      <c r="K91" s="121">
        <f>16*J91</f>
        <v>64</v>
      </c>
      <c r="L91" s="121">
        <f>32*J91</f>
        <v>128</v>
      </c>
      <c r="M91" s="121">
        <f>SUM(K91:L97)</f>
        <v>192</v>
      </c>
      <c r="N91" s="135" t="s">
        <v>296</v>
      </c>
      <c r="O91" s="135" t="s">
        <v>297</v>
      </c>
      <c r="P91" s="135" t="s">
        <v>298</v>
      </c>
      <c r="Q91" s="131" t="s">
        <v>226</v>
      </c>
    </row>
    <row r="92" spans="1:17" s="30" customFormat="1" ht="48" x14ac:dyDescent="0.5">
      <c r="A92" s="29" t="str">
        <f>_xlfn.XLOOKUP(B92,'Paso 3 Redacción RA '!I$3:I$21,'Paso 3 Redacción RA '!C$3:C$21,,0,1)</f>
        <v>Saberhacer</v>
      </c>
      <c r="B92" s="29" t="s">
        <v>103</v>
      </c>
      <c r="C92" s="127"/>
      <c r="D92" s="122"/>
      <c r="E92" s="131"/>
      <c r="F92" s="117"/>
      <c r="G92" s="140"/>
      <c r="H92" s="140"/>
      <c r="I92" s="140"/>
      <c r="J92" s="127"/>
      <c r="K92" s="122"/>
      <c r="L92" s="122"/>
      <c r="M92" s="122"/>
      <c r="N92" s="131"/>
      <c r="O92" s="131"/>
      <c r="P92" s="131"/>
      <c r="Q92" s="131"/>
    </row>
    <row r="93" spans="1:17" s="30" customFormat="1" ht="48" x14ac:dyDescent="0.5">
      <c r="A93" s="29" t="str">
        <f>_xlfn.XLOOKUP(B93,'Paso 3 Redacción RA '!I$3:I$21,'Paso 3 Redacción RA '!C$3:C$21,,0,1)</f>
        <v>Saberser</v>
      </c>
      <c r="B93" s="29" t="s">
        <v>107</v>
      </c>
      <c r="C93" s="127"/>
      <c r="D93" s="122"/>
      <c r="E93" s="131"/>
      <c r="F93" s="117"/>
      <c r="G93" s="140"/>
      <c r="H93" s="140"/>
      <c r="I93" s="140"/>
      <c r="J93" s="127"/>
      <c r="K93" s="122"/>
      <c r="L93" s="122"/>
      <c r="M93" s="122"/>
      <c r="N93" s="131"/>
      <c r="O93" s="131"/>
      <c r="P93" s="131"/>
      <c r="Q93" s="131"/>
    </row>
    <row r="94" spans="1:17" s="30" customFormat="1" ht="32" x14ac:dyDescent="0.5">
      <c r="A94" s="29" t="str">
        <f>_xlfn.XLOOKUP(B94,'Paso 3 Redacción RA '!I$3:I$21,'Paso 3 Redacción RA '!C$3:C$21,,0,1)</f>
        <v>Saber</v>
      </c>
      <c r="B94" s="29" t="s">
        <v>110</v>
      </c>
      <c r="C94" s="127"/>
      <c r="D94" s="122"/>
      <c r="E94" s="131"/>
      <c r="F94" s="117"/>
      <c r="G94" s="140"/>
      <c r="H94" s="140"/>
      <c r="I94" s="140"/>
      <c r="J94" s="127"/>
      <c r="K94" s="122"/>
      <c r="L94" s="122"/>
      <c r="M94" s="122"/>
      <c r="N94" s="131"/>
      <c r="O94" s="131"/>
      <c r="P94" s="131"/>
      <c r="Q94" s="131"/>
    </row>
    <row r="95" spans="1:17" s="30" customFormat="1" ht="32" x14ac:dyDescent="0.5">
      <c r="A95" s="29" t="str">
        <f>_xlfn.XLOOKUP(B95,'Paso 3 Redacción RA '!I$3:I$21,'Paso 3 Redacción RA '!C$3:C$21,,0,1)</f>
        <v>Saberhacer</v>
      </c>
      <c r="B95" s="29" t="s">
        <v>113</v>
      </c>
      <c r="C95" s="127"/>
      <c r="D95" s="122"/>
      <c r="E95" s="131"/>
      <c r="F95" s="117"/>
      <c r="G95" s="140"/>
      <c r="H95" s="140"/>
      <c r="I95" s="140"/>
      <c r="J95" s="127"/>
      <c r="K95" s="122"/>
      <c r="L95" s="122"/>
      <c r="M95" s="122"/>
      <c r="N95" s="131"/>
      <c r="O95" s="131"/>
      <c r="P95" s="131"/>
      <c r="Q95" s="131"/>
    </row>
    <row r="96" spans="1:17" s="30" customFormat="1" ht="32" x14ac:dyDescent="0.5">
      <c r="A96" s="29" t="str">
        <f>_xlfn.XLOOKUP(B96,'Paso 3 Redacción RA '!I$3:I$21,'Paso 3 Redacción RA '!C$3:C$21,,0,1)</f>
        <v>Saber</v>
      </c>
      <c r="B96" s="29" t="s">
        <v>114</v>
      </c>
      <c r="C96" s="127"/>
      <c r="D96" s="122"/>
      <c r="E96" s="131"/>
      <c r="F96" s="117"/>
      <c r="G96" s="140"/>
      <c r="H96" s="140"/>
      <c r="I96" s="140"/>
      <c r="J96" s="127"/>
      <c r="K96" s="122"/>
      <c r="L96" s="122"/>
      <c r="M96" s="122"/>
      <c r="N96" s="131"/>
      <c r="O96" s="131"/>
      <c r="P96" s="131"/>
      <c r="Q96" s="131"/>
    </row>
    <row r="97" spans="1:18" s="30" customFormat="1" ht="32.5" thickBot="1" x14ac:dyDescent="0.55000000000000004">
      <c r="A97" s="50" t="str">
        <f>_xlfn.XLOOKUP(B97,'Paso 3 Redacción RA '!I$3:I$21,'Paso 3 Redacción RA '!C$3:C$21,,0,1)</f>
        <v>Saber</v>
      </c>
      <c r="B97" s="50" t="s">
        <v>116</v>
      </c>
      <c r="C97" s="130"/>
      <c r="D97" s="123"/>
      <c r="E97" s="134"/>
      <c r="F97" s="119"/>
      <c r="G97" s="141"/>
      <c r="H97" s="141"/>
      <c r="I97" s="141"/>
      <c r="J97" s="130"/>
      <c r="K97" s="123"/>
      <c r="L97" s="123"/>
      <c r="M97" s="123"/>
      <c r="N97" s="134"/>
      <c r="O97" s="134" t="s">
        <v>210</v>
      </c>
      <c r="P97" s="134" t="s">
        <v>210</v>
      </c>
      <c r="Q97" s="138"/>
    </row>
    <row r="98" spans="1:18" s="31" customFormat="1" ht="32" x14ac:dyDescent="0.35">
      <c r="A98" s="51" t="str">
        <f>_xlfn.XLOOKUP(B98,'Paso 3 Redacción RA '!I$3:I$21,'Paso 3 Redacción RA '!C$3:C$21,,0,1)</f>
        <v>Saber</v>
      </c>
      <c r="B98" s="51" t="s">
        <v>100</v>
      </c>
      <c r="C98" s="121">
        <v>4</v>
      </c>
      <c r="D98" s="121" t="s">
        <v>299</v>
      </c>
      <c r="E98" s="124" t="s">
        <v>300</v>
      </c>
      <c r="F98" s="121" t="s">
        <v>196</v>
      </c>
      <c r="G98" s="121" t="s">
        <v>210</v>
      </c>
      <c r="H98" s="121" t="s">
        <v>197</v>
      </c>
      <c r="I98" s="121" t="s">
        <v>210</v>
      </c>
      <c r="J98" s="121">
        <v>3</v>
      </c>
      <c r="K98" s="121">
        <f>16*J98</f>
        <v>48</v>
      </c>
      <c r="L98" s="121">
        <f>32*J98</f>
        <v>96</v>
      </c>
      <c r="M98" s="121">
        <f>SUM(K98:L103)</f>
        <v>144</v>
      </c>
      <c r="N98" s="124" t="s">
        <v>301</v>
      </c>
      <c r="O98" s="124" t="s">
        <v>302</v>
      </c>
      <c r="P98" s="124" t="s">
        <v>241</v>
      </c>
      <c r="Q98" s="125" t="s">
        <v>303</v>
      </c>
    </row>
    <row r="99" spans="1:18" s="31" customFormat="1" ht="48" x14ac:dyDescent="0.35">
      <c r="A99" s="29" t="str">
        <f>_xlfn.XLOOKUP(B99,'Paso 3 Redacción RA '!I$3:I$21,'Paso 3 Redacción RA '!C$3:C$21,,0,1)</f>
        <v>Saberhacer</v>
      </c>
      <c r="B99" s="29" t="s">
        <v>103</v>
      </c>
      <c r="C99" s="122"/>
      <c r="D99" s="122"/>
      <c r="E99" s="125"/>
      <c r="F99" s="122"/>
      <c r="G99" s="122"/>
      <c r="H99" s="122"/>
      <c r="I99" s="122"/>
      <c r="J99" s="122"/>
      <c r="K99" s="122"/>
      <c r="L99" s="122"/>
      <c r="M99" s="122"/>
      <c r="N99" s="125"/>
      <c r="O99" s="125"/>
      <c r="P99" s="125"/>
      <c r="Q99" s="125"/>
    </row>
    <row r="100" spans="1:18" s="31" customFormat="1" ht="48" x14ac:dyDescent="0.35">
      <c r="A100" s="29" t="str">
        <f>_xlfn.XLOOKUP(B100,'Paso 3 Redacción RA '!I$3:I$21,'Paso 3 Redacción RA '!C$3:C$21,,0,1)</f>
        <v>Saberser</v>
      </c>
      <c r="B100" s="29" t="s">
        <v>107</v>
      </c>
      <c r="C100" s="122"/>
      <c r="D100" s="122"/>
      <c r="E100" s="125"/>
      <c r="F100" s="122"/>
      <c r="G100" s="122"/>
      <c r="H100" s="122"/>
      <c r="I100" s="122"/>
      <c r="J100" s="122"/>
      <c r="K100" s="122"/>
      <c r="L100" s="122"/>
      <c r="M100" s="122"/>
      <c r="N100" s="125"/>
      <c r="O100" s="125"/>
      <c r="P100" s="125"/>
      <c r="Q100" s="125"/>
    </row>
    <row r="101" spans="1:18" s="31" customFormat="1" ht="32" x14ac:dyDescent="0.35">
      <c r="A101" s="29" t="str">
        <f>_xlfn.XLOOKUP(B101,'Paso 3 Redacción RA '!I$3:I$21,'Paso 3 Redacción RA '!C$3:C$21,,0,1)</f>
        <v>Saberhacer</v>
      </c>
      <c r="B101" s="29" t="s">
        <v>113</v>
      </c>
      <c r="C101" s="122"/>
      <c r="D101" s="122"/>
      <c r="E101" s="125"/>
      <c r="F101" s="122"/>
      <c r="G101" s="122"/>
      <c r="H101" s="122"/>
      <c r="I101" s="122"/>
      <c r="J101" s="122"/>
      <c r="K101" s="122"/>
      <c r="L101" s="122"/>
      <c r="M101" s="122"/>
      <c r="N101" s="125"/>
      <c r="O101" s="125"/>
      <c r="P101" s="125"/>
      <c r="Q101" s="125"/>
    </row>
    <row r="102" spans="1:18" s="31" customFormat="1" ht="32" x14ac:dyDescent="0.35">
      <c r="A102" s="29" t="str">
        <f>_xlfn.XLOOKUP(B102,'Paso 3 Redacción RA '!I$3:I$21,'Paso 3 Redacción RA '!C$3:C$21,,0,1)</f>
        <v>Saber</v>
      </c>
      <c r="B102" s="29" t="s">
        <v>114</v>
      </c>
      <c r="C102" s="122"/>
      <c r="D102" s="122"/>
      <c r="E102" s="125"/>
      <c r="F102" s="122"/>
      <c r="G102" s="122"/>
      <c r="H102" s="122"/>
      <c r="I102" s="122"/>
      <c r="J102" s="122"/>
      <c r="K102" s="122"/>
      <c r="L102" s="122"/>
      <c r="M102" s="122"/>
      <c r="N102" s="125"/>
      <c r="O102" s="125"/>
      <c r="P102" s="125"/>
      <c r="Q102" s="125"/>
    </row>
    <row r="103" spans="1:18" s="31" customFormat="1" ht="32.5" thickBot="1" x14ac:dyDescent="0.4">
      <c r="A103" s="50" t="str">
        <f>_xlfn.XLOOKUP(B103,'Paso 3 Redacción RA '!I$3:I$21,'Paso 3 Redacción RA '!C$3:C$21,,0,1)</f>
        <v>Saber</v>
      </c>
      <c r="B103" s="50" t="s">
        <v>116</v>
      </c>
      <c r="C103" s="123"/>
      <c r="D103" s="123"/>
      <c r="E103" s="126"/>
      <c r="F103" s="123"/>
      <c r="G103" s="123"/>
      <c r="H103" s="123"/>
      <c r="I103" s="123"/>
      <c r="J103" s="123"/>
      <c r="K103" s="123"/>
      <c r="L103" s="123"/>
      <c r="M103" s="123"/>
      <c r="N103" s="126"/>
      <c r="O103" s="126" t="s">
        <v>210</v>
      </c>
      <c r="P103" s="126" t="s">
        <v>210</v>
      </c>
      <c r="Q103" s="137"/>
      <c r="R103" s="31">
        <f>SUM(J78:J98)</f>
        <v>16</v>
      </c>
    </row>
    <row r="104" spans="1:18" s="31" customFormat="1" ht="32" x14ac:dyDescent="0.35">
      <c r="A104" s="29" t="str">
        <f>_xlfn.XLOOKUP(B104,'Paso 3 Redacción RA '!I$3:I$21,'Paso 3 Redacción RA '!C$3:C$21,,0,1)</f>
        <v>Saber</v>
      </c>
      <c r="B104" s="29" t="s">
        <v>100</v>
      </c>
      <c r="C104" s="122">
        <v>5</v>
      </c>
      <c r="D104" s="122" t="s">
        <v>304</v>
      </c>
      <c r="E104" s="125" t="s">
        <v>305</v>
      </c>
      <c r="F104" s="122" t="s">
        <v>196</v>
      </c>
      <c r="G104" s="122"/>
      <c r="H104" s="122" t="s">
        <v>197</v>
      </c>
      <c r="I104" s="122"/>
      <c r="J104" s="122">
        <v>4</v>
      </c>
      <c r="K104" s="122">
        <f>16*J104</f>
        <v>64</v>
      </c>
      <c r="L104" s="122">
        <f>32*J104</f>
        <v>128</v>
      </c>
      <c r="M104" s="122">
        <f>SUM(K104:L110)</f>
        <v>192</v>
      </c>
      <c r="N104" s="125" t="s">
        <v>306</v>
      </c>
      <c r="O104" s="125" t="s">
        <v>307</v>
      </c>
      <c r="P104" s="125" t="s">
        <v>298</v>
      </c>
      <c r="Q104" s="125" t="s">
        <v>308</v>
      </c>
    </row>
    <row r="105" spans="1:18" s="31" customFormat="1" ht="48" x14ac:dyDescent="0.35">
      <c r="A105" s="29" t="str">
        <f>_xlfn.XLOOKUP(B105,'Paso 3 Redacción RA '!I$3:I$21,'Paso 3 Redacción RA '!C$3:C$21,,0,1)</f>
        <v>Saberhacer</v>
      </c>
      <c r="B105" s="29" t="s">
        <v>103</v>
      </c>
      <c r="C105" s="122"/>
      <c r="D105" s="122"/>
      <c r="E105" s="125"/>
      <c r="F105" s="122"/>
      <c r="G105" s="122"/>
      <c r="H105" s="122"/>
      <c r="I105" s="122"/>
      <c r="J105" s="122"/>
      <c r="K105" s="122"/>
      <c r="L105" s="122"/>
      <c r="M105" s="122"/>
      <c r="N105" s="125"/>
      <c r="O105" s="125"/>
      <c r="P105" s="125"/>
      <c r="Q105" s="125"/>
    </row>
    <row r="106" spans="1:18" s="31" customFormat="1" ht="48" x14ac:dyDescent="0.35">
      <c r="A106" s="29" t="str">
        <f>_xlfn.XLOOKUP(B106,'Paso 3 Redacción RA '!I$3:I$21,'Paso 3 Redacción RA '!C$3:C$21,,0,1)</f>
        <v>Saberser</v>
      </c>
      <c r="B106" s="29" t="s">
        <v>107</v>
      </c>
      <c r="C106" s="122"/>
      <c r="D106" s="122"/>
      <c r="E106" s="125"/>
      <c r="F106" s="122"/>
      <c r="G106" s="122"/>
      <c r="H106" s="122"/>
      <c r="I106" s="122"/>
      <c r="J106" s="122"/>
      <c r="K106" s="122"/>
      <c r="L106" s="122"/>
      <c r="M106" s="122"/>
      <c r="N106" s="125"/>
      <c r="O106" s="125"/>
      <c r="P106" s="125"/>
      <c r="Q106" s="125"/>
    </row>
    <row r="107" spans="1:18" s="31" customFormat="1" ht="32" x14ac:dyDescent="0.35">
      <c r="A107" s="29" t="str">
        <f>_xlfn.XLOOKUP(B107,'Paso 3 Redacción RA '!I$3:I$21,'Paso 3 Redacción RA '!C$3:C$21,,0,1)</f>
        <v>Saber</v>
      </c>
      <c r="B107" s="29" t="s">
        <v>110</v>
      </c>
      <c r="C107" s="122"/>
      <c r="D107" s="122"/>
      <c r="E107" s="125"/>
      <c r="F107" s="122"/>
      <c r="G107" s="122"/>
      <c r="H107" s="122"/>
      <c r="I107" s="122"/>
      <c r="J107" s="122"/>
      <c r="K107" s="122"/>
      <c r="L107" s="122"/>
      <c r="M107" s="122"/>
      <c r="N107" s="125"/>
      <c r="O107" s="125"/>
      <c r="P107" s="125"/>
      <c r="Q107" s="125"/>
    </row>
    <row r="108" spans="1:18" s="31" customFormat="1" ht="32" x14ac:dyDescent="0.35">
      <c r="A108" s="29" t="str">
        <f>_xlfn.XLOOKUP(B108,'Paso 3 Redacción RA '!I$3:I$21,'Paso 3 Redacción RA '!C$3:C$21,,0,1)</f>
        <v>Saberhacer</v>
      </c>
      <c r="B108" s="29" t="s">
        <v>113</v>
      </c>
      <c r="C108" s="122"/>
      <c r="D108" s="122"/>
      <c r="E108" s="125"/>
      <c r="F108" s="122"/>
      <c r="G108" s="122"/>
      <c r="H108" s="122"/>
      <c r="I108" s="122"/>
      <c r="J108" s="122"/>
      <c r="K108" s="122"/>
      <c r="L108" s="122"/>
      <c r="M108" s="122"/>
      <c r="N108" s="125"/>
      <c r="O108" s="125"/>
      <c r="P108" s="125"/>
      <c r="Q108" s="125"/>
    </row>
    <row r="109" spans="1:18" s="31" customFormat="1" ht="32" x14ac:dyDescent="0.35">
      <c r="A109" s="29" t="str">
        <f>_xlfn.XLOOKUP(B109,'Paso 3 Redacción RA '!I$3:I$21,'Paso 3 Redacción RA '!C$3:C$21,,0,1)</f>
        <v>Saber</v>
      </c>
      <c r="B109" s="29" t="s">
        <v>114</v>
      </c>
      <c r="C109" s="122"/>
      <c r="D109" s="122"/>
      <c r="E109" s="125"/>
      <c r="F109" s="122"/>
      <c r="G109" s="122"/>
      <c r="H109" s="122"/>
      <c r="I109" s="122"/>
      <c r="J109" s="122"/>
      <c r="K109" s="122"/>
      <c r="L109" s="122"/>
      <c r="M109" s="122"/>
      <c r="N109" s="125"/>
      <c r="O109" s="125"/>
      <c r="P109" s="125"/>
      <c r="Q109" s="125"/>
    </row>
    <row r="110" spans="1:18" s="31" customFormat="1" ht="32.5" thickBot="1" x14ac:dyDescent="0.4">
      <c r="A110" s="97" t="str">
        <f>_xlfn.XLOOKUP(B110,'Paso 3 Redacción RA '!I$3:I$21,'Paso 3 Redacción RA '!C$3:C$21,,0,1)</f>
        <v>Saber</v>
      </c>
      <c r="B110" s="50" t="s">
        <v>116</v>
      </c>
      <c r="C110" s="123"/>
      <c r="D110" s="123"/>
      <c r="E110" s="126"/>
      <c r="F110" s="123"/>
      <c r="G110" s="123"/>
      <c r="H110" s="123"/>
      <c r="I110" s="123"/>
      <c r="J110" s="123"/>
      <c r="K110" s="123"/>
      <c r="L110" s="123"/>
      <c r="M110" s="123"/>
      <c r="N110" s="126"/>
      <c r="O110" s="126" t="s">
        <v>210</v>
      </c>
      <c r="P110" s="126" t="s">
        <v>210</v>
      </c>
      <c r="Q110" s="137"/>
    </row>
    <row r="111" spans="1:18" s="31" customFormat="1" ht="32" x14ac:dyDescent="0.35">
      <c r="A111" s="29" t="str">
        <f>_xlfn.XLOOKUP(B111,'Paso 3 Redacción RA '!I$3:I$21,'Paso 3 Redacción RA '!C$3:C$21,,0,1)</f>
        <v>Saber</v>
      </c>
      <c r="B111" s="29" t="s">
        <v>100</v>
      </c>
      <c r="C111" s="122">
        <v>5</v>
      </c>
      <c r="D111" s="122" t="s">
        <v>309</v>
      </c>
      <c r="E111" s="146" t="s">
        <v>310</v>
      </c>
      <c r="F111" s="142" t="s">
        <v>196</v>
      </c>
      <c r="G111" s="122" t="s">
        <v>210</v>
      </c>
      <c r="H111" s="122" t="s">
        <v>197</v>
      </c>
      <c r="I111" s="122" t="s">
        <v>210</v>
      </c>
      <c r="J111" s="122">
        <v>3</v>
      </c>
      <c r="K111" s="122">
        <v>48</v>
      </c>
      <c r="L111" s="122">
        <v>96</v>
      </c>
      <c r="M111" s="122">
        <v>144</v>
      </c>
      <c r="N111" s="124" t="s">
        <v>311</v>
      </c>
      <c r="O111" s="125" t="s">
        <v>218</v>
      </c>
      <c r="P111" s="125" t="s">
        <v>312</v>
      </c>
      <c r="Q111" s="125" t="s">
        <v>244</v>
      </c>
    </row>
    <row r="112" spans="1:18" s="31" customFormat="1" ht="48" x14ac:dyDescent="0.35">
      <c r="A112" s="29" t="str">
        <f>_xlfn.XLOOKUP(B112,'Paso 3 Redacción RA '!I$3:I$21,'Paso 3 Redacción RA '!C$3:C$21,,0,1)</f>
        <v>Saberhacer</v>
      </c>
      <c r="B112" s="29" t="s">
        <v>103</v>
      </c>
      <c r="C112" s="122"/>
      <c r="D112" s="122"/>
      <c r="E112" s="146"/>
      <c r="F112" s="142"/>
      <c r="G112" s="122"/>
      <c r="H112" s="122"/>
      <c r="I112" s="122"/>
      <c r="J112" s="122"/>
      <c r="K112" s="122"/>
      <c r="L112" s="122"/>
      <c r="M112" s="122"/>
      <c r="N112" s="125"/>
      <c r="O112" s="125"/>
      <c r="P112" s="125"/>
      <c r="Q112" s="125"/>
    </row>
    <row r="113" spans="1:17" s="31" customFormat="1" ht="48" x14ac:dyDescent="0.35">
      <c r="A113" s="29" t="str">
        <f>_xlfn.XLOOKUP(B113,'Paso 3 Redacción RA '!I$3:I$21,'Paso 3 Redacción RA '!C$3:C$21,,0,1)</f>
        <v>Saberser</v>
      </c>
      <c r="B113" s="29" t="s">
        <v>107</v>
      </c>
      <c r="C113" s="122"/>
      <c r="D113" s="122"/>
      <c r="E113" s="146"/>
      <c r="F113" s="142"/>
      <c r="G113" s="122"/>
      <c r="H113" s="122"/>
      <c r="I113" s="122"/>
      <c r="J113" s="122"/>
      <c r="K113" s="122"/>
      <c r="L113" s="122"/>
      <c r="M113" s="122"/>
      <c r="N113" s="125"/>
      <c r="O113" s="125"/>
      <c r="P113" s="125"/>
      <c r="Q113" s="125"/>
    </row>
    <row r="114" spans="1:17" s="31" customFormat="1" ht="32" x14ac:dyDescent="0.35">
      <c r="A114" s="29" t="str">
        <f>_xlfn.XLOOKUP(B114,'Paso 3 Redacción RA '!I$3:I$21,'Paso 3 Redacción RA '!C$3:C$21,,0,1)</f>
        <v>Saber</v>
      </c>
      <c r="B114" s="29" t="s">
        <v>110</v>
      </c>
      <c r="C114" s="122"/>
      <c r="D114" s="122"/>
      <c r="E114" s="146"/>
      <c r="F114" s="142"/>
      <c r="G114" s="122"/>
      <c r="H114" s="122"/>
      <c r="I114" s="122"/>
      <c r="J114" s="122"/>
      <c r="K114" s="122"/>
      <c r="L114" s="122"/>
      <c r="M114" s="122"/>
      <c r="N114" s="125"/>
      <c r="O114" s="125"/>
      <c r="P114" s="125"/>
      <c r="Q114" s="125"/>
    </row>
    <row r="115" spans="1:17" s="31" customFormat="1" ht="32" x14ac:dyDescent="0.35">
      <c r="A115" s="29" t="str">
        <f>_xlfn.XLOOKUP(B115,'Paso 3 Redacción RA '!I$3:I$21,'Paso 3 Redacción RA '!C$3:C$21,,0,1)</f>
        <v>Saberhacer</v>
      </c>
      <c r="B115" s="29" t="s">
        <v>113</v>
      </c>
      <c r="C115" s="122"/>
      <c r="D115" s="122"/>
      <c r="E115" s="146"/>
      <c r="F115" s="142"/>
      <c r="G115" s="122"/>
      <c r="H115" s="122"/>
      <c r="I115" s="122"/>
      <c r="J115" s="122"/>
      <c r="K115" s="122"/>
      <c r="L115" s="122"/>
      <c r="M115" s="122"/>
      <c r="N115" s="125"/>
      <c r="O115" s="125"/>
      <c r="P115" s="125"/>
      <c r="Q115" s="125"/>
    </row>
    <row r="116" spans="1:17" s="31" customFormat="1" ht="32" x14ac:dyDescent="0.35">
      <c r="A116" s="29" t="str">
        <f>_xlfn.XLOOKUP(B116,'Paso 3 Redacción RA '!I$3:I$21,'Paso 3 Redacción RA '!C$3:C$21,,0,1)</f>
        <v>Saber</v>
      </c>
      <c r="B116" s="29" t="s">
        <v>114</v>
      </c>
      <c r="C116" s="122"/>
      <c r="D116" s="122"/>
      <c r="E116" s="146"/>
      <c r="F116" s="142"/>
      <c r="G116" s="122"/>
      <c r="H116" s="122"/>
      <c r="I116" s="122"/>
      <c r="J116" s="122"/>
      <c r="K116" s="122"/>
      <c r="L116" s="122"/>
      <c r="M116" s="122"/>
      <c r="N116" s="125"/>
      <c r="O116" s="125"/>
      <c r="P116" s="125"/>
      <c r="Q116" s="125"/>
    </row>
    <row r="117" spans="1:17" s="31" customFormat="1" ht="32.5" thickBot="1" x14ac:dyDescent="0.4">
      <c r="A117" s="97" t="str">
        <f>_xlfn.XLOOKUP(B117,'Paso 3 Redacción RA '!I$3:I$21,'Paso 3 Redacción RA '!C$3:C$21,,0,1)</f>
        <v>Saber</v>
      </c>
      <c r="B117" s="97" t="s">
        <v>116</v>
      </c>
      <c r="C117" s="129"/>
      <c r="D117" s="129"/>
      <c r="E117" s="147"/>
      <c r="F117" s="143"/>
      <c r="G117" s="129"/>
      <c r="H117" s="129"/>
      <c r="I117" s="129"/>
      <c r="J117" s="129"/>
      <c r="K117" s="129"/>
      <c r="L117" s="129"/>
      <c r="M117" s="129"/>
      <c r="N117" s="137"/>
      <c r="O117" s="137" t="s">
        <v>210</v>
      </c>
      <c r="P117" s="137" t="s">
        <v>210</v>
      </c>
      <c r="Q117" s="137"/>
    </row>
    <row r="118" spans="1:17" s="30" customFormat="1" ht="32" x14ac:dyDescent="0.5">
      <c r="A118" s="29" t="str">
        <f>_xlfn.XLOOKUP(B118,'Paso 3 Redacción RA '!I$3:I$21,'Paso 3 Redacción RA '!C$3:C$21,,0,1)</f>
        <v>Saber</v>
      </c>
      <c r="B118" s="29" t="s">
        <v>100</v>
      </c>
      <c r="C118" s="127">
        <v>5</v>
      </c>
      <c r="D118" s="122" t="s">
        <v>313</v>
      </c>
      <c r="E118" s="131" t="s">
        <v>314</v>
      </c>
      <c r="F118" s="117" t="s">
        <v>196</v>
      </c>
      <c r="G118" s="140"/>
      <c r="H118" s="140" t="s">
        <v>197</v>
      </c>
      <c r="I118" s="140"/>
      <c r="J118" s="127">
        <v>3</v>
      </c>
      <c r="K118" s="122">
        <f>16*J118</f>
        <v>48</v>
      </c>
      <c r="L118" s="122">
        <f>32*J118</f>
        <v>96</v>
      </c>
      <c r="M118" s="122">
        <f>SUM(K118:L124)</f>
        <v>144</v>
      </c>
      <c r="N118" s="146" t="s">
        <v>315</v>
      </c>
      <c r="O118" s="146" t="s">
        <v>316</v>
      </c>
      <c r="P118" s="146" t="s">
        <v>298</v>
      </c>
      <c r="Q118" s="131" t="s">
        <v>226</v>
      </c>
    </row>
    <row r="119" spans="1:17" s="30" customFormat="1" ht="48" x14ac:dyDescent="0.5">
      <c r="A119" s="29" t="str">
        <f>_xlfn.XLOOKUP(B119,'Paso 3 Redacción RA '!I$3:I$21,'Paso 3 Redacción RA '!C$3:C$21,,0,1)</f>
        <v>Saberhacer</v>
      </c>
      <c r="B119" s="29" t="s">
        <v>103</v>
      </c>
      <c r="C119" s="127"/>
      <c r="D119" s="122"/>
      <c r="E119" s="131"/>
      <c r="F119" s="117"/>
      <c r="G119" s="140"/>
      <c r="H119" s="140"/>
      <c r="I119" s="140"/>
      <c r="J119" s="127"/>
      <c r="K119" s="122"/>
      <c r="L119" s="122"/>
      <c r="M119" s="122"/>
      <c r="N119" s="146"/>
      <c r="O119" s="146"/>
      <c r="P119" s="146"/>
      <c r="Q119" s="131"/>
    </row>
    <row r="120" spans="1:17" s="30" customFormat="1" ht="48" x14ac:dyDescent="0.5">
      <c r="A120" s="29" t="str">
        <f>_xlfn.XLOOKUP(B120,'Paso 3 Redacción RA '!I$3:I$21,'Paso 3 Redacción RA '!C$3:C$21,,0,1)</f>
        <v>Saberhacer</v>
      </c>
      <c r="B120" s="29" t="s">
        <v>103</v>
      </c>
      <c r="C120" s="127"/>
      <c r="D120" s="122"/>
      <c r="E120" s="131"/>
      <c r="F120" s="117"/>
      <c r="G120" s="140"/>
      <c r="H120" s="140"/>
      <c r="I120" s="140"/>
      <c r="J120" s="127"/>
      <c r="K120" s="122"/>
      <c r="L120" s="122"/>
      <c r="M120" s="122"/>
      <c r="N120" s="146"/>
      <c r="O120" s="146"/>
      <c r="P120" s="146"/>
      <c r="Q120" s="131"/>
    </row>
    <row r="121" spans="1:17" s="30" customFormat="1" ht="32" x14ac:dyDescent="0.5">
      <c r="A121" s="29" t="str">
        <f>_xlfn.XLOOKUP(B121,'Paso 3 Redacción RA '!I$3:I$21,'Paso 3 Redacción RA '!C$3:C$21,,0,1)</f>
        <v>Saber</v>
      </c>
      <c r="B121" s="29" t="s">
        <v>110</v>
      </c>
      <c r="C121" s="127"/>
      <c r="D121" s="122"/>
      <c r="E121" s="131"/>
      <c r="F121" s="117"/>
      <c r="G121" s="140"/>
      <c r="H121" s="140"/>
      <c r="I121" s="140"/>
      <c r="J121" s="127"/>
      <c r="K121" s="122"/>
      <c r="L121" s="122"/>
      <c r="M121" s="122"/>
      <c r="N121" s="146"/>
      <c r="O121" s="146"/>
      <c r="P121" s="146"/>
      <c r="Q121" s="131"/>
    </row>
    <row r="122" spans="1:17" s="30" customFormat="1" ht="32" x14ac:dyDescent="0.5">
      <c r="A122" s="29" t="str">
        <f>_xlfn.XLOOKUP(B122,'Paso 3 Redacción RA '!I$3:I$21,'Paso 3 Redacción RA '!C$3:C$21,,0,1)</f>
        <v>Saberhacer</v>
      </c>
      <c r="B122" s="29" t="s">
        <v>113</v>
      </c>
      <c r="C122" s="127"/>
      <c r="D122" s="122"/>
      <c r="E122" s="131"/>
      <c r="F122" s="117"/>
      <c r="G122" s="140"/>
      <c r="H122" s="140"/>
      <c r="I122" s="140"/>
      <c r="J122" s="127"/>
      <c r="K122" s="122"/>
      <c r="L122" s="122"/>
      <c r="M122" s="122"/>
      <c r="N122" s="146"/>
      <c r="O122" s="146"/>
      <c r="P122" s="146"/>
      <c r="Q122" s="131"/>
    </row>
    <row r="123" spans="1:17" s="30" customFormat="1" ht="32" x14ac:dyDescent="0.5">
      <c r="A123" s="29" t="str">
        <f>_xlfn.XLOOKUP(B123,'Paso 3 Redacción RA '!I$3:I$21,'Paso 3 Redacción RA '!C$3:C$21,,0,1)</f>
        <v>Saber</v>
      </c>
      <c r="B123" s="29" t="s">
        <v>114</v>
      </c>
      <c r="C123" s="127"/>
      <c r="D123" s="122"/>
      <c r="E123" s="131"/>
      <c r="F123" s="117"/>
      <c r="G123" s="140"/>
      <c r="H123" s="140"/>
      <c r="I123" s="140"/>
      <c r="J123" s="127"/>
      <c r="K123" s="122"/>
      <c r="L123" s="122"/>
      <c r="M123" s="122"/>
      <c r="N123" s="146"/>
      <c r="O123" s="146"/>
      <c r="P123" s="146"/>
      <c r="Q123" s="131"/>
    </row>
    <row r="124" spans="1:17" s="30" customFormat="1" ht="32.5" thickBot="1" x14ac:dyDescent="0.55000000000000004">
      <c r="A124" s="50" t="str">
        <f>_xlfn.XLOOKUP(B124,'Paso 3 Redacción RA '!I$3:I$21,'Paso 3 Redacción RA '!C$3:C$21,,0,1)</f>
        <v>Saber</v>
      </c>
      <c r="B124" s="50" t="s">
        <v>116</v>
      </c>
      <c r="C124" s="130"/>
      <c r="D124" s="123"/>
      <c r="E124" s="134"/>
      <c r="F124" s="119"/>
      <c r="G124" s="141"/>
      <c r="H124" s="141"/>
      <c r="I124" s="141"/>
      <c r="J124" s="130"/>
      <c r="K124" s="123"/>
      <c r="L124" s="123"/>
      <c r="M124" s="123"/>
      <c r="N124" s="154"/>
      <c r="O124" s="154" t="s">
        <v>210</v>
      </c>
      <c r="P124" s="154" t="s">
        <v>210</v>
      </c>
      <c r="Q124" s="138"/>
    </row>
    <row r="125" spans="1:17" s="30" customFormat="1" ht="32" x14ac:dyDescent="0.5">
      <c r="A125" s="29" t="str">
        <f>_xlfn.XLOOKUP(B125,'Paso 3 Redacción RA '!I$3:I$21,'Paso 3 Redacción RA '!C$3:C$21,,0,1)</f>
        <v>Saber</v>
      </c>
      <c r="B125" s="29" t="s">
        <v>100</v>
      </c>
      <c r="C125" s="127">
        <v>5</v>
      </c>
      <c r="D125" s="122" t="s">
        <v>317</v>
      </c>
      <c r="E125" s="131" t="s">
        <v>318</v>
      </c>
      <c r="F125" s="117" t="s">
        <v>196</v>
      </c>
      <c r="G125" s="140"/>
      <c r="H125" s="140" t="s">
        <v>197</v>
      </c>
      <c r="I125" s="140"/>
      <c r="J125" s="127">
        <v>3</v>
      </c>
      <c r="K125" s="122">
        <f>16*J125</f>
        <v>48</v>
      </c>
      <c r="L125" s="122">
        <f>32*J125</f>
        <v>96</v>
      </c>
      <c r="M125" s="122">
        <f>SUM(K125:L131)</f>
        <v>144</v>
      </c>
      <c r="N125" s="146" t="s">
        <v>319</v>
      </c>
      <c r="O125" s="131" t="s">
        <v>320</v>
      </c>
      <c r="P125" s="131" t="s">
        <v>321</v>
      </c>
      <c r="Q125" s="131" t="s">
        <v>226</v>
      </c>
    </row>
    <row r="126" spans="1:17" s="30" customFormat="1" ht="48" x14ac:dyDescent="0.5">
      <c r="A126" s="29" t="str">
        <f>_xlfn.XLOOKUP(B126,'Paso 3 Redacción RA '!I$3:I$21,'Paso 3 Redacción RA '!C$3:C$21,,0,1)</f>
        <v>Saberhacer</v>
      </c>
      <c r="B126" s="29" t="s">
        <v>103</v>
      </c>
      <c r="C126" s="127"/>
      <c r="D126" s="122"/>
      <c r="E126" s="131"/>
      <c r="F126" s="117"/>
      <c r="G126" s="140"/>
      <c r="H126" s="140"/>
      <c r="I126" s="140"/>
      <c r="J126" s="127"/>
      <c r="K126" s="122"/>
      <c r="L126" s="122"/>
      <c r="M126" s="122"/>
      <c r="N126" s="146"/>
      <c r="O126" s="131"/>
      <c r="P126" s="131"/>
      <c r="Q126" s="131"/>
    </row>
    <row r="127" spans="1:17" s="30" customFormat="1" ht="48" x14ac:dyDescent="0.5">
      <c r="A127" s="29" t="str">
        <f>_xlfn.XLOOKUP(B127,'Paso 3 Redacción RA '!I$3:I$21,'Paso 3 Redacción RA '!C$3:C$21,,0,1)</f>
        <v>Saberser</v>
      </c>
      <c r="B127" s="29" t="s">
        <v>107</v>
      </c>
      <c r="C127" s="127"/>
      <c r="D127" s="122"/>
      <c r="E127" s="131"/>
      <c r="F127" s="117"/>
      <c r="G127" s="140"/>
      <c r="H127" s="140"/>
      <c r="I127" s="140"/>
      <c r="J127" s="127"/>
      <c r="K127" s="122"/>
      <c r="L127" s="122"/>
      <c r="M127" s="122"/>
      <c r="N127" s="146"/>
      <c r="O127" s="131"/>
      <c r="P127" s="131"/>
      <c r="Q127" s="131"/>
    </row>
    <row r="128" spans="1:17" s="30" customFormat="1" ht="32" x14ac:dyDescent="0.5">
      <c r="A128" s="29" t="str">
        <f>_xlfn.XLOOKUP(B128,'Paso 3 Redacción RA '!I$3:I$21,'Paso 3 Redacción RA '!C$3:C$21,,0,1)</f>
        <v>Saber</v>
      </c>
      <c r="B128" s="29" t="s">
        <v>110</v>
      </c>
      <c r="C128" s="127"/>
      <c r="D128" s="122"/>
      <c r="E128" s="131"/>
      <c r="F128" s="117"/>
      <c r="G128" s="140"/>
      <c r="H128" s="140"/>
      <c r="I128" s="140"/>
      <c r="J128" s="127"/>
      <c r="K128" s="122"/>
      <c r="L128" s="122"/>
      <c r="M128" s="122"/>
      <c r="N128" s="146"/>
      <c r="O128" s="131"/>
      <c r="P128" s="131"/>
      <c r="Q128" s="131"/>
    </row>
    <row r="129" spans="1:18" s="30" customFormat="1" ht="32" x14ac:dyDescent="0.5">
      <c r="A129" s="29" t="str">
        <f>_xlfn.XLOOKUP(B129,'Paso 3 Redacción RA '!I$3:I$21,'Paso 3 Redacción RA '!C$3:C$21,,0,1)</f>
        <v>Saberhacer</v>
      </c>
      <c r="B129" s="29" t="s">
        <v>113</v>
      </c>
      <c r="C129" s="127"/>
      <c r="D129" s="122"/>
      <c r="E129" s="131"/>
      <c r="F129" s="117"/>
      <c r="G129" s="140"/>
      <c r="H129" s="140"/>
      <c r="I129" s="140"/>
      <c r="J129" s="127"/>
      <c r="K129" s="122"/>
      <c r="L129" s="122"/>
      <c r="M129" s="122"/>
      <c r="N129" s="146"/>
      <c r="O129" s="131"/>
      <c r="P129" s="131"/>
      <c r="Q129" s="131"/>
    </row>
    <row r="130" spans="1:18" s="30" customFormat="1" ht="32" x14ac:dyDescent="0.5">
      <c r="A130" s="29" t="str">
        <f>_xlfn.XLOOKUP(B130,'Paso 3 Redacción RA '!I$3:I$21,'Paso 3 Redacción RA '!C$3:C$21,,0,1)</f>
        <v>Saber</v>
      </c>
      <c r="B130" s="29" t="s">
        <v>114</v>
      </c>
      <c r="C130" s="127"/>
      <c r="D130" s="122"/>
      <c r="E130" s="131"/>
      <c r="F130" s="117"/>
      <c r="G130" s="140"/>
      <c r="H130" s="140"/>
      <c r="I130" s="140"/>
      <c r="J130" s="127"/>
      <c r="K130" s="122"/>
      <c r="L130" s="122"/>
      <c r="M130" s="122"/>
      <c r="N130" s="146"/>
      <c r="O130" s="131"/>
      <c r="P130" s="131"/>
      <c r="Q130" s="131"/>
    </row>
    <row r="131" spans="1:18" s="30" customFormat="1" ht="32.5" thickBot="1" x14ac:dyDescent="0.55000000000000004">
      <c r="A131" s="50" t="str">
        <f>_xlfn.XLOOKUP(B131,'Paso 3 Redacción RA '!I$3:I$21,'Paso 3 Redacción RA '!C$3:C$21,,0,1)</f>
        <v>Saber</v>
      </c>
      <c r="B131" s="50" t="s">
        <v>116</v>
      </c>
      <c r="C131" s="130"/>
      <c r="D131" s="123"/>
      <c r="E131" s="134"/>
      <c r="F131" s="119"/>
      <c r="G131" s="141"/>
      <c r="H131" s="141"/>
      <c r="I131" s="141"/>
      <c r="J131" s="130"/>
      <c r="K131" s="123"/>
      <c r="L131" s="123"/>
      <c r="M131" s="123"/>
      <c r="N131" s="154"/>
      <c r="O131" s="134" t="s">
        <v>210</v>
      </c>
      <c r="P131" s="134" t="s">
        <v>210</v>
      </c>
      <c r="Q131" s="138"/>
    </row>
    <row r="132" spans="1:18" s="30" customFormat="1" ht="32" x14ac:dyDescent="0.5">
      <c r="A132" s="29" t="str">
        <f>_xlfn.XLOOKUP(B132,'Paso 3 Redacción RA '!I$3:I$21,'Paso 3 Redacción RA '!C$3:C$21,,0,1)</f>
        <v>Saber</v>
      </c>
      <c r="B132" s="29" t="s">
        <v>100</v>
      </c>
      <c r="C132" s="127">
        <v>5</v>
      </c>
      <c r="D132" s="122" t="s">
        <v>322</v>
      </c>
      <c r="E132" s="125" t="s">
        <v>323</v>
      </c>
      <c r="F132" s="117" t="s">
        <v>196</v>
      </c>
      <c r="G132" s="140"/>
      <c r="H132" s="140" t="s">
        <v>197</v>
      </c>
      <c r="I132" s="140"/>
      <c r="J132" s="127">
        <v>4</v>
      </c>
      <c r="K132" s="122">
        <f>16*J132</f>
        <v>64</v>
      </c>
      <c r="L132" s="122">
        <f>32*J132</f>
        <v>128</v>
      </c>
      <c r="M132" s="122">
        <f>SUM(K132:L138)</f>
        <v>192</v>
      </c>
      <c r="N132" s="131" t="s">
        <v>324</v>
      </c>
      <c r="O132" s="131" t="s">
        <v>325</v>
      </c>
      <c r="P132" s="131" t="s">
        <v>276</v>
      </c>
      <c r="Q132" s="131" t="s">
        <v>226</v>
      </c>
    </row>
    <row r="133" spans="1:18" s="30" customFormat="1" ht="48" x14ac:dyDescent="0.5">
      <c r="A133" s="29" t="str">
        <f>_xlfn.XLOOKUP(B133,'Paso 3 Redacción RA '!I$3:I$21,'Paso 3 Redacción RA '!C$3:C$21,,0,1)</f>
        <v>Saberhacer</v>
      </c>
      <c r="B133" s="29" t="s">
        <v>103</v>
      </c>
      <c r="C133" s="127"/>
      <c r="D133" s="122"/>
      <c r="E133" s="125"/>
      <c r="F133" s="117"/>
      <c r="G133" s="140"/>
      <c r="H133" s="140"/>
      <c r="I133" s="140"/>
      <c r="J133" s="127"/>
      <c r="K133" s="122"/>
      <c r="L133" s="122"/>
      <c r="M133" s="122"/>
      <c r="N133" s="131"/>
      <c r="O133" s="131"/>
      <c r="P133" s="131"/>
      <c r="Q133" s="131"/>
    </row>
    <row r="134" spans="1:18" s="30" customFormat="1" ht="48" x14ac:dyDescent="0.5">
      <c r="A134" s="29" t="str">
        <f>_xlfn.XLOOKUP(B134,'Paso 3 Redacción RA '!I$3:I$21,'Paso 3 Redacción RA '!C$3:C$21,,0,1)</f>
        <v>Saberser</v>
      </c>
      <c r="B134" s="29" t="s">
        <v>107</v>
      </c>
      <c r="C134" s="127"/>
      <c r="D134" s="122"/>
      <c r="E134" s="125"/>
      <c r="F134" s="117"/>
      <c r="G134" s="140"/>
      <c r="H134" s="140"/>
      <c r="I134" s="140"/>
      <c r="J134" s="127"/>
      <c r="K134" s="122"/>
      <c r="L134" s="122"/>
      <c r="M134" s="122"/>
      <c r="N134" s="131"/>
      <c r="O134" s="131"/>
      <c r="P134" s="131"/>
      <c r="Q134" s="131"/>
    </row>
    <row r="135" spans="1:18" s="30" customFormat="1" ht="32" x14ac:dyDescent="0.5">
      <c r="A135" s="29" t="str">
        <f>_xlfn.XLOOKUP(B135,'Paso 3 Redacción RA '!I$3:I$21,'Paso 3 Redacción RA '!C$3:C$21,,0,1)</f>
        <v>Saber</v>
      </c>
      <c r="B135" s="29" t="s">
        <v>110</v>
      </c>
      <c r="C135" s="127"/>
      <c r="D135" s="122"/>
      <c r="E135" s="125"/>
      <c r="F135" s="117"/>
      <c r="G135" s="140"/>
      <c r="H135" s="140"/>
      <c r="I135" s="140"/>
      <c r="J135" s="127"/>
      <c r="K135" s="122"/>
      <c r="L135" s="122"/>
      <c r="M135" s="122"/>
      <c r="N135" s="131"/>
      <c r="O135" s="131"/>
      <c r="P135" s="131"/>
      <c r="Q135" s="131"/>
    </row>
    <row r="136" spans="1:18" s="30" customFormat="1" ht="32" x14ac:dyDescent="0.5">
      <c r="A136" s="29" t="str">
        <f>_xlfn.XLOOKUP(B136,'Paso 3 Redacción RA '!I$3:I$21,'Paso 3 Redacción RA '!C$3:C$21,,0,1)</f>
        <v>Saberhacer</v>
      </c>
      <c r="B136" s="29" t="s">
        <v>113</v>
      </c>
      <c r="C136" s="127"/>
      <c r="D136" s="122"/>
      <c r="E136" s="125"/>
      <c r="F136" s="117"/>
      <c r="G136" s="140"/>
      <c r="H136" s="140"/>
      <c r="I136" s="140"/>
      <c r="J136" s="127"/>
      <c r="K136" s="122"/>
      <c r="L136" s="122"/>
      <c r="M136" s="122"/>
      <c r="N136" s="131"/>
      <c r="O136" s="131"/>
      <c r="P136" s="131"/>
      <c r="Q136" s="131"/>
    </row>
    <row r="137" spans="1:18" s="30" customFormat="1" ht="32" x14ac:dyDescent="0.5">
      <c r="A137" s="29" t="str">
        <f>_xlfn.XLOOKUP(B137,'Paso 3 Redacción RA '!I$3:I$21,'Paso 3 Redacción RA '!C$3:C$21,,0,1)</f>
        <v>Saber</v>
      </c>
      <c r="B137" s="29" t="s">
        <v>114</v>
      </c>
      <c r="C137" s="127"/>
      <c r="D137" s="122"/>
      <c r="E137" s="125"/>
      <c r="F137" s="117"/>
      <c r="G137" s="140"/>
      <c r="H137" s="140"/>
      <c r="I137" s="140"/>
      <c r="J137" s="127"/>
      <c r="K137" s="122"/>
      <c r="L137" s="122"/>
      <c r="M137" s="122"/>
      <c r="N137" s="131"/>
      <c r="O137" s="131"/>
      <c r="P137" s="131"/>
      <c r="Q137" s="131"/>
    </row>
    <row r="138" spans="1:18" s="30" customFormat="1" ht="32.5" thickBot="1" x14ac:dyDescent="0.55000000000000004">
      <c r="A138" s="97" t="str">
        <f>_xlfn.XLOOKUP(B138,'Paso 3 Redacción RA '!I$3:I$21,'Paso 3 Redacción RA '!C$3:C$21,,0,1)</f>
        <v>Saber</v>
      </c>
      <c r="B138" s="97" t="s">
        <v>116</v>
      </c>
      <c r="C138" s="128"/>
      <c r="D138" s="129"/>
      <c r="E138" s="137"/>
      <c r="F138" s="118"/>
      <c r="G138" s="152"/>
      <c r="H138" s="152"/>
      <c r="I138" s="152"/>
      <c r="J138" s="128"/>
      <c r="K138" s="129"/>
      <c r="L138" s="129"/>
      <c r="M138" s="129"/>
      <c r="N138" s="138"/>
      <c r="O138" s="138" t="s">
        <v>210</v>
      </c>
      <c r="P138" s="138" t="s">
        <v>210</v>
      </c>
      <c r="Q138" s="138"/>
      <c r="R138" s="30">
        <f>SUM(J104:J138)</f>
        <v>17</v>
      </c>
    </row>
    <row r="139" spans="1:18" s="30" customFormat="1" ht="32" x14ac:dyDescent="0.5">
      <c r="A139" s="29" t="str">
        <f>_xlfn.XLOOKUP(B139,'Paso 3 Redacción RA '!I$3:I$21,'Paso 3 Redacción RA '!C$3:C$21,,0,1)</f>
        <v>Saber</v>
      </c>
      <c r="B139" s="29" t="s">
        <v>100</v>
      </c>
      <c r="C139" s="127">
        <v>6</v>
      </c>
      <c r="D139" s="122" t="s">
        <v>326</v>
      </c>
      <c r="E139" s="125" t="s">
        <v>327</v>
      </c>
      <c r="F139" s="117" t="s">
        <v>196</v>
      </c>
      <c r="G139" s="140"/>
      <c r="H139" s="140" t="s">
        <v>197</v>
      </c>
      <c r="I139" s="140"/>
      <c r="J139" s="127">
        <v>3</v>
      </c>
      <c r="K139" s="122">
        <f>16*J139</f>
        <v>48</v>
      </c>
      <c r="L139" s="122">
        <f>32*J139</f>
        <v>96</v>
      </c>
      <c r="M139" s="122">
        <f>SUM(K139:L145)</f>
        <v>144</v>
      </c>
      <c r="N139" s="131" t="s">
        <v>328</v>
      </c>
      <c r="O139" s="131" t="s">
        <v>329</v>
      </c>
      <c r="P139" s="131" t="s">
        <v>276</v>
      </c>
      <c r="Q139" s="131" t="s">
        <v>226</v>
      </c>
    </row>
    <row r="140" spans="1:18" s="30" customFormat="1" ht="48" x14ac:dyDescent="0.5">
      <c r="A140" s="29" t="str">
        <f>_xlfn.XLOOKUP(B140,'Paso 3 Redacción RA '!I$3:I$21,'Paso 3 Redacción RA '!C$3:C$21,,0,1)</f>
        <v>Saberhacer</v>
      </c>
      <c r="B140" s="29" t="s">
        <v>103</v>
      </c>
      <c r="C140" s="127"/>
      <c r="D140" s="122"/>
      <c r="E140" s="125"/>
      <c r="F140" s="117"/>
      <c r="G140" s="140"/>
      <c r="H140" s="140"/>
      <c r="I140" s="140"/>
      <c r="J140" s="127"/>
      <c r="K140" s="122"/>
      <c r="L140" s="122"/>
      <c r="M140" s="122"/>
      <c r="N140" s="131"/>
      <c r="O140" s="131"/>
      <c r="P140" s="131"/>
      <c r="Q140" s="131"/>
    </row>
    <row r="141" spans="1:18" s="30" customFormat="1" ht="48" x14ac:dyDescent="0.5">
      <c r="A141" s="29" t="str">
        <f>_xlfn.XLOOKUP(B141,'Paso 3 Redacción RA '!I$3:I$21,'Paso 3 Redacción RA '!C$3:C$21,,0,1)</f>
        <v>Saberser</v>
      </c>
      <c r="B141" s="29" t="s">
        <v>107</v>
      </c>
      <c r="C141" s="127"/>
      <c r="D141" s="122"/>
      <c r="E141" s="125"/>
      <c r="F141" s="117"/>
      <c r="G141" s="140"/>
      <c r="H141" s="140"/>
      <c r="I141" s="140"/>
      <c r="J141" s="127"/>
      <c r="K141" s="122"/>
      <c r="L141" s="122"/>
      <c r="M141" s="122"/>
      <c r="N141" s="131"/>
      <c r="O141" s="131"/>
      <c r="P141" s="131"/>
      <c r="Q141" s="131"/>
    </row>
    <row r="142" spans="1:18" s="30" customFormat="1" ht="32" x14ac:dyDescent="0.5">
      <c r="A142" s="29" t="str">
        <f>_xlfn.XLOOKUP(B142,'Paso 3 Redacción RA '!I$3:I$21,'Paso 3 Redacción RA '!C$3:C$21,,0,1)</f>
        <v>Saber</v>
      </c>
      <c r="B142" s="29" t="s">
        <v>110</v>
      </c>
      <c r="C142" s="127"/>
      <c r="D142" s="122"/>
      <c r="E142" s="125"/>
      <c r="F142" s="117"/>
      <c r="G142" s="140"/>
      <c r="H142" s="140"/>
      <c r="I142" s="140"/>
      <c r="J142" s="127"/>
      <c r="K142" s="122"/>
      <c r="L142" s="122"/>
      <c r="M142" s="122"/>
      <c r="N142" s="131"/>
      <c r="O142" s="131"/>
      <c r="P142" s="131"/>
      <c r="Q142" s="131"/>
    </row>
    <row r="143" spans="1:18" s="30" customFormat="1" ht="32" x14ac:dyDescent="0.5">
      <c r="A143" s="29" t="str">
        <f>_xlfn.XLOOKUP(B143,'Paso 3 Redacción RA '!I$3:I$21,'Paso 3 Redacción RA '!C$3:C$21,,0,1)</f>
        <v>Saberhacer</v>
      </c>
      <c r="B143" s="29" t="s">
        <v>113</v>
      </c>
      <c r="C143" s="127"/>
      <c r="D143" s="122"/>
      <c r="E143" s="125"/>
      <c r="F143" s="117"/>
      <c r="G143" s="140"/>
      <c r="H143" s="140"/>
      <c r="I143" s="140"/>
      <c r="J143" s="127"/>
      <c r="K143" s="122"/>
      <c r="L143" s="122"/>
      <c r="M143" s="122"/>
      <c r="N143" s="131"/>
      <c r="O143" s="131"/>
      <c r="P143" s="131"/>
      <c r="Q143" s="131"/>
    </row>
    <row r="144" spans="1:18" s="30" customFormat="1" ht="32" x14ac:dyDescent="0.5">
      <c r="A144" s="29" t="str">
        <f>_xlfn.XLOOKUP(B144,'Paso 3 Redacción RA '!I$3:I$21,'Paso 3 Redacción RA '!C$3:C$21,,0,1)</f>
        <v>Saber</v>
      </c>
      <c r="B144" s="29" t="s">
        <v>114</v>
      </c>
      <c r="C144" s="127"/>
      <c r="D144" s="122"/>
      <c r="E144" s="125"/>
      <c r="F144" s="117"/>
      <c r="G144" s="140"/>
      <c r="H144" s="140"/>
      <c r="I144" s="140"/>
      <c r="J144" s="127"/>
      <c r="K144" s="122"/>
      <c r="L144" s="122"/>
      <c r="M144" s="122"/>
      <c r="N144" s="131"/>
      <c r="O144" s="131"/>
      <c r="P144" s="131"/>
      <c r="Q144" s="131"/>
    </row>
    <row r="145" spans="1:17" s="30" customFormat="1" ht="32.5" thickBot="1" x14ac:dyDescent="0.55000000000000004">
      <c r="A145" s="50" t="str">
        <f>_xlfn.XLOOKUP(B145,'Paso 3 Redacción RA '!I$3:I$21,'Paso 3 Redacción RA '!C$3:C$21,,0,1)</f>
        <v>Saber</v>
      </c>
      <c r="B145" s="50" t="s">
        <v>116</v>
      </c>
      <c r="C145" s="130"/>
      <c r="D145" s="123"/>
      <c r="E145" s="126"/>
      <c r="F145" s="119"/>
      <c r="G145" s="141"/>
      <c r="H145" s="141"/>
      <c r="I145" s="141"/>
      <c r="J145" s="130"/>
      <c r="K145" s="123"/>
      <c r="L145" s="123"/>
      <c r="M145" s="123"/>
      <c r="N145" s="134"/>
      <c r="O145" s="134" t="s">
        <v>210</v>
      </c>
      <c r="P145" s="134" t="s">
        <v>210</v>
      </c>
      <c r="Q145" s="138"/>
    </row>
    <row r="146" spans="1:17" s="30" customFormat="1" ht="32" x14ac:dyDescent="0.5">
      <c r="A146" s="29" t="str">
        <f>_xlfn.XLOOKUP(B146,'Paso 3 Redacción RA '!I$3:I$21,'Paso 3 Redacción RA '!C$3:C$21,,0,1)</f>
        <v>Saber</v>
      </c>
      <c r="B146" s="29" t="s">
        <v>100</v>
      </c>
      <c r="C146" s="127">
        <v>6</v>
      </c>
      <c r="D146" s="122" t="s">
        <v>330</v>
      </c>
      <c r="E146" s="125" t="s">
        <v>331</v>
      </c>
      <c r="F146" s="117" t="s">
        <v>196</v>
      </c>
      <c r="G146" s="140"/>
      <c r="H146" s="140" t="s">
        <v>197</v>
      </c>
      <c r="I146" s="140"/>
      <c r="J146" s="127">
        <v>4</v>
      </c>
      <c r="K146" s="122">
        <f>16*J146</f>
        <v>64</v>
      </c>
      <c r="L146" s="122">
        <f>32*J146</f>
        <v>128</v>
      </c>
      <c r="M146" s="122">
        <f>SUM(K146:L152)</f>
        <v>192</v>
      </c>
      <c r="N146" s="131" t="s">
        <v>332</v>
      </c>
      <c r="O146" s="131" t="s">
        <v>329</v>
      </c>
      <c r="P146" s="131" t="s">
        <v>276</v>
      </c>
      <c r="Q146" s="131" t="s">
        <v>308</v>
      </c>
    </row>
    <row r="147" spans="1:17" s="30" customFormat="1" ht="48" x14ac:dyDescent="0.5">
      <c r="A147" s="29" t="str">
        <f>_xlfn.XLOOKUP(B147,'Paso 3 Redacción RA '!I$3:I$21,'Paso 3 Redacción RA '!C$3:C$21,,0,1)</f>
        <v>Saberhacer</v>
      </c>
      <c r="B147" s="29" t="s">
        <v>103</v>
      </c>
      <c r="C147" s="127"/>
      <c r="D147" s="122"/>
      <c r="E147" s="125"/>
      <c r="F147" s="117"/>
      <c r="G147" s="140"/>
      <c r="H147" s="140"/>
      <c r="I147" s="140"/>
      <c r="J147" s="127"/>
      <c r="K147" s="122"/>
      <c r="L147" s="122"/>
      <c r="M147" s="122"/>
      <c r="N147" s="131"/>
      <c r="O147" s="131"/>
      <c r="P147" s="131"/>
      <c r="Q147" s="131"/>
    </row>
    <row r="148" spans="1:17" s="30" customFormat="1" ht="48" x14ac:dyDescent="0.5">
      <c r="A148" s="29" t="str">
        <f>_xlfn.XLOOKUP(B148,'Paso 3 Redacción RA '!I$3:I$21,'Paso 3 Redacción RA '!C$3:C$21,,0,1)</f>
        <v>Saberser</v>
      </c>
      <c r="B148" s="29" t="s">
        <v>107</v>
      </c>
      <c r="C148" s="127"/>
      <c r="D148" s="122"/>
      <c r="E148" s="125"/>
      <c r="F148" s="117"/>
      <c r="G148" s="140"/>
      <c r="H148" s="140"/>
      <c r="I148" s="140"/>
      <c r="J148" s="127"/>
      <c r="K148" s="122"/>
      <c r="L148" s="122"/>
      <c r="M148" s="122"/>
      <c r="N148" s="131"/>
      <c r="O148" s="131"/>
      <c r="P148" s="131"/>
      <c r="Q148" s="131"/>
    </row>
    <row r="149" spans="1:17" s="30" customFormat="1" ht="32" x14ac:dyDescent="0.5">
      <c r="A149" s="29" t="str">
        <f>_xlfn.XLOOKUP(B149,'Paso 3 Redacción RA '!I$3:I$21,'Paso 3 Redacción RA '!C$3:C$21,,0,1)</f>
        <v>Saber</v>
      </c>
      <c r="B149" s="29" t="s">
        <v>110</v>
      </c>
      <c r="C149" s="127"/>
      <c r="D149" s="122"/>
      <c r="E149" s="125"/>
      <c r="F149" s="117"/>
      <c r="G149" s="140"/>
      <c r="H149" s="140"/>
      <c r="I149" s="140"/>
      <c r="J149" s="127"/>
      <c r="K149" s="122"/>
      <c r="L149" s="122"/>
      <c r="M149" s="122"/>
      <c r="N149" s="131"/>
      <c r="O149" s="131"/>
      <c r="P149" s="131"/>
      <c r="Q149" s="131"/>
    </row>
    <row r="150" spans="1:17" s="30" customFormat="1" ht="32" x14ac:dyDescent="0.5">
      <c r="A150" s="29" t="str">
        <f>_xlfn.XLOOKUP(B150,'Paso 3 Redacción RA '!I$3:I$21,'Paso 3 Redacción RA '!C$3:C$21,,0,1)</f>
        <v>Saberhacer</v>
      </c>
      <c r="B150" s="29" t="s">
        <v>113</v>
      </c>
      <c r="C150" s="127"/>
      <c r="D150" s="122"/>
      <c r="E150" s="125"/>
      <c r="F150" s="117"/>
      <c r="G150" s="140"/>
      <c r="H150" s="140"/>
      <c r="I150" s="140"/>
      <c r="J150" s="127"/>
      <c r="K150" s="122"/>
      <c r="L150" s="122"/>
      <c r="M150" s="122"/>
      <c r="N150" s="131"/>
      <c r="O150" s="131"/>
      <c r="P150" s="131"/>
      <c r="Q150" s="131"/>
    </row>
    <row r="151" spans="1:17" s="30" customFormat="1" ht="32" x14ac:dyDescent="0.5">
      <c r="A151" s="29" t="str">
        <f>_xlfn.XLOOKUP(B151,'Paso 3 Redacción RA '!I$3:I$21,'Paso 3 Redacción RA '!C$3:C$21,,0,1)</f>
        <v>Saber</v>
      </c>
      <c r="B151" s="29" t="s">
        <v>114</v>
      </c>
      <c r="C151" s="127"/>
      <c r="D151" s="122"/>
      <c r="E151" s="125"/>
      <c r="F151" s="117"/>
      <c r="G151" s="140"/>
      <c r="H151" s="140"/>
      <c r="I151" s="140"/>
      <c r="J151" s="127"/>
      <c r="K151" s="122"/>
      <c r="L151" s="122"/>
      <c r="M151" s="122"/>
      <c r="N151" s="131"/>
      <c r="O151" s="131"/>
      <c r="P151" s="131"/>
      <c r="Q151" s="131"/>
    </row>
    <row r="152" spans="1:17" s="30" customFormat="1" ht="32.5" thickBot="1" x14ac:dyDescent="0.55000000000000004">
      <c r="A152" s="50" t="str">
        <f>_xlfn.XLOOKUP(B152,'Paso 3 Redacción RA '!I$3:I$21,'Paso 3 Redacción RA '!C$3:C$21,,0,1)</f>
        <v>Saber</v>
      </c>
      <c r="B152" s="50" t="s">
        <v>116</v>
      </c>
      <c r="C152" s="130"/>
      <c r="D152" s="123"/>
      <c r="E152" s="126"/>
      <c r="F152" s="119"/>
      <c r="G152" s="141"/>
      <c r="H152" s="141"/>
      <c r="I152" s="141"/>
      <c r="J152" s="130"/>
      <c r="K152" s="123"/>
      <c r="L152" s="123"/>
      <c r="M152" s="123"/>
      <c r="N152" s="134"/>
      <c r="O152" s="134" t="s">
        <v>210</v>
      </c>
      <c r="P152" s="134" t="s">
        <v>210</v>
      </c>
      <c r="Q152" s="138"/>
    </row>
    <row r="153" spans="1:17" s="32" customFormat="1" ht="32" x14ac:dyDescent="0.35">
      <c r="A153" s="29" t="str">
        <f>_xlfn.XLOOKUP(B153,'Paso 3 Redacción RA '!I$3:I$21,'Paso 3 Redacción RA '!C$3:C$21,,0,1)</f>
        <v>Saber</v>
      </c>
      <c r="B153" s="29" t="s">
        <v>100</v>
      </c>
      <c r="C153" s="136">
        <v>6</v>
      </c>
      <c r="D153" s="121" t="s">
        <v>333</v>
      </c>
      <c r="E153" s="135" t="s">
        <v>334</v>
      </c>
      <c r="F153" s="120" t="s">
        <v>196</v>
      </c>
      <c r="G153" s="139"/>
      <c r="H153" s="139" t="s">
        <v>197</v>
      </c>
      <c r="I153" s="139"/>
      <c r="J153" s="136">
        <v>3</v>
      </c>
      <c r="K153" s="121">
        <f>16*J153</f>
        <v>48</v>
      </c>
      <c r="L153" s="121">
        <f>32*J153</f>
        <v>96</v>
      </c>
      <c r="M153" s="121">
        <f>SUM(K153:L159)</f>
        <v>144</v>
      </c>
      <c r="N153" s="135" t="s">
        <v>335</v>
      </c>
      <c r="O153" s="135" t="s">
        <v>329</v>
      </c>
      <c r="P153" s="135" t="s">
        <v>276</v>
      </c>
      <c r="Q153" s="153" t="s">
        <v>226</v>
      </c>
    </row>
    <row r="154" spans="1:17" s="32" customFormat="1" ht="48" x14ac:dyDescent="0.35">
      <c r="A154" s="29" t="str">
        <f>_xlfn.XLOOKUP(B154,'Paso 3 Redacción RA '!I$3:I$21,'Paso 3 Redacción RA '!C$3:C$21,,0,1)</f>
        <v>Saberhacer</v>
      </c>
      <c r="B154" s="29" t="s">
        <v>103</v>
      </c>
      <c r="C154" s="127"/>
      <c r="D154" s="122"/>
      <c r="E154" s="131"/>
      <c r="F154" s="117"/>
      <c r="G154" s="140"/>
      <c r="H154" s="140"/>
      <c r="I154" s="140"/>
      <c r="J154" s="127"/>
      <c r="K154" s="122"/>
      <c r="L154" s="122"/>
      <c r="M154" s="122"/>
      <c r="N154" s="131"/>
      <c r="O154" s="131"/>
      <c r="P154" s="131"/>
      <c r="Q154" s="131"/>
    </row>
    <row r="155" spans="1:17" s="32" customFormat="1" ht="48" x14ac:dyDescent="0.35">
      <c r="A155" s="29" t="str">
        <f>_xlfn.XLOOKUP(B155,'Paso 3 Redacción RA '!I$3:I$21,'Paso 3 Redacción RA '!C$3:C$21,,0,1)</f>
        <v>Saberser</v>
      </c>
      <c r="B155" s="29" t="s">
        <v>107</v>
      </c>
      <c r="C155" s="127"/>
      <c r="D155" s="122"/>
      <c r="E155" s="131"/>
      <c r="F155" s="117"/>
      <c r="G155" s="140"/>
      <c r="H155" s="140"/>
      <c r="I155" s="140"/>
      <c r="J155" s="127"/>
      <c r="K155" s="122"/>
      <c r="L155" s="122"/>
      <c r="M155" s="122"/>
      <c r="N155" s="131"/>
      <c r="O155" s="131"/>
      <c r="P155" s="131"/>
      <c r="Q155" s="131"/>
    </row>
    <row r="156" spans="1:17" s="32" customFormat="1" ht="32" x14ac:dyDescent="0.35">
      <c r="A156" s="29" t="str">
        <f>_xlfn.XLOOKUP(B156,'Paso 3 Redacción RA '!I$3:I$21,'Paso 3 Redacción RA '!C$3:C$21,,0,1)</f>
        <v>Saber</v>
      </c>
      <c r="B156" s="29" t="s">
        <v>110</v>
      </c>
      <c r="C156" s="127"/>
      <c r="D156" s="122"/>
      <c r="E156" s="131"/>
      <c r="F156" s="117"/>
      <c r="G156" s="140"/>
      <c r="H156" s="140"/>
      <c r="I156" s="140"/>
      <c r="J156" s="127"/>
      <c r="K156" s="122"/>
      <c r="L156" s="122"/>
      <c r="M156" s="122"/>
      <c r="N156" s="131"/>
      <c r="O156" s="131"/>
      <c r="P156" s="131"/>
      <c r="Q156" s="131"/>
    </row>
    <row r="157" spans="1:17" s="32" customFormat="1" ht="32" x14ac:dyDescent="0.35">
      <c r="A157" s="29" t="str">
        <f>_xlfn.XLOOKUP(B157,'Paso 3 Redacción RA '!I$3:I$21,'Paso 3 Redacción RA '!C$3:C$21,,0,1)</f>
        <v>Saberhacer</v>
      </c>
      <c r="B157" s="29" t="s">
        <v>113</v>
      </c>
      <c r="C157" s="127"/>
      <c r="D157" s="122"/>
      <c r="E157" s="131"/>
      <c r="F157" s="117"/>
      <c r="G157" s="140"/>
      <c r="H157" s="140"/>
      <c r="I157" s="140"/>
      <c r="J157" s="127"/>
      <c r="K157" s="122"/>
      <c r="L157" s="122"/>
      <c r="M157" s="122"/>
      <c r="N157" s="131"/>
      <c r="O157" s="131"/>
      <c r="P157" s="131"/>
      <c r="Q157" s="131"/>
    </row>
    <row r="158" spans="1:17" s="32" customFormat="1" ht="32" x14ac:dyDescent="0.35">
      <c r="A158" s="29" t="str">
        <f>_xlfn.XLOOKUP(B158,'Paso 3 Redacción RA '!I$3:I$21,'Paso 3 Redacción RA '!C$3:C$21,,0,1)</f>
        <v>Saber</v>
      </c>
      <c r="B158" s="29" t="s">
        <v>114</v>
      </c>
      <c r="C158" s="127"/>
      <c r="D158" s="122"/>
      <c r="E158" s="131"/>
      <c r="F158" s="117"/>
      <c r="G158" s="140"/>
      <c r="H158" s="140"/>
      <c r="I158" s="140"/>
      <c r="J158" s="127"/>
      <c r="K158" s="122"/>
      <c r="L158" s="122"/>
      <c r="M158" s="122"/>
      <c r="N158" s="131"/>
      <c r="O158" s="131"/>
      <c r="P158" s="131"/>
      <c r="Q158" s="131"/>
    </row>
    <row r="159" spans="1:17" s="32" customFormat="1" ht="32.5" thickBot="1" x14ac:dyDescent="0.4">
      <c r="A159" s="50" t="str">
        <f>_xlfn.XLOOKUP(B159,'Paso 3 Redacción RA '!I$3:I$21,'Paso 3 Redacción RA '!C$3:C$21,,0,1)</f>
        <v>Saber</v>
      </c>
      <c r="B159" s="50" t="s">
        <v>116</v>
      </c>
      <c r="C159" s="130"/>
      <c r="D159" s="123"/>
      <c r="E159" s="134"/>
      <c r="F159" s="119"/>
      <c r="G159" s="141"/>
      <c r="H159" s="141"/>
      <c r="I159" s="141"/>
      <c r="J159" s="130"/>
      <c r="K159" s="123"/>
      <c r="L159" s="123"/>
      <c r="M159" s="123"/>
      <c r="N159" s="134"/>
      <c r="O159" s="134" t="s">
        <v>210</v>
      </c>
      <c r="P159" s="134" t="s">
        <v>210</v>
      </c>
      <c r="Q159" s="138"/>
    </row>
    <row r="160" spans="1:17" s="30" customFormat="1" ht="32" x14ac:dyDescent="0.5">
      <c r="A160" s="29" t="str">
        <f>_xlfn.XLOOKUP(B160,'Paso 3 Redacción RA '!I$3:I$21,'Paso 3 Redacción RA '!C$3:C$21,,0,1)</f>
        <v>Saber</v>
      </c>
      <c r="B160" s="29" t="s">
        <v>100</v>
      </c>
      <c r="C160" s="127">
        <v>6</v>
      </c>
      <c r="D160" s="122" t="s">
        <v>336</v>
      </c>
      <c r="E160" s="125" t="s">
        <v>337</v>
      </c>
      <c r="F160" s="117" t="s">
        <v>196</v>
      </c>
      <c r="G160" s="140"/>
      <c r="H160" s="140" t="s">
        <v>197</v>
      </c>
      <c r="I160" s="140"/>
      <c r="J160" s="127">
        <v>3</v>
      </c>
      <c r="K160" s="122">
        <f>16*J160</f>
        <v>48</v>
      </c>
      <c r="L160" s="122">
        <f>32*J160</f>
        <v>96</v>
      </c>
      <c r="M160" s="122">
        <f>SUM(K160:L166)</f>
        <v>144</v>
      </c>
      <c r="N160" s="131" t="s">
        <v>338</v>
      </c>
      <c r="O160" s="131" t="s">
        <v>329</v>
      </c>
      <c r="P160" s="131" t="s">
        <v>276</v>
      </c>
      <c r="Q160" s="131" t="s">
        <v>226</v>
      </c>
    </row>
    <row r="161" spans="1:18" s="30" customFormat="1" ht="48" x14ac:dyDescent="0.5">
      <c r="A161" s="29" t="str">
        <f>_xlfn.XLOOKUP(B161,'Paso 3 Redacción RA '!I$3:I$21,'Paso 3 Redacción RA '!C$3:C$21,,0,1)</f>
        <v>Saberhacer</v>
      </c>
      <c r="B161" s="29" t="s">
        <v>103</v>
      </c>
      <c r="C161" s="127"/>
      <c r="D161" s="122"/>
      <c r="E161" s="125"/>
      <c r="F161" s="117"/>
      <c r="G161" s="140"/>
      <c r="H161" s="140"/>
      <c r="I161" s="140"/>
      <c r="J161" s="127"/>
      <c r="K161" s="122"/>
      <c r="L161" s="122"/>
      <c r="M161" s="122"/>
      <c r="N161" s="131"/>
      <c r="O161" s="131"/>
      <c r="P161" s="131"/>
      <c r="Q161" s="131"/>
    </row>
    <row r="162" spans="1:18" s="30" customFormat="1" ht="48" x14ac:dyDescent="0.5">
      <c r="A162" s="29" t="str">
        <f>_xlfn.XLOOKUP(B162,'Paso 3 Redacción RA '!I$3:I$21,'Paso 3 Redacción RA '!C$3:C$21,,0,1)</f>
        <v>Saberser</v>
      </c>
      <c r="B162" s="29" t="s">
        <v>107</v>
      </c>
      <c r="C162" s="127"/>
      <c r="D162" s="122"/>
      <c r="E162" s="125"/>
      <c r="F162" s="117"/>
      <c r="G162" s="140"/>
      <c r="H162" s="140"/>
      <c r="I162" s="140"/>
      <c r="J162" s="127"/>
      <c r="K162" s="122"/>
      <c r="L162" s="122"/>
      <c r="M162" s="122"/>
      <c r="N162" s="131"/>
      <c r="O162" s="131"/>
      <c r="P162" s="131"/>
      <c r="Q162" s="131"/>
    </row>
    <row r="163" spans="1:18" s="30" customFormat="1" ht="32" x14ac:dyDescent="0.5">
      <c r="A163" s="29" t="str">
        <f>_xlfn.XLOOKUP(B163,'Paso 3 Redacción RA '!I$3:I$21,'Paso 3 Redacción RA '!C$3:C$21,,0,1)</f>
        <v>Saber</v>
      </c>
      <c r="B163" s="29" t="s">
        <v>110</v>
      </c>
      <c r="C163" s="127"/>
      <c r="D163" s="122"/>
      <c r="E163" s="125"/>
      <c r="F163" s="117"/>
      <c r="G163" s="140"/>
      <c r="H163" s="140"/>
      <c r="I163" s="140"/>
      <c r="J163" s="127"/>
      <c r="K163" s="122"/>
      <c r="L163" s="122"/>
      <c r="M163" s="122"/>
      <c r="N163" s="131"/>
      <c r="O163" s="131"/>
      <c r="P163" s="131"/>
      <c r="Q163" s="131"/>
    </row>
    <row r="164" spans="1:18" s="30" customFormat="1" ht="32" x14ac:dyDescent="0.5">
      <c r="A164" s="29" t="str">
        <f>_xlfn.XLOOKUP(B164,'Paso 3 Redacción RA '!I$3:I$21,'Paso 3 Redacción RA '!C$3:C$21,,0,1)</f>
        <v>Saberhacer</v>
      </c>
      <c r="B164" s="29" t="s">
        <v>113</v>
      </c>
      <c r="C164" s="127"/>
      <c r="D164" s="122"/>
      <c r="E164" s="125"/>
      <c r="F164" s="117"/>
      <c r="G164" s="140"/>
      <c r="H164" s="140"/>
      <c r="I164" s="140"/>
      <c r="J164" s="127"/>
      <c r="K164" s="122"/>
      <c r="L164" s="122"/>
      <c r="M164" s="122"/>
      <c r="N164" s="131"/>
      <c r="O164" s="131"/>
      <c r="P164" s="131"/>
      <c r="Q164" s="131"/>
    </row>
    <row r="165" spans="1:18" s="30" customFormat="1" ht="32" x14ac:dyDescent="0.5">
      <c r="A165" s="29" t="str">
        <f>_xlfn.XLOOKUP(B165,'Paso 3 Redacción RA '!I$3:I$21,'Paso 3 Redacción RA '!C$3:C$21,,0,1)</f>
        <v>Saber</v>
      </c>
      <c r="B165" s="29" t="s">
        <v>114</v>
      </c>
      <c r="C165" s="127"/>
      <c r="D165" s="122"/>
      <c r="E165" s="125"/>
      <c r="F165" s="117"/>
      <c r="G165" s="140"/>
      <c r="H165" s="140"/>
      <c r="I165" s="140"/>
      <c r="J165" s="127"/>
      <c r="K165" s="122"/>
      <c r="L165" s="122"/>
      <c r="M165" s="122"/>
      <c r="N165" s="131"/>
      <c r="O165" s="131"/>
      <c r="P165" s="131"/>
      <c r="Q165" s="131"/>
    </row>
    <row r="166" spans="1:18" s="30" customFormat="1" ht="32.5" thickBot="1" x14ac:dyDescent="0.55000000000000004">
      <c r="A166" s="50" t="str">
        <f>_xlfn.XLOOKUP(B166,'Paso 3 Redacción RA '!I$3:I$21,'Paso 3 Redacción RA '!C$3:C$21,,0,1)</f>
        <v>Saber</v>
      </c>
      <c r="B166" s="50" t="s">
        <v>116</v>
      </c>
      <c r="C166" s="130"/>
      <c r="D166" s="123"/>
      <c r="E166" s="126"/>
      <c r="F166" s="119"/>
      <c r="G166" s="141"/>
      <c r="H166" s="141"/>
      <c r="I166" s="141"/>
      <c r="J166" s="130"/>
      <c r="K166" s="123"/>
      <c r="L166" s="123"/>
      <c r="M166" s="123"/>
      <c r="N166" s="134"/>
      <c r="O166" s="134" t="s">
        <v>210</v>
      </c>
      <c r="P166" s="134" t="s">
        <v>210</v>
      </c>
      <c r="Q166" s="138"/>
    </row>
    <row r="167" spans="1:18" s="30" customFormat="1" ht="32" x14ac:dyDescent="0.5">
      <c r="A167" s="29" t="str">
        <f>_xlfn.XLOOKUP(B167,'Paso 3 Redacción RA '!I$3:I$21,'Paso 3 Redacción RA '!C$3:C$21,,0,1)</f>
        <v>Saber</v>
      </c>
      <c r="B167" s="29" t="s">
        <v>100</v>
      </c>
      <c r="C167" s="127">
        <v>6</v>
      </c>
      <c r="D167" s="122" t="s">
        <v>339</v>
      </c>
      <c r="E167" s="131" t="s">
        <v>340</v>
      </c>
      <c r="F167" s="117" t="s">
        <v>196</v>
      </c>
      <c r="G167" s="140"/>
      <c r="H167" s="140" t="s">
        <v>197</v>
      </c>
      <c r="I167" s="140"/>
      <c r="J167" s="127">
        <v>4</v>
      </c>
      <c r="K167" s="122">
        <f>16*J167</f>
        <v>64</v>
      </c>
      <c r="L167" s="122">
        <f>32*J167</f>
        <v>128</v>
      </c>
      <c r="M167" s="122">
        <f>SUM(K167:L173)</f>
        <v>192</v>
      </c>
      <c r="N167" s="131" t="s">
        <v>341</v>
      </c>
      <c r="O167" s="131" t="s">
        <v>325</v>
      </c>
      <c r="P167" s="131" t="s">
        <v>276</v>
      </c>
      <c r="Q167" s="131" t="s">
        <v>226</v>
      </c>
    </row>
    <row r="168" spans="1:18" s="30" customFormat="1" ht="48" x14ac:dyDescent="0.5">
      <c r="A168" s="29" t="str">
        <f>_xlfn.XLOOKUP(B168,'Paso 3 Redacción RA '!I$3:I$21,'Paso 3 Redacción RA '!C$3:C$21,,0,1)</f>
        <v>Saberhacer</v>
      </c>
      <c r="B168" s="29" t="s">
        <v>103</v>
      </c>
      <c r="C168" s="127"/>
      <c r="D168" s="122"/>
      <c r="E168" s="131"/>
      <c r="F168" s="117"/>
      <c r="G168" s="140"/>
      <c r="H168" s="140"/>
      <c r="I168" s="140"/>
      <c r="J168" s="127"/>
      <c r="K168" s="122"/>
      <c r="L168" s="122"/>
      <c r="M168" s="122"/>
      <c r="N168" s="131"/>
      <c r="O168" s="131"/>
      <c r="P168" s="131"/>
      <c r="Q168" s="131"/>
    </row>
    <row r="169" spans="1:18" s="30" customFormat="1" ht="48" x14ac:dyDescent="0.5">
      <c r="A169" s="29" t="str">
        <f>_xlfn.XLOOKUP(B169,'Paso 3 Redacción RA '!I$3:I$21,'Paso 3 Redacción RA '!C$3:C$21,,0,1)</f>
        <v>Saberser</v>
      </c>
      <c r="B169" s="29" t="s">
        <v>107</v>
      </c>
      <c r="C169" s="127"/>
      <c r="D169" s="122"/>
      <c r="E169" s="131"/>
      <c r="F169" s="117"/>
      <c r="G169" s="140"/>
      <c r="H169" s="140"/>
      <c r="I169" s="140"/>
      <c r="J169" s="127"/>
      <c r="K169" s="122"/>
      <c r="L169" s="122"/>
      <c r="M169" s="122"/>
      <c r="N169" s="131"/>
      <c r="O169" s="131"/>
      <c r="P169" s="131"/>
      <c r="Q169" s="131"/>
    </row>
    <row r="170" spans="1:18" s="30" customFormat="1" ht="32" x14ac:dyDescent="0.5">
      <c r="A170" s="29" t="str">
        <f>_xlfn.XLOOKUP(B170,'Paso 3 Redacción RA '!I$3:I$21,'Paso 3 Redacción RA '!C$3:C$21,,0,1)</f>
        <v>Saber</v>
      </c>
      <c r="B170" s="29" t="s">
        <v>110</v>
      </c>
      <c r="C170" s="127"/>
      <c r="D170" s="122"/>
      <c r="E170" s="131"/>
      <c r="F170" s="117"/>
      <c r="G170" s="140"/>
      <c r="H170" s="140"/>
      <c r="I170" s="140"/>
      <c r="J170" s="127"/>
      <c r="K170" s="122"/>
      <c r="L170" s="122"/>
      <c r="M170" s="122"/>
      <c r="N170" s="131"/>
      <c r="O170" s="131"/>
      <c r="P170" s="131"/>
      <c r="Q170" s="131"/>
    </row>
    <row r="171" spans="1:18" s="30" customFormat="1" ht="32" x14ac:dyDescent="0.5">
      <c r="A171" s="29" t="str">
        <f>_xlfn.XLOOKUP(B171,'Paso 3 Redacción RA '!I$3:I$21,'Paso 3 Redacción RA '!C$3:C$21,,0,1)</f>
        <v>Saberhacer</v>
      </c>
      <c r="B171" s="29" t="s">
        <v>113</v>
      </c>
      <c r="C171" s="127"/>
      <c r="D171" s="122"/>
      <c r="E171" s="131"/>
      <c r="F171" s="117"/>
      <c r="G171" s="140"/>
      <c r="H171" s="140"/>
      <c r="I171" s="140"/>
      <c r="J171" s="127"/>
      <c r="K171" s="122"/>
      <c r="L171" s="122"/>
      <c r="M171" s="122"/>
      <c r="N171" s="131"/>
      <c r="O171" s="131"/>
      <c r="P171" s="131"/>
      <c r="Q171" s="131"/>
    </row>
    <row r="172" spans="1:18" s="30" customFormat="1" ht="32" x14ac:dyDescent="0.5">
      <c r="A172" s="29" t="str">
        <f>_xlfn.XLOOKUP(B172,'Paso 3 Redacción RA '!I$3:I$21,'Paso 3 Redacción RA '!C$3:C$21,,0,1)</f>
        <v>Saber</v>
      </c>
      <c r="B172" s="29" t="s">
        <v>114</v>
      </c>
      <c r="C172" s="127"/>
      <c r="D172" s="122"/>
      <c r="E172" s="131"/>
      <c r="F172" s="117"/>
      <c r="G172" s="140"/>
      <c r="H172" s="140"/>
      <c r="I172" s="140"/>
      <c r="J172" s="127"/>
      <c r="K172" s="122"/>
      <c r="L172" s="122"/>
      <c r="M172" s="122"/>
      <c r="N172" s="131"/>
      <c r="O172" s="131"/>
      <c r="P172" s="131"/>
      <c r="Q172" s="131"/>
    </row>
    <row r="173" spans="1:18" s="30" customFormat="1" ht="32.5" thickBot="1" x14ac:dyDescent="0.55000000000000004">
      <c r="A173" s="50" t="str">
        <f>_xlfn.XLOOKUP(B173,'Paso 3 Redacción RA '!I$3:I$21,'Paso 3 Redacción RA '!C$3:C$21,,0,1)</f>
        <v>Saber</v>
      </c>
      <c r="B173" s="50" t="s">
        <v>116</v>
      </c>
      <c r="C173" s="130"/>
      <c r="D173" s="123"/>
      <c r="E173" s="134"/>
      <c r="F173" s="119"/>
      <c r="G173" s="141"/>
      <c r="H173" s="141"/>
      <c r="I173" s="141"/>
      <c r="J173" s="130"/>
      <c r="K173" s="123"/>
      <c r="L173" s="123"/>
      <c r="M173" s="123"/>
      <c r="N173" s="134"/>
      <c r="O173" s="134" t="s">
        <v>210</v>
      </c>
      <c r="P173" s="134" t="s">
        <v>210</v>
      </c>
      <c r="Q173" s="138"/>
      <c r="R173" s="30">
        <f>SUM(J139:J173)</f>
        <v>17</v>
      </c>
    </row>
    <row r="174" spans="1:18" s="30" customFormat="1" thickBot="1" x14ac:dyDescent="0.55000000000000004">
      <c r="A174" s="41"/>
      <c r="B174" s="41"/>
      <c r="C174" s="42">
        <v>7</v>
      </c>
      <c r="D174" s="42" t="s">
        <v>342</v>
      </c>
      <c r="E174" s="43"/>
      <c r="F174" s="42"/>
      <c r="G174" s="42"/>
      <c r="H174" s="42"/>
      <c r="I174" s="42" t="s">
        <v>197</v>
      </c>
      <c r="J174" s="42">
        <v>3</v>
      </c>
      <c r="K174" s="42">
        <f>16*J174</f>
        <v>48</v>
      </c>
      <c r="L174" s="42">
        <f>32*J174</f>
        <v>96</v>
      </c>
      <c r="M174" s="42">
        <f>SUM(K174:L174)</f>
        <v>144</v>
      </c>
      <c r="N174" s="43"/>
      <c r="O174" s="112" t="s">
        <v>210</v>
      </c>
      <c r="P174" s="112" t="s">
        <v>210</v>
      </c>
      <c r="Q174" s="101"/>
    </row>
    <row r="175" spans="1:18" s="30" customFormat="1" thickBot="1" x14ac:dyDescent="0.55000000000000004">
      <c r="A175" s="44"/>
      <c r="B175" s="44"/>
      <c r="C175" s="45">
        <v>7</v>
      </c>
      <c r="D175" s="45" t="s">
        <v>343</v>
      </c>
      <c r="E175" s="46"/>
      <c r="F175" s="45"/>
      <c r="G175" s="45"/>
      <c r="H175" s="45"/>
      <c r="I175" s="45" t="s">
        <v>197</v>
      </c>
      <c r="J175" s="45">
        <v>3</v>
      </c>
      <c r="K175" s="45">
        <f>16*J175</f>
        <v>48</v>
      </c>
      <c r="L175" s="45">
        <f>32*J175</f>
        <v>96</v>
      </c>
      <c r="M175" s="45">
        <f>SUM(K175:L175)</f>
        <v>144</v>
      </c>
      <c r="N175" s="46"/>
      <c r="O175" s="112" t="s">
        <v>210</v>
      </c>
      <c r="P175" s="112" t="s">
        <v>210</v>
      </c>
      <c r="Q175" s="101"/>
    </row>
    <row r="176" spans="1:18" s="30" customFormat="1" ht="32" x14ac:dyDescent="0.5">
      <c r="A176" s="29" t="str">
        <f>_xlfn.XLOOKUP(B176,'Paso 3 Redacción RA '!I$3:I$21,'Paso 3 Redacción RA '!C$3:C$21,,0,1)</f>
        <v>Saber</v>
      </c>
      <c r="B176" s="29" t="s">
        <v>100</v>
      </c>
      <c r="C176" s="127">
        <v>7</v>
      </c>
      <c r="D176" s="122" t="s">
        <v>344</v>
      </c>
      <c r="E176" s="131" t="s">
        <v>345</v>
      </c>
      <c r="F176" s="117" t="s">
        <v>196</v>
      </c>
      <c r="G176" s="140"/>
      <c r="H176" s="140" t="s">
        <v>197</v>
      </c>
      <c r="I176" s="140"/>
      <c r="J176" s="127">
        <v>5</v>
      </c>
      <c r="K176" s="122">
        <f>16*J176</f>
        <v>80</v>
      </c>
      <c r="L176" s="122">
        <f>32*J176</f>
        <v>160</v>
      </c>
      <c r="M176" s="122">
        <f>SUM(K176:L182)</f>
        <v>240</v>
      </c>
      <c r="N176" s="146" t="s">
        <v>346</v>
      </c>
      <c r="O176" s="146" t="s">
        <v>347</v>
      </c>
      <c r="P176" s="146" t="s">
        <v>276</v>
      </c>
      <c r="Q176" s="131" t="s">
        <v>226</v>
      </c>
    </row>
    <row r="177" spans="1:17" s="30" customFormat="1" ht="48" x14ac:dyDescent="0.5">
      <c r="A177" s="29" t="str">
        <f>_xlfn.XLOOKUP(B177,'Paso 3 Redacción RA '!I$3:I$21,'Paso 3 Redacción RA '!C$3:C$21,,0,1)</f>
        <v>Saberhacer</v>
      </c>
      <c r="B177" s="29" t="s">
        <v>103</v>
      </c>
      <c r="C177" s="127"/>
      <c r="D177" s="122"/>
      <c r="E177" s="131"/>
      <c r="F177" s="117"/>
      <c r="G177" s="140"/>
      <c r="H177" s="140"/>
      <c r="I177" s="140"/>
      <c r="J177" s="127"/>
      <c r="K177" s="122"/>
      <c r="L177" s="122"/>
      <c r="M177" s="122"/>
      <c r="N177" s="146"/>
      <c r="O177" s="146"/>
      <c r="P177" s="146"/>
      <c r="Q177" s="131"/>
    </row>
    <row r="178" spans="1:17" s="32" customFormat="1" ht="48" x14ac:dyDescent="0.35">
      <c r="A178" s="29" t="str">
        <f>_xlfn.XLOOKUP(B178,'Paso 3 Redacción RA '!I$3:I$21,'Paso 3 Redacción RA '!C$3:C$21,,0,1)</f>
        <v>Saberser</v>
      </c>
      <c r="B178" s="29" t="s">
        <v>107</v>
      </c>
      <c r="C178" s="127"/>
      <c r="D178" s="122"/>
      <c r="E178" s="131"/>
      <c r="F178" s="117"/>
      <c r="G178" s="140"/>
      <c r="H178" s="140"/>
      <c r="I178" s="140"/>
      <c r="J178" s="127"/>
      <c r="K178" s="122"/>
      <c r="L178" s="122"/>
      <c r="M178" s="122"/>
      <c r="N178" s="146"/>
      <c r="O178" s="146"/>
      <c r="P178" s="146"/>
      <c r="Q178" s="131"/>
    </row>
    <row r="179" spans="1:17" s="32" customFormat="1" ht="32" x14ac:dyDescent="0.35">
      <c r="A179" s="29" t="str">
        <f>_xlfn.XLOOKUP(B179,'Paso 3 Redacción RA '!I$3:I$21,'Paso 3 Redacción RA '!C$3:C$21,,0,1)</f>
        <v>Saber</v>
      </c>
      <c r="B179" s="29" t="s">
        <v>110</v>
      </c>
      <c r="C179" s="127"/>
      <c r="D179" s="122"/>
      <c r="E179" s="131"/>
      <c r="F179" s="117"/>
      <c r="G179" s="140"/>
      <c r="H179" s="140"/>
      <c r="I179" s="140"/>
      <c r="J179" s="127"/>
      <c r="K179" s="122"/>
      <c r="L179" s="122"/>
      <c r="M179" s="122"/>
      <c r="N179" s="146"/>
      <c r="O179" s="146"/>
      <c r="P179" s="146"/>
      <c r="Q179" s="131"/>
    </row>
    <row r="180" spans="1:17" s="32" customFormat="1" ht="32" x14ac:dyDescent="0.35">
      <c r="A180" s="29" t="str">
        <f>_xlfn.XLOOKUP(B180,'Paso 3 Redacción RA '!I$3:I$21,'Paso 3 Redacción RA '!C$3:C$21,,0,1)</f>
        <v>Saberhacer</v>
      </c>
      <c r="B180" s="29" t="s">
        <v>113</v>
      </c>
      <c r="C180" s="127"/>
      <c r="D180" s="122"/>
      <c r="E180" s="131"/>
      <c r="F180" s="117"/>
      <c r="G180" s="140"/>
      <c r="H180" s="140"/>
      <c r="I180" s="140"/>
      <c r="J180" s="127"/>
      <c r="K180" s="122"/>
      <c r="L180" s="122"/>
      <c r="M180" s="122"/>
      <c r="N180" s="146"/>
      <c r="O180" s="146"/>
      <c r="P180" s="146"/>
      <c r="Q180" s="131"/>
    </row>
    <row r="181" spans="1:17" s="32" customFormat="1" ht="32" x14ac:dyDescent="0.35">
      <c r="A181" s="29" t="str">
        <f>_xlfn.XLOOKUP(B181,'Paso 3 Redacción RA '!I$3:I$21,'Paso 3 Redacción RA '!C$3:C$21,,0,1)</f>
        <v>Saber</v>
      </c>
      <c r="B181" s="29" t="s">
        <v>114</v>
      </c>
      <c r="C181" s="127"/>
      <c r="D181" s="122"/>
      <c r="E181" s="131"/>
      <c r="F181" s="117"/>
      <c r="G181" s="140"/>
      <c r="H181" s="140"/>
      <c r="I181" s="140"/>
      <c r="J181" s="127"/>
      <c r="K181" s="122"/>
      <c r="L181" s="122"/>
      <c r="M181" s="122"/>
      <c r="N181" s="146"/>
      <c r="O181" s="146"/>
      <c r="P181" s="146"/>
      <c r="Q181" s="131"/>
    </row>
    <row r="182" spans="1:17" s="32" customFormat="1" ht="32.5" thickBot="1" x14ac:dyDescent="0.4">
      <c r="A182" s="50" t="str">
        <f>_xlfn.XLOOKUP(B182,'Paso 3 Redacción RA '!I$3:I$21,'Paso 3 Redacción RA '!C$3:C$21,,0,1)</f>
        <v>Saber</v>
      </c>
      <c r="B182" s="50" t="s">
        <v>116</v>
      </c>
      <c r="C182" s="130"/>
      <c r="D182" s="123"/>
      <c r="E182" s="134"/>
      <c r="F182" s="119"/>
      <c r="G182" s="141"/>
      <c r="H182" s="141"/>
      <c r="I182" s="141"/>
      <c r="J182" s="130"/>
      <c r="K182" s="123"/>
      <c r="L182" s="123"/>
      <c r="M182" s="123"/>
      <c r="N182" s="154"/>
      <c r="O182" s="154" t="s">
        <v>210</v>
      </c>
      <c r="P182" s="154" t="s">
        <v>210</v>
      </c>
      <c r="Q182" s="138"/>
    </row>
    <row r="183" spans="1:17" s="30" customFormat="1" ht="32" x14ac:dyDescent="0.5">
      <c r="A183" s="29" t="str">
        <f>_xlfn.XLOOKUP(B183,'Paso 3 Redacción RA '!I$3:I$21,'Paso 3 Redacción RA '!C$3:C$21,,0,1)</f>
        <v>Saber</v>
      </c>
      <c r="B183" s="29" t="s">
        <v>100</v>
      </c>
      <c r="C183" s="127">
        <v>7</v>
      </c>
      <c r="D183" s="122" t="s">
        <v>348</v>
      </c>
      <c r="E183" s="125" t="s">
        <v>349</v>
      </c>
      <c r="F183" s="117" t="s">
        <v>196</v>
      </c>
      <c r="G183" s="140"/>
      <c r="H183" s="140" t="s">
        <v>197</v>
      </c>
      <c r="I183" s="140"/>
      <c r="J183" s="127">
        <v>3</v>
      </c>
      <c r="K183" s="122">
        <f>16*J183</f>
        <v>48</v>
      </c>
      <c r="L183" s="122">
        <f>32*J183</f>
        <v>96</v>
      </c>
      <c r="M183" s="122">
        <f>SUM(K183:L189)</f>
        <v>144</v>
      </c>
      <c r="N183" s="146" t="s">
        <v>350</v>
      </c>
      <c r="O183" s="146" t="s">
        <v>351</v>
      </c>
      <c r="P183" s="146" t="s">
        <v>276</v>
      </c>
      <c r="Q183" s="131" t="s">
        <v>226</v>
      </c>
    </row>
    <row r="184" spans="1:17" s="30" customFormat="1" ht="48" x14ac:dyDescent="0.5">
      <c r="A184" s="29" t="str">
        <f>_xlfn.XLOOKUP(B184,'Paso 3 Redacción RA '!I$3:I$21,'Paso 3 Redacción RA '!C$3:C$21,,0,1)</f>
        <v>Saberhacer</v>
      </c>
      <c r="B184" s="29" t="s">
        <v>103</v>
      </c>
      <c r="C184" s="127"/>
      <c r="D184" s="122"/>
      <c r="E184" s="125"/>
      <c r="F184" s="117"/>
      <c r="G184" s="140"/>
      <c r="H184" s="140"/>
      <c r="I184" s="140"/>
      <c r="J184" s="127"/>
      <c r="K184" s="122"/>
      <c r="L184" s="122"/>
      <c r="M184" s="122"/>
      <c r="N184" s="146"/>
      <c r="O184" s="146"/>
      <c r="P184" s="146"/>
      <c r="Q184" s="131"/>
    </row>
    <row r="185" spans="1:17" s="30" customFormat="1" ht="48" x14ac:dyDescent="0.5">
      <c r="A185" s="29" t="str">
        <f>_xlfn.XLOOKUP(B185,'Paso 3 Redacción RA '!I$3:I$21,'Paso 3 Redacción RA '!C$3:C$21,,0,1)</f>
        <v>Saberser</v>
      </c>
      <c r="B185" s="29" t="s">
        <v>107</v>
      </c>
      <c r="C185" s="127"/>
      <c r="D185" s="122"/>
      <c r="E185" s="125"/>
      <c r="F185" s="117"/>
      <c r="G185" s="140"/>
      <c r="H185" s="140"/>
      <c r="I185" s="140"/>
      <c r="J185" s="127"/>
      <c r="K185" s="122"/>
      <c r="L185" s="122"/>
      <c r="M185" s="122"/>
      <c r="N185" s="146"/>
      <c r="O185" s="146"/>
      <c r="P185" s="146"/>
      <c r="Q185" s="131"/>
    </row>
    <row r="186" spans="1:17" s="30" customFormat="1" ht="32" x14ac:dyDescent="0.5">
      <c r="A186" s="29" t="str">
        <f>_xlfn.XLOOKUP(B186,'Paso 3 Redacción RA '!I$3:I$21,'Paso 3 Redacción RA '!C$3:C$21,,0,1)</f>
        <v>Saber</v>
      </c>
      <c r="B186" s="29" t="s">
        <v>110</v>
      </c>
      <c r="C186" s="127"/>
      <c r="D186" s="122"/>
      <c r="E186" s="125"/>
      <c r="F186" s="117"/>
      <c r="G186" s="140"/>
      <c r="H186" s="140"/>
      <c r="I186" s="140"/>
      <c r="J186" s="127"/>
      <c r="K186" s="122"/>
      <c r="L186" s="122"/>
      <c r="M186" s="122"/>
      <c r="N186" s="146"/>
      <c r="O186" s="146"/>
      <c r="P186" s="146"/>
      <c r="Q186" s="131"/>
    </row>
    <row r="187" spans="1:17" s="30" customFormat="1" ht="32" x14ac:dyDescent="0.5">
      <c r="A187" s="29" t="str">
        <f>_xlfn.XLOOKUP(B187,'Paso 3 Redacción RA '!I$3:I$21,'Paso 3 Redacción RA '!C$3:C$21,,0,1)</f>
        <v>Saberhacer</v>
      </c>
      <c r="B187" s="29" t="s">
        <v>113</v>
      </c>
      <c r="C187" s="127"/>
      <c r="D187" s="122"/>
      <c r="E187" s="125"/>
      <c r="F187" s="117"/>
      <c r="G187" s="140"/>
      <c r="H187" s="140"/>
      <c r="I187" s="140"/>
      <c r="J187" s="127"/>
      <c r="K187" s="122"/>
      <c r="L187" s="122"/>
      <c r="M187" s="122"/>
      <c r="N187" s="146"/>
      <c r="O187" s="146"/>
      <c r="P187" s="146"/>
      <c r="Q187" s="131"/>
    </row>
    <row r="188" spans="1:17" s="30" customFormat="1" ht="32" x14ac:dyDescent="0.5">
      <c r="A188" s="29" t="str">
        <f>_xlfn.XLOOKUP(B188,'Paso 3 Redacción RA '!I$3:I$21,'Paso 3 Redacción RA '!C$3:C$21,,0,1)</f>
        <v>Saber</v>
      </c>
      <c r="B188" s="29" t="s">
        <v>114</v>
      </c>
      <c r="C188" s="127"/>
      <c r="D188" s="122"/>
      <c r="E188" s="125"/>
      <c r="F188" s="117"/>
      <c r="G188" s="140"/>
      <c r="H188" s="140"/>
      <c r="I188" s="140"/>
      <c r="J188" s="127"/>
      <c r="K188" s="122"/>
      <c r="L188" s="122"/>
      <c r="M188" s="122"/>
      <c r="N188" s="146"/>
      <c r="O188" s="146"/>
      <c r="P188" s="146"/>
      <c r="Q188" s="131"/>
    </row>
    <row r="189" spans="1:17" s="30" customFormat="1" ht="32.5" thickBot="1" x14ac:dyDescent="0.55000000000000004">
      <c r="A189" s="50" t="str">
        <f>_xlfn.XLOOKUP(B189,'Paso 3 Redacción RA '!I$3:I$21,'Paso 3 Redacción RA '!C$3:C$21,,0,1)</f>
        <v>Saber</v>
      </c>
      <c r="B189" s="50" t="s">
        <v>116</v>
      </c>
      <c r="C189" s="130"/>
      <c r="D189" s="123"/>
      <c r="E189" s="126"/>
      <c r="F189" s="119"/>
      <c r="G189" s="141"/>
      <c r="H189" s="141"/>
      <c r="I189" s="141"/>
      <c r="J189" s="130"/>
      <c r="K189" s="123"/>
      <c r="L189" s="123"/>
      <c r="M189" s="123"/>
      <c r="N189" s="154"/>
      <c r="O189" s="154" t="s">
        <v>210</v>
      </c>
      <c r="P189" s="154" t="s">
        <v>210</v>
      </c>
      <c r="Q189" s="138"/>
    </row>
    <row r="190" spans="1:17" s="31" customFormat="1" ht="32" x14ac:dyDescent="0.35">
      <c r="A190" s="29" t="str">
        <f>_xlfn.XLOOKUP(B190,'Paso 3 Redacción RA '!I$3:I$21,'Paso 3 Redacción RA '!C$3:C$21,,0,1)</f>
        <v>Saber</v>
      </c>
      <c r="B190" s="29" t="s">
        <v>100</v>
      </c>
      <c r="C190" s="122">
        <v>7</v>
      </c>
      <c r="D190" s="121" t="s">
        <v>352</v>
      </c>
      <c r="E190" s="124" t="s">
        <v>353</v>
      </c>
      <c r="F190" s="122" t="s">
        <v>196</v>
      </c>
      <c r="G190" s="122"/>
      <c r="H190" s="122" t="s">
        <v>197</v>
      </c>
      <c r="I190" s="122"/>
      <c r="J190" s="122">
        <v>3</v>
      </c>
      <c r="K190" s="122">
        <f>16*J190</f>
        <v>48</v>
      </c>
      <c r="L190" s="122">
        <f>32*J190</f>
        <v>96</v>
      </c>
      <c r="M190" s="122">
        <f>SUM(K190:L196)</f>
        <v>144</v>
      </c>
      <c r="N190" s="125" t="s">
        <v>354</v>
      </c>
      <c r="O190" s="125" t="s">
        <v>289</v>
      </c>
      <c r="P190" s="125" t="s">
        <v>290</v>
      </c>
      <c r="Q190" s="125" t="s">
        <v>201</v>
      </c>
    </row>
    <row r="191" spans="1:17" s="31" customFormat="1" ht="48" x14ac:dyDescent="0.35">
      <c r="A191" s="29" t="str">
        <f>_xlfn.XLOOKUP(B191,'Paso 3 Redacción RA '!I$3:I$21,'Paso 3 Redacción RA '!C$3:C$21,,0,1)</f>
        <v>Saberhacer</v>
      </c>
      <c r="B191" s="29" t="s">
        <v>103</v>
      </c>
      <c r="C191" s="122"/>
      <c r="D191" s="122"/>
      <c r="E191" s="125"/>
      <c r="F191" s="122"/>
      <c r="G191" s="122"/>
      <c r="H191" s="122"/>
      <c r="I191" s="122"/>
      <c r="J191" s="122"/>
      <c r="K191" s="122"/>
      <c r="L191" s="122"/>
      <c r="M191" s="122"/>
      <c r="N191" s="125"/>
      <c r="O191" s="125"/>
      <c r="P191" s="125"/>
      <c r="Q191" s="125"/>
    </row>
    <row r="192" spans="1:17" s="31" customFormat="1" ht="48" x14ac:dyDescent="0.35">
      <c r="A192" s="29" t="str">
        <f>_xlfn.XLOOKUP(B192,'Paso 3 Redacción RA '!I$3:I$21,'Paso 3 Redacción RA '!C$3:C$21,,0,1)</f>
        <v>Saberser</v>
      </c>
      <c r="B192" s="29" t="s">
        <v>107</v>
      </c>
      <c r="C192" s="122"/>
      <c r="D192" s="122"/>
      <c r="E192" s="125"/>
      <c r="F192" s="122"/>
      <c r="G192" s="122"/>
      <c r="H192" s="122"/>
      <c r="I192" s="122"/>
      <c r="J192" s="122"/>
      <c r="K192" s="122"/>
      <c r="L192" s="122"/>
      <c r="M192" s="122"/>
      <c r="N192" s="125"/>
      <c r="O192" s="125"/>
      <c r="P192" s="125"/>
      <c r="Q192" s="125"/>
    </row>
    <row r="193" spans="1:18" s="31" customFormat="1" ht="32" x14ac:dyDescent="0.35">
      <c r="A193" s="29" t="str">
        <f>_xlfn.XLOOKUP(B193,'Paso 3 Redacción RA '!I$3:I$21,'Paso 3 Redacción RA '!C$3:C$21,,0,1)</f>
        <v>Saber</v>
      </c>
      <c r="B193" s="29" t="s">
        <v>110</v>
      </c>
      <c r="C193" s="122"/>
      <c r="D193" s="122"/>
      <c r="E193" s="125"/>
      <c r="F193" s="122"/>
      <c r="G193" s="122"/>
      <c r="H193" s="122"/>
      <c r="I193" s="122"/>
      <c r="J193" s="122"/>
      <c r="K193" s="122"/>
      <c r="L193" s="122"/>
      <c r="M193" s="122"/>
      <c r="N193" s="125"/>
      <c r="O193" s="125"/>
      <c r="P193" s="125"/>
      <c r="Q193" s="125"/>
    </row>
    <row r="194" spans="1:18" s="31" customFormat="1" ht="32" x14ac:dyDescent="0.35">
      <c r="A194" s="29" t="str">
        <f>_xlfn.XLOOKUP(B194,'Paso 3 Redacción RA '!I$3:I$21,'Paso 3 Redacción RA '!C$3:C$21,,0,1)</f>
        <v>Saberhacer</v>
      </c>
      <c r="B194" s="29" t="s">
        <v>113</v>
      </c>
      <c r="C194" s="122"/>
      <c r="D194" s="122"/>
      <c r="E194" s="125"/>
      <c r="F194" s="122"/>
      <c r="G194" s="122"/>
      <c r="H194" s="122"/>
      <c r="I194" s="122"/>
      <c r="J194" s="122"/>
      <c r="K194" s="122"/>
      <c r="L194" s="122"/>
      <c r="M194" s="122"/>
      <c r="N194" s="125"/>
      <c r="O194" s="125"/>
      <c r="P194" s="125"/>
      <c r="Q194" s="125"/>
    </row>
    <row r="195" spans="1:18" s="31" customFormat="1" ht="32" x14ac:dyDescent="0.35">
      <c r="A195" s="29" t="str">
        <f>_xlfn.XLOOKUP(B195,'Paso 3 Redacción RA '!I$3:I$21,'Paso 3 Redacción RA '!C$3:C$21,,0,1)</f>
        <v>Saber</v>
      </c>
      <c r="B195" s="29" t="s">
        <v>114</v>
      </c>
      <c r="C195" s="122"/>
      <c r="D195" s="122"/>
      <c r="E195" s="125"/>
      <c r="F195" s="122"/>
      <c r="G195" s="122"/>
      <c r="H195" s="122"/>
      <c r="I195" s="122"/>
      <c r="J195" s="122"/>
      <c r="K195" s="122"/>
      <c r="L195" s="122"/>
      <c r="M195" s="122"/>
      <c r="N195" s="125"/>
      <c r="O195" s="125"/>
      <c r="P195" s="125"/>
      <c r="Q195" s="125"/>
    </row>
    <row r="196" spans="1:18" s="31" customFormat="1" ht="32.5" thickBot="1" x14ac:dyDescent="0.55000000000000004">
      <c r="A196" s="50" t="str">
        <f>_xlfn.XLOOKUP(B196,'Paso 3 Redacción RA '!I$3:I$21,'Paso 3 Redacción RA '!C$3:C$21,,0,1)</f>
        <v>Saber</v>
      </c>
      <c r="B196" s="50" t="s">
        <v>116</v>
      </c>
      <c r="C196" s="123"/>
      <c r="D196" s="123"/>
      <c r="E196" s="126"/>
      <c r="F196" s="123"/>
      <c r="G196" s="123"/>
      <c r="H196" s="123"/>
      <c r="I196" s="123"/>
      <c r="J196" s="123"/>
      <c r="K196" s="123"/>
      <c r="L196" s="123"/>
      <c r="M196" s="123"/>
      <c r="N196" s="126"/>
      <c r="O196" s="126" t="s">
        <v>210</v>
      </c>
      <c r="P196" s="126" t="s">
        <v>210</v>
      </c>
      <c r="Q196" s="137"/>
      <c r="R196" s="30">
        <f>SUM(J174:J196)</f>
        <v>17</v>
      </c>
    </row>
    <row r="197" spans="1:18" s="30" customFormat="1" thickBot="1" x14ac:dyDescent="0.55000000000000004">
      <c r="A197" s="41"/>
      <c r="B197" s="41"/>
      <c r="C197" s="47">
        <v>8</v>
      </c>
      <c r="D197" s="42" t="s">
        <v>355</v>
      </c>
      <c r="E197" s="48"/>
      <c r="F197" s="69"/>
      <c r="G197" s="49"/>
      <c r="H197" s="49"/>
      <c r="I197" s="49" t="s">
        <v>197</v>
      </c>
      <c r="J197" s="42">
        <v>3</v>
      </c>
      <c r="K197" s="42">
        <f>16*J197</f>
        <v>48</v>
      </c>
      <c r="L197" s="42">
        <f>32*J197</f>
        <v>96</v>
      </c>
      <c r="M197" s="42">
        <f>SUM(K197:L197)</f>
        <v>144</v>
      </c>
      <c r="N197" s="48"/>
      <c r="O197" s="113" t="s">
        <v>210</v>
      </c>
      <c r="P197" s="113" t="s">
        <v>210</v>
      </c>
      <c r="Q197" s="102"/>
    </row>
    <row r="198" spans="1:18" s="30" customFormat="1" thickBot="1" x14ac:dyDescent="0.55000000000000004">
      <c r="A198" s="44"/>
      <c r="B198" s="41"/>
      <c r="C198" s="42">
        <v>8</v>
      </c>
      <c r="D198" s="42" t="s">
        <v>356</v>
      </c>
      <c r="E198" s="43"/>
      <c r="F198" s="42"/>
      <c r="G198" s="42"/>
      <c r="H198" s="42"/>
      <c r="I198" s="42" t="s">
        <v>197</v>
      </c>
      <c r="J198" s="42">
        <v>3</v>
      </c>
      <c r="K198" s="45">
        <f>16*J198</f>
        <v>48</v>
      </c>
      <c r="L198" s="45">
        <f>32*J198</f>
        <v>96</v>
      </c>
      <c r="M198" s="45">
        <f>SUM(K198:L198)</f>
        <v>144</v>
      </c>
      <c r="N198" s="43"/>
      <c r="O198" s="112" t="s">
        <v>210</v>
      </c>
      <c r="P198" s="112" t="s">
        <v>210</v>
      </c>
      <c r="Q198" s="101"/>
    </row>
    <row r="199" spans="1:18" s="30" customFormat="1" ht="32" x14ac:dyDescent="0.5">
      <c r="A199" s="51" t="str">
        <f>_xlfn.XLOOKUP(B199,'Paso 3 Redacción RA '!I$3:I$21,'Paso 3 Redacción RA '!C$3:C$21,,0,1)</f>
        <v>Saber</v>
      </c>
      <c r="B199" s="51" t="s">
        <v>100</v>
      </c>
      <c r="C199" s="121">
        <v>8</v>
      </c>
      <c r="D199" s="121" t="s">
        <v>357</v>
      </c>
      <c r="E199" s="124" t="s">
        <v>358</v>
      </c>
      <c r="F199" s="121" t="s">
        <v>196</v>
      </c>
      <c r="G199" s="121"/>
      <c r="H199" s="121" t="s">
        <v>197</v>
      </c>
      <c r="I199" s="121"/>
      <c r="J199" s="121">
        <v>6</v>
      </c>
      <c r="K199" s="121">
        <f>16*J199</f>
        <v>96</v>
      </c>
      <c r="L199" s="121">
        <f>32*J199</f>
        <v>192</v>
      </c>
      <c r="M199" s="121">
        <f>SUM(K199:L205)</f>
        <v>288</v>
      </c>
      <c r="N199" s="124" t="s">
        <v>821</v>
      </c>
      <c r="O199" s="124" t="s">
        <v>359</v>
      </c>
      <c r="P199" s="124" t="s">
        <v>321</v>
      </c>
      <c r="Q199" s="131" t="s">
        <v>226</v>
      </c>
    </row>
    <row r="200" spans="1:18" s="30" customFormat="1" ht="48" x14ac:dyDescent="0.5">
      <c r="A200" s="29" t="str">
        <f>_xlfn.XLOOKUP(B200,'Paso 3 Redacción RA '!I$3:I$21,'Paso 3 Redacción RA '!C$3:C$21,,0,1)</f>
        <v>Saberhacer</v>
      </c>
      <c r="B200" s="29" t="s">
        <v>103</v>
      </c>
      <c r="C200" s="122"/>
      <c r="D200" s="122"/>
      <c r="E200" s="125"/>
      <c r="F200" s="122"/>
      <c r="G200" s="122"/>
      <c r="H200" s="122"/>
      <c r="I200" s="122"/>
      <c r="J200" s="122"/>
      <c r="K200" s="122"/>
      <c r="L200" s="122"/>
      <c r="M200" s="122"/>
      <c r="N200" s="125"/>
      <c r="O200" s="125"/>
      <c r="P200" s="125"/>
      <c r="Q200" s="131"/>
    </row>
    <row r="201" spans="1:18" s="30" customFormat="1" ht="48" x14ac:dyDescent="0.5">
      <c r="A201" s="29" t="str">
        <f>_xlfn.XLOOKUP(B201,'Paso 3 Redacción RA '!I$3:I$21,'Paso 3 Redacción RA '!C$3:C$21,,0,1)</f>
        <v>Saberser</v>
      </c>
      <c r="B201" s="29" t="s">
        <v>107</v>
      </c>
      <c r="C201" s="122"/>
      <c r="D201" s="122"/>
      <c r="E201" s="125"/>
      <c r="F201" s="122"/>
      <c r="G201" s="122"/>
      <c r="H201" s="122"/>
      <c r="I201" s="122"/>
      <c r="J201" s="122"/>
      <c r="K201" s="122"/>
      <c r="L201" s="122"/>
      <c r="M201" s="122"/>
      <c r="N201" s="125"/>
      <c r="O201" s="125"/>
      <c r="P201" s="125"/>
      <c r="Q201" s="131"/>
    </row>
    <row r="202" spans="1:18" s="30" customFormat="1" ht="32" x14ac:dyDescent="0.5">
      <c r="A202" s="29" t="str">
        <f>_xlfn.XLOOKUP(B202,'Paso 3 Redacción RA '!I$3:I$21,'Paso 3 Redacción RA '!C$3:C$21,,0,1)</f>
        <v>Saber</v>
      </c>
      <c r="B202" s="29" t="s">
        <v>110</v>
      </c>
      <c r="C202" s="122"/>
      <c r="D202" s="122"/>
      <c r="E202" s="125"/>
      <c r="F202" s="122"/>
      <c r="G202" s="122"/>
      <c r="H202" s="122"/>
      <c r="I202" s="122"/>
      <c r="J202" s="122"/>
      <c r="K202" s="122"/>
      <c r="L202" s="122"/>
      <c r="M202" s="122"/>
      <c r="N202" s="125"/>
      <c r="O202" s="125"/>
      <c r="P202" s="125"/>
      <c r="Q202" s="131"/>
    </row>
    <row r="203" spans="1:18" s="30" customFormat="1" ht="32" x14ac:dyDescent="0.5">
      <c r="A203" s="29" t="str">
        <f>_xlfn.XLOOKUP(B203,'Paso 3 Redacción RA '!I$3:I$21,'Paso 3 Redacción RA '!C$3:C$21,,0,1)</f>
        <v>Saberhacer</v>
      </c>
      <c r="B203" s="29" t="s">
        <v>113</v>
      </c>
      <c r="C203" s="122"/>
      <c r="D203" s="122"/>
      <c r="E203" s="125"/>
      <c r="F203" s="122"/>
      <c r="G203" s="122"/>
      <c r="H203" s="122"/>
      <c r="I203" s="122"/>
      <c r="J203" s="122"/>
      <c r="K203" s="122"/>
      <c r="L203" s="122"/>
      <c r="M203" s="122"/>
      <c r="N203" s="125"/>
      <c r="O203" s="125"/>
      <c r="P203" s="125"/>
      <c r="Q203" s="131"/>
    </row>
    <row r="204" spans="1:18" s="30" customFormat="1" ht="32" x14ac:dyDescent="0.5">
      <c r="A204" s="29" t="str">
        <f>_xlfn.XLOOKUP(B204,'Paso 3 Redacción RA '!I$3:I$21,'Paso 3 Redacción RA '!C$3:C$21,,0,1)</f>
        <v>Saber</v>
      </c>
      <c r="B204" s="29" t="s">
        <v>114</v>
      </c>
      <c r="C204" s="122"/>
      <c r="D204" s="122"/>
      <c r="E204" s="125"/>
      <c r="F204" s="122"/>
      <c r="G204" s="122"/>
      <c r="H204" s="122"/>
      <c r="I204" s="122"/>
      <c r="J204" s="122"/>
      <c r="K204" s="122"/>
      <c r="L204" s="122"/>
      <c r="M204" s="122"/>
      <c r="N204" s="125"/>
      <c r="O204" s="125"/>
      <c r="P204" s="125"/>
      <c r="Q204" s="131"/>
    </row>
    <row r="205" spans="1:18" s="30" customFormat="1" ht="32.5" thickBot="1" x14ac:dyDescent="0.55000000000000004">
      <c r="A205" s="50" t="str">
        <f>_xlfn.XLOOKUP(B205,'Paso 3 Redacción RA '!I$3:I$21,'Paso 3 Redacción RA '!C$3:C$21,,0,1)</f>
        <v>Saber</v>
      </c>
      <c r="B205" s="50" t="s">
        <v>116</v>
      </c>
      <c r="C205" s="123"/>
      <c r="D205" s="123"/>
      <c r="E205" s="126"/>
      <c r="F205" s="123"/>
      <c r="G205" s="123"/>
      <c r="H205" s="123"/>
      <c r="I205" s="123"/>
      <c r="J205" s="123"/>
      <c r="K205" s="123"/>
      <c r="L205" s="123"/>
      <c r="M205" s="123"/>
      <c r="N205" s="126"/>
      <c r="O205" s="126" t="s">
        <v>210</v>
      </c>
      <c r="P205" s="126" t="s">
        <v>210</v>
      </c>
      <c r="Q205" s="138"/>
    </row>
    <row r="206" spans="1:18" s="32" customFormat="1" ht="32" x14ac:dyDescent="0.35">
      <c r="A206" s="29" t="str">
        <f>_xlfn.XLOOKUP(B206,'Paso 3 Redacción RA '!I$3:I$21,'Paso 3 Redacción RA '!C$3:C$21,,0,1)</f>
        <v>Saber</v>
      </c>
      <c r="B206" s="29" t="s">
        <v>100</v>
      </c>
      <c r="C206" s="127">
        <v>8</v>
      </c>
      <c r="D206" s="122" t="s">
        <v>360</v>
      </c>
      <c r="E206" s="131" t="s">
        <v>361</v>
      </c>
      <c r="F206" s="117" t="s">
        <v>196</v>
      </c>
      <c r="G206" s="140"/>
      <c r="H206" s="140" t="s">
        <v>197</v>
      </c>
      <c r="I206" s="140"/>
      <c r="J206" s="127">
        <v>3</v>
      </c>
      <c r="K206" s="122">
        <f>16*J206</f>
        <v>48</v>
      </c>
      <c r="L206" s="122">
        <f>32*J206</f>
        <v>96</v>
      </c>
      <c r="M206" s="122">
        <f>SUM(K206:L211)</f>
        <v>144</v>
      </c>
      <c r="N206" s="131" t="s">
        <v>362</v>
      </c>
      <c r="O206" s="131" t="s">
        <v>359</v>
      </c>
      <c r="P206" s="131" t="s">
        <v>321</v>
      </c>
      <c r="Q206" s="131" t="s">
        <v>226</v>
      </c>
    </row>
    <row r="207" spans="1:18" s="32" customFormat="1" ht="48" x14ac:dyDescent="0.35">
      <c r="A207" s="29" t="str">
        <f>_xlfn.XLOOKUP(B207,'Paso 3 Redacción RA '!I$3:I$21,'Paso 3 Redacción RA '!C$3:C$21,,0,1)</f>
        <v>Saberhacer</v>
      </c>
      <c r="B207" s="29" t="s">
        <v>103</v>
      </c>
      <c r="C207" s="127"/>
      <c r="D207" s="122"/>
      <c r="E207" s="132"/>
      <c r="F207" s="117"/>
      <c r="G207" s="140"/>
      <c r="H207" s="140"/>
      <c r="I207" s="140"/>
      <c r="J207" s="127"/>
      <c r="K207" s="122"/>
      <c r="L207" s="122"/>
      <c r="M207" s="122"/>
      <c r="N207" s="131"/>
      <c r="O207" s="131"/>
      <c r="P207" s="131"/>
      <c r="Q207" s="131"/>
    </row>
    <row r="208" spans="1:18" s="32" customFormat="1" ht="48" x14ac:dyDescent="0.35">
      <c r="A208" s="29" t="str">
        <f>_xlfn.XLOOKUP(B208,'Paso 3 Redacción RA '!I$3:I$21,'Paso 3 Redacción RA '!C$3:C$21,,0,1)</f>
        <v>Saberser</v>
      </c>
      <c r="B208" s="29" t="s">
        <v>107</v>
      </c>
      <c r="C208" s="127"/>
      <c r="D208" s="122"/>
      <c r="E208" s="132"/>
      <c r="F208" s="117"/>
      <c r="G208" s="140"/>
      <c r="H208" s="140"/>
      <c r="I208" s="140"/>
      <c r="J208" s="127"/>
      <c r="K208" s="122"/>
      <c r="L208" s="122"/>
      <c r="M208" s="122"/>
      <c r="N208" s="131"/>
      <c r="O208" s="131"/>
      <c r="P208" s="131"/>
      <c r="Q208" s="131"/>
    </row>
    <row r="209" spans="1:18" s="32" customFormat="1" ht="32" x14ac:dyDescent="0.35">
      <c r="A209" s="29" t="str">
        <f>_xlfn.XLOOKUP(B209,'Paso 3 Redacción RA '!I$3:I$21,'Paso 3 Redacción RA '!C$3:C$21,,0,1)</f>
        <v>Saber</v>
      </c>
      <c r="B209" s="29" t="s">
        <v>110</v>
      </c>
      <c r="C209" s="127"/>
      <c r="D209" s="122"/>
      <c r="E209" s="132"/>
      <c r="F209" s="117"/>
      <c r="G209" s="140"/>
      <c r="H209" s="140"/>
      <c r="I209" s="140"/>
      <c r="J209" s="127"/>
      <c r="K209" s="122"/>
      <c r="L209" s="122"/>
      <c r="M209" s="122"/>
      <c r="N209" s="131"/>
      <c r="O209" s="131"/>
      <c r="P209" s="131"/>
      <c r="Q209" s="131"/>
    </row>
    <row r="210" spans="1:18" s="32" customFormat="1" ht="32" x14ac:dyDescent="0.35">
      <c r="A210" s="29" t="str">
        <f>_xlfn.XLOOKUP(B210,'Paso 3 Redacción RA '!I$3:I$21,'Paso 3 Redacción RA '!C$3:C$21,,0,1)</f>
        <v>Saberhacer</v>
      </c>
      <c r="B210" s="29" t="s">
        <v>113</v>
      </c>
      <c r="C210" s="127"/>
      <c r="D210" s="122"/>
      <c r="E210" s="132"/>
      <c r="F210" s="117"/>
      <c r="G210" s="140"/>
      <c r="H210" s="140"/>
      <c r="I210" s="140"/>
      <c r="J210" s="127"/>
      <c r="K210" s="122"/>
      <c r="L210" s="122"/>
      <c r="M210" s="122"/>
      <c r="N210" s="131"/>
      <c r="O210" s="131"/>
      <c r="P210" s="131"/>
      <c r="Q210" s="131"/>
    </row>
    <row r="211" spans="1:18" s="32" customFormat="1" ht="32.5" thickBot="1" x14ac:dyDescent="0.4">
      <c r="A211" s="97" t="str">
        <f>_xlfn.XLOOKUP(B211,'Paso 3 Redacción RA '!I$3:I$21,'Paso 3 Redacción RA '!C$3:C$21,,0,1)</f>
        <v>Saber</v>
      </c>
      <c r="B211" s="97" t="s">
        <v>114</v>
      </c>
      <c r="C211" s="128"/>
      <c r="D211" s="129"/>
      <c r="E211" s="133"/>
      <c r="F211" s="118"/>
      <c r="G211" s="152"/>
      <c r="H211" s="152"/>
      <c r="I211" s="152"/>
      <c r="J211" s="128"/>
      <c r="K211" s="129"/>
      <c r="L211" s="129"/>
      <c r="M211" s="129"/>
      <c r="N211" s="138"/>
      <c r="O211" s="138" t="s">
        <v>210</v>
      </c>
      <c r="P211" s="138" t="s">
        <v>210</v>
      </c>
      <c r="Q211" s="138"/>
      <c r="R211" s="103">
        <f>SUM(J197:J211)</f>
        <v>15</v>
      </c>
    </row>
    <row r="212" spans="1:18" s="60" customFormat="1" ht="45" x14ac:dyDescent="0.5">
      <c r="A212" s="57"/>
      <c r="B212" s="56"/>
      <c r="C212" s="52" t="s">
        <v>363</v>
      </c>
      <c r="D212" s="53">
        <f>COUNTA(D3:D211)</f>
        <v>41</v>
      </c>
      <c r="E212" s="54"/>
      <c r="F212" s="55"/>
      <c r="G212" s="55"/>
      <c r="H212" s="55"/>
      <c r="I212" s="52" t="s">
        <v>364</v>
      </c>
      <c r="J212" s="55">
        <f>SUM(J3:J211)</f>
        <v>135</v>
      </c>
      <c r="K212" s="96" t="str">
        <f>IF(AND(J212&gt;=135,J212&lt;=160),"Correcto: Cumple la Política de Gestión, Evaluación e Innovación Curricular","Error: Revisar Política de Gestión, Evaluación e Innovación Curricular")</f>
        <v>Correcto: Cumple la Política de Gestión, Evaluación e Innovación Curricular</v>
      </c>
      <c r="L212" s="96"/>
      <c r="M212" s="57"/>
      <c r="N212" s="58"/>
      <c r="O212" s="59"/>
      <c r="P212" s="59"/>
      <c r="Q212" s="59"/>
    </row>
    <row r="213" spans="1:18" s="60" customFormat="1" ht="45" x14ac:dyDescent="0.5">
      <c r="A213" s="57"/>
      <c r="B213" s="61"/>
      <c r="C213" s="54"/>
      <c r="D213" s="56"/>
      <c r="E213" s="54"/>
      <c r="F213" s="55"/>
      <c r="G213" s="55"/>
      <c r="H213" s="55"/>
      <c r="I213" s="52" t="s">
        <v>365</v>
      </c>
      <c r="J213" s="55">
        <f>SUM(J3,J78,J4,J53,J54,J25)</f>
        <v>18</v>
      </c>
      <c r="K213" s="96" t="str">
        <f>IF(J213=18,"Correcto: Cumple la Política de Gestión, Evaluación e Innovación Curricular","Error: Revisar Política de Gestión, Evaluación e Innovación Curricular")</f>
        <v>Correcto: Cumple la Política de Gestión, Evaluación e Innovación Curricular</v>
      </c>
      <c r="L213" s="96"/>
      <c r="M213" s="57"/>
      <c r="N213" s="58"/>
      <c r="O213" s="59"/>
      <c r="P213" s="59"/>
      <c r="Q213" s="59"/>
    </row>
    <row r="214" spans="1:18" s="60" customFormat="1" ht="45" x14ac:dyDescent="0.5">
      <c r="A214" s="57"/>
      <c r="B214" s="61"/>
      <c r="C214" s="54"/>
      <c r="D214" s="56"/>
      <c r="E214" s="54"/>
      <c r="F214" s="55"/>
      <c r="G214" s="55"/>
      <c r="H214" s="55"/>
      <c r="I214" s="52" t="s">
        <v>366</v>
      </c>
      <c r="J214" s="55">
        <f>SUM(J5,J21,J62,J15,J8,J39,J26,J55,J32,J111,J72,J68,J46,J98,J104,J79,J91,J84,J190,J125,J132,J118,J167,J146,J153,J160,J139,J183,J176,J199,J206)</f>
        <v>105</v>
      </c>
      <c r="K214" s="96" t="str">
        <f>IF(AND(J214&gt;=99,J214&lt;=130),"Correcto: Cumple la Política de Gestión, Evaluación e Innovación Curricular","Error: Revisar Política de Gestión, Evaluación e Innovación Curricular")</f>
        <v>Correcto: Cumple la Política de Gestión, Evaluación e Innovación Curricular</v>
      </c>
      <c r="L214" s="96"/>
      <c r="M214" s="57"/>
      <c r="N214" s="58"/>
      <c r="O214" s="59"/>
      <c r="P214" s="59"/>
      <c r="Q214" s="59"/>
    </row>
    <row r="215" spans="1:18" s="60" customFormat="1" ht="45" x14ac:dyDescent="0.5">
      <c r="A215" s="57"/>
      <c r="B215" s="61"/>
      <c r="C215" s="54"/>
      <c r="D215" s="56"/>
      <c r="E215" s="54"/>
      <c r="F215" s="55"/>
      <c r="G215" s="55"/>
      <c r="H215" s="55"/>
      <c r="I215" s="52" t="s">
        <v>367</v>
      </c>
      <c r="J215" s="55">
        <f>SUM(J174,J175,J197,J198)</f>
        <v>12</v>
      </c>
      <c r="K215" s="96" t="str">
        <f>IF(AND(J215&gt;=12,J215&lt;=18),"Correcto: Cumple la Política de Gestión, Evaluación e Innovación Curricular","Error: Revisar Política de Gestión, Evaluación e Innovación Curricular")</f>
        <v>Correcto: Cumple la Política de Gestión, Evaluación e Innovación Curricular</v>
      </c>
      <c r="L215" s="96"/>
      <c r="M215" s="57"/>
      <c r="N215" s="58"/>
      <c r="O215" s="59"/>
      <c r="P215" s="59"/>
      <c r="Q215" s="59"/>
    </row>
    <row r="216" spans="1:18" s="60" customFormat="1" ht="15" x14ac:dyDescent="0.5">
      <c r="A216" s="57"/>
      <c r="B216" s="61"/>
      <c r="C216" s="62"/>
      <c r="D216" s="96"/>
      <c r="E216" s="63"/>
      <c r="F216" s="62"/>
      <c r="G216" s="64"/>
      <c r="H216" s="64"/>
      <c r="I216" s="64"/>
      <c r="J216" s="65">
        <f>SUM(J213:J215)</f>
        <v>135</v>
      </c>
      <c r="K216" s="57"/>
      <c r="L216" s="57"/>
      <c r="M216" s="57"/>
      <c r="N216" s="58"/>
      <c r="O216" s="59"/>
      <c r="P216" s="59"/>
      <c r="Q216" s="59"/>
    </row>
    <row r="217" spans="1:18" s="60" customFormat="1" ht="15" x14ac:dyDescent="0.5">
      <c r="A217" s="57"/>
      <c r="B217" s="61"/>
      <c r="C217" s="62"/>
      <c r="D217" s="96"/>
      <c r="E217" s="63"/>
      <c r="F217" s="62"/>
      <c r="G217" s="64"/>
      <c r="H217" s="64"/>
      <c r="I217" s="64"/>
      <c r="K217" s="57"/>
      <c r="L217" s="57"/>
      <c r="M217" s="57"/>
      <c r="N217" s="58"/>
      <c r="O217" s="59"/>
      <c r="P217" s="59"/>
      <c r="Q217" s="59"/>
    </row>
    <row r="218" spans="1:18" s="60" customFormat="1" ht="15" x14ac:dyDescent="0.5">
      <c r="A218" s="57"/>
      <c r="B218" s="61"/>
      <c r="C218" s="62"/>
      <c r="D218" s="96"/>
      <c r="E218" s="63"/>
      <c r="F218" s="62"/>
      <c r="G218" s="64"/>
      <c r="H218" s="64"/>
      <c r="I218" s="64"/>
      <c r="K218" s="57"/>
      <c r="L218" s="57"/>
      <c r="M218" s="57"/>
      <c r="N218" s="58"/>
      <c r="O218" s="59"/>
      <c r="P218" s="59"/>
      <c r="Q218" s="59"/>
    </row>
  </sheetData>
  <autoFilter ref="A1:Q216" xr:uid="{1B248250-C92C-4D02-A0C3-2CB27C341894}">
    <filterColumn colId="6" showButton="0"/>
    <filterColumn colId="7" showButton="0"/>
  </autoFilter>
  <mergeCells count="466">
    <mergeCell ref="Q118:Q124"/>
    <mergeCell ref="N183:N189"/>
    <mergeCell ref="Q125:Q131"/>
    <mergeCell ref="K139:K145"/>
    <mergeCell ref="L132:L138"/>
    <mergeCell ref="N132:N138"/>
    <mergeCell ref="M132:M138"/>
    <mergeCell ref="K132:K138"/>
    <mergeCell ref="K125:K131"/>
    <mergeCell ref="K153:K159"/>
    <mergeCell ref="Q146:Q152"/>
    <mergeCell ref="N146:N152"/>
    <mergeCell ref="K167:K173"/>
    <mergeCell ref="L167:L173"/>
    <mergeCell ref="M167:M173"/>
    <mergeCell ref="N167:N173"/>
    <mergeCell ref="K146:K152"/>
    <mergeCell ref="L146:L152"/>
    <mergeCell ref="L118:L124"/>
    <mergeCell ref="M118:M124"/>
    <mergeCell ref="N118:N124"/>
    <mergeCell ref="O125:O131"/>
    <mergeCell ref="P125:P131"/>
    <mergeCell ref="O199:O205"/>
    <mergeCell ref="P199:P205"/>
    <mergeCell ref="Q199:Q205"/>
    <mergeCell ref="O139:O145"/>
    <mergeCell ref="P139:P145"/>
    <mergeCell ref="Q139:Q145"/>
    <mergeCell ref="L183:L189"/>
    <mergeCell ref="C55:C61"/>
    <mergeCell ref="M183:M189"/>
    <mergeCell ref="Q190:Q196"/>
    <mergeCell ref="M190:M196"/>
    <mergeCell ref="M146:M152"/>
    <mergeCell ref="N190:N196"/>
    <mergeCell ref="L139:L145"/>
    <mergeCell ref="M139:M145"/>
    <mergeCell ref="N139:N145"/>
    <mergeCell ref="O190:O196"/>
    <mergeCell ref="P190:P196"/>
    <mergeCell ref="L190:L196"/>
    <mergeCell ref="L153:L159"/>
    <mergeCell ref="M153:M159"/>
    <mergeCell ref="N153:N159"/>
    <mergeCell ref="O146:O152"/>
    <mergeCell ref="P146:P152"/>
    <mergeCell ref="Q104:Q110"/>
    <mergeCell ref="C15:C20"/>
    <mergeCell ref="D15:D20"/>
    <mergeCell ref="E15:E20"/>
    <mergeCell ref="G15:G20"/>
    <mergeCell ref="H15:H20"/>
    <mergeCell ref="I15:I20"/>
    <mergeCell ref="J15:J20"/>
    <mergeCell ref="K15:K20"/>
    <mergeCell ref="D32:D38"/>
    <mergeCell ref="E32:E38"/>
    <mergeCell ref="G32:G38"/>
    <mergeCell ref="H32:H38"/>
    <mergeCell ref="J32:J38"/>
    <mergeCell ref="K32:K38"/>
    <mergeCell ref="F32:F38"/>
    <mergeCell ref="F62:F67"/>
    <mergeCell ref="F55:F61"/>
    <mergeCell ref="C46:C52"/>
    <mergeCell ref="D46:D52"/>
    <mergeCell ref="C62:C67"/>
    <mergeCell ref="D68:D71"/>
    <mergeCell ref="P72:P77"/>
    <mergeCell ref="Q72:Q77"/>
    <mergeCell ref="G104:G110"/>
    <mergeCell ref="H104:H110"/>
    <mergeCell ref="I104:I110"/>
    <mergeCell ref="J104:J110"/>
    <mergeCell ref="K104:K110"/>
    <mergeCell ref="L104:L110"/>
    <mergeCell ref="I32:I38"/>
    <mergeCell ref="O32:O38"/>
    <mergeCell ref="P32:P38"/>
    <mergeCell ref="O104:O110"/>
    <mergeCell ref="J62:J67"/>
    <mergeCell ref="H98:H103"/>
    <mergeCell ref="I98:I103"/>
    <mergeCell ref="G79:G83"/>
    <mergeCell ref="H79:H83"/>
    <mergeCell ref="G98:G103"/>
    <mergeCell ref="O98:O103"/>
    <mergeCell ref="L98:L103"/>
    <mergeCell ref="I84:I90"/>
    <mergeCell ref="I91:I97"/>
    <mergeCell ref="K72:K77"/>
    <mergeCell ref="J72:J77"/>
    <mergeCell ref="K84:K90"/>
    <mergeCell ref="K91:K97"/>
    <mergeCell ref="N26:N31"/>
    <mergeCell ref="O26:O31"/>
    <mergeCell ref="O15:O20"/>
    <mergeCell ref="M32:M38"/>
    <mergeCell ref="N32:N38"/>
    <mergeCell ref="M55:M61"/>
    <mergeCell ref="Q39:Q45"/>
    <mergeCell ref="L39:L45"/>
    <mergeCell ref="Q26:Q31"/>
    <mergeCell ref="P26:P31"/>
    <mergeCell ref="O46:O52"/>
    <mergeCell ref="N55:N61"/>
    <mergeCell ref="P21:P24"/>
    <mergeCell ref="M21:M24"/>
    <mergeCell ref="N21:N24"/>
    <mergeCell ref="O21:O24"/>
    <mergeCell ref="Q21:Q24"/>
    <mergeCell ref="O39:O45"/>
    <mergeCell ref="Q15:Q20"/>
    <mergeCell ref="Q32:Q38"/>
    <mergeCell ref="L32:L38"/>
    <mergeCell ref="M39:M45"/>
    <mergeCell ref="L21:L24"/>
    <mergeCell ref="C39:C45"/>
    <mergeCell ref="D39:D45"/>
    <mergeCell ref="E39:E45"/>
    <mergeCell ref="G39:G45"/>
    <mergeCell ref="H39:H45"/>
    <mergeCell ref="I39:I45"/>
    <mergeCell ref="J39:J45"/>
    <mergeCell ref="K39:K45"/>
    <mergeCell ref="M26:M31"/>
    <mergeCell ref="C32:C38"/>
    <mergeCell ref="J8:J14"/>
    <mergeCell ref="L46:L52"/>
    <mergeCell ref="J46:J52"/>
    <mergeCell ref="K46:K52"/>
    <mergeCell ref="I68:I71"/>
    <mergeCell ref="L15:L20"/>
    <mergeCell ref="L26:L31"/>
    <mergeCell ref="K68:K71"/>
    <mergeCell ref="L68:L71"/>
    <mergeCell ref="I46:I52"/>
    <mergeCell ref="I26:I31"/>
    <mergeCell ref="J26:J31"/>
    <mergeCell ref="K26:K31"/>
    <mergeCell ref="G91:G97"/>
    <mergeCell ref="H91:H97"/>
    <mergeCell ref="C5:C7"/>
    <mergeCell ref="G5:G7"/>
    <mergeCell ref="H5:H7"/>
    <mergeCell ref="I5:I7"/>
    <mergeCell ref="J5:J7"/>
    <mergeCell ref="K5:K7"/>
    <mergeCell ref="E5:E7"/>
    <mergeCell ref="D5:D7"/>
    <mergeCell ref="F5:F7"/>
    <mergeCell ref="K21:K24"/>
    <mergeCell ref="J21:J24"/>
    <mergeCell ref="E46:E52"/>
    <mergeCell ref="G46:G52"/>
    <mergeCell ref="H46:H52"/>
    <mergeCell ref="D72:D77"/>
    <mergeCell ref="E72:E77"/>
    <mergeCell ref="I72:I77"/>
    <mergeCell ref="G72:G77"/>
    <mergeCell ref="D55:D61"/>
    <mergeCell ref="E55:E61"/>
    <mergeCell ref="G55:G61"/>
    <mergeCell ref="E21:E24"/>
    <mergeCell ref="G21:G24"/>
    <mergeCell ref="H21:H24"/>
    <mergeCell ref="D62:D67"/>
    <mergeCell ref="E68:E71"/>
    <mergeCell ref="G84:G90"/>
    <mergeCell ref="H84:H90"/>
    <mergeCell ref="D8:D14"/>
    <mergeCell ref="E62:E67"/>
    <mergeCell ref="G62:G67"/>
    <mergeCell ref="H62:H67"/>
    <mergeCell ref="H55:H61"/>
    <mergeCell ref="F68:F71"/>
    <mergeCell ref="F46:F52"/>
    <mergeCell ref="E26:E31"/>
    <mergeCell ref="G26:G31"/>
    <mergeCell ref="H26:H31"/>
    <mergeCell ref="Q5:Q7"/>
    <mergeCell ref="O160:O166"/>
    <mergeCell ref="P160:P166"/>
    <mergeCell ref="Q160:Q166"/>
    <mergeCell ref="O167:O173"/>
    <mergeCell ref="P167:P173"/>
    <mergeCell ref="Q167:Q173"/>
    <mergeCell ref="O132:O138"/>
    <mergeCell ref="P132:P138"/>
    <mergeCell ref="Q132:Q138"/>
    <mergeCell ref="P46:P52"/>
    <mergeCell ref="Q46:Q52"/>
    <mergeCell ref="P98:P103"/>
    <mergeCell ref="Q98:Q103"/>
    <mergeCell ref="O8:O14"/>
    <mergeCell ref="P8:P14"/>
    <mergeCell ref="Q8:Q14"/>
    <mergeCell ref="Q111:Q117"/>
    <mergeCell ref="O153:O159"/>
    <mergeCell ref="P153:P159"/>
    <mergeCell ref="Q153:Q159"/>
    <mergeCell ref="O118:O124"/>
    <mergeCell ref="O5:O7"/>
    <mergeCell ref="P84:P90"/>
    <mergeCell ref="L206:L211"/>
    <mergeCell ref="M206:M211"/>
    <mergeCell ref="N206:N211"/>
    <mergeCell ref="O206:O211"/>
    <mergeCell ref="P206:P211"/>
    <mergeCell ref="Q206:Q211"/>
    <mergeCell ref="K160:K166"/>
    <mergeCell ref="L160:L166"/>
    <mergeCell ref="M160:M166"/>
    <mergeCell ref="N160:N166"/>
    <mergeCell ref="O183:O189"/>
    <mergeCell ref="P183:P189"/>
    <mergeCell ref="Q183:Q189"/>
    <mergeCell ref="O176:O182"/>
    <mergeCell ref="P176:P182"/>
    <mergeCell ref="Q176:Q182"/>
    <mergeCell ref="K176:K182"/>
    <mergeCell ref="L176:L182"/>
    <mergeCell ref="M176:M182"/>
    <mergeCell ref="N176:N182"/>
    <mergeCell ref="K190:K196"/>
    <mergeCell ref="L199:L205"/>
    <mergeCell ref="M199:M205"/>
    <mergeCell ref="N199:N205"/>
    <mergeCell ref="O111:O117"/>
    <mergeCell ref="P111:P117"/>
    <mergeCell ref="L111:L117"/>
    <mergeCell ref="M111:M117"/>
    <mergeCell ref="N111:N117"/>
    <mergeCell ref="P104:P110"/>
    <mergeCell ref="M125:M131"/>
    <mergeCell ref="N125:N131"/>
    <mergeCell ref="L125:L131"/>
    <mergeCell ref="P118:P124"/>
    <mergeCell ref="Q91:Q97"/>
    <mergeCell ref="O68:O71"/>
    <mergeCell ref="P68:P71"/>
    <mergeCell ref="Q68:Q71"/>
    <mergeCell ref="Q79:Q83"/>
    <mergeCell ref="O79:O83"/>
    <mergeCell ref="P79:P83"/>
    <mergeCell ref="L84:L90"/>
    <mergeCell ref="Q84:Q90"/>
    <mergeCell ref="M84:M90"/>
    <mergeCell ref="N84:N90"/>
    <mergeCell ref="O84:O90"/>
    <mergeCell ref="L91:L97"/>
    <mergeCell ref="M91:M97"/>
    <mergeCell ref="N91:N97"/>
    <mergeCell ref="O91:O97"/>
    <mergeCell ref="P91:P97"/>
    <mergeCell ref="L79:L83"/>
    <mergeCell ref="N72:N77"/>
    <mergeCell ref="O72:O77"/>
    <mergeCell ref="L72:L77"/>
    <mergeCell ref="M72:M77"/>
    <mergeCell ref="N68:N71"/>
    <mergeCell ref="N79:N83"/>
    <mergeCell ref="I125:I131"/>
    <mergeCell ref="G132:G138"/>
    <mergeCell ref="H132:H138"/>
    <mergeCell ref="I132:I138"/>
    <mergeCell ref="J111:J117"/>
    <mergeCell ref="K111:K117"/>
    <mergeCell ref="O62:O67"/>
    <mergeCell ref="P62:P67"/>
    <mergeCell ref="J91:J97"/>
    <mergeCell ref="J79:J83"/>
    <mergeCell ref="J125:J131"/>
    <mergeCell ref="K118:K124"/>
    <mergeCell ref="J98:J103"/>
    <mergeCell ref="K98:K103"/>
    <mergeCell ref="K79:K83"/>
    <mergeCell ref="M68:M71"/>
    <mergeCell ref="L62:L67"/>
    <mergeCell ref="M62:M67"/>
    <mergeCell ref="M98:M103"/>
    <mergeCell ref="N98:N103"/>
    <mergeCell ref="N62:N67"/>
    <mergeCell ref="N104:N110"/>
    <mergeCell ref="M104:M110"/>
    <mergeCell ref="M79:M83"/>
    <mergeCell ref="J146:J152"/>
    <mergeCell ref="J153:J159"/>
    <mergeCell ref="J139:J145"/>
    <mergeCell ref="H167:H173"/>
    <mergeCell ref="G167:G173"/>
    <mergeCell ref="I167:I173"/>
    <mergeCell ref="G146:G152"/>
    <mergeCell ref="I146:I152"/>
    <mergeCell ref="G111:G117"/>
    <mergeCell ref="H111:H117"/>
    <mergeCell ref="I111:I117"/>
    <mergeCell ref="J167:J173"/>
    <mergeCell ref="J160:J166"/>
    <mergeCell ref="J132:J138"/>
    <mergeCell ref="J118:J124"/>
    <mergeCell ref="I160:I166"/>
    <mergeCell ref="G139:G145"/>
    <mergeCell ref="I139:I145"/>
    <mergeCell ref="I153:I159"/>
    <mergeCell ref="G118:G124"/>
    <mergeCell ref="H118:H124"/>
    <mergeCell ref="I118:I124"/>
    <mergeCell ref="G125:G131"/>
    <mergeCell ref="H125:H131"/>
    <mergeCell ref="K206:K211"/>
    <mergeCell ref="J176:J182"/>
    <mergeCell ref="G199:G205"/>
    <mergeCell ref="H199:H205"/>
    <mergeCell ref="I199:I205"/>
    <mergeCell ref="J199:J205"/>
    <mergeCell ref="K199:K205"/>
    <mergeCell ref="J183:J189"/>
    <mergeCell ref="G190:G196"/>
    <mergeCell ref="H190:H196"/>
    <mergeCell ref="G183:G189"/>
    <mergeCell ref="I183:I189"/>
    <mergeCell ref="I190:I196"/>
    <mergeCell ref="J190:J196"/>
    <mergeCell ref="J206:J211"/>
    <mergeCell ref="K183:K189"/>
    <mergeCell ref="H206:H211"/>
    <mergeCell ref="I176:I182"/>
    <mergeCell ref="G206:G211"/>
    <mergeCell ref="I206:I211"/>
    <mergeCell ref="G160:G166"/>
    <mergeCell ref="G176:G182"/>
    <mergeCell ref="H146:H152"/>
    <mergeCell ref="H153:H159"/>
    <mergeCell ref="H160:H166"/>
    <mergeCell ref="H139:H145"/>
    <mergeCell ref="G153:G159"/>
    <mergeCell ref="H176:H182"/>
    <mergeCell ref="H183:H189"/>
    <mergeCell ref="G1:I1"/>
    <mergeCell ref="I21:I24"/>
    <mergeCell ref="I8:I14"/>
    <mergeCell ref="C72:C77"/>
    <mergeCell ref="D79:D83"/>
    <mergeCell ref="E79:E83"/>
    <mergeCell ref="C79:C83"/>
    <mergeCell ref="F21:F24"/>
    <mergeCell ref="F15:F20"/>
    <mergeCell ref="F8:F14"/>
    <mergeCell ref="F39:F45"/>
    <mergeCell ref="F26:F31"/>
    <mergeCell ref="I55:I61"/>
    <mergeCell ref="C26:C31"/>
    <mergeCell ref="D26:D31"/>
    <mergeCell ref="I79:I83"/>
    <mergeCell ref="C68:C71"/>
    <mergeCell ref="E8:E14"/>
    <mergeCell ref="C8:C14"/>
    <mergeCell ref="H72:H77"/>
    <mergeCell ref="G8:G14"/>
    <mergeCell ref="H8:H14"/>
    <mergeCell ref="C21:C24"/>
    <mergeCell ref="D21:D24"/>
    <mergeCell ref="L5:L7"/>
    <mergeCell ref="P5:P7"/>
    <mergeCell ref="M5:M7"/>
    <mergeCell ref="N5:N7"/>
    <mergeCell ref="M15:M20"/>
    <mergeCell ref="N15:N20"/>
    <mergeCell ref="K8:K14"/>
    <mergeCell ref="L8:L14"/>
    <mergeCell ref="M8:M14"/>
    <mergeCell ref="N8:N14"/>
    <mergeCell ref="P15:P20"/>
    <mergeCell ref="F111:F117"/>
    <mergeCell ref="F72:F77"/>
    <mergeCell ref="F98:F103"/>
    <mergeCell ref="F104:F110"/>
    <mergeCell ref="F79:F83"/>
    <mergeCell ref="F91:F97"/>
    <mergeCell ref="F84:F90"/>
    <mergeCell ref="C84:C90"/>
    <mergeCell ref="D84:D90"/>
    <mergeCell ref="C98:C103"/>
    <mergeCell ref="D98:D103"/>
    <mergeCell ref="E84:E90"/>
    <mergeCell ref="D91:D97"/>
    <mergeCell ref="C111:C117"/>
    <mergeCell ref="D111:D117"/>
    <mergeCell ref="E111:E117"/>
    <mergeCell ref="C104:C110"/>
    <mergeCell ref="D104:D110"/>
    <mergeCell ref="E104:E110"/>
    <mergeCell ref="E98:E103"/>
    <mergeCell ref="C91:C97"/>
    <mergeCell ref="J84:J90"/>
    <mergeCell ref="Q62:Q67"/>
    <mergeCell ref="I62:I67"/>
    <mergeCell ref="G68:G71"/>
    <mergeCell ref="H68:H71"/>
    <mergeCell ref="J68:J71"/>
    <mergeCell ref="P39:P45"/>
    <mergeCell ref="N39:N45"/>
    <mergeCell ref="N46:N52"/>
    <mergeCell ref="K62:K67"/>
    <mergeCell ref="J55:J61"/>
    <mergeCell ref="K55:K61"/>
    <mergeCell ref="L55:L61"/>
    <mergeCell ref="M46:M52"/>
    <mergeCell ref="O55:O61"/>
    <mergeCell ref="P55:P61"/>
    <mergeCell ref="Q55:Q61"/>
    <mergeCell ref="E118:E124"/>
    <mergeCell ref="C125:C131"/>
    <mergeCell ref="D125:D131"/>
    <mergeCell ref="E125:E131"/>
    <mergeCell ref="E91:E97"/>
    <mergeCell ref="D132:D138"/>
    <mergeCell ref="C132:C138"/>
    <mergeCell ref="D118:D124"/>
    <mergeCell ref="E132:E138"/>
    <mergeCell ref="C118:C124"/>
    <mergeCell ref="E167:E173"/>
    <mergeCell ref="D167:D173"/>
    <mergeCell ref="C167:C173"/>
    <mergeCell ref="E153:E159"/>
    <mergeCell ref="E160:E166"/>
    <mergeCell ref="C153:C159"/>
    <mergeCell ref="D153:D159"/>
    <mergeCell ref="C146:C152"/>
    <mergeCell ref="D146:D152"/>
    <mergeCell ref="F199:F205"/>
    <mergeCell ref="F206:F211"/>
    <mergeCell ref="F190:F196"/>
    <mergeCell ref="C199:C205"/>
    <mergeCell ref="D199:D205"/>
    <mergeCell ref="E199:E205"/>
    <mergeCell ref="C206:C211"/>
    <mergeCell ref="D206:D211"/>
    <mergeCell ref="C139:C145"/>
    <mergeCell ref="E206:E211"/>
    <mergeCell ref="C183:C189"/>
    <mergeCell ref="D183:D189"/>
    <mergeCell ref="E139:E145"/>
    <mergeCell ref="D139:D145"/>
    <mergeCell ref="E183:E189"/>
    <mergeCell ref="D176:D182"/>
    <mergeCell ref="C176:C182"/>
    <mergeCell ref="E176:E182"/>
    <mergeCell ref="C190:C196"/>
    <mergeCell ref="D190:D196"/>
    <mergeCell ref="E190:E196"/>
    <mergeCell ref="D160:D166"/>
    <mergeCell ref="C160:C166"/>
    <mergeCell ref="E146:E152"/>
    <mergeCell ref="F132:F138"/>
    <mergeCell ref="F118:F124"/>
    <mergeCell ref="F167:F173"/>
    <mergeCell ref="F146:F152"/>
    <mergeCell ref="F153:F159"/>
    <mergeCell ref="F160:F166"/>
    <mergeCell ref="F139:F145"/>
    <mergeCell ref="F125:F131"/>
    <mergeCell ref="F183:F189"/>
    <mergeCell ref="F176:F182"/>
  </mergeCells>
  <dataValidations count="1">
    <dataValidation allowBlank="1" showInputMessage="1" showErrorMessage="1" promptTitle="Instrucciones " prompt="Poner en mayuscula la inicial de cada palabra con las normas ortográficas." sqref="D8:D12 D5" xr:uid="{DBC75F9D-238D-46D9-9A08-6F4FB02D666C}"/>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CFDF53-C7C3-4B33-99F3-128EB0E6F367}">
          <x14:formula1>
            <xm:f>'Paso 3 Redacción RA '!$I$3:$I$21</xm:f>
          </x14:formula1>
          <xm:sqref>B3:B212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9"/>
  <sheetViews>
    <sheetView workbookViewId="0"/>
  </sheetViews>
  <sheetFormatPr baseColWidth="10" defaultColWidth="11.453125" defaultRowHeight="14.5" x14ac:dyDescent="0.35"/>
  <cols>
    <col min="2" max="2" width="27.1796875" customWidth="1"/>
  </cols>
  <sheetData>
    <row r="1" spans="2:2" ht="16.5" x14ac:dyDescent="0.5">
      <c r="B1" s="1" t="s">
        <v>368</v>
      </c>
    </row>
    <row r="2" spans="2:2" ht="16.5" x14ac:dyDescent="0.5">
      <c r="B2" s="1" t="s">
        <v>369</v>
      </c>
    </row>
    <row r="3" spans="2:2" ht="16.5" x14ac:dyDescent="0.5">
      <c r="B3" s="1" t="s">
        <v>370</v>
      </c>
    </row>
    <row r="4" spans="2:2" ht="16.5" x14ac:dyDescent="0.5">
      <c r="B4" s="1" t="s">
        <v>371</v>
      </c>
    </row>
    <row r="5" spans="2:2" ht="16.5" x14ac:dyDescent="0.5">
      <c r="B5" s="1" t="s">
        <v>372</v>
      </c>
    </row>
    <row r="6" spans="2:2" ht="16.5" x14ac:dyDescent="0.5">
      <c r="B6" s="1" t="s">
        <v>373</v>
      </c>
    </row>
    <row r="7" spans="2:2" ht="16.5" x14ac:dyDescent="0.5">
      <c r="B7" s="1" t="s">
        <v>374</v>
      </c>
    </row>
    <row r="8" spans="2:2" ht="16.5" x14ac:dyDescent="0.5">
      <c r="B8" s="1" t="s">
        <v>375</v>
      </c>
    </row>
    <row r="9" spans="2:2" ht="16.5" x14ac:dyDescent="0.5">
      <c r="B9" s="1" t="s">
        <v>376</v>
      </c>
    </row>
    <row r="10" spans="2:2" ht="16.5" x14ac:dyDescent="0.5">
      <c r="B10" s="1" t="s">
        <v>377</v>
      </c>
    </row>
    <row r="11" spans="2:2" ht="16.5" x14ac:dyDescent="0.5">
      <c r="B11" s="1" t="s">
        <v>378</v>
      </c>
    </row>
    <row r="12" spans="2:2" ht="16.5" x14ac:dyDescent="0.5">
      <c r="B12" s="1" t="s">
        <v>379</v>
      </c>
    </row>
    <row r="13" spans="2:2" ht="16.5" x14ac:dyDescent="0.5">
      <c r="B13" s="1" t="s">
        <v>380</v>
      </c>
    </row>
    <row r="14" spans="2:2" ht="16.5" x14ac:dyDescent="0.5">
      <c r="B14" s="1" t="s">
        <v>73</v>
      </c>
    </row>
    <row r="15" spans="2:2" ht="16.5" x14ac:dyDescent="0.5">
      <c r="B15" s="1" t="s">
        <v>381</v>
      </c>
    </row>
    <row r="16" spans="2:2" ht="16.5" x14ac:dyDescent="0.5">
      <c r="B16" s="1" t="s">
        <v>382</v>
      </c>
    </row>
    <row r="17" spans="2:2" ht="16.5" x14ac:dyDescent="0.5">
      <c r="B17" s="1" t="s">
        <v>67</v>
      </c>
    </row>
    <row r="18" spans="2:2" ht="16.5" x14ac:dyDescent="0.5">
      <c r="B18" s="1" t="s">
        <v>383</v>
      </c>
    </row>
    <row r="19" spans="2:2" ht="16.5" x14ac:dyDescent="0.5">
      <c r="B19" s="1" t="s">
        <v>62</v>
      </c>
    </row>
    <row r="20" spans="2:2" ht="16.5" x14ac:dyDescent="0.5">
      <c r="B20" s="1" t="s">
        <v>384</v>
      </c>
    </row>
    <row r="21" spans="2:2" ht="16.5" x14ac:dyDescent="0.5">
      <c r="B21" s="1" t="s">
        <v>65</v>
      </c>
    </row>
    <row r="22" spans="2:2" ht="16.5" x14ac:dyDescent="0.5">
      <c r="B22" s="1" t="s">
        <v>385</v>
      </c>
    </row>
    <row r="23" spans="2:2" ht="16.5" x14ac:dyDescent="0.5">
      <c r="B23" s="1" t="s">
        <v>386</v>
      </c>
    </row>
    <row r="24" spans="2:2" ht="16.5" x14ac:dyDescent="0.5">
      <c r="B24" s="1" t="s">
        <v>387</v>
      </c>
    </row>
    <row r="25" spans="2:2" ht="16.5" x14ac:dyDescent="0.5">
      <c r="B25" s="1" t="s">
        <v>388</v>
      </c>
    </row>
    <row r="26" spans="2:2" ht="16.5" x14ac:dyDescent="0.5">
      <c r="B26" s="1" t="s">
        <v>389</v>
      </c>
    </row>
    <row r="27" spans="2:2" ht="16.5" x14ac:dyDescent="0.5">
      <c r="B27" s="1" t="s">
        <v>390</v>
      </c>
    </row>
    <row r="28" spans="2:2" ht="16.5" x14ac:dyDescent="0.5">
      <c r="B28" s="1" t="s">
        <v>391</v>
      </c>
    </row>
    <row r="29" spans="2:2" ht="16.5" x14ac:dyDescent="0.5">
      <c r="B29" s="1" t="s">
        <v>392</v>
      </c>
    </row>
    <row r="30" spans="2:2" ht="16.5" x14ac:dyDescent="0.5">
      <c r="B30" s="1" t="s">
        <v>393</v>
      </c>
    </row>
    <row r="31" spans="2:2" ht="16.5" x14ac:dyDescent="0.5">
      <c r="B31" s="1" t="s">
        <v>394</v>
      </c>
    </row>
    <row r="32" spans="2:2" ht="16.5" x14ac:dyDescent="0.5">
      <c r="B32" s="1" t="s">
        <v>395</v>
      </c>
    </row>
    <row r="33" spans="2:2" ht="16.5" x14ac:dyDescent="0.5">
      <c r="B33" s="1" t="s">
        <v>396</v>
      </c>
    </row>
    <row r="34" spans="2:2" ht="16.5" x14ac:dyDescent="0.5">
      <c r="B34" s="1" t="s">
        <v>397</v>
      </c>
    </row>
    <row r="35" spans="2:2" ht="16.5" x14ac:dyDescent="0.5">
      <c r="B35" s="1" t="s">
        <v>398</v>
      </c>
    </row>
    <row r="36" spans="2:2" ht="16.5" x14ac:dyDescent="0.5">
      <c r="B36" s="1" t="s">
        <v>71</v>
      </c>
    </row>
    <row r="37" spans="2:2" ht="16.5" x14ac:dyDescent="0.5">
      <c r="B37" s="1" t="s">
        <v>75</v>
      </c>
    </row>
    <row r="38" spans="2:2" ht="16.5" x14ac:dyDescent="0.5">
      <c r="B38" s="1" t="s">
        <v>69</v>
      </c>
    </row>
    <row r="39" spans="2:2" ht="16.5" x14ac:dyDescent="0.5">
      <c r="B39" s="1" t="s">
        <v>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L3" sqref="L3"/>
    </sheetView>
  </sheetViews>
  <sheetFormatPr baseColWidth="10" defaultColWidth="11.453125" defaultRowHeight="16.5" x14ac:dyDescent="0.5"/>
  <cols>
    <col min="1" max="1" width="20.453125" style="1" customWidth="1"/>
    <col min="2" max="2" width="14.453125" style="1" customWidth="1"/>
    <col min="3" max="3" width="22.1796875" style="1" customWidth="1"/>
    <col min="4" max="4" width="21.453125" style="1" customWidth="1"/>
    <col min="5" max="5" width="22.81640625" style="1" customWidth="1"/>
    <col min="6" max="6" width="16.81640625" style="1" customWidth="1"/>
    <col min="7" max="7" width="21.81640625" style="1" customWidth="1"/>
    <col min="8" max="8" width="26.1796875" style="1" customWidth="1"/>
    <col min="9" max="9" width="25.453125" style="1" customWidth="1"/>
    <col min="10" max="10" width="24.453125" style="1" customWidth="1"/>
    <col min="11" max="11" width="15.453125" style="1" customWidth="1"/>
    <col min="12" max="17" width="17.453125" style="1" customWidth="1"/>
    <col min="18" max="18" width="22.453125" style="1" customWidth="1"/>
    <col min="19" max="19" width="27.1796875" style="1" bestFit="1" customWidth="1"/>
    <col min="20" max="20" width="26.1796875" style="1" bestFit="1" customWidth="1"/>
    <col min="21" max="21" width="21.81640625" style="1" customWidth="1"/>
    <col min="22" max="24" width="13.1796875" style="1" customWidth="1"/>
    <col min="25" max="25" width="14.81640625" style="1" customWidth="1"/>
    <col min="26" max="26" width="20"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453125" style="1" customWidth="1"/>
    <col min="34" max="36" width="13.1796875" style="1" customWidth="1"/>
    <col min="37" max="37" width="14.453125" style="1" customWidth="1"/>
    <col min="38" max="38" width="23.1796875" style="1" bestFit="1" customWidth="1"/>
    <col min="39" max="39" width="26.453125" style="1" bestFit="1" customWidth="1"/>
    <col min="40" max="40" width="20.453125" style="1" bestFit="1" customWidth="1"/>
    <col min="41" max="41" width="21.81640625" style="1" bestFit="1" customWidth="1"/>
    <col min="42" max="42" width="17.453125" style="1" bestFit="1" customWidth="1"/>
    <col min="43" max="43" width="18.453125" style="1" bestFit="1" customWidth="1"/>
    <col min="44" max="44" width="16.453125" style="1" customWidth="1"/>
    <col min="45" max="45" width="26.453125" style="1" bestFit="1" customWidth="1"/>
    <col min="46" max="46" width="21.45312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453125" style="1" bestFit="1" customWidth="1"/>
    <col min="52" max="52" width="32.1796875" style="1" bestFit="1" customWidth="1"/>
    <col min="53" max="53" width="13.453125" style="1" customWidth="1"/>
    <col min="54" max="54" width="23.81640625" style="1" customWidth="1"/>
    <col min="55" max="55" width="22.453125" style="1" customWidth="1"/>
    <col min="56" max="56" width="24.1796875" style="1" customWidth="1"/>
    <col min="57" max="57" width="27.81640625" style="1" customWidth="1"/>
    <col min="58" max="58" width="24.453125" style="1" customWidth="1"/>
    <col min="59" max="59" width="22.453125" style="1" customWidth="1"/>
    <col min="60" max="63" width="13.453125" style="1" customWidth="1"/>
    <col min="64" max="16384" width="11.453125" style="1"/>
  </cols>
  <sheetData>
    <row r="1" spans="1:63" x14ac:dyDescent="0.5">
      <c r="S1" s="169" t="s">
        <v>399</v>
      </c>
      <c r="T1" s="169"/>
      <c r="U1" s="169"/>
      <c r="V1" s="169"/>
      <c r="W1" s="169"/>
      <c r="X1" s="169"/>
      <c r="Y1" s="169"/>
      <c r="Z1" s="169"/>
      <c r="AA1" s="169"/>
      <c r="AB1" s="169"/>
      <c r="AC1" s="169"/>
      <c r="AD1" s="169"/>
      <c r="AE1" s="169"/>
      <c r="AF1" s="169"/>
      <c r="AG1" s="169"/>
      <c r="AH1" s="11"/>
      <c r="AI1" s="11"/>
      <c r="AJ1" s="11"/>
      <c r="AL1" s="169" t="s">
        <v>400</v>
      </c>
      <c r="AM1" s="169"/>
      <c r="AN1" s="169"/>
      <c r="AO1" s="169"/>
      <c r="AP1" s="169"/>
      <c r="AQ1" s="169"/>
      <c r="AR1" s="169"/>
      <c r="AS1" s="169"/>
      <c r="AT1" s="169"/>
      <c r="AU1" s="169"/>
      <c r="AV1" s="169"/>
      <c r="AW1" s="169"/>
      <c r="AX1" s="169"/>
      <c r="AY1" s="169"/>
      <c r="AZ1" s="169"/>
      <c r="BA1" s="11"/>
      <c r="BB1" s="169" t="s">
        <v>401</v>
      </c>
      <c r="BC1" s="169"/>
      <c r="BD1" s="169"/>
      <c r="BE1" s="169"/>
      <c r="BF1" s="169"/>
      <c r="BG1" s="169"/>
      <c r="BH1" s="11"/>
      <c r="BK1" s="11"/>
    </row>
    <row r="2" spans="1:63" x14ac:dyDescent="0.5">
      <c r="L2" s="169" t="s">
        <v>402</v>
      </c>
      <c r="M2" s="169"/>
      <c r="N2" s="169"/>
      <c r="O2" s="169"/>
      <c r="P2" s="169"/>
      <c r="Q2" s="169"/>
      <c r="S2" s="170" t="s">
        <v>403</v>
      </c>
      <c r="T2" s="170"/>
      <c r="U2" s="170"/>
      <c r="V2" s="170"/>
      <c r="W2" s="170"/>
      <c r="X2" s="170"/>
      <c r="Y2" s="170" t="s">
        <v>404</v>
      </c>
      <c r="Z2" s="170"/>
      <c r="AA2" s="170"/>
      <c r="AB2" s="170"/>
      <c r="AC2" s="170" t="s">
        <v>405</v>
      </c>
      <c r="AD2" s="170"/>
      <c r="AE2" s="170"/>
      <c r="AF2" s="170"/>
      <c r="AG2" s="170"/>
      <c r="AH2" s="11"/>
      <c r="AI2" s="11"/>
      <c r="AJ2" s="11"/>
      <c r="AL2" s="169"/>
      <c r="AM2" s="169"/>
      <c r="AN2" s="169"/>
      <c r="AO2" s="169"/>
      <c r="AP2" s="169"/>
      <c r="AQ2" s="169"/>
      <c r="AR2" s="11"/>
      <c r="AS2" s="11"/>
      <c r="AT2" s="11"/>
      <c r="AU2" s="11"/>
      <c r="AV2" s="11"/>
      <c r="AW2" s="11"/>
      <c r="AX2" s="11"/>
      <c r="AY2" s="11"/>
      <c r="AZ2" s="11"/>
      <c r="BA2" s="11"/>
      <c r="BB2" s="11"/>
      <c r="BC2" s="11"/>
      <c r="BD2" s="11"/>
      <c r="BE2" s="11"/>
      <c r="BF2" s="11"/>
      <c r="BG2" s="11"/>
      <c r="BH2" s="11"/>
      <c r="BK2" s="11"/>
    </row>
    <row r="3" spans="1:63" x14ac:dyDescent="0.5">
      <c r="A3" s="1" t="s">
        <v>406</v>
      </c>
      <c r="C3" s="1" t="s">
        <v>96</v>
      </c>
      <c r="D3" s="1" t="s">
        <v>407</v>
      </c>
      <c r="E3" s="1" t="s">
        <v>408</v>
      </c>
      <c r="G3" s="1" t="s">
        <v>118</v>
      </c>
      <c r="H3" s="1" t="s">
        <v>409</v>
      </c>
      <c r="I3" s="1" t="s">
        <v>410</v>
      </c>
      <c r="L3" s="1" t="s">
        <v>411</v>
      </c>
      <c r="M3" s="1" t="s">
        <v>119</v>
      </c>
      <c r="N3" s="1" t="s">
        <v>412</v>
      </c>
      <c r="O3" s="1" t="s">
        <v>413</v>
      </c>
      <c r="P3" s="1" t="s">
        <v>414</v>
      </c>
      <c r="Q3" s="1" t="s">
        <v>415</v>
      </c>
      <c r="S3" s="1" t="s">
        <v>416</v>
      </c>
      <c r="T3" s="1" t="s">
        <v>108</v>
      </c>
      <c r="U3" s="1" t="s">
        <v>417</v>
      </c>
      <c r="V3" s="1" t="s">
        <v>98</v>
      </c>
      <c r="W3" s="1" t="s">
        <v>418</v>
      </c>
      <c r="X3" s="1" t="s">
        <v>419</v>
      </c>
      <c r="Y3" s="1" t="s">
        <v>420</v>
      </c>
      <c r="Z3" s="1" t="s">
        <v>111</v>
      </c>
      <c r="AA3" s="1" t="s">
        <v>421</v>
      </c>
      <c r="AB3" s="1" t="s">
        <v>102</v>
      </c>
      <c r="AC3" s="1" t="s">
        <v>422</v>
      </c>
      <c r="AD3" s="1" t="s">
        <v>423</v>
      </c>
      <c r="AE3" s="1" t="s">
        <v>424</v>
      </c>
      <c r="AF3" s="1" t="s">
        <v>105</v>
      </c>
      <c r="AG3" s="1" t="s">
        <v>425</v>
      </c>
      <c r="AL3" s="171" t="s">
        <v>426</v>
      </c>
      <c r="AM3" s="172"/>
      <c r="AN3" s="172"/>
      <c r="AO3" s="171" t="s">
        <v>427</v>
      </c>
      <c r="AP3" s="172"/>
      <c r="AQ3" s="172"/>
      <c r="AR3" s="171" t="s">
        <v>428</v>
      </c>
      <c r="AS3" s="172"/>
      <c r="AT3" s="172"/>
      <c r="AU3" s="173"/>
      <c r="AV3" s="171" t="s">
        <v>429</v>
      </c>
      <c r="AW3" s="172"/>
      <c r="AX3" s="172"/>
      <c r="AY3" s="172"/>
      <c r="AZ3" s="173"/>
      <c r="BA3" s="12"/>
      <c r="BB3" s="12"/>
      <c r="BC3" s="12"/>
      <c r="BD3" s="12"/>
      <c r="BE3" s="12"/>
      <c r="BF3" s="12"/>
      <c r="BG3" s="12"/>
      <c r="BH3" s="12"/>
      <c r="BK3" s="12"/>
    </row>
    <row r="4" spans="1:63" x14ac:dyDescent="0.5">
      <c r="A4" s="1" t="s">
        <v>117</v>
      </c>
      <c r="C4" s="1" t="s">
        <v>97</v>
      </c>
      <c r="D4" s="1" t="s">
        <v>430</v>
      </c>
      <c r="E4" s="1" t="s">
        <v>431</v>
      </c>
      <c r="G4" s="1" t="s">
        <v>411</v>
      </c>
      <c r="H4" s="1" t="s">
        <v>411</v>
      </c>
      <c r="I4" s="1" t="s">
        <v>411</v>
      </c>
      <c r="L4" s="1" t="s">
        <v>432</v>
      </c>
      <c r="M4" s="1" t="s">
        <v>373</v>
      </c>
      <c r="N4" s="1" t="s">
        <v>71</v>
      </c>
      <c r="O4" s="1" t="s">
        <v>433</v>
      </c>
      <c r="P4" s="1" t="s">
        <v>434</v>
      </c>
      <c r="Q4" s="1" t="s">
        <v>435</v>
      </c>
      <c r="S4" s="1" t="s">
        <v>432</v>
      </c>
      <c r="T4" s="1" t="s">
        <v>373</v>
      </c>
      <c r="U4" s="1" t="s">
        <v>71</v>
      </c>
      <c r="V4" s="1" t="s">
        <v>433</v>
      </c>
      <c r="W4" s="1" t="s">
        <v>434</v>
      </c>
      <c r="X4" s="1" t="s">
        <v>435</v>
      </c>
      <c r="Y4" s="1" t="s">
        <v>436</v>
      </c>
      <c r="Z4" s="1" t="s">
        <v>437</v>
      </c>
      <c r="AA4" s="1" t="s">
        <v>438</v>
      </c>
      <c r="AB4" s="1" t="s">
        <v>439</v>
      </c>
      <c r="AC4" s="1" t="s">
        <v>385</v>
      </c>
      <c r="AD4" s="1" t="s">
        <v>440</v>
      </c>
      <c r="AE4" s="1" t="s">
        <v>441</v>
      </c>
      <c r="AF4" s="1" t="s">
        <v>442</v>
      </c>
      <c r="AG4" s="1" t="s">
        <v>443</v>
      </c>
      <c r="AL4" s="13" t="s">
        <v>444</v>
      </c>
      <c r="AM4" s="13" t="s">
        <v>445</v>
      </c>
      <c r="AN4" s="13" t="s">
        <v>446</v>
      </c>
      <c r="AO4" s="13" t="s">
        <v>447</v>
      </c>
      <c r="AP4" s="14" t="s">
        <v>448</v>
      </c>
      <c r="AQ4" s="13" t="s">
        <v>449</v>
      </c>
      <c r="AR4" s="1" t="s">
        <v>420</v>
      </c>
      <c r="AS4" s="1" t="s">
        <v>111</v>
      </c>
      <c r="AT4" s="1" t="s">
        <v>421</v>
      </c>
      <c r="AU4" s="1" t="s">
        <v>102</v>
      </c>
      <c r="AV4" s="1" t="s">
        <v>422</v>
      </c>
      <c r="AW4" s="1" t="s">
        <v>423</v>
      </c>
      <c r="AX4" s="1" t="s">
        <v>424</v>
      </c>
      <c r="AY4" s="1" t="s">
        <v>105</v>
      </c>
      <c r="AZ4" s="1" t="s">
        <v>425</v>
      </c>
      <c r="BA4" s="12"/>
      <c r="BB4" s="1" t="s">
        <v>450</v>
      </c>
      <c r="BC4" s="1" t="s">
        <v>451</v>
      </c>
      <c r="BD4" s="1" t="s">
        <v>452</v>
      </c>
      <c r="BE4" s="1" t="s">
        <v>453</v>
      </c>
      <c r="BF4" s="1" t="s">
        <v>454</v>
      </c>
      <c r="BG4" s="1" t="s">
        <v>455</v>
      </c>
      <c r="BH4" s="12"/>
      <c r="BK4" s="12"/>
    </row>
    <row r="5" spans="1:63" x14ac:dyDescent="0.5">
      <c r="A5" s="1" t="s">
        <v>96</v>
      </c>
      <c r="C5" s="1" t="s">
        <v>101</v>
      </c>
      <c r="D5" s="1" t="s">
        <v>456</v>
      </c>
      <c r="E5" s="1" t="s">
        <v>457</v>
      </c>
      <c r="G5" s="1" t="s">
        <v>119</v>
      </c>
      <c r="H5" s="1" t="s">
        <v>119</v>
      </c>
      <c r="I5" s="1" t="s">
        <v>119</v>
      </c>
      <c r="L5" s="1" t="s">
        <v>458</v>
      </c>
      <c r="M5" s="1" t="s">
        <v>459</v>
      </c>
      <c r="N5" s="1" t="s">
        <v>460</v>
      </c>
      <c r="O5" s="1" t="s">
        <v>75</v>
      </c>
      <c r="P5" s="1" t="s">
        <v>370</v>
      </c>
      <c r="Q5" s="1" t="s">
        <v>461</v>
      </c>
      <c r="S5" s="1" t="s">
        <v>458</v>
      </c>
      <c r="T5" s="1" t="s">
        <v>459</v>
      </c>
      <c r="U5" s="1" t="s">
        <v>460</v>
      </c>
      <c r="V5" s="1" t="s">
        <v>75</v>
      </c>
      <c r="W5" s="1" t="s">
        <v>370</v>
      </c>
      <c r="X5" s="1" t="s">
        <v>461</v>
      </c>
      <c r="Y5" s="1" t="s">
        <v>434</v>
      </c>
      <c r="Z5" s="1" t="s">
        <v>462</v>
      </c>
      <c r="AA5" s="1" t="s">
        <v>390</v>
      </c>
      <c r="AB5" s="1" t="s">
        <v>463</v>
      </c>
      <c r="AC5" s="1" t="s">
        <v>375</v>
      </c>
      <c r="AD5" s="1" t="s">
        <v>464</v>
      </c>
      <c r="AE5" s="1" t="s">
        <v>440</v>
      </c>
      <c r="AF5" s="1" t="s">
        <v>465</v>
      </c>
      <c r="AG5" s="1" t="s">
        <v>466</v>
      </c>
      <c r="AL5" s="2" t="s">
        <v>467</v>
      </c>
      <c r="AM5" s="2" t="s">
        <v>468</v>
      </c>
      <c r="AN5" s="2" t="s">
        <v>469</v>
      </c>
      <c r="AO5" s="2" t="s">
        <v>470</v>
      </c>
      <c r="AP5" s="2" t="s">
        <v>434</v>
      </c>
      <c r="AQ5" s="2" t="s">
        <v>379</v>
      </c>
      <c r="AR5" s="1" t="s">
        <v>436</v>
      </c>
      <c r="AS5" s="1" t="s">
        <v>437</v>
      </c>
      <c r="AT5" s="1" t="s">
        <v>438</v>
      </c>
      <c r="AU5" s="1" t="s">
        <v>439</v>
      </c>
      <c r="AV5" s="1" t="s">
        <v>385</v>
      </c>
      <c r="AW5" s="1" t="s">
        <v>440</v>
      </c>
      <c r="AX5" s="1" t="s">
        <v>441</v>
      </c>
      <c r="AY5" s="1" t="s">
        <v>442</v>
      </c>
      <c r="AZ5" s="1" t="s">
        <v>443</v>
      </c>
      <c r="BA5" s="2"/>
      <c r="BB5" s="15" t="s">
        <v>467</v>
      </c>
      <c r="BC5" s="17" t="s">
        <v>373</v>
      </c>
      <c r="BD5" s="15" t="s">
        <v>470</v>
      </c>
      <c r="BE5" s="15" t="s">
        <v>469</v>
      </c>
      <c r="BF5" s="17" t="s">
        <v>471</v>
      </c>
      <c r="BG5" s="17" t="s">
        <v>471</v>
      </c>
      <c r="BH5" s="2"/>
      <c r="BK5" s="2"/>
    </row>
    <row r="6" spans="1:63" x14ac:dyDescent="0.5">
      <c r="A6" s="1" t="s">
        <v>407</v>
      </c>
      <c r="C6" s="1" t="s">
        <v>104</v>
      </c>
      <c r="D6" s="1" t="s">
        <v>472</v>
      </c>
      <c r="E6" s="1" t="s">
        <v>473</v>
      </c>
      <c r="G6" s="1" t="s">
        <v>412</v>
      </c>
      <c r="H6" s="1" t="s">
        <v>412</v>
      </c>
      <c r="I6" s="1" t="s">
        <v>412</v>
      </c>
      <c r="L6" s="1" t="s">
        <v>474</v>
      </c>
      <c r="M6" s="1" t="s">
        <v>475</v>
      </c>
      <c r="N6" s="1" t="s">
        <v>476</v>
      </c>
      <c r="O6" s="1" t="s">
        <v>477</v>
      </c>
      <c r="P6" s="1" t="s">
        <v>478</v>
      </c>
      <c r="Q6" s="1" t="s">
        <v>479</v>
      </c>
      <c r="S6" s="1" t="s">
        <v>474</v>
      </c>
      <c r="T6" s="1" t="s">
        <v>475</v>
      </c>
      <c r="U6" s="1" t="s">
        <v>476</v>
      </c>
      <c r="V6" s="1" t="s">
        <v>477</v>
      </c>
      <c r="W6" s="1" t="s">
        <v>478</v>
      </c>
      <c r="X6" s="1" t="s">
        <v>479</v>
      </c>
      <c r="Y6" s="1" t="s">
        <v>480</v>
      </c>
      <c r="Z6" s="1" t="s">
        <v>481</v>
      </c>
      <c r="AA6" s="1" t="s">
        <v>482</v>
      </c>
      <c r="AB6" s="1" t="s">
        <v>483</v>
      </c>
      <c r="AC6" s="1" t="s">
        <v>380</v>
      </c>
      <c r="AD6" s="1" t="s">
        <v>484</v>
      </c>
      <c r="AE6" s="1" t="s">
        <v>471</v>
      </c>
      <c r="AF6" s="1" t="s">
        <v>485</v>
      </c>
      <c r="AG6" s="1" t="s">
        <v>375</v>
      </c>
      <c r="AL6" s="2" t="s">
        <v>474</v>
      </c>
      <c r="AM6" s="2" t="s">
        <v>486</v>
      </c>
      <c r="AN6" s="2" t="s">
        <v>470</v>
      </c>
      <c r="AO6" s="2" t="s">
        <v>433</v>
      </c>
      <c r="AP6" s="2" t="s">
        <v>487</v>
      </c>
      <c r="AQ6" s="2" t="s">
        <v>488</v>
      </c>
      <c r="AR6" s="1" t="s">
        <v>434</v>
      </c>
      <c r="AS6" s="1" t="s">
        <v>462</v>
      </c>
      <c r="AT6" s="1" t="s">
        <v>390</v>
      </c>
      <c r="AU6" s="1" t="s">
        <v>463</v>
      </c>
      <c r="AV6" s="1" t="s">
        <v>375</v>
      </c>
      <c r="AW6" s="1" t="s">
        <v>464</v>
      </c>
      <c r="AX6" s="1" t="s">
        <v>440</v>
      </c>
      <c r="AY6" s="1" t="s">
        <v>465</v>
      </c>
      <c r="AZ6" s="1" t="s">
        <v>466</v>
      </c>
      <c r="BA6" s="2"/>
      <c r="BB6" s="16" t="s">
        <v>474</v>
      </c>
      <c r="BC6" s="18" t="s">
        <v>459</v>
      </c>
      <c r="BD6" s="17" t="s">
        <v>433</v>
      </c>
      <c r="BE6" s="16" t="s">
        <v>470</v>
      </c>
      <c r="BF6" s="18" t="s">
        <v>489</v>
      </c>
      <c r="BG6" s="17" t="s">
        <v>441</v>
      </c>
      <c r="BH6" s="2"/>
      <c r="BK6" s="2"/>
    </row>
    <row r="7" spans="1:63" x14ac:dyDescent="0.5">
      <c r="A7" s="1" t="s">
        <v>408</v>
      </c>
      <c r="D7" s="1" t="s">
        <v>490</v>
      </c>
      <c r="G7" s="1" t="s">
        <v>413</v>
      </c>
      <c r="H7" s="1" t="s">
        <v>413</v>
      </c>
      <c r="I7" s="1" t="s">
        <v>413</v>
      </c>
      <c r="L7" s="1" t="s">
        <v>491</v>
      </c>
      <c r="M7" s="1" t="s">
        <v>374</v>
      </c>
      <c r="N7" s="1" t="s">
        <v>492</v>
      </c>
      <c r="O7" s="1" t="s">
        <v>493</v>
      </c>
      <c r="P7" s="1" t="s">
        <v>478</v>
      </c>
      <c r="Q7" s="1" t="s">
        <v>494</v>
      </c>
      <c r="S7" s="1" t="s">
        <v>491</v>
      </c>
      <c r="T7" s="1" t="s">
        <v>374</v>
      </c>
      <c r="U7" s="1" t="s">
        <v>492</v>
      </c>
      <c r="V7" s="1" t="s">
        <v>493</v>
      </c>
      <c r="W7" s="1" t="s">
        <v>478</v>
      </c>
      <c r="X7" s="1" t="s">
        <v>494</v>
      </c>
      <c r="Y7" s="1" t="s">
        <v>495</v>
      </c>
      <c r="Z7" s="1" t="s">
        <v>496</v>
      </c>
      <c r="AA7" s="1" t="s">
        <v>497</v>
      </c>
      <c r="AB7" s="1" t="s">
        <v>498</v>
      </c>
      <c r="AC7" s="1" t="s">
        <v>437</v>
      </c>
      <c r="AD7" s="1" t="s">
        <v>467</v>
      </c>
      <c r="AE7" s="1" t="s">
        <v>467</v>
      </c>
      <c r="AF7" s="1" t="s">
        <v>489</v>
      </c>
      <c r="AG7" s="1" t="s">
        <v>499</v>
      </c>
      <c r="AL7" s="2" t="s">
        <v>500</v>
      </c>
      <c r="AM7" s="2" t="s">
        <v>501</v>
      </c>
      <c r="AN7" s="2" t="s">
        <v>477</v>
      </c>
      <c r="AO7" s="2" t="s">
        <v>502</v>
      </c>
      <c r="AP7" s="2" t="s">
        <v>503</v>
      </c>
      <c r="AQ7" s="2" t="s">
        <v>504</v>
      </c>
      <c r="AR7" s="1" t="s">
        <v>480</v>
      </c>
      <c r="AS7" s="1" t="s">
        <v>481</v>
      </c>
      <c r="AT7" s="1" t="s">
        <v>482</v>
      </c>
      <c r="AU7" s="1" t="s">
        <v>483</v>
      </c>
      <c r="AV7" s="1" t="s">
        <v>380</v>
      </c>
      <c r="AW7" s="1" t="s">
        <v>484</v>
      </c>
      <c r="AX7" s="1" t="s">
        <v>471</v>
      </c>
      <c r="AY7" s="1" t="s">
        <v>485</v>
      </c>
      <c r="AZ7" s="1" t="s">
        <v>375</v>
      </c>
      <c r="BA7" s="2"/>
      <c r="BB7" s="15" t="s">
        <v>500</v>
      </c>
      <c r="BC7" s="1" t="s">
        <v>468</v>
      </c>
      <c r="BD7" s="18" t="s">
        <v>75</v>
      </c>
      <c r="BE7" s="17" t="s">
        <v>71</v>
      </c>
      <c r="BF7" s="17" t="s">
        <v>441</v>
      </c>
      <c r="BG7" s="17" t="s">
        <v>505</v>
      </c>
      <c r="BH7" s="2"/>
      <c r="BK7" s="2"/>
    </row>
    <row r="8" spans="1:63" x14ac:dyDescent="0.5">
      <c r="G8" s="1" t="s">
        <v>414</v>
      </c>
      <c r="H8" s="1" t="s">
        <v>414</v>
      </c>
      <c r="I8" s="1" t="s">
        <v>414</v>
      </c>
      <c r="L8" s="1" t="s">
        <v>506</v>
      </c>
      <c r="M8" s="1" t="s">
        <v>507</v>
      </c>
      <c r="N8" s="1" t="s">
        <v>375</v>
      </c>
      <c r="O8" s="1" t="s">
        <v>486</v>
      </c>
      <c r="P8" s="1" t="s">
        <v>508</v>
      </c>
      <c r="Q8" s="1" t="s">
        <v>509</v>
      </c>
      <c r="S8" s="1" t="s">
        <v>506</v>
      </c>
      <c r="T8" s="1" t="s">
        <v>507</v>
      </c>
      <c r="U8" s="1" t="s">
        <v>375</v>
      </c>
      <c r="V8" s="1" t="s">
        <v>486</v>
      </c>
      <c r="W8" s="1" t="s">
        <v>508</v>
      </c>
      <c r="X8" s="1" t="s">
        <v>509</v>
      </c>
      <c r="Y8" s="1" t="s">
        <v>371</v>
      </c>
      <c r="Z8" s="1" t="s">
        <v>510</v>
      </c>
      <c r="AA8" s="1" t="s">
        <v>511</v>
      </c>
      <c r="AB8" s="1" t="s">
        <v>512</v>
      </c>
      <c r="AC8" s="1" t="s">
        <v>71</v>
      </c>
      <c r="AD8" s="1" t="s">
        <v>371</v>
      </c>
      <c r="AE8" s="1" t="s">
        <v>513</v>
      </c>
      <c r="AF8" s="1" t="s">
        <v>514</v>
      </c>
      <c r="AG8" s="1" t="s">
        <v>515</v>
      </c>
      <c r="AL8" s="2" t="s">
        <v>506</v>
      </c>
      <c r="AM8" s="2" t="s">
        <v>484</v>
      </c>
      <c r="AN8" s="2" t="s">
        <v>493</v>
      </c>
      <c r="AO8" s="2" t="s">
        <v>516</v>
      </c>
      <c r="AP8" s="2" t="s">
        <v>517</v>
      </c>
      <c r="AQ8" s="2" t="s">
        <v>518</v>
      </c>
      <c r="AR8" s="1" t="s">
        <v>495</v>
      </c>
      <c r="AS8" s="1" t="s">
        <v>496</v>
      </c>
      <c r="AT8" s="1" t="s">
        <v>497</v>
      </c>
      <c r="AU8" s="1" t="s">
        <v>498</v>
      </c>
      <c r="AV8" s="1" t="s">
        <v>437</v>
      </c>
      <c r="AW8" s="1" t="s">
        <v>467</v>
      </c>
      <c r="AX8" s="1" t="s">
        <v>467</v>
      </c>
      <c r="AY8" s="1" t="s">
        <v>489</v>
      </c>
      <c r="AZ8" s="1" t="s">
        <v>499</v>
      </c>
      <c r="BA8" s="2"/>
      <c r="BB8" s="16" t="s">
        <v>506</v>
      </c>
      <c r="BC8" s="17" t="s">
        <v>475</v>
      </c>
      <c r="BD8" s="17" t="s">
        <v>71</v>
      </c>
      <c r="BE8" s="15" t="s">
        <v>477</v>
      </c>
      <c r="BF8" s="18" t="s">
        <v>505</v>
      </c>
      <c r="BG8" s="17" t="s">
        <v>519</v>
      </c>
      <c r="BH8" s="2"/>
      <c r="BK8" s="2"/>
    </row>
    <row r="9" spans="1:63" x14ac:dyDescent="0.5">
      <c r="G9" s="1" t="s">
        <v>415</v>
      </c>
      <c r="H9" s="1" t="s">
        <v>415</v>
      </c>
      <c r="I9" s="1" t="s">
        <v>415</v>
      </c>
      <c r="L9" s="1" t="s">
        <v>378</v>
      </c>
      <c r="M9" s="1" t="s">
        <v>520</v>
      </c>
      <c r="N9" s="1" t="s">
        <v>69</v>
      </c>
      <c r="O9" s="1" t="s">
        <v>521</v>
      </c>
      <c r="P9" s="1" t="s">
        <v>522</v>
      </c>
      <c r="Q9" s="1" t="s">
        <v>371</v>
      </c>
      <c r="S9" s="1" t="s">
        <v>378</v>
      </c>
      <c r="T9" s="1" t="s">
        <v>520</v>
      </c>
      <c r="U9" s="1" t="s">
        <v>69</v>
      </c>
      <c r="V9" s="1" t="s">
        <v>521</v>
      </c>
      <c r="W9" s="1" t="s">
        <v>522</v>
      </c>
      <c r="X9" s="1" t="s">
        <v>371</v>
      </c>
      <c r="Y9" s="1" t="s">
        <v>494</v>
      </c>
      <c r="Z9" s="1" t="s">
        <v>523</v>
      </c>
      <c r="AA9" s="1" t="s">
        <v>524</v>
      </c>
      <c r="AB9" s="1" t="s">
        <v>525</v>
      </c>
      <c r="AC9" s="1" t="s">
        <v>526</v>
      </c>
      <c r="AD9" s="1" t="s">
        <v>385</v>
      </c>
      <c r="AE9" s="1" t="s">
        <v>527</v>
      </c>
      <c r="AF9" s="1" t="s">
        <v>528</v>
      </c>
      <c r="AG9" s="1" t="s">
        <v>505</v>
      </c>
      <c r="AL9" s="2" t="s">
        <v>378</v>
      </c>
      <c r="AM9" s="2" t="s">
        <v>529</v>
      </c>
      <c r="AN9" s="2" t="s">
        <v>530</v>
      </c>
      <c r="AO9" s="2" t="s">
        <v>493</v>
      </c>
      <c r="AP9" s="2" t="s">
        <v>531</v>
      </c>
      <c r="AQ9" s="2" t="s">
        <v>532</v>
      </c>
      <c r="AR9" s="1" t="s">
        <v>371</v>
      </c>
      <c r="AS9" s="1" t="s">
        <v>510</v>
      </c>
      <c r="AT9" s="1" t="s">
        <v>511</v>
      </c>
      <c r="AU9" s="1" t="s">
        <v>512</v>
      </c>
      <c r="AV9" s="1" t="s">
        <v>71</v>
      </c>
      <c r="AW9" s="1" t="s">
        <v>371</v>
      </c>
      <c r="AX9" s="1" t="s">
        <v>513</v>
      </c>
      <c r="AY9" s="1" t="s">
        <v>514</v>
      </c>
      <c r="AZ9" s="1" t="s">
        <v>515</v>
      </c>
      <c r="BA9" s="2"/>
      <c r="BB9" s="15" t="s">
        <v>378</v>
      </c>
      <c r="BC9" s="16" t="s">
        <v>486</v>
      </c>
      <c r="BD9" s="17" t="s">
        <v>502</v>
      </c>
      <c r="BE9" s="18" t="s">
        <v>460</v>
      </c>
      <c r="BF9" s="18" t="s">
        <v>467</v>
      </c>
      <c r="BG9" s="18" t="s">
        <v>533</v>
      </c>
      <c r="BH9" s="2"/>
      <c r="BK9" s="2"/>
    </row>
    <row r="10" spans="1:63" x14ac:dyDescent="0.5">
      <c r="L10" s="1" t="s">
        <v>534</v>
      </c>
      <c r="M10" s="1" t="s">
        <v>535</v>
      </c>
      <c r="N10" s="1" t="s">
        <v>484</v>
      </c>
      <c r="O10" s="1" t="s">
        <v>501</v>
      </c>
      <c r="P10" s="1" t="s">
        <v>477</v>
      </c>
      <c r="Q10" s="1" t="s">
        <v>372</v>
      </c>
      <c r="S10" s="1" t="s">
        <v>534</v>
      </c>
      <c r="T10" s="1" t="s">
        <v>535</v>
      </c>
      <c r="U10" s="1" t="s">
        <v>484</v>
      </c>
      <c r="V10" s="1" t="s">
        <v>501</v>
      </c>
      <c r="W10" s="1" t="s">
        <v>477</v>
      </c>
      <c r="X10" s="1" t="s">
        <v>372</v>
      </c>
      <c r="Y10" s="1" t="s">
        <v>75</v>
      </c>
      <c r="Z10" s="1" t="s">
        <v>385</v>
      </c>
      <c r="AA10" s="1" t="s">
        <v>536</v>
      </c>
      <c r="AB10" s="1" t="s">
        <v>537</v>
      </c>
      <c r="AC10" s="1" t="s">
        <v>538</v>
      </c>
      <c r="AD10" s="1" t="s">
        <v>374</v>
      </c>
      <c r="AE10" s="1" t="s">
        <v>539</v>
      </c>
      <c r="AF10" s="1" t="s">
        <v>540</v>
      </c>
      <c r="AG10" s="1" t="s">
        <v>541</v>
      </c>
      <c r="AL10" s="2" t="s">
        <v>534</v>
      </c>
      <c r="AM10" s="2" t="s">
        <v>542</v>
      </c>
      <c r="AN10" s="2" t="s">
        <v>543</v>
      </c>
      <c r="AO10" s="2" t="s">
        <v>544</v>
      </c>
      <c r="AP10" s="2" t="s">
        <v>476</v>
      </c>
      <c r="AQ10" s="2" t="s">
        <v>388</v>
      </c>
      <c r="AR10" s="1" t="s">
        <v>494</v>
      </c>
      <c r="AS10" s="1" t="s">
        <v>523</v>
      </c>
      <c r="AT10" s="1" t="s">
        <v>524</v>
      </c>
      <c r="AU10" s="1" t="s">
        <v>525</v>
      </c>
      <c r="AV10" s="1" t="s">
        <v>526</v>
      </c>
      <c r="AW10" s="1" t="s">
        <v>385</v>
      </c>
      <c r="AX10" s="1" t="s">
        <v>527</v>
      </c>
      <c r="AY10" s="1" t="s">
        <v>528</v>
      </c>
      <c r="AZ10" s="1" t="s">
        <v>505</v>
      </c>
      <c r="BA10" s="2"/>
      <c r="BB10" s="16" t="s">
        <v>534</v>
      </c>
      <c r="BC10" s="18" t="s">
        <v>374</v>
      </c>
      <c r="BD10" s="18" t="s">
        <v>516</v>
      </c>
      <c r="BE10" s="16" t="s">
        <v>493</v>
      </c>
      <c r="BF10" s="18" t="s">
        <v>519</v>
      </c>
      <c r="BG10" s="17" t="s">
        <v>545</v>
      </c>
      <c r="BH10" s="2"/>
      <c r="BK10" s="2"/>
    </row>
    <row r="11" spans="1:63" x14ac:dyDescent="0.5">
      <c r="G11" s="1" t="s">
        <v>546</v>
      </c>
      <c r="H11" s="1" t="s">
        <v>456</v>
      </c>
      <c r="I11" s="1" t="s">
        <v>547</v>
      </c>
      <c r="J11" s="1" t="s">
        <v>490</v>
      </c>
      <c r="L11" s="1" t="s">
        <v>484</v>
      </c>
      <c r="M11" s="1" t="s">
        <v>548</v>
      </c>
      <c r="N11" s="1" t="s">
        <v>106</v>
      </c>
      <c r="O11" s="1" t="s">
        <v>520</v>
      </c>
      <c r="P11" s="1" t="s">
        <v>492</v>
      </c>
      <c r="Q11" s="1" t="s">
        <v>549</v>
      </c>
      <c r="S11" s="1" t="s">
        <v>484</v>
      </c>
      <c r="T11" s="1" t="s">
        <v>548</v>
      </c>
      <c r="U11" s="1" t="s">
        <v>106</v>
      </c>
      <c r="V11" s="1" t="s">
        <v>520</v>
      </c>
      <c r="W11" s="1" t="s">
        <v>492</v>
      </c>
      <c r="X11" s="1" t="s">
        <v>549</v>
      </c>
      <c r="Y11" s="1" t="s">
        <v>71</v>
      </c>
      <c r="Z11" s="1" t="s">
        <v>442</v>
      </c>
      <c r="AA11" s="1" t="s">
        <v>550</v>
      </c>
      <c r="AB11" s="1" t="s">
        <v>385</v>
      </c>
      <c r="AC11" s="1" t="s">
        <v>551</v>
      </c>
      <c r="AD11" s="1" t="s">
        <v>552</v>
      </c>
      <c r="AE11" s="1" t="s">
        <v>519</v>
      </c>
      <c r="AF11" s="1" t="s">
        <v>553</v>
      </c>
      <c r="AG11" s="1" t="s">
        <v>554</v>
      </c>
      <c r="AL11" s="2" t="s">
        <v>555</v>
      </c>
      <c r="AM11" s="2" t="s">
        <v>556</v>
      </c>
      <c r="AN11" s="2" t="s">
        <v>484</v>
      </c>
      <c r="AO11" s="2" t="s">
        <v>486</v>
      </c>
      <c r="AP11" s="2" t="s">
        <v>486</v>
      </c>
      <c r="AQ11" s="2" t="s">
        <v>557</v>
      </c>
      <c r="AR11" s="1" t="s">
        <v>75</v>
      </c>
      <c r="AS11" s="1" t="s">
        <v>385</v>
      </c>
      <c r="AT11" s="1" t="s">
        <v>536</v>
      </c>
      <c r="AU11" s="1" t="s">
        <v>537</v>
      </c>
      <c r="AV11" s="1" t="s">
        <v>538</v>
      </c>
      <c r="AW11" s="1" t="s">
        <v>374</v>
      </c>
      <c r="AX11" s="1" t="s">
        <v>539</v>
      </c>
      <c r="AY11" s="1" t="s">
        <v>540</v>
      </c>
      <c r="AZ11" s="1" t="s">
        <v>541</v>
      </c>
      <c r="BA11" s="2"/>
      <c r="BB11" s="15" t="s">
        <v>555</v>
      </c>
      <c r="BC11" s="15" t="s">
        <v>501</v>
      </c>
      <c r="BD11" s="17" t="s">
        <v>477</v>
      </c>
      <c r="BE11" s="17" t="s">
        <v>476</v>
      </c>
      <c r="BF11" s="18" t="s">
        <v>533</v>
      </c>
      <c r="BG11" s="17" t="s">
        <v>528</v>
      </c>
      <c r="BH11" s="2"/>
      <c r="BK11" s="2"/>
    </row>
    <row r="12" spans="1:63" x14ac:dyDescent="0.5">
      <c r="G12" s="1" t="s">
        <v>558</v>
      </c>
      <c r="H12" s="1" t="s">
        <v>558</v>
      </c>
      <c r="I12" s="1" t="s">
        <v>558</v>
      </c>
      <c r="J12" s="1" t="s">
        <v>558</v>
      </c>
      <c r="L12" s="1" t="s">
        <v>559</v>
      </c>
      <c r="M12" s="1" t="s">
        <v>559</v>
      </c>
      <c r="N12" s="1" t="s">
        <v>510</v>
      </c>
      <c r="O12" s="1" t="s">
        <v>560</v>
      </c>
      <c r="P12" s="1" t="s">
        <v>561</v>
      </c>
      <c r="Q12" s="1" t="s">
        <v>477</v>
      </c>
      <c r="S12" s="1" t="s">
        <v>559</v>
      </c>
      <c r="T12" s="1" t="s">
        <v>559</v>
      </c>
      <c r="U12" s="1" t="s">
        <v>510</v>
      </c>
      <c r="V12" s="1" t="s">
        <v>560</v>
      </c>
      <c r="W12" s="1" t="s">
        <v>561</v>
      </c>
      <c r="X12" s="1" t="s">
        <v>477</v>
      </c>
      <c r="Y12" s="1" t="s">
        <v>478</v>
      </c>
      <c r="Z12" s="1" t="s">
        <v>562</v>
      </c>
      <c r="AA12" s="1" t="s">
        <v>563</v>
      </c>
      <c r="AB12" s="1" t="s">
        <v>564</v>
      </c>
      <c r="AC12" s="1" t="s">
        <v>565</v>
      </c>
      <c r="AD12" s="1" t="s">
        <v>529</v>
      </c>
      <c r="AE12" s="1" t="s">
        <v>566</v>
      </c>
      <c r="AF12" s="1" t="s">
        <v>567</v>
      </c>
      <c r="AG12" s="1" t="s">
        <v>568</v>
      </c>
      <c r="AL12" s="2" t="s">
        <v>569</v>
      </c>
      <c r="AM12" s="2" t="s">
        <v>570</v>
      </c>
      <c r="AN12" s="2" t="s">
        <v>379</v>
      </c>
      <c r="AO12" s="2" t="s">
        <v>571</v>
      </c>
      <c r="AP12" s="2" t="s">
        <v>572</v>
      </c>
      <c r="AQ12" s="2" t="s">
        <v>573</v>
      </c>
      <c r="AR12" s="1" t="s">
        <v>71</v>
      </c>
      <c r="AS12" s="1" t="s">
        <v>442</v>
      </c>
      <c r="AT12" s="1" t="s">
        <v>550</v>
      </c>
      <c r="AU12" s="1" t="s">
        <v>385</v>
      </c>
      <c r="AV12" s="1" t="s">
        <v>551</v>
      </c>
      <c r="AW12" s="1" t="s">
        <v>552</v>
      </c>
      <c r="AX12" s="1" t="s">
        <v>519</v>
      </c>
      <c r="AY12" s="1" t="s">
        <v>553</v>
      </c>
      <c r="AZ12" s="1" t="s">
        <v>554</v>
      </c>
      <c r="BA12" s="2"/>
      <c r="BB12" s="16" t="s">
        <v>569</v>
      </c>
      <c r="BC12" s="17" t="s">
        <v>507</v>
      </c>
      <c r="BD12" s="18" t="s">
        <v>460</v>
      </c>
      <c r="BE12" s="18" t="s">
        <v>492</v>
      </c>
      <c r="BF12" s="17" t="s">
        <v>545</v>
      </c>
      <c r="BG12" s="18" t="s">
        <v>527</v>
      </c>
      <c r="BH12" s="2"/>
      <c r="BK12" s="2"/>
    </row>
    <row r="13" spans="1:63" x14ac:dyDescent="0.5">
      <c r="G13" s="1" t="s">
        <v>574</v>
      </c>
      <c r="H13" s="1" t="s">
        <v>574</v>
      </c>
      <c r="I13" s="1" t="s">
        <v>574</v>
      </c>
      <c r="J13" s="1" t="s">
        <v>575</v>
      </c>
      <c r="L13" s="1" t="s">
        <v>569</v>
      </c>
      <c r="M13" s="1" t="s">
        <v>576</v>
      </c>
      <c r="N13" s="1" t="s">
        <v>577</v>
      </c>
      <c r="O13" s="1" t="s">
        <v>548</v>
      </c>
      <c r="P13" s="1" t="s">
        <v>578</v>
      </c>
      <c r="Q13" s="1" t="s">
        <v>579</v>
      </c>
      <c r="S13" s="1" t="s">
        <v>569</v>
      </c>
      <c r="T13" s="1" t="s">
        <v>576</v>
      </c>
      <c r="U13" s="1" t="s">
        <v>577</v>
      </c>
      <c r="V13" s="1" t="s">
        <v>548</v>
      </c>
      <c r="W13" s="1" t="s">
        <v>578</v>
      </c>
      <c r="X13" s="1" t="s">
        <v>579</v>
      </c>
      <c r="Y13" s="1" t="s">
        <v>580</v>
      </c>
      <c r="Z13" s="1" t="s">
        <v>581</v>
      </c>
      <c r="AA13" s="1" t="s">
        <v>382</v>
      </c>
      <c r="AB13" s="1" t="s">
        <v>582</v>
      </c>
      <c r="AC13" s="1" t="s">
        <v>471</v>
      </c>
      <c r="AD13" s="1" t="s">
        <v>583</v>
      </c>
      <c r="AE13" s="1" t="s">
        <v>584</v>
      </c>
      <c r="AF13" s="1" t="s">
        <v>378</v>
      </c>
      <c r="AG13" s="1" t="s">
        <v>583</v>
      </c>
      <c r="AL13" s="2" t="s">
        <v>585</v>
      </c>
      <c r="AM13" s="2" t="s">
        <v>586</v>
      </c>
      <c r="AN13" s="2" t="s">
        <v>481</v>
      </c>
      <c r="AO13" s="2" t="s">
        <v>587</v>
      </c>
      <c r="AP13" s="2" t="s">
        <v>492</v>
      </c>
      <c r="AQ13" s="2" t="s">
        <v>540</v>
      </c>
      <c r="AR13" s="1" t="s">
        <v>478</v>
      </c>
      <c r="AS13" s="1" t="s">
        <v>562</v>
      </c>
      <c r="AT13" s="1" t="s">
        <v>563</v>
      </c>
      <c r="AU13" s="1" t="s">
        <v>564</v>
      </c>
      <c r="AV13" s="1" t="s">
        <v>565</v>
      </c>
      <c r="AW13" s="1" t="s">
        <v>529</v>
      </c>
      <c r="AX13" s="1" t="s">
        <v>566</v>
      </c>
      <c r="AY13" s="1" t="s">
        <v>567</v>
      </c>
      <c r="AZ13" s="1" t="s">
        <v>568</v>
      </c>
      <c r="BA13" s="2"/>
      <c r="BB13" s="15" t="s">
        <v>585</v>
      </c>
      <c r="BC13" s="18" t="s">
        <v>520</v>
      </c>
      <c r="BD13" s="18" t="s">
        <v>493</v>
      </c>
      <c r="BE13" s="17" t="s">
        <v>375</v>
      </c>
      <c r="BF13" s="18" t="s">
        <v>528</v>
      </c>
      <c r="BG13" s="17" t="s">
        <v>440</v>
      </c>
      <c r="BH13" s="2"/>
      <c r="BK13" s="2"/>
    </row>
    <row r="14" spans="1:63" x14ac:dyDescent="0.5">
      <c r="G14" s="1" t="s">
        <v>588</v>
      </c>
      <c r="H14" s="1" t="s">
        <v>588</v>
      </c>
      <c r="I14" s="1" t="s">
        <v>588</v>
      </c>
      <c r="J14" s="1" t="s">
        <v>588</v>
      </c>
      <c r="L14" s="1" t="s">
        <v>589</v>
      </c>
      <c r="M14" s="1" t="s">
        <v>510</v>
      </c>
      <c r="N14" s="1" t="s">
        <v>73</v>
      </c>
      <c r="O14" s="1" t="s">
        <v>590</v>
      </c>
      <c r="P14" s="1" t="s">
        <v>530</v>
      </c>
      <c r="Q14" s="1" t="s">
        <v>591</v>
      </c>
      <c r="S14" s="1" t="s">
        <v>589</v>
      </c>
      <c r="T14" s="1" t="s">
        <v>510</v>
      </c>
      <c r="U14" s="1" t="s">
        <v>73</v>
      </c>
      <c r="V14" s="1" t="s">
        <v>590</v>
      </c>
      <c r="W14" s="1" t="s">
        <v>530</v>
      </c>
      <c r="X14" s="1" t="s">
        <v>591</v>
      </c>
      <c r="Y14" s="1" t="s">
        <v>592</v>
      </c>
      <c r="Z14" s="1" t="s">
        <v>589</v>
      </c>
      <c r="AA14" s="1" t="s">
        <v>593</v>
      </c>
      <c r="AB14" s="1" t="s">
        <v>594</v>
      </c>
      <c r="AC14" s="1" t="s">
        <v>595</v>
      </c>
      <c r="AD14" s="1" t="s">
        <v>596</v>
      </c>
      <c r="AE14" s="1" t="s">
        <v>597</v>
      </c>
      <c r="AF14" s="1" t="s">
        <v>106</v>
      </c>
      <c r="AG14" s="1" t="s">
        <v>596</v>
      </c>
      <c r="AL14" s="2" t="s">
        <v>598</v>
      </c>
      <c r="AM14" s="2" t="s">
        <v>599</v>
      </c>
      <c r="AN14" s="2" t="s">
        <v>569</v>
      </c>
      <c r="AO14" s="2" t="s">
        <v>600</v>
      </c>
      <c r="AP14" s="2" t="s">
        <v>69</v>
      </c>
      <c r="AQ14" s="2" t="s">
        <v>601</v>
      </c>
      <c r="AR14" s="1" t="s">
        <v>580</v>
      </c>
      <c r="AS14" s="1" t="s">
        <v>581</v>
      </c>
      <c r="AT14" s="1" t="s">
        <v>382</v>
      </c>
      <c r="AU14" s="1" t="s">
        <v>582</v>
      </c>
      <c r="AV14" s="1" t="s">
        <v>471</v>
      </c>
      <c r="AW14" s="1" t="s">
        <v>583</v>
      </c>
      <c r="AX14" s="1" t="s">
        <v>584</v>
      </c>
      <c r="AY14" s="1" t="s">
        <v>378</v>
      </c>
      <c r="AZ14" s="1" t="s">
        <v>583</v>
      </c>
      <c r="BA14" s="2"/>
      <c r="BB14" s="16" t="s">
        <v>598</v>
      </c>
      <c r="BC14" s="17" t="s">
        <v>535</v>
      </c>
      <c r="BD14" s="16" t="s">
        <v>544</v>
      </c>
      <c r="BE14" s="15" t="s">
        <v>530</v>
      </c>
      <c r="BF14" s="18" t="s">
        <v>503</v>
      </c>
      <c r="BG14" s="17" t="s">
        <v>602</v>
      </c>
      <c r="BH14" s="2"/>
      <c r="BK14" s="2"/>
    </row>
    <row r="15" spans="1:63" x14ac:dyDescent="0.5">
      <c r="G15" s="1" t="s">
        <v>603</v>
      </c>
      <c r="H15" s="1" t="s">
        <v>603</v>
      </c>
      <c r="I15" s="1" t="s">
        <v>603</v>
      </c>
      <c r="J15" s="1" t="s">
        <v>603</v>
      </c>
      <c r="L15" s="1" t="s">
        <v>585</v>
      </c>
      <c r="M15" s="1" t="s">
        <v>529</v>
      </c>
      <c r="N15" s="1" t="s">
        <v>481</v>
      </c>
      <c r="O15" s="1" t="s">
        <v>379</v>
      </c>
      <c r="P15" s="1" t="s">
        <v>69</v>
      </c>
      <c r="Q15" s="1" t="s">
        <v>468</v>
      </c>
      <c r="S15" s="1" t="s">
        <v>585</v>
      </c>
      <c r="T15" s="1" t="s">
        <v>529</v>
      </c>
      <c r="U15" s="1" t="s">
        <v>481</v>
      </c>
      <c r="V15" s="1" t="s">
        <v>379</v>
      </c>
      <c r="W15" s="1" t="s">
        <v>69</v>
      </c>
      <c r="X15" s="1" t="s">
        <v>468</v>
      </c>
      <c r="Y15" s="1" t="s">
        <v>438</v>
      </c>
      <c r="Z15" s="1" t="s">
        <v>375</v>
      </c>
      <c r="AA15" s="1" t="s">
        <v>604</v>
      </c>
      <c r="AB15" s="1" t="s">
        <v>375</v>
      </c>
      <c r="AC15" s="1" t="s">
        <v>67</v>
      </c>
      <c r="AD15" s="1" t="s">
        <v>605</v>
      </c>
      <c r="AE15" s="1" t="s">
        <v>533</v>
      </c>
      <c r="AF15" s="1" t="s">
        <v>521</v>
      </c>
      <c r="AG15" s="1" t="s">
        <v>577</v>
      </c>
      <c r="AL15" s="2" t="s">
        <v>606</v>
      </c>
      <c r="AM15" s="2" t="s">
        <v>607</v>
      </c>
      <c r="AN15" s="2" t="s">
        <v>565</v>
      </c>
      <c r="AO15" s="2" t="s">
        <v>608</v>
      </c>
      <c r="AP15" s="2" t="s">
        <v>609</v>
      </c>
      <c r="AQ15" s="2" t="s">
        <v>610</v>
      </c>
      <c r="AR15" s="1" t="s">
        <v>592</v>
      </c>
      <c r="AS15" s="1" t="s">
        <v>589</v>
      </c>
      <c r="AT15" s="1" t="s">
        <v>593</v>
      </c>
      <c r="AU15" s="1" t="s">
        <v>594</v>
      </c>
      <c r="AV15" s="1" t="s">
        <v>595</v>
      </c>
      <c r="AW15" s="1" t="s">
        <v>596</v>
      </c>
      <c r="AX15" s="1" t="s">
        <v>597</v>
      </c>
      <c r="AY15" s="1" t="s">
        <v>106</v>
      </c>
      <c r="AZ15" s="1" t="s">
        <v>596</v>
      </c>
      <c r="BA15" s="2"/>
      <c r="BB15" s="15" t="s">
        <v>606</v>
      </c>
      <c r="BC15" s="18" t="s">
        <v>548</v>
      </c>
      <c r="BD15" s="17" t="s">
        <v>476</v>
      </c>
      <c r="BE15" s="18" t="s">
        <v>69</v>
      </c>
      <c r="BF15" s="18" t="s">
        <v>527</v>
      </c>
      <c r="BG15" s="17" t="s">
        <v>597</v>
      </c>
      <c r="BH15" s="2"/>
      <c r="BK15" s="2"/>
    </row>
    <row r="16" spans="1:63" x14ac:dyDescent="0.5">
      <c r="G16" s="1" t="s">
        <v>611</v>
      </c>
      <c r="H16" s="1" t="s">
        <v>611</v>
      </c>
      <c r="I16" s="1" t="s">
        <v>611</v>
      </c>
      <c r="J16" s="1" t="s">
        <v>611</v>
      </c>
      <c r="L16" s="1" t="s">
        <v>382</v>
      </c>
      <c r="M16" s="1" t="s">
        <v>73</v>
      </c>
      <c r="N16" s="1" t="s">
        <v>612</v>
      </c>
      <c r="O16" s="1" t="s">
        <v>613</v>
      </c>
      <c r="P16" s="1" t="s">
        <v>614</v>
      </c>
      <c r="Q16" s="1" t="s">
        <v>561</v>
      </c>
      <c r="S16" s="1" t="s">
        <v>382</v>
      </c>
      <c r="T16" s="1" t="s">
        <v>73</v>
      </c>
      <c r="U16" s="1" t="s">
        <v>612</v>
      </c>
      <c r="V16" s="1" t="s">
        <v>613</v>
      </c>
      <c r="W16" s="1" t="s">
        <v>614</v>
      </c>
      <c r="X16" s="1" t="s">
        <v>561</v>
      </c>
      <c r="Y16" s="1" t="s">
        <v>615</v>
      </c>
      <c r="Z16" s="1" t="s">
        <v>380</v>
      </c>
      <c r="AA16" s="1" t="s">
        <v>616</v>
      </c>
      <c r="AB16" s="1" t="s">
        <v>437</v>
      </c>
      <c r="AC16" s="1" t="s">
        <v>617</v>
      </c>
      <c r="AD16" s="1" t="s">
        <v>618</v>
      </c>
      <c r="AE16" s="1" t="s">
        <v>545</v>
      </c>
      <c r="AF16" s="1" t="s">
        <v>619</v>
      </c>
      <c r="AG16" s="1" t="s">
        <v>608</v>
      </c>
      <c r="AL16" s="2" t="s">
        <v>524</v>
      </c>
      <c r="AM16" s="2" t="s">
        <v>620</v>
      </c>
      <c r="AN16" s="2" t="s">
        <v>589</v>
      </c>
      <c r="AO16" s="2" t="s">
        <v>621</v>
      </c>
      <c r="AP16" s="2" t="s">
        <v>614</v>
      </c>
      <c r="AQ16" s="2" t="s">
        <v>622</v>
      </c>
      <c r="AR16" s="1" t="s">
        <v>438</v>
      </c>
      <c r="AS16" s="1" t="s">
        <v>375</v>
      </c>
      <c r="AT16" s="1" t="s">
        <v>604</v>
      </c>
      <c r="AU16" s="1" t="s">
        <v>375</v>
      </c>
      <c r="AV16" s="1" t="s">
        <v>67</v>
      </c>
      <c r="AW16" s="1" t="s">
        <v>605</v>
      </c>
      <c r="AX16" s="1" t="s">
        <v>533</v>
      </c>
      <c r="AY16" s="1" t="s">
        <v>521</v>
      </c>
      <c r="AZ16" s="1" t="s">
        <v>577</v>
      </c>
      <c r="BA16" s="2"/>
      <c r="BB16" s="16" t="s">
        <v>524</v>
      </c>
      <c r="BC16" s="16" t="s">
        <v>484</v>
      </c>
      <c r="BD16" s="17" t="s">
        <v>486</v>
      </c>
      <c r="BE16" s="15" t="s">
        <v>484</v>
      </c>
      <c r="BF16" s="18" t="s">
        <v>440</v>
      </c>
      <c r="BG16" s="17" t="s">
        <v>623</v>
      </c>
      <c r="BH16" s="2"/>
      <c r="BK16" s="2"/>
    </row>
    <row r="17" spans="7:63" x14ac:dyDescent="0.5">
      <c r="G17" s="1" t="s">
        <v>624</v>
      </c>
      <c r="H17" s="1" t="s">
        <v>624</v>
      </c>
      <c r="I17" s="1" t="s">
        <v>624</v>
      </c>
      <c r="J17" s="1" t="s">
        <v>624</v>
      </c>
      <c r="L17" s="1" t="s">
        <v>625</v>
      </c>
      <c r="M17" s="1" t="s">
        <v>382</v>
      </c>
      <c r="N17" s="1" t="s">
        <v>569</v>
      </c>
      <c r="O17" s="1" t="s">
        <v>626</v>
      </c>
      <c r="P17" s="1" t="s">
        <v>627</v>
      </c>
      <c r="Q17" s="1" t="s">
        <v>578</v>
      </c>
      <c r="S17" s="1" t="s">
        <v>625</v>
      </c>
      <c r="T17" s="1" t="s">
        <v>382</v>
      </c>
      <c r="U17" s="1" t="s">
        <v>569</v>
      </c>
      <c r="V17" s="1" t="s">
        <v>626</v>
      </c>
      <c r="W17" s="1" t="s">
        <v>627</v>
      </c>
      <c r="X17" s="1" t="s">
        <v>578</v>
      </c>
      <c r="Y17" s="1" t="s">
        <v>65</v>
      </c>
      <c r="Z17" s="1" t="s">
        <v>526</v>
      </c>
      <c r="AA17" s="1" t="s">
        <v>628</v>
      </c>
      <c r="AB17" s="1" t="s">
        <v>629</v>
      </c>
      <c r="AC17" s="1" t="s">
        <v>527</v>
      </c>
      <c r="AD17" s="1" t="s">
        <v>630</v>
      </c>
      <c r="AE17" s="1" t="s">
        <v>631</v>
      </c>
      <c r="AF17" s="1" t="s">
        <v>632</v>
      </c>
      <c r="AG17" s="1" t="s">
        <v>493</v>
      </c>
      <c r="AL17" s="2" t="s">
        <v>633</v>
      </c>
      <c r="AM17" s="2" t="s">
        <v>634</v>
      </c>
      <c r="AN17" s="2" t="s">
        <v>635</v>
      </c>
      <c r="AO17" s="2" t="s">
        <v>569</v>
      </c>
      <c r="AP17" s="2" t="s">
        <v>520</v>
      </c>
      <c r="AQ17" s="2" t="s">
        <v>636</v>
      </c>
      <c r="AR17" s="1" t="s">
        <v>615</v>
      </c>
      <c r="AS17" s="1" t="s">
        <v>380</v>
      </c>
      <c r="AT17" s="1" t="s">
        <v>616</v>
      </c>
      <c r="AU17" s="1" t="s">
        <v>437</v>
      </c>
      <c r="AV17" s="1" t="s">
        <v>617</v>
      </c>
      <c r="AW17" s="1" t="s">
        <v>618</v>
      </c>
      <c r="AX17" s="1" t="s">
        <v>545</v>
      </c>
      <c r="AY17" s="1" t="s">
        <v>619</v>
      </c>
      <c r="AZ17" s="1" t="s">
        <v>608</v>
      </c>
      <c r="BA17" s="2"/>
      <c r="BB17" s="15" t="s">
        <v>633</v>
      </c>
      <c r="BC17" s="17" t="s">
        <v>559</v>
      </c>
      <c r="BD17" s="18" t="s">
        <v>492</v>
      </c>
      <c r="BE17" s="16" t="s">
        <v>379</v>
      </c>
      <c r="BF17" s="18" t="s">
        <v>478</v>
      </c>
      <c r="BG17" s="17" t="s">
        <v>493</v>
      </c>
      <c r="BH17" s="2"/>
      <c r="BK17" s="2"/>
    </row>
    <row r="18" spans="7:63" x14ac:dyDescent="0.5">
      <c r="L18" s="1" t="s">
        <v>637</v>
      </c>
      <c r="M18" s="1" t="s">
        <v>637</v>
      </c>
      <c r="N18" s="1" t="s">
        <v>638</v>
      </c>
      <c r="O18" s="1" t="s">
        <v>600</v>
      </c>
      <c r="P18" s="1" t="s">
        <v>590</v>
      </c>
      <c r="Q18" s="1" t="s">
        <v>639</v>
      </c>
      <c r="S18" s="1" t="s">
        <v>637</v>
      </c>
      <c r="T18" s="1" t="s">
        <v>637</v>
      </c>
      <c r="U18" s="1" t="s">
        <v>638</v>
      </c>
      <c r="V18" s="1" t="s">
        <v>600</v>
      </c>
      <c r="W18" s="1" t="s">
        <v>590</v>
      </c>
      <c r="X18" s="1" t="s">
        <v>639</v>
      </c>
      <c r="Y18" s="1" t="s">
        <v>640</v>
      </c>
      <c r="Z18" s="1" t="s">
        <v>538</v>
      </c>
      <c r="AA18" s="1" t="s">
        <v>526</v>
      </c>
      <c r="AB18" s="1" t="s">
        <v>492</v>
      </c>
      <c r="AC18" s="1" t="s">
        <v>584</v>
      </c>
      <c r="AD18" s="1" t="s">
        <v>506</v>
      </c>
      <c r="AE18" s="1" t="s">
        <v>641</v>
      </c>
      <c r="AF18" s="1" t="s">
        <v>109</v>
      </c>
      <c r="AG18" s="1" t="s">
        <v>642</v>
      </c>
      <c r="AL18" s="2" t="s">
        <v>643</v>
      </c>
      <c r="AM18" s="2" t="s">
        <v>115</v>
      </c>
      <c r="AN18" s="2" t="s">
        <v>644</v>
      </c>
      <c r="AO18" s="2" t="s">
        <v>550</v>
      </c>
      <c r="AP18" s="2" t="s">
        <v>548</v>
      </c>
      <c r="AQ18" s="2" t="s">
        <v>645</v>
      </c>
      <c r="AR18" s="1" t="s">
        <v>65</v>
      </c>
      <c r="AS18" s="1" t="s">
        <v>526</v>
      </c>
      <c r="AT18" s="1" t="s">
        <v>628</v>
      </c>
      <c r="AU18" s="1" t="s">
        <v>629</v>
      </c>
      <c r="AV18" s="1" t="s">
        <v>527</v>
      </c>
      <c r="AW18" s="1" t="s">
        <v>630</v>
      </c>
      <c r="AX18" s="1" t="s">
        <v>631</v>
      </c>
      <c r="AY18" s="1" t="s">
        <v>632</v>
      </c>
      <c r="AZ18" s="1" t="s">
        <v>493</v>
      </c>
      <c r="BA18" s="2"/>
      <c r="BB18" s="16" t="s">
        <v>643</v>
      </c>
      <c r="BC18" s="18" t="s">
        <v>576</v>
      </c>
      <c r="BD18" s="17" t="s">
        <v>375</v>
      </c>
      <c r="BE18" s="15" t="s">
        <v>106</v>
      </c>
      <c r="BF18" s="18" t="s">
        <v>602</v>
      </c>
      <c r="BG18" s="17" t="s">
        <v>468</v>
      </c>
      <c r="BH18" s="2"/>
      <c r="BK18" s="2"/>
    </row>
    <row r="19" spans="7:63" x14ac:dyDescent="0.5">
      <c r="G19" s="1" t="s">
        <v>431</v>
      </c>
      <c r="H19" s="1" t="s">
        <v>457</v>
      </c>
      <c r="I19" s="1" t="s">
        <v>473</v>
      </c>
      <c r="L19" s="1" t="s">
        <v>637</v>
      </c>
      <c r="M19" s="1" t="s">
        <v>570</v>
      </c>
      <c r="N19" s="1" t="s">
        <v>565</v>
      </c>
      <c r="O19" s="1" t="s">
        <v>619</v>
      </c>
      <c r="P19" s="1" t="s">
        <v>646</v>
      </c>
      <c r="Q19" s="1" t="s">
        <v>647</v>
      </c>
      <c r="S19" s="1" t="s">
        <v>637</v>
      </c>
      <c r="T19" s="1" t="s">
        <v>570</v>
      </c>
      <c r="U19" s="1" t="s">
        <v>565</v>
      </c>
      <c r="V19" s="1" t="s">
        <v>619</v>
      </c>
      <c r="W19" s="1" t="s">
        <v>646</v>
      </c>
      <c r="X19" s="1" t="s">
        <v>647</v>
      </c>
      <c r="Y19" s="1" t="s">
        <v>648</v>
      </c>
      <c r="Z19" s="1" t="s">
        <v>637</v>
      </c>
      <c r="AA19" s="1" t="s">
        <v>649</v>
      </c>
      <c r="AB19" s="1" t="s">
        <v>650</v>
      </c>
      <c r="AC19" s="1" t="s">
        <v>566</v>
      </c>
      <c r="AD19" s="1" t="s">
        <v>651</v>
      </c>
      <c r="AE19" s="1" t="s">
        <v>652</v>
      </c>
      <c r="AF19" s="1" t="s">
        <v>653</v>
      </c>
      <c r="AG19" s="1" t="s">
        <v>389</v>
      </c>
      <c r="AL19" s="2" t="s">
        <v>654</v>
      </c>
      <c r="AM19" s="2" t="s">
        <v>643</v>
      </c>
      <c r="AN19" s="2" t="s">
        <v>109</v>
      </c>
      <c r="AO19" s="2" t="s">
        <v>655</v>
      </c>
      <c r="AP19" s="2" t="s">
        <v>627</v>
      </c>
      <c r="AQ19" s="2" t="s">
        <v>656</v>
      </c>
      <c r="AR19" s="1" t="s">
        <v>640</v>
      </c>
      <c r="AS19" s="1" t="s">
        <v>538</v>
      </c>
      <c r="AT19" s="1" t="s">
        <v>526</v>
      </c>
      <c r="AU19" s="1" t="s">
        <v>492</v>
      </c>
      <c r="AV19" s="1" t="s">
        <v>584</v>
      </c>
      <c r="AW19" s="1" t="s">
        <v>506</v>
      </c>
      <c r="AX19" s="1" t="s">
        <v>641</v>
      </c>
      <c r="AY19" s="1" t="s">
        <v>109</v>
      </c>
      <c r="AZ19" s="1" t="s">
        <v>642</v>
      </c>
      <c r="BA19" s="2"/>
      <c r="BB19" s="15" t="s">
        <v>654</v>
      </c>
      <c r="BC19" s="17" t="s">
        <v>510</v>
      </c>
      <c r="BD19" s="18" t="s">
        <v>521</v>
      </c>
      <c r="BE19" s="15" t="s">
        <v>510</v>
      </c>
      <c r="BF19" s="17" t="s">
        <v>597</v>
      </c>
      <c r="BG19" s="17" t="s">
        <v>515</v>
      </c>
      <c r="BH19" s="2"/>
      <c r="BK19" s="2"/>
    </row>
    <row r="20" spans="7:63" x14ac:dyDescent="0.5">
      <c r="G20" s="1" t="s">
        <v>450</v>
      </c>
      <c r="H20" s="1" t="s">
        <v>450</v>
      </c>
      <c r="I20" s="1" t="s">
        <v>450</v>
      </c>
      <c r="L20" s="1" t="s">
        <v>657</v>
      </c>
      <c r="M20" s="1" t="s">
        <v>658</v>
      </c>
      <c r="N20" s="1" t="s">
        <v>556</v>
      </c>
      <c r="O20" s="1" t="s">
        <v>577</v>
      </c>
      <c r="P20" s="1" t="s">
        <v>379</v>
      </c>
      <c r="Q20" s="1" t="s">
        <v>659</v>
      </c>
      <c r="S20" s="1" t="s">
        <v>657</v>
      </c>
      <c r="T20" s="1" t="s">
        <v>658</v>
      </c>
      <c r="U20" s="1" t="s">
        <v>556</v>
      </c>
      <c r="V20" s="1" t="s">
        <v>577</v>
      </c>
      <c r="W20" s="1" t="s">
        <v>379</v>
      </c>
      <c r="X20" s="1" t="s">
        <v>659</v>
      </c>
      <c r="Y20" s="1" t="s">
        <v>660</v>
      </c>
      <c r="Z20" s="1" t="s">
        <v>661</v>
      </c>
      <c r="AA20" s="1" t="s">
        <v>662</v>
      </c>
      <c r="AB20" s="1" t="s">
        <v>636</v>
      </c>
      <c r="AC20" s="1" t="s">
        <v>663</v>
      </c>
      <c r="AD20" s="1" t="s">
        <v>664</v>
      </c>
      <c r="AE20" s="1" t="s">
        <v>623</v>
      </c>
      <c r="AF20" s="1" t="s">
        <v>62</v>
      </c>
      <c r="AG20" s="1" t="s">
        <v>623</v>
      </c>
      <c r="AL20" s="2" t="s">
        <v>665</v>
      </c>
      <c r="AM20" s="2" t="s">
        <v>665</v>
      </c>
      <c r="AN20" s="2" t="s">
        <v>115</v>
      </c>
      <c r="AO20" s="2" t="s">
        <v>382</v>
      </c>
      <c r="AP20" s="2" t="s">
        <v>590</v>
      </c>
      <c r="AQ20" s="2" t="s">
        <v>396</v>
      </c>
      <c r="AR20" s="1" t="s">
        <v>648</v>
      </c>
      <c r="AS20" s="1" t="s">
        <v>637</v>
      </c>
      <c r="AT20" s="1" t="s">
        <v>649</v>
      </c>
      <c r="AU20" s="1" t="s">
        <v>650</v>
      </c>
      <c r="AV20" s="1" t="s">
        <v>566</v>
      </c>
      <c r="AW20" s="1" t="s">
        <v>651</v>
      </c>
      <c r="AX20" s="1" t="s">
        <v>652</v>
      </c>
      <c r="AY20" s="1" t="s">
        <v>653</v>
      </c>
      <c r="AZ20" s="1" t="s">
        <v>389</v>
      </c>
      <c r="BA20" s="2"/>
      <c r="BB20" s="16" t="s">
        <v>665</v>
      </c>
      <c r="BC20" s="15" t="s">
        <v>529</v>
      </c>
      <c r="BD20" s="18" t="s">
        <v>69</v>
      </c>
      <c r="BE20" s="15" t="s">
        <v>577</v>
      </c>
      <c r="BF20" s="17" t="s">
        <v>623</v>
      </c>
      <c r="BG20" s="17" t="s">
        <v>539</v>
      </c>
      <c r="BH20" s="2"/>
      <c r="BK20" s="2"/>
    </row>
    <row r="21" spans="7:63" x14ac:dyDescent="0.5">
      <c r="G21" s="1" t="s">
        <v>451</v>
      </c>
      <c r="H21" s="1" t="s">
        <v>451</v>
      </c>
      <c r="I21" s="1" t="s">
        <v>451</v>
      </c>
      <c r="L21" s="1" t="s">
        <v>385</v>
      </c>
      <c r="M21" s="1" t="s">
        <v>586</v>
      </c>
      <c r="N21" s="1" t="s">
        <v>566</v>
      </c>
      <c r="O21" s="1" t="s">
        <v>608</v>
      </c>
      <c r="P21" s="1" t="s">
        <v>559</v>
      </c>
      <c r="Q21" s="1" t="s">
        <v>666</v>
      </c>
      <c r="S21" s="1" t="s">
        <v>385</v>
      </c>
      <c r="T21" s="1" t="s">
        <v>586</v>
      </c>
      <c r="U21" s="1" t="s">
        <v>566</v>
      </c>
      <c r="V21" s="1" t="s">
        <v>608</v>
      </c>
      <c r="W21" s="1" t="s">
        <v>559</v>
      </c>
      <c r="X21" s="1" t="s">
        <v>666</v>
      </c>
      <c r="Y21" s="1" t="s">
        <v>69</v>
      </c>
      <c r="Z21" s="1" t="s">
        <v>112</v>
      </c>
      <c r="AA21" s="1" t="s">
        <v>667</v>
      </c>
      <c r="AB21" s="1" t="s">
        <v>668</v>
      </c>
      <c r="AC21" s="1" t="s">
        <v>669</v>
      </c>
      <c r="AD21" s="1" t="s">
        <v>670</v>
      </c>
      <c r="AE21" s="1" t="s">
        <v>602</v>
      </c>
      <c r="AF21" s="1" t="s">
        <v>478</v>
      </c>
      <c r="AG21" s="1" t="s">
        <v>671</v>
      </c>
      <c r="AL21" s="2" t="s">
        <v>672</v>
      </c>
      <c r="AM21" s="2" t="s">
        <v>673</v>
      </c>
      <c r="AN21" s="2" t="s">
        <v>628</v>
      </c>
      <c r="AO21" s="2" t="s">
        <v>637</v>
      </c>
      <c r="AP21" s="2" t="s">
        <v>553</v>
      </c>
      <c r="AQ21" s="2" t="s">
        <v>674</v>
      </c>
      <c r="AR21" s="1" t="s">
        <v>660</v>
      </c>
      <c r="AS21" s="1" t="s">
        <v>661</v>
      </c>
      <c r="AT21" s="1" t="s">
        <v>662</v>
      </c>
      <c r="AU21" s="1" t="s">
        <v>636</v>
      </c>
      <c r="AV21" s="1" t="s">
        <v>663</v>
      </c>
      <c r="AW21" s="1" t="s">
        <v>664</v>
      </c>
      <c r="AX21" s="1" t="s">
        <v>623</v>
      </c>
      <c r="AY21" s="1" t="s">
        <v>62</v>
      </c>
      <c r="AZ21" s="1" t="s">
        <v>623</v>
      </c>
      <c r="BA21" s="2"/>
      <c r="BB21" s="15" t="s">
        <v>672</v>
      </c>
      <c r="BC21" s="17" t="s">
        <v>73</v>
      </c>
      <c r="BD21" s="17" t="s">
        <v>501</v>
      </c>
      <c r="BE21" s="15" t="s">
        <v>73</v>
      </c>
      <c r="BF21" s="18" t="s">
        <v>675</v>
      </c>
      <c r="BG21" s="17" t="s">
        <v>375</v>
      </c>
      <c r="BH21" s="2"/>
      <c r="BK21" s="2"/>
    </row>
    <row r="22" spans="7:63" x14ac:dyDescent="0.5">
      <c r="G22" s="1" t="s">
        <v>452</v>
      </c>
      <c r="H22" s="1" t="s">
        <v>452</v>
      </c>
      <c r="I22" s="1" t="s">
        <v>452</v>
      </c>
      <c r="L22" s="1" t="s">
        <v>109</v>
      </c>
      <c r="M22" s="1" t="s">
        <v>442</v>
      </c>
      <c r="N22" s="1" t="s">
        <v>676</v>
      </c>
      <c r="O22" s="1" t="s">
        <v>676</v>
      </c>
      <c r="P22" s="1" t="s">
        <v>677</v>
      </c>
      <c r="Q22" s="1" t="s">
        <v>678</v>
      </c>
      <c r="S22" s="1" t="s">
        <v>109</v>
      </c>
      <c r="T22" s="1" t="s">
        <v>442</v>
      </c>
      <c r="U22" s="1" t="s">
        <v>676</v>
      </c>
      <c r="V22" s="1" t="s">
        <v>676</v>
      </c>
      <c r="W22" s="1" t="s">
        <v>677</v>
      </c>
      <c r="X22" s="1" t="s">
        <v>678</v>
      </c>
      <c r="Y22" s="1" t="s">
        <v>679</v>
      </c>
      <c r="Z22" s="1" t="s">
        <v>586</v>
      </c>
      <c r="AA22" s="1" t="s">
        <v>621</v>
      </c>
      <c r="AB22" s="1" t="s">
        <v>563</v>
      </c>
      <c r="AC22" s="1" t="s">
        <v>680</v>
      </c>
      <c r="AD22" s="1" t="s">
        <v>393</v>
      </c>
      <c r="AE22" s="1" t="s">
        <v>681</v>
      </c>
      <c r="AF22" s="1" t="s">
        <v>663</v>
      </c>
      <c r="AG22" s="1" t="s">
        <v>682</v>
      </c>
      <c r="AL22" s="2" t="s">
        <v>683</v>
      </c>
      <c r="AM22" s="2" t="s">
        <v>684</v>
      </c>
      <c r="AN22" s="2" t="s">
        <v>580</v>
      </c>
      <c r="AO22" s="2" t="s">
        <v>620</v>
      </c>
      <c r="AP22" s="2" t="s">
        <v>484</v>
      </c>
      <c r="AR22" s="1" t="s">
        <v>69</v>
      </c>
      <c r="AS22" s="1" t="s">
        <v>112</v>
      </c>
      <c r="AT22" s="1" t="s">
        <v>667</v>
      </c>
      <c r="AU22" s="1" t="s">
        <v>668</v>
      </c>
      <c r="AV22" s="1" t="s">
        <v>669</v>
      </c>
      <c r="AW22" s="1" t="s">
        <v>670</v>
      </c>
      <c r="AX22" s="1" t="s">
        <v>602</v>
      </c>
      <c r="AY22" s="1" t="s">
        <v>478</v>
      </c>
      <c r="AZ22" s="1" t="s">
        <v>671</v>
      </c>
      <c r="BB22" s="15" t="s">
        <v>673</v>
      </c>
      <c r="BC22" s="17" t="s">
        <v>542</v>
      </c>
      <c r="BD22" s="18" t="s">
        <v>571</v>
      </c>
      <c r="BE22" s="15" t="s">
        <v>481</v>
      </c>
      <c r="BF22" s="18" t="s">
        <v>493</v>
      </c>
      <c r="BG22" s="17" t="s">
        <v>530</v>
      </c>
    </row>
    <row r="23" spans="7:63" x14ac:dyDescent="0.5">
      <c r="G23" s="1" t="s">
        <v>453</v>
      </c>
      <c r="H23" s="1" t="s">
        <v>453</v>
      </c>
      <c r="I23" s="1" t="s">
        <v>453</v>
      </c>
      <c r="L23" s="1" t="s">
        <v>607</v>
      </c>
      <c r="M23" s="1" t="s">
        <v>599</v>
      </c>
      <c r="N23" s="1" t="s">
        <v>676</v>
      </c>
      <c r="O23" s="1" t="s">
        <v>637</v>
      </c>
      <c r="P23" s="1" t="s">
        <v>380</v>
      </c>
      <c r="Q23" s="1" t="s">
        <v>520</v>
      </c>
      <c r="S23" s="1" t="s">
        <v>607</v>
      </c>
      <c r="T23" s="1" t="s">
        <v>599</v>
      </c>
      <c r="U23" s="1" t="s">
        <v>676</v>
      </c>
      <c r="V23" s="1" t="s">
        <v>637</v>
      </c>
      <c r="W23" s="1" t="s">
        <v>380</v>
      </c>
      <c r="X23" s="1" t="s">
        <v>520</v>
      </c>
      <c r="Y23" s="1" t="s">
        <v>385</v>
      </c>
      <c r="Z23" s="1" t="s">
        <v>685</v>
      </c>
      <c r="AA23" s="1" t="s">
        <v>686</v>
      </c>
      <c r="AB23" s="1" t="s">
        <v>536</v>
      </c>
      <c r="AC23" s="1" t="s">
        <v>687</v>
      </c>
      <c r="AD23" s="1" t="s">
        <v>615</v>
      </c>
      <c r="AE23" s="1" t="s">
        <v>569</v>
      </c>
      <c r="AF23" s="1" t="s">
        <v>560</v>
      </c>
      <c r="AG23" s="1" t="s">
        <v>688</v>
      </c>
      <c r="AL23" s="2" t="s">
        <v>630</v>
      </c>
      <c r="AM23" s="2" t="s">
        <v>663</v>
      </c>
      <c r="AN23" s="2" t="s">
        <v>390</v>
      </c>
      <c r="AO23" s="2" t="s">
        <v>689</v>
      </c>
      <c r="AP23" s="2" t="s">
        <v>690</v>
      </c>
      <c r="AR23" s="1" t="s">
        <v>679</v>
      </c>
      <c r="AS23" s="1" t="s">
        <v>586</v>
      </c>
      <c r="AT23" s="1" t="s">
        <v>621</v>
      </c>
      <c r="AU23" s="1" t="s">
        <v>563</v>
      </c>
      <c r="AV23" s="1" t="s">
        <v>680</v>
      </c>
      <c r="AW23" s="1" t="s">
        <v>393</v>
      </c>
      <c r="AX23" s="1" t="s">
        <v>681</v>
      </c>
      <c r="AY23" s="1" t="s">
        <v>663</v>
      </c>
      <c r="AZ23" s="1" t="s">
        <v>682</v>
      </c>
      <c r="BB23" s="16" t="s">
        <v>683</v>
      </c>
      <c r="BC23" s="17" t="s">
        <v>556</v>
      </c>
      <c r="BD23" s="18" t="s">
        <v>520</v>
      </c>
      <c r="BE23" s="17" t="s">
        <v>612</v>
      </c>
      <c r="BF23" s="17" t="s">
        <v>468</v>
      </c>
      <c r="BG23" s="17" t="s">
        <v>521</v>
      </c>
    </row>
    <row r="24" spans="7:63" x14ac:dyDescent="0.5">
      <c r="G24" s="1" t="s">
        <v>454</v>
      </c>
      <c r="H24" s="1" t="s">
        <v>454</v>
      </c>
      <c r="I24" s="1" t="s">
        <v>454</v>
      </c>
      <c r="L24" s="1" t="s">
        <v>606</v>
      </c>
      <c r="M24" s="1" t="s">
        <v>385</v>
      </c>
      <c r="N24" s="1" t="s">
        <v>67</v>
      </c>
      <c r="O24" s="1" t="s">
        <v>691</v>
      </c>
      <c r="P24" s="1" t="s">
        <v>73</v>
      </c>
      <c r="Q24" s="1" t="s">
        <v>560</v>
      </c>
      <c r="S24" s="1" t="s">
        <v>606</v>
      </c>
      <c r="T24" s="1" t="s">
        <v>385</v>
      </c>
      <c r="U24" s="1" t="s">
        <v>67</v>
      </c>
      <c r="V24" s="1" t="s">
        <v>691</v>
      </c>
      <c r="W24" s="1" t="s">
        <v>73</v>
      </c>
      <c r="X24" s="1" t="s">
        <v>560</v>
      </c>
      <c r="Y24" s="1" t="s">
        <v>523</v>
      </c>
      <c r="Z24" s="1" t="s">
        <v>436</v>
      </c>
      <c r="AA24" s="1" t="s">
        <v>692</v>
      </c>
      <c r="AB24" s="1" t="s">
        <v>661</v>
      </c>
      <c r="AC24" s="1" t="s">
        <v>623</v>
      </c>
      <c r="AD24" s="1" t="s">
        <v>693</v>
      </c>
      <c r="AE24" s="1" t="s">
        <v>693</v>
      </c>
      <c r="AF24" s="1" t="s">
        <v>99</v>
      </c>
      <c r="AG24" s="1" t="s">
        <v>594</v>
      </c>
      <c r="AL24" s="2" t="s">
        <v>653</v>
      </c>
      <c r="AM24" s="2" t="s">
        <v>99</v>
      </c>
      <c r="AN24" s="2" t="s">
        <v>694</v>
      </c>
      <c r="AO24" s="2" t="s">
        <v>695</v>
      </c>
      <c r="AP24" s="2" t="s">
        <v>73</v>
      </c>
      <c r="AR24" s="1" t="s">
        <v>385</v>
      </c>
      <c r="AS24" s="1" t="s">
        <v>685</v>
      </c>
      <c r="AT24" s="1" t="s">
        <v>686</v>
      </c>
      <c r="AU24" s="1" t="s">
        <v>536</v>
      </c>
      <c r="AV24" s="1" t="s">
        <v>687</v>
      </c>
      <c r="AW24" s="1" t="s">
        <v>615</v>
      </c>
      <c r="AX24" s="1" t="s">
        <v>569</v>
      </c>
      <c r="AY24" s="1" t="s">
        <v>560</v>
      </c>
      <c r="AZ24" s="1" t="s">
        <v>688</v>
      </c>
      <c r="BB24" s="15" t="s">
        <v>630</v>
      </c>
      <c r="BC24" s="17" t="s">
        <v>382</v>
      </c>
      <c r="BD24" s="17" t="s">
        <v>560</v>
      </c>
      <c r="BE24" s="16" t="s">
        <v>569</v>
      </c>
      <c r="BF24" s="17" t="s">
        <v>596</v>
      </c>
      <c r="BG24" s="17" t="s">
        <v>696</v>
      </c>
    </row>
    <row r="25" spans="7:63" x14ac:dyDescent="0.5">
      <c r="G25" s="1" t="s">
        <v>455</v>
      </c>
      <c r="H25" s="1" t="s">
        <v>455</v>
      </c>
      <c r="I25" s="1" t="s">
        <v>455</v>
      </c>
      <c r="L25" s="1" t="s">
        <v>697</v>
      </c>
      <c r="M25" s="1" t="s">
        <v>109</v>
      </c>
      <c r="N25" s="1" t="s">
        <v>691</v>
      </c>
      <c r="O25" s="1" t="s">
        <v>689</v>
      </c>
      <c r="P25" s="1" t="s">
        <v>688</v>
      </c>
      <c r="Q25" s="1" t="s">
        <v>698</v>
      </c>
      <c r="S25" s="1" t="s">
        <v>697</v>
      </c>
      <c r="T25" s="1" t="s">
        <v>109</v>
      </c>
      <c r="U25" s="1" t="s">
        <v>691</v>
      </c>
      <c r="V25" s="1" t="s">
        <v>689</v>
      </c>
      <c r="W25" s="1" t="s">
        <v>688</v>
      </c>
      <c r="X25" s="1" t="s">
        <v>698</v>
      </c>
      <c r="Y25" s="1" t="s">
        <v>699</v>
      </c>
      <c r="Z25" s="1" t="s">
        <v>700</v>
      </c>
      <c r="AA25" s="1" t="s">
        <v>701</v>
      </c>
      <c r="AB25" s="1" t="s">
        <v>702</v>
      </c>
      <c r="AC25" s="1" t="s">
        <v>671</v>
      </c>
      <c r="AD25" s="1" t="s">
        <v>569</v>
      </c>
      <c r="AE25" s="1" t="s">
        <v>703</v>
      </c>
      <c r="AF25" s="1" t="s">
        <v>530</v>
      </c>
      <c r="AG25" s="1" t="s">
        <v>503</v>
      </c>
      <c r="AL25" s="2" t="s">
        <v>99</v>
      </c>
      <c r="AM25" s="2" t="s">
        <v>465</v>
      </c>
      <c r="AN25" s="2" t="s">
        <v>393</v>
      </c>
      <c r="AO25" s="2" t="s">
        <v>704</v>
      </c>
      <c r="AP25" s="2" t="s">
        <v>566</v>
      </c>
      <c r="AR25" s="1" t="s">
        <v>523</v>
      </c>
      <c r="AS25" s="1" t="s">
        <v>436</v>
      </c>
      <c r="AT25" s="1" t="s">
        <v>692</v>
      </c>
      <c r="AU25" s="1" t="s">
        <v>661</v>
      </c>
      <c r="AV25" s="1" t="s">
        <v>623</v>
      </c>
      <c r="AW25" s="1" t="s">
        <v>693</v>
      </c>
      <c r="AX25" s="1" t="s">
        <v>693</v>
      </c>
      <c r="AY25" s="1" t="s">
        <v>99</v>
      </c>
      <c r="AZ25" s="1" t="s">
        <v>594</v>
      </c>
      <c r="BB25" s="16" t="s">
        <v>653</v>
      </c>
      <c r="BC25" s="17" t="s">
        <v>637</v>
      </c>
      <c r="BD25" s="18" t="s">
        <v>548</v>
      </c>
      <c r="BE25" s="17" t="s">
        <v>638</v>
      </c>
      <c r="BF25" s="17" t="s">
        <v>705</v>
      </c>
      <c r="BG25" s="17" t="s">
        <v>568</v>
      </c>
    </row>
    <row r="26" spans="7:63" x14ac:dyDescent="0.5">
      <c r="L26" s="1" t="s">
        <v>654</v>
      </c>
      <c r="M26" s="1" t="s">
        <v>706</v>
      </c>
      <c r="N26" s="1" t="s">
        <v>607</v>
      </c>
      <c r="O26" s="1" t="s">
        <v>707</v>
      </c>
      <c r="P26" s="1" t="s">
        <v>648</v>
      </c>
      <c r="Q26" s="1" t="s">
        <v>548</v>
      </c>
      <c r="S26" s="1" t="s">
        <v>654</v>
      </c>
      <c r="T26" s="1" t="s">
        <v>706</v>
      </c>
      <c r="U26" s="1" t="s">
        <v>607</v>
      </c>
      <c r="V26" s="1" t="s">
        <v>707</v>
      </c>
      <c r="W26" s="1" t="s">
        <v>648</v>
      </c>
      <c r="X26" s="1" t="s">
        <v>548</v>
      </c>
      <c r="Y26" s="1" t="s">
        <v>531</v>
      </c>
      <c r="Z26" s="1" t="s">
        <v>478</v>
      </c>
      <c r="AA26" s="1" t="s">
        <v>480</v>
      </c>
      <c r="AB26" s="1" t="s">
        <v>708</v>
      </c>
      <c r="AC26" s="1" t="s">
        <v>709</v>
      </c>
      <c r="AD26" s="1" t="s">
        <v>703</v>
      </c>
      <c r="AE26" s="1" t="s">
        <v>468</v>
      </c>
      <c r="AF26" s="1" t="s">
        <v>710</v>
      </c>
      <c r="AG26" s="1" t="s">
        <v>711</v>
      </c>
      <c r="AL26" s="2" t="s">
        <v>99</v>
      </c>
      <c r="AM26" s="2" t="s">
        <v>712</v>
      </c>
      <c r="AN26" s="2" t="s">
        <v>465</v>
      </c>
      <c r="AO26" s="2" t="s">
        <v>665</v>
      </c>
      <c r="AP26" s="2" t="s">
        <v>67</v>
      </c>
      <c r="AR26" s="1" t="s">
        <v>699</v>
      </c>
      <c r="AS26" s="1" t="s">
        <v>700</v>
      </c>
      <c r="AT26" s="1" t="s">
        <v>701</v>
      </c>
      <c r="AU26" s="1" t="s">
        <v>702</v>
      </c>
      <c r="AV26" s="1" t="s">
        <v>671</v>
      </c>
      <c r="AW26" s="1" t="s">
        <v>569</v>
      </c>
      <c r="AX26" s="1" t="s">
        <v>703</v>
      </c>
      <c r="AY26" s="1" t="s">
        <v>530</v>
      </c>
      <c r="AZ26" s="1" t="s">
        <v>503</v>
      </c>
      <c r="BB26" s="15" t="s">
        <v>99</v>
      </c>
      <c r="BC26" s="17" t="s">
        <v>570</v>
      </c>
      <c r="BD26" s="17" t="s">
        <v>590</v>
      </c>
      <c r="BE26" s="18" t="s">
        <v>565</v>
      </c>
      <c r="BF26" s="17" t="s">
        <v>515</v>
      </c>
      <c r="BG26" s="17" t="s">
        <v>560</v>
      </c>
    </row>
    <row r="27" spans="7:63" x14ac:dyDescent="0.5">
      <c r="L27" s="1" t="s">
        <v>713</v>
      </c>
      <c r="M27" s="1" t="s">
        <v>620</v>
      </c>
      <c r="N27" s="1" t="s">
        <v>706</v>
      </c>
      <c r="O27" s="1" t="s">
        <v>695</v>
      </c>
      <c r="P27" s="1" t="s">
        <v>585</v>
      </c>
      <c r="Q27" s="1" t="s">
        <v>627</v>
      </c>
      <c r="S27" s="1" t="s">
        <v>713</v>
      </c>
      <c r="T27" s="1" t="s">
        <v>620</v>
      </c>
      <c r="U27" s="1" t="s">
        <v>706</v>
      </c>
      <c r="V27" s="1" t="s">
        <v>695</v>
      </c>
      <c r="W27" s="1" t="s">
        <v>585</v>
      </c>
      <c r="X27" s="1" t="s">
        <v>627</v>
      </c>
      <c r="Y27" s="1" t="s">
        <v>480</v>
      </c>
      <c r="Z27" s="1" t="s">
        <v>518</v>
      </c>
      <c r="AA27" s="1" t="s">
        <v>436</v>
      </c>
      <c r="AB27" s="1" t="s">
        <v>526</v>
      </c>
      <c r="AC27" s="1" t="s">
        <v>569</v>
      </c>
      <c r="AD27" s="1" t="s">
        <v>468</v>
      </c>
      <c r="AE27" s="1" t="s">
        <v>714</v>
      </c>
      <c r="AF27" s="1" t="s">
        <v>715</v>
      </c>
      <c r="AG27" s="1" t="s">
        <v>398</v>
      </c>
      <c r="AL27" s="2" t="s">
        <v>716</v>
      </c>
      <c r="AM27" s="2" t="s">
        <v>582</v>
      </c>
      <c r="AN27" s="2" t="s">
        <v>693</v>
      </c>
      <c r="AO27" s="2" t="s">
        <v>592</v>
      </c>
      <c r="AP27" s="2" t="s">
        <v>691</v>
      </c>
      <c r="AR27" s="1" t="s">
        <v>531</v>
      </c>
      <c r="AS27" s="1" t="s">
        <v>478</v>
      </c>
      <c r="AT27" s="1" t="s">
        <v>480</v>
      </c>
      <c r="AU27" s="1" t="s">
        <v>708</v>
      </c>
      <c r="AV27" s="1" t="s">
        <v>709</v>
      </c>
      <c r="AW27" s="1" t="s">
        <v>703</v>
      </c>
      <c r="AX27" s="1" t="s">
        <v>468</v>
      </c>
      <c r="AY27" s="1" t="s">
        <v>710</v>
      </c>
      <c r="AZ27" s="1" t="s">
        <v>711</v>
      </c>
      <c r="BB27" s="20" t="s">
        <v>716</v>
      </c>
      <c r="BC27" s="17" t="s">
        <v>658</v>
      </c>
      <c r="BD27" s="17" t="s">
        <v>484</v>
      </c>
      <c r="BE27" s="16" t="s">
        <v>589</v>
      </c>
      <c r="BF27" s="18" t="s">
        <v>499</v>
      </c>
      <c r="BG27" s="17" t="s">
        <v>652</v>
      </c>
    </row>
    <row r="28" spans="7:63" x14ac:dyDescent="0.5">
      <c r="L28" s="1" t="s">
        <v>665</v>
      </c>
      <c r="M28" s="1" t="s">
        <v>115</v>
      </c>
      <c r="N28" s="1" t="s">
        <v>115</v>
      </c>
      <c r="O28" s="1" t="s">
        <v>606</v>
      </c>
      <c r="P28" s="1" t="s">
        <v>382</v>
      </c>
      <c r="Q28" s="1" t="s">
        <v>590</v>
      </c>
      <c r="S28" s="1" t="s">
        <v>665</v>
      </c>
      <c r="T28" s="1" t="s">
        <v>115</v>
      </c>
      <c r="U28" s="1" t="s">
        <v>115</v>
      </c>
      <c r="V28" s="1" t="s">
        <v>606</v>
      </c>
      <c r="W28" s="1" t="s">
        <v>382</v>
      </c>
      <c r="X28" s="1" t="s">
        <v>590</v>
      </c>
      <c r="Y28" s="1" t="s">
        <v>396</v>
      </c>
      <c r="Z28" s="1" t="s">
        <v>628</v>
      </c>
      <c r="AA28" s="1" t="s">
        <v>717</v>
      </c>
      <c r="AB28" s="1" t="s">
        <v>718</v>
      </c>
      <c r="AC28" s="1" t="s">
        <v>703</v>
      </c>
      <c r="AD28" s="1" t="s">
        <v>719</v>
      </c>
      <c r="AE28" s="1" t="s">
        <v>720</v>
      </c>
      <c r="AF28" s="1" t="s">
        <v>721</v>
      </c>
      <c r="AG28" s="1" t="s">
        <v>696</v>
      </c>
      <c r="AL28" s="2"/>
      <c r="AM28" s="2"/>
      <c r="AN28" s="2" t="s">
        <v>722</v>
      </c>
      <c r="AO28" s="2" t="s">
        <v>663</v>
      </c>
      <c r="AP28" s="2" t="s">
        <v>570</v>
      </c>
      <c r="AR28" s="1" t="s">
        <v>480</v>
      </c>
      <c r="AS28" s="1" t="s">
        <v>518</v>
      </c>
      <c r="AT28" s="1" t="s">
        <v>436</v>
      </c>
      <c r="AU28" s="1" t="s">
        <v>526</v>
      </c>
      <c r="AV28" s="1" t="s">
        <v>569</v>
      </c>
      <c r="AW28" s="1" t="s">
        <v>468</v>
      </c>
      <c r="AX28" s="1" t="s">
        <v>714</v>
      </c>
      <c r="AY28" s="1" t="s">
        <v>715</v>
      </c>
      <c r="AZ28" s="1" t="s">
        <v>398</v>
      </c>
      <c r="BB28" s="20"/>
      <c r="BC28" s="17" t="s">
        <v>586</v>
      </c>
      <c r="BD28" s="18" t="s">
        <v>379</v>
      </c>
      <c r="BE28" s="15" t="s">
        <v>635</v>
      </c>
      <c r="BF28" s="17" t="s">
        <v>539</v>
      </c>
      <c r="BG28" s="17" t="s">
        <v>682</v>
      </c>
    </row>
    <row r="29" spans="7:63" x14ac:dyDescent="0.5">
      <c r="L29" s="1" t="s">
        <v>723</v>
      </c>
      <c r="M29" s="1" t="s">
        <v>707</v>
      </c>
      <c r="N29" s="1" t="s">
        <v>695</v>
      </c>
      <c r="O29" s="1" t="s">
        <v>649</v>
      </c>
      <c r="P29" s="1" t="s">
        <v>724</v>
      </c>
      <c r="Q29" s="1" t="s">
        <v>553</v>
      </c>
      <c r="S29" s="1" t="s">
        <v>723</v>
      </c>
      <c r="T29" s="1" t="s">
        <v>707</v>
      </c>
      <c r="U29" s="1" t="s">
        <v>695</v>
      </c>
      <c r="V29" s="1" t="s">
        <v>649</v>
      </c>
      <c r="W29" s="1" t="s">
        <v>724</v>
      </c>
      <c r="X29" s="1" t="s">
        <v>553</v>
      </c>
      <c r="Y29" s="1" t="s">
        <v>725</v>
      </c>
      <c r="Z29" s="1" t="s">
        <v>726</v>
      </c>
      <c r="AA29" s="1" t="s">
        <v>726</v>
      </c>
      <c r="AB29" s="1" t="s">
        <v>727</v>
      </c>
      <c r="AC29" s="1" t="s">
        <v>693</v>
      </c>
      <c r="AD29" s="1" t="s">
        <v>728</v>
      </c>
      <c r="AE29" s="1" t="s">
        <v>648</v>
      </c>
      <c r="AF29" s="1" t="s">
        <v>576</v>
      </c>
      <c r="AG29" s="1" t="s">
        <v>666</v>
      </c>
      <c r="AL29" s="2"/>
      <c r="AN29" s="2" t="s">
        <v>729</v>
      </c>
      <c r="AO29" s="2" t="s">
        <v>730</v>
      </c>
      <c r="AP29" s="2" t="s">
        <v>731</v>
      </c>
      <c r="AR29" s="1" t="s">
        <v>396</v>
      </c>
      <c r="AS29" s="1" t="s">
        <v>628</v>
      </c>
      <c r="AT29" s="1" t="s">
        <v>717</v>
      </c>
      <c r="AU29" s="1" t="s">
        <v>718</v>
      </c>
      <c r="AV29" s="1" t="s">
        <v>703</v>
      </c>
      <c r="AW29" s="1" t="s">
        <v>719</v>
      </c>
      <c r="AX29" s="1" t="s">
        <v>720</v>
      </c>
      <c r="AY29" s="1" t="s">
        <v>721</v>
      </c>
      <c r="AZ29" s="1" t="s">
        <v>696</v>
      </c>
      <c r="BC29" s="17" t="s">
        <v>442</v>
      </c>
      <c r="BD29" s="17" t="s">
        <v>587</v>
      </c>
      <c r="BE29" s="17" t="s">
        <v>556</v>
      </c>
      <c r="BF29" s="17" t="s">
        <v>375</v>
      </c>
      <c r="BG29" s="17" t="s">
        <v>553</v>
      </c>
    </row>
    <row r="30" spans="7:63" x14ac:dyDescent="0.5">
      <c r="L30" s="1" t="s">
        <v>592</v>
      </c>
      <c r="M30" s="1" t="s">
        <v>524</v>
      </c>
      <c r="N30" s="1" t="s">
        <v>606</v>
      </c>
      <c r="O30" s="1" t="s">
        <v>390</v>
      </c>
      <c r="P30" s="1" t="s">
        <v>732</v>
      </c>
      <c r="Q30" s="1" t="s">
        <v>553</v>
      </c>
      <c r="S30" s="1" t="s">
        <v>592</v>
      </c>
      <c r="T30" s="1" t="s">
        <v>524</v>
      </c>
      <c r="U30" s="1" t="s">
        <v>606</v>
      </c>
      <c r="V30" s="1" t="s">
        <v>390</v>
      </c>
      <c r="W30" s="1" t="s">
        <v>732</v>
      </c>
      <c r="X30" s="1" t="s">
        <v>553</v>
      </c>
      <c r="Y30" s="1" t="s">
        <v>398</v>
      </c>
      <c r="Z30" s="1" t="s">
        <v>109</v>
      </c>
      <c r="AA30" s="1" t="s">
        <v>65</v>
      </c>
      <c r="AB30" s="1" t="s">
        <v>386</v>
      </c>
      <c r="AC30" s="1" t="s">
        <v>733</v>
      </c>
      <c r="AD30" s="1" t="s">
        <v>706</v>
      </c>
      <c r="AE30" s="1" t="s">
        <v>389</v>
      </c>
      <c r="AL30" s="2"/>
      <c r="AN30" s="2" t="s">
        <v>720</v>
      </c>
      <c r="AO30" s="2" t="s">
        <v>734</v>
      </c>
      <c r="AP30" s="2" t="s">
        <v>62</v>
      </c>
      <c r="AR30" s="1" t="s">
        <v>725</v>
      </c>
      <c r="AS30" s="1" t="s">
        <v>726</v>
      </c>
      <c r="AT30" s="1" t="s">
        <v>726</v>
      </c>
      <c r="AU30" s="1" t="s">
        <v>727</v>
      </c>
      <c r="AV30" s="1" t="s">
        <v>693</v>
      </c>
      <c r="AW30" s="1" t="s">
        <v>728</v>
      </c>
      <c r="AX30" s="1" t="s">
        <v>648</v>
      </c>
      <c r="AY30" s="1" t="s">
        <v>576</v>
      </c>
      <c r="AZ30" s="1" t="s">
        <v>666</v>
      </c>
      <c r="BC30" s="17" t="s">
        <v>599</v>
      </c>
      <c r="BD30" s="17" t="s">
        <v>613</v>
      </c>
      <c r="BE30" s="18" t="s">
        <v>566</v>
      </c>
      <c r="BF30" s="18" t="s">
        <v>530</v>
      </c>
      <c r="BG30" s="17" t="s">
        <v>106</v>
      </c>
    </row>
    <row r="31" spans="7:63" x14ac:dyDescent="0.5">
      <c r="L31" s="1" t="s">
        <v>580</v>
      </c>
      <c r="M31" s="1" t="s">
        <v>664</v>
      </c>
      <c r="N31" s="1" t="s">
        <v>628</v>
      </c>
      <c r="O31" s="1" t="s">
        <v>663</v>
      </c>
      <c r="P31" s="1" t="s">
        <v>62</v>
      </c>
      <c r="Q31" s="1" t="s">
        <v>106</v>
      </c>
      <c r="S31" s="1" t="s">
        <v>580</v>
      </c>
      <c r="T31" s="1" t="s">
        <v>664</v>
      </c>
      <c r="U31" s="1" t="s">
        <v>628</v>
      </c>
      <c r="V31" s="1" t="s">
        <v>663</v>
      </c>
      <c r="W31" s="1" t="s">
        <v>62</v>
      </c>
      <c r="X31" s="1" t="s">
        <v>106</v>
      </c>
      <c r="Y31" s="1" t="s">
        <v>666</v>
      </c>
      <c r="Z31" s="1" t="s">
        <v>689</v>
      </c>
      <c r="AA31" s="1" t="s">
        <v>443</v>
      </c>
      <c r="AB31" s="1" t="s">
        <v>735</v>
      </c>
      <c r="AC31" s="1" t="s">
        <v>736</v>
      </c>
      <c r="AD31" s="1" t="s">
        <v>608</v>
      </c>
      <c r="AE31" s="1" t="s">
        <v>675</v>
      </c>
      <c r="AL31" s="2"/>
      <c r="AN31" s="2" t="s">
        <v>737</v>
      </c>
      <c r="AO31" s="2" t="s">
        <v>738</v>
      </c>
      <c r="AP31" s="2" t="s">
        <v>739</v>
      </c>
      <c r="AR31" s="1" t="s">
        <v>398</v>
      </c>
      <c r="AS31" s="1" t="s">
        <v>109</v>
      </c>
      <c r="AT31" s="1" t="s">
        <v>65</v>
      </c>
      <c r="AU31" s="1" t="s">
        <v>386</v>
      </c>
      <c r="AV31" s="1" t="s">
        <v>733</v>
      </c>
      <c r="AW31" s="1" t="s">
        <v>706</v>
      </c>
      <c r="AX31" s="1" t="s">
        <v>389</v>
      </c>
      <c r="BC31" s="17" t="s">
        <v>385</v>
      </c>
      <c r="BD31" s="18" t="s">
        <v>106</v>
      </c>
      <c r="BE31" s="17" t="s">
        <v>676</v>
      </c>
      <c r="BF31" s="18" t="s">
        <v>521</v>
      </c>
      <c r="BG31" s="17" t="s">
        <v>619</v>
      </c>
    </row>
    <row r="32" spans="7:63" x14ac:dyDescent="0.5">
      <c r="L32" s="1" t="s">
        <v>663</v>
      </c>
      <c r="M32" s="1" t="s">
        <v>673</v>
      </c>
      <c r="N32" s="1" t="s">
        <v>388</v>
      </c>
      <c r="O32" s="1" t="s">
        <v>734</v>
      </c>
      <c r="P32" s="1" t="s">
        <v>384</v>
      </c>
      <c r="Q32" s="1" t="s">
        <v>529</v>
      </c>
      <c r="S32" s="1" t="s">
        <v>663</v>
      </c>
      <c r="T32" s="1" t="s">
        <v>673</v>
      </c>
      <c r="U32" s="1" t="s">
        <v>388</v>
      </c>
      <c r="V32" s="1" t="s">
        <v>734</v>
      </c>
      <c r="W32" s="1" t="s">
        <v>384</v>
      </c>
      <c r="X32" s="1" t="s">
        <v>529</v>
      </c>
      <c r="Y32" s="1" t="s">
        <v>501</v>
      </c>
      <c r="Z32" s="1" t="s">
        <v>712</v>
      </c>
      <c r="AA32" s="1" t="s">
        <v>740</v>
      </c>
      <c r="AB32" s="1" t="s">
        <v>741</v>
      </c>
      <c r="AC32" s="1" t="s">
        <v>665</v>
      </c>
      <c r="AD32" s="1" t="s">
        <v>710</v>
      </c>
      <c r="AE32" s="1" t="s">
        <v>742</v>
      </c>
      <c r="AL32" s="2"/>
      <c r="AO32" s="2" t="s">
        <v>743</v>
      </c>
      <c r="AP32" s="2" t="s">
        <v>744</v>
      </c>
      <c r="AR32" s="1" t="s">
        <v>666</v>
      </c>
      <c r="AS32" s="1" t="s">
        <v>689</v>
      </c>
      <c r="AT32" s="1" t="s">
        <v>443</v>
      </c>
      <c r="AU32" s="1" t="s">
        <v>735</v>
      </c>
      <c r="AV32" s="1" t="s">
        <v>736</v>
      </c>
      <c r="AW32" s="1" t="s">
        <v>608</v>
      </c>
      <c r="AX32" s="1" t="s">
        <v>675</v>
      </c>
      <c r="BC32" s="17" t="s">
        <v>109</v>
      </c>
      <c r="BD32" s="18" t="s">
        <v>626</v>
      </c>
      <c r="BE32" s="17" t="s">
        <v>67</v>
      </c>
      <c r="BF32" s="17" t="s">
        <v>696</v>
      </c>
      <c r="BG32" s="17" t="s">
        <v>577</v>
      </c>
    </row>
    <row r="33" spans="12:59" x14ac:dyDescent="0.5">
      <c r="L33" s="1" t="s">
        <v>745</v>
      </c>
      <c r="M33" s="1" t="s">
        <v>745</v>
      </c>
      <c r="N33" s="1" t="s">
        <v>746</v>
      </c>
      <c r="O33" s="1" t="s">
        <v>653</v>
      </c>
      <c r="P33" s="1" t="s">
        <v>65</v>
      </c>
      <c r="Q33" s="1" t="s">
        <v>569</v>
      </c>
      <c r="S33" s="1" t="s">
        <v>745</v>
      </c>
      <c r="T33" s="1" t="s">
        <v>745</v>
      </c>
      <c r="U33" s="1" t="s">
        <v>746</v>
      </c>
      <c r="V33" s="1" t="s">
        <v>653</v>
      </c>
      <c r="W33" s="1" t="s">
        <v>65</v>
      </c>
      <c r="X33" s="1" t="s">
        <v>569</v>
      </c>
      <c r="Y33" s="1" t="s">
        <v>719</v>
      </c>
      <c r="Z33" s="1" t="s">
        <v>747</v>
      </c>
      <c r="AA33" s="1" t="s">
        <v>748</v>
      </c>
      <c r="AB33" s="1" t="s">
        <v>671</v>
      </c>
      <c r="AC33" s="1" t="s">
        <v>682</v>
      </c>
      <c r="AD33" s="1" t="s">
        <v>376</v>
      </c>
      <c r="AE33" s="1" t="s">
        <v>511</v>
      </c>
      <c r="AO33" s="2" t="s">
        <v>749</v>
      </c>
      <c r="AP33" s="2" t="s">
        <v>750</v>
      </c>
      <c r="AR33" s="1" t="s">
        <v>501</v>
      </c>
      <c r="AS33" s="1" t="s">
        <v>712</v>
      </c>
      <c r="AT33" s="1" t="s">
        <v>740</v>
      </c>
      <c r="AU33" s="1" t="s">
        <v>741</v>
      </c>
      <c r="AV33" s="1" t="s">
        <v>665</v>
      </c>
      <c r="AW33" s="1" t="s">
        <v>710</v>
      </c>
      <c r="AX33" s="1" t="s">
        <v>742</v>
      </c>
      <c r="BC33" s="17" t="s">
        <v>607</v>
      </c>
      <c r="BD33" s="17" t="s">
        <v>510</v>
      </c>
      <c r="BE33" s="18" t="s">
        <v>691</v>
      </c>
      <c r="BF33" s="17" t="s">
        <v>568</v>
      </c>
      <c r="BG33" s="17" t="s">
        <v>608</v>
      </c>
    </row>
    <row r="34" spans="12:59" x14ac:dyDescent="0.5">
      <c r="L34" s="1" t="s">
        <v>734</v>
      </c>
      <c r="M34" s="1" t="s">
        <v>710</v>
      </c>
      <c r="N34" s="1" t="s">
        <v>580</v>
      </c>
      <c r="O34" s="1" t="s">
        <v>99</v>
      </c>
      <c r="P34" s="1" t="s">
        <v>385</v>
      </c>
      <c r="Q34" s="1" t="s">
        <v>648</v>
      </c>
      <c r="S34" s="1" t="s">
        <v>734</v>
      </c>
      <c r="T34" s="1" t="s">
        <v>710</v>
      </c>
      <c r="U34" s="1" t="s">
        <v>580</v>
      </c>
      <c r="V34" s="1" t="s">
        <v>99</v>
      </c>
      <c r="W34" s="1" t="s">
        <v>385</v>
      </c>
      <c r="X34" s="1" t="s">
        <v>648</v>
      </c>
      <c r="Y34" s="1" t="s">
        <v>751</v>
      </c>
      <c r="Z34" s="1" t="s">
        <v>653</v>
      </c>
      <c r="AA34" s="1" t="s">
        <v>752</v>
      </c>
      <c r="AB34" s="1" t="s">
        <v>753</v>
      </c>
      <c r="AC34" s="1" t="s">
        <v>637</v>
      </c>
      <c r="AE34" s="1" t="s">
        <v>754</v>
      </c>
      <c r="AO34" s="2" t="s">
        <v>755</v>
      </c>
      <c r="AP34" s="2" t="s">
        <v>756</v>
      </c>
      <c r="AR34" s="1" t="s">
        <v>719</v>
      </c>
      <c r="AS34" s="1" t="s">
        <v>747</v>
      </c>
      <c r="AT34" s="1" t="s">
        <v>748</v>
      </c>
      <c r="AU34" s="1" t="s">
        <v>671</v>
      </c>
      <c r="AV34" s="1" t="s">
        <v>682</v>
      </c>
      <c r="AW34" s="1" t="s">
        <v>376</v>
      </c>
      <c r="AX34" s="1" t="s">
        <v>511</v>
      </c>
      <c r="BC34" s="17" t="s">
        <v>706</v>
      </c>
      <c r="BD34" s="17" t="s">
        <v>600</v>
      </c>
      <c r="BE34" s="16" t="s">
        <v>644</v>
      </c>
      <c r="BF34" s="17" t="s">
        <v>754</v>
      </c>
      <c r="BG34" s="17" t="s">
        <v>688</v>
      </c>
    </row>
    <row r="35" spans="12:59" x14ac:dyDescent="0.5">
      <c r="L35" s="1" t="s">
        <v>551</v>
      </c>
      <c r="M35" s="1" t="s">
        <v>757</v>
      </c>
      <c r="N35" s="1" t="s">
        <v>758</v>
      </c>
      <c r="O35" s="1" t="s">
        <v>755</v>
      </c>
      <c r="P35" s="1" t="s">
        <v>620</v>
      </c>
      <c r="Q35" s="1" t="s">
        <v>703</v>
      </c>
      <c r="S35" s="1" t="s">
        <v>551</v>
      </c>
      <c r="T35" s="1" t="s">
        <v>757</v>
      </c>
      <c r="U35" s="1" t="s">
        <v>758</v>
      </c>
      <c r="V35" s="1" t="s">
        <v>755</v>
      </c>
      <c r="W35" s="1" t="s">
        <v>620</v>
      </c>
      <c r="X35" s="1" t="s">
        <v>703</v>
      </c>
      <c r="Y35" s="1" t="s">
        <v>759</v>
      </c>
      <c r="Z35" s="1" t="s">
        <v>760</v>
      </c>
      <c r="AA35" s="1" t="s">
        <v>761</v>
      </c>
      <c r="AB35" s="1" t="s">
        <v>762</v>
      </c>
      <c r="AC35" s="1" t="s">
        <v>737</v>
      </c>
      <c r="AE35" s="1" t="s">
        <v>763</v>
      </c>
      <c r="AO35" s="2" t="s">
        <v>610</v>
      </c>
      <c r="AP35" s="2" t="s">
        <v>642</v>
      </c>
      <c r="AR35" s="1" t="s">
        <v>751</v>
      </c>
      <c r="AS35" s="1" t="s">
        <v>653</v>
      </c>
      <c r="AT35" s="1" t="s">
        <v>752</v>
      </c>
      <c r="AU35" s="1" t="s">
        <v>753</v>
      </c>
      <c r="AV35" s="1" t="s">
        <v>637</v>
      </c>
      <c r="AX35" s="1" t="s">
        <v>754</v>
      </c>
      <c r="BC35" s="17" t="s">
        <v>620</v>
      </c>
      <c r="BD35" s="18" t="s">
        <v>619</v>
      </c>
      <c r="BE35" s="15" t="s">
        <v>109</v>
      </c>
      <c r="BF35" s="18" t="s">
        <v>666</v>
      </c>
      <c r="BG35" s="17" t="s">
        <v>569</v>
      </c>
    </row>
    <row r="36" spans="12:59" x14ac:dyDescent="0.5">
      <c r="L36" s="1" t="s">
        <v>653</v>
      </c>
      <c r="M36" s="1" t="s">
        <v>465</v>
      </c>
      <c r="N36" s="1" t="s">
        <v>694</v>
      </c>
      <c r="O36" s="1" t="s">
        <v>764</v>
      </c>
      <c r="P36" s="1" t="s">
        <v>760</v>
      </c>
      <c r="Q36" s="1" t="s">
        <v>382</v>
      </c>
      <c r="S36" s="1" t="s">
        <v>653</v>
      </c>
      <c r="T36" s="1" t="s">
        <v>465</v>
      </c>
      <c r="U36" s="1" t="s">
        <v>694</v>
      </c>
      <c r="V36" s="1" t="s">
        <v>764</v>
      </c>
      <c r="W36" s="1" t="s">
        <v>760</v>
      </c>
      <c r="X36" s="1" t="s">
        <v>382</v>
      </c>
      <c r="Y36" s="1" t="s">
        <v>703</v>
      </c>
      <c r="Z36" s="1" t="s">
        <v>765</v>
      </c>
      <c r="AA36" s="1" t="s">
        <v>746</v>
      </c>
      <c r="AB36" s="1" t="s">
        <v>468</v>
      </c>
      <c r="AC36" s="1" t="s">
        <v>506</v>
      </c>
      <c r="AE36" s="1" t="s">
        <v>705</v>
      </c>
      <c r="AP36" s="2" t="s">
        <v>649</v>
      </c>
      <c r="AR36" s="1" t="s">
        <v>759</v>
      </c>
      <c r="AS36" s="1" t="s">
        <v>760</v>
      </c>
      <c r="AT36" s="1" t="s">
        <v>761</v>
      </c>
      <c r="AU36" s="1" t="s">
        <v>762</v>
      </c>
      <c r="AV36" s="1" t="s">
        <v>737</v>
      </c>
      <c r="AX36" s="1" t="s">
        <v>763</v>
      </c>
      <c r="BC36" s="17" t="s">
        <v>634</v>
      </c>
      <c r="BD36" s="17" t="s">
        <v>577</v>
      </c>
      <c r="BE36" s="17" t="s">
        <v>607</v>
      </c>
      <c r="BF36" s="18" t="s">
        <v>714</v>
      </c>
      <c r="BG36" s="17" t="s">
        <v>703</v>
      </c>
    </row>
    <row r="37" spans="12:59" x14ac:dyDescent="0.5">
      <c r="L37" s="1" t="s">
        <v>766</v>
      </c>
      <c r="M37" s="1" t="s">
        <v>712</v>
      </c>
      <c r="N37" s="1" t="s">
        <v>767</v>
      </c>
      <c r="P37" s="1" t="s">
        <v>115</v>
      </c>
      <c r="Q37" s="1" t="s">
        <v>566</v>
      </c>
      <c r="S37" s="1" t="s">
        <v>766</v>
      </c>
      <c r="T37" s="1" t="s">
        <v>712</v>
      </c>
      <c r="U37" s="1" t="s">
        <v>767</v>
      </c>
      <c r="W37" s="1" t="s">
        <v>115</v>
      </c>
      <c r="X37" s="1" t="s">
        <v>566</v>
      </c>
      <c r="Y37" s="1" t="s">
        <v>767</v>
      </c>
      <c r="Z37" s="1" t="s">
        <v>563</v>
      </c>
      <c r="AA37" s="1" t="s">
        <v>380</v>
      </c>
      <c r="AB37" s="1" t="s">
        <v>592</v>
      </c>
      <c r="AC37" s="1" t="s">
        <v>527</v>
      </c>
      <c r="AE37" s="1" t="s">
        <v>503</v>
      </c>
      <c r="AP37" s="2" t="s">
        <v>768</v>
      </c>
      <c r="AR37" s="1" t="s">
        <v>703</v>
      </c>
      <c r="AS37" s="1" t="s">
        <v>765</v>
      </c>
      <c r="AT37" s="1" t="s">
        <v>746</v>
      </c>
      <c r="AU37" s="1" t="s">
        <v>468</v>
      </c>
      <c r="AV37" s="1" t="s">
        <v>506</v>
      </c>
      <c r="AX37" s="1" t="s">
        <v>705</v>
      </c>
      <c r="BC37" s="17" t="s">
        <v>115</v>
      </c>
      <c r="BD37" s="17" t="s">
        <v>73</v>
      </c>
      <c r="BE37" s="18" t="s">
        <v>706</v>
      </c>
      <c r="BF37" s="18" t="s">
        <v>583</v>
      </c>
      <c r="BG37" s="17" t="s">
        <v>566</v>
      </c>
    </row>
    <row r="38" spans="12:59" x14ac:dyDescent="0.5">
      <c r="L38" s="1" t="s">
        <v>747</v>
      </c>
      <c r="M38" s="1" t="s">
        <v>693</v>
      </c>
      <c r="N38" s="1" t="s">
        <v>99</v>
      </c>
      <c r="P38" s="1" t="s">
        <v>769</v>
      </c>
      <c r="Q38" s="1" t="s">
        <v>67</v>
      </c>
      <c r="S38" s="1" t="s">
        <v>747</v>
      </c>
      <c r="T38" s="1" t="s">
        <v>693</v>
      </c>
      <c r="U38" s="1" t="s">
        <v>99</v>
      </c>
      <c r="W38" s="1" t="s">
        <v>769</v>
      </c>
      <c r="X38" s="1" t="s">
        <v>67</v>
      </c>
      <c r="Y38" s="1" t="s">
        <v>770</v>
      </c>
      <c r="Z38" s="1" t="s">
        <v>707</v>
      </c>
      <c r="AA38" s="1" t="s">
        <v>771</v>
      </c>
      <c r="AB38" s="1" t="s">
        <v>478</v>
      </c>
      <c r="AC38" s="1" t="s">
        <v>608</v>
      </c>
      <c r="AE38" s="1" t="s">
        <v>711</v>
      </c>
      <c r="AP38" s="2" t="s">
        <v>772</v>
      </c>
      <c r="AR38" s="1" t="s">
        <v>767</v>
      </c>
      <c r="AS38" s="1" t="s">
        <v>563</v>
      </c>
      <c r="AT38" s="1" t="s">
        <v>380</v>
      </c>
      <c r="AU38" s="1" t="s">
        <v>592</v>
      </c>
      <c r="AV38" s="1" t="s">
        <v>527</v>
      </c>
      <c r="AX38" s="1" t="s">
        <v>503</v>
      </c>
      <c r="BC38" s="17" t="s">
        <v>707</v>
      </c>
      <c r="BD38" s="15" t="s">
        <v>608</v>
      </c>
      <c r="BE38" s="15" t="s">
        <v>115</v>
      </c>
      <c r="BF38" s="18" t="s">
        <v>631</v>
      </c>
      <c r="BG38" s="17" t="s">
        <v>511</v>
      </c>
    </row>
    <row r="39" spans="12:59" x14ac:dyDescent="0.5">
      <c r="L39" s="1" t="s">
        <v>99</v>
      </c>
      <c r="M39" s="1" t="s">
        <v>755</v>
      </c>
      <c r="N39" s="1" t="s">
        <v>757</v>
      </c>
      <c r="P39" s="1" t="s">
        <v>773</v>
      </c>
      <c r="Q39" s="1" t="s">
        <v>67</v>
      </c>
      <c r="S39" s="1" t="s">
        <v>99</v>
      </c>
      <c r="T39" s="1" t="s">
        <v>755</v>
      </c>
      <c r="U39" s="1" t="s">
        <v>757</v>
      </c>
      <c r="W39" s="1" t="s">
        <v>773</v>
      </c>
      <c r="X39" s="1" t="s">
        <v>67</v>
      </c>
      <c r="Y39" s="1" t="s">
        <v>774</v>
      </c>
      <c r="Z39" s="1" t="s">
        <v>433</v>
      </c>
      <c r="AA39" s="1" t="s">
        <v>580</v>
      </c>
      <c r="AB39" s="1" t="s">
        <v>731</v>
      </c>
      <c r="AC39" s="1" t="s">
        <v>613</v>
      </c>
      <c r="AP39" s="2" t="s">
        <v>632</v>
      </c>
      <c r="AR39" s="1" t="s">
        <v>770</v>
      </c>
      <c r="AS39" s="1" t="s">
        <v>707</v>
      </c>
      <c r="AT39" s="1" t="s">
        <v>771</v>
      </c>
      <c r="AU39" s="1" t="s">
        <v>478</v>
      </c>
      <c r="AV39" s="1" t="s">
        <v>608</v>
      </c>
      <c r="AX39" s="1" t="s">
        <v>711</v>
      </c>
      <c r="BC39" s="17" t="s">
        <v>524</v>
      </c>
      <c r="BD39" s="16" t="s">
        <v>621</v>
      </c>
      <c r="BE39" s="18" t="s">
        <v>695</v>
      </c>
      <c r="BF39" s="18" t="s">
        <v>560</v>
      </c>
      <c r="BG39" s="17" t="s">
        <v>721</v>
      </c>
    </row>
    <row r="40" spans="12:59" x14ac:dyDescent="0.5">
      <c r="L40" s="1" t="s">
        <v>710</v>
      </c>
      <c r="M40" s="1" t="s">
        <v>582</v>
      </c>
      <c r="N40" s="1" t="s">
        <v>393</v>
      </c>
      <c r="P40" s="1" t="s">
        <v>774</v>
      </c>
      <c r="Q40" s="1" t="s">
        <v>775</v>
      </c>
      <c r="S40" s="1" t="s">
        <v>710</v>
      </c>
      <c r="T40" s="1" t="s">
        <v>582</v>
      </c>
      <c r="U40" s="1" t="s">
        <v>393</v>
      </c>
      <c r="W40" s="1" t="s">
        <v>774</v>
      </c>
      <c r="X40" s="1" t="s">
        <v>775</v>
      </c>
      <c r="Y40" s="1" t="s">
        <v>486</v>
      </c>
      <c r="Z40" s="1" t="s">
        <v>776</v>
      </c>
      <c r="AA40" s="1" t="s">
        <v>592</v>
      </c>
      <c r="AB40" s="1" t="s">
        <v>777</v>
      </c>
      <c r="AC40" s="1" t="s">
        <v>468</v>
      </c>
      <c r="AP40" s="2" t="s">
        <v>778</v>
      </c>
      <c r="AR40" s="1" t="s">
        <v>774</v>
      </c>
      <c r="AS40" s="1" t="s">
        <v>433</v>
      </c>
      <c r="AT40" s="1" t="s">
        <v>580</v>
      </c>
      <c r="AU40" s="1" t="s">
        <v>731</v>
      </c>
      <c r="AV40" s="1" t="s">
        <v>613</v>
      </c>
      <c r="BC40" s="17" t="s">
        <v>643</v>
      </c>
      <c r="BD40" s="18" t="s">
        <v>481</v>
      </c>
      <c r="BE40" s="17" t="s">
        <v>606</v>
      </c>
      <c r="BF40" s="18" t="s">
        <v>652</v>
      </c>
      <c r="BG40" s="17" t="s">
        <v>442</v>
      </c>
    </row>
    <row r="41" spans="12:59" x14ac:dyDescent="0.5">
      <c r="L41" s="1" t="s">
        <v>564</v>
      </c>
      <c r="M41" s="1" t="s">
        <v>396</v>
      </c>
      <c r="N41" s="1" t="s">
        <v>729</v>
      </c>
      <c r="P41" s="1" t="s">
        <v>628</v>
      </c>
      <c r="Q41" s="1" t="s">
        <v>779</v>
      </c>
      <c r="S41" s="1" t="s">
        <v>564</v>
      </c>
      <c r="T41" s="1" t="s">
        <v>396</v>
      </c>
      <c r="U41" s="1" t="s">
        <v>729</v>
      </c>
      <c r="W41" s="1" t="s">
        <v>628</v>
      </c>
      <c r="X41" s="1" t="s">
        <v>779</v>
      </c>
      <c r="Y41" s="1" t="s">
        <v>780</v>
      </c>
      <c r="AA41" s="1" t="s">
        <v>712</v>
      </c>
      <c r="AB41" s="1" t="s">
        <v>663</v>
      </c>
      <c r="AP41" s="2" t="s">
        <v>781</v>
      </c>
      <c r="AR41" s="1" t="s">
        <v>486</v>
      </c>
      <c r="AS41" s="1" t="s">
        <v>776</v>
      </c>
      <c r="AT41" s="1" t="s">
        <v>592</v>
      </c>
      <c r="AU41" s="1" t="s">
        <v>777</v>
      </c>
      <c r="AV41" s="1" t="s">
        <v>468</v>
      </c>
      <c r="BC41" s="17" t="s">
        <v>664</v>
      </c>
      <c r="BD41" s="17" t="s">
        <v>612</v>
      </c>
      <c r="BE41" s="18" t="s">
        <v>628</v>
      </c>
      <c r="BF41" s="17" t="s">
        <v>682</v>
      </c>
      <c r="BG41" s="17" t="s">
        <v>62</v>
      </c>
    </row>
    <row r="42" spans="12:59" x14ac:dyDescent="0.5">
      <c r="L42" s="1" t="s">
        <v>712</v>
      </c>
      <c r="M42" s="1" t="s">
        <v>536</v>
      </c>
      <c r="N42" s="1" t="s">
        <v>737</v>
      </c>
      <c r="P42" s="1" t="s">
        <v>518</v>
      </c>
      <c r="Q42" s="1" t="s">
        <v>756</v>
      </c>
      <c r="S42" s="1" t="s">
        <v>712</v>
      </c>
      <c r="T42" s="1" t="s">
        <v>536</v>
      </c>
      <c r="U42" s="1" t="s">
        <v>737</v>
      </c>
      <c r="W42" s="1" t="s">
        <v>518</v>
      </c>
      <c r="X42" s="1" t="s">
        <v>756</v>
      </c>
      <c r="Y42" s="1" t="s">
        <v>375</v>
      </c>
      <c r="AA42" s="1" t="s">
        <v>782</v>
      </c>
      <c r="AB42" s="1" t="s">
        <v>717</v>
      </c>
      <c r="AP42" s="2" t="s">
        <v>734</v>
      </c>
      <c r="AR42" s="1" t="s">
        <v>780</v>
      </c>
      <c r="AT42" s="1" t="s">
        <v>712</v>
      </c>
      <c r="AU42" s="1" t="s">
        <v>663</v>
      </c>
      <c r="BC42" s="17" t="s">
        <v>665</v>
      </c>
      <c r="BD42" s="15" t="s">
        <v>569</v>
      </c>
      <c r="BE42" s="17" t="s">
        <v>388</v>
      </c>
      <c r="BF42" s="18" t="s">
        <v>553</v>
      </c>
      <c r="BG42" s="17" t="s">
        <v>109</v>
      </c>
    </row>
    <row r="43" spans="12:59" x14ac:dyDescent="0.5">
      <c r="L43" s="1" t="s">
        <v>783</v>
      </c>
      <c r="N43" s="1" t="s">
        <v>617</v>
      </c>
      <c r="P43" s="1" t="s">
        <v>480</v>
      </c>
      <c r="Q43" s="1" t="s">
        <v>642</v>
      </c>
      <c r="S43" s="1" t="s">
        <v>783</v>
      </c>
      <c r="U43" s="1" t="s">
        <v>617</v>
      </c>
      <c r="W43" s="1" t="s">
        <v>480</v>
      </c>
      <c r="X43" s="1" t="s">
        <v>642</v>
      </c>
      <c r="Y43" s="1" t="s">
        <v>437</v>
      </c>
      <c r="AA43" s="1" t="s">
        <v>784</v>
      </c>
      <c r="AB43" s="1" t="s">
        <v>785</v>
      </c>
      <c r="AP43" s="2" t="s">
        <v>786</v>
      </c>
      <c r="AR43" s="1" t="s">
        <v>375</v>
      </c>
      <c r="AT43" s="1" t="s">
        <v>782</v>
      </c>
      <c r="AU43" s="1" t="s">
        <v>717</v>
      </c>
      <c r="BC43" s="17" t="s">
        <v>684</v>
      </c>
      <c r="BD43" s="17" t="s">
        <v>638</v>
      </c>
      <c r="BE43" s="18" t="s">
        <v>746</v>
      </c>
      <c r="BF43" s="18" t="s">
        <v>378</v>
      </c>
      <c r="BG43" s="17" t="s">
        <v>642</v>
      </c>
    </row>
    <row r="44" spans="12:59" x14ac:dyDescent="0.5">
      <c r="L44" s="1" t="s">
        <v>693</v>
      </c>
      <c r="P44" s="1" t="s">
        <v>713</v>
      </c>
      <c r="Q44" s="1" t="s">
        <v>787</v>
      </c>
      <c r="S44" s="1" t="s">
        <v>693</v>
      </c>
      <c r="W44" s="1" t="s">
        <v>713</v>
      </c>
      <c r="X44" s="1" t="s">
        <v>787</v>
      </c>
      <c r="Y44" s="1" t="s">
        <v>689</v>
      </c>
      <c r="AA44" s="1" t="s">
        <v>788</v>
      </c>
      <c r="AB44" s="1" t="s">
        <v>653</v>
      </c>
      <c r="AP44" s="2" t="s">
        <v>693</v>
      </c>
      <c r="AR44" s="1" t="s">
        <v>437</v>
      </c>
      <c r="AT44" s="1" t="s">
        <v>784</v>
      </c>
      <c r="AU44" s="1" t="s">
        <v>785</v>
      </c>
      <c r="BC44" s="17" t="s">
        <v>663</v>
      </c>
      <c r="BD44" s="18" t="s">
        <v>565</v>
      </c>
      <c r="BE44" s="17" t="s">
        <v>580</v>
      </c>
      <c r="BF44" s="18" t="s">
        <v>576</v>
      </c>
      <c r="BG44" s="17" t="s">
        <v>443</v>
      </c>
    </row>
    <row r="45" spans="12:59" x14ac:dyDescent="0.5">
      <c r="L45" s="1" t="s">
        <v>789</v>
      </c>
      <c r="P45" s="1" t="s">
        <v>723</v>
      </c>
      <c r="Q45" s="1" t="s">
        <v>787</v>
      </c>
      <c r="S45" s="1" t="s">
        <v>789</v>
      </c>
      <c r="W45" s="1" t="s">
        <v>723</v>
      </c>
      <c r="X45" s="1" t="s">
        <v>787</v>
      </c>
      <c r="Y45" s="1" t="s">
        <v>377</v>
      </c>
      <c r="AA45" s="1" t="s">
        <v>790</v>
      </c>
      <c r="AB45" s="1" t="s">
        <v>689</v>
      </c>
      <c r="AP45" s="2" t="s">
        <v>656</v>
      </c>
      <c r="AR45" s="1" t="s">
        <v>689</v>
      </c>
      <c r="AT45" s="1" t="s">
        <v>788</v>
      </c>
      <c r="AU45" s="1" t="s">
        <v>653</v>
      </c>
      <c r="BC45" s="17" t="s">
        <v>745</v>
      </c>
      <c r="BD45" s="16" t="s">
        <v>550</v>
      </c>
      <c r="BE45" s="18" t="s">
        <v>758</v>
      </c>
      <c r="BF45" s="17" t="s">
        <v>106</v>
      </c>
      <c r="BG45" s="17" t="s">
        <v>466</v>
      </c>
    </row>
    <row r="46" spans="12:59" x14ac:dyDescent="0.5">
      <c r="P46" s="1" t="s">
        <v>592</v>
      </c>
      <c r="Q46" s="1" t="s">
        <v>649</v>
      </c>
      <c r="W46" s="1" t="s">
        <v>592</v>
      </c>
      <c r="X46" s="1" t="s">
        <v>649</v>
      </c>
      <c r="Y46" s="1" t="s">
        <v>791</v>
      </c>
      <c r="AA46" s="1" t="s">
        <v>551</v>
      </c>
      <c r="AB46" s="1" t="s">
        <v>73</v>
      </c>
      <c r="AP46" s="2" t="s">
        <v>617</v>
      </c>
      <c r="AR46" s="1" t="s">
        <v>377</v>
      </c>
      <c r="AT46" s="1" t="s">
        <v>790</v>
      </c>
      <c r="AU46" s="1" t="s">
        <v>689</v>
      </c>
      <c r="BC46" s="17" t="s">
        <v>99</v>
      </c>
      <c r="BD46" s="15" t="s">
        <v>655</v>
      </c>
      <c r="BE46" s="15" t="s">
        <v>390</v>
      </c>
      <c r="BF46" s="17" t="s">
        <v>619</v>
      </c>
      <c r="BG46" s="17" t="s">
        <v>389</v>
      </c>
    </row>
    <row r="47" spans="12:59" x14ac:dyDescent="0.5">
      <c r="P47" s="1" t="s">
        <v>580</v>
      </c>
      <c r="Q47" s="1" t="s">
        <v>480</v>
      </c>
      <c r="W47" s="1" t="s">
        <v>580</v>
      </c>
      <c r="X47" s="1" t="s">
        <v>480</v>
      </c>
      <c r="Y47" s="1" t="s">
        <v>792</v>
      </c>
      <c r="AA47" s="1" t="s">
        <v>385</v>
      </c>
      <c r="AB47" s="1" t="s">
        <v>793</v>
      </c>
      <c r="AP47" s="2"/>
      <c r="AR47" s="1" t="s">
        <v>791</v>
      </c>
      <c r="AT47" s="1" t="s">
        <v>551</v>
      </c>
      <c r="AU47" s="1" t="s">
        <v>73</v>
      </c>
      <c r="BC47" s="17" t="s">
        <v>710</v>
      </c>
      <c r="BD47" s="17" t="s">
        <v>556</v>
      </c>
      <c r="BE47" s="17" t="s">
        <v>694</v>
      </c>
      <c r="BF47" s="18" t="s">
        <v>577</v>
      </c>
      <c r="BG47" s="17" t="s">
        <v>632</v>
      </c>
    </row>
    <row r="48" spans="12:59" x14ac:dyDescent="0.5">
      <c r="P48" s="1" t="s">
        <v>580</v>
      </c>
      <c r="Q48" s="1" t="s">
        <v>713</v>
      </c>
      <c r="W48" s="1" t="s">
        <v>580</v>
      </c>
      <c r="X48" s="1" t="s">
        <v>713</v>
      </c>
      <c r="Y48" s="1" t="s">
        <v>794</v>
      </c>
      <c r="AA48" s="1" t="s">
        <v>661</v>
      </c>
      <c r="AB48" s="1" t="s">
        <v>398</v>
      </c>
      <c r="AR48" s="1" t="s">
        <v>792</v>
      </c>
      <c r="AT48" s="1" t="s">
        <v>385</v>
      </c>
      <c r="AU48" s="1" t="s">
        <v>793</v>
      </c>
      <c r="BC48" s="17" t="s">
        <v>757</v>
      </c>
      <c r="BD48" s="16" t="s">
        <v>382</v>
      </c>
      <c r="BE48" s="18" t="s">
        <v>767</v>
      </c>
      <c r="BF48" s="17" t="s">
        <v>608</v>
      </c>
      <c r="BG48" s="17" t="s">
        <v>663</v>
      </c>
    </row>
    <row r="49" spans="16:59" x14ac:dyDescent="0.5">
      <c r="P49" s="1" t="s">
        <v>795</v>
      </c>
      <c r="Q49" s="1" t="s">
        <v>796</v>
      </c>
      <c r="W49" s="1" t="s">
        <v>795</v>
      </c>
      <c r="X49" s="1" t="s">
        <v>796</v>
      </c>
      <c r="Y49" s="1" t="s">
        <v>484</v>
      </c>
      <c r="AA49" s="1" t="s">
        <v>682</v>
      </c>
      <c r="AB49" s="1" t="s">
        <v>397</v>
      </c>
      <c r="AR49" s="1" t="s">
        <v>794</v>
      </c>
      <c r="AT49" s="1" t="s">
        <v>661</v>
      </c>
      <c r="AU49" s="1" t="s">
        <v>398</v>
      </c>
      <c r="BC49" s="17" t="s">
        <v>465</v>
      </c>
      <c r="BD49" s="18" t="s">
        <v>566</v>
      </c>
      <c r="BE49" s="17" t="s">
        <v>99</v>
      </c>
      <c r="BF49" s="18" t="s">
        <v>688</v>
      </c>
      <c r="BG49" s="17" t="s">
        <v>485</v>
      </c>
    </row>
    <row r="50" spans="16:59" x14ac:dyDescent="0.5">
      <c r="P50" s="1" t="s">
        <v>390</v>
      </c>
      <c r="Q50" s="1" t="s">
        <v>684</v>
      </c>
      <c r="W50" s="1" t="s">
        <v>390</v>
      </c>
      <c r="X50" s="1" t="s">
        <v>684</v>
      </c>
      <c r="Y50" s="1" t="s">
        <v>613</v>
      </c>
      <c r="AA50" s="1" t="s">
        <v>469</v>
      </c>
      <c r="AB50" s="1" t="s">
        <v>712</v>
      </c>
      <c r="AR50" s="1" t="s">
        <v>484</v>
      </c>
      <c r="AT50" s="1" t="s">
        <v>682</v>
      </c>
      <c r="AU50" s="1" t="s">
        <v>397</v>
      </c>
      <c r="BC50" s="17" t="s">
        <v>712</v>
      </c>
      <c r="BD50" s="17" t="s">
        <v>676</v>
      </c>
      <c r="BE50" s="18" t="s">
        <v>757</v>
      </c>
      <c r="BF50" s="18" t="s">
        <v>569</v>
      </c>
      <c r="BG50" s="17" t="s">
        <v>540</v>
      </c>
    </row>
    <row r="51" spans="16:59" x14ac:dyDescent="0.5">
      <c r="P51" s="1" t="s">
        <v>797</v>
      </c>
      <c r="Q51" s="1" t="s">
        <v>798</v>
      </c>
      <c r="W51" s="1" t="s">
        <v>797</v>
      </c>
      <c r="X51" s="1" t="s">
        <v>798</v>
      </c>
      <c r="Y51" s="1" t="s">
        <v>799</v>
      </c>
      <c r="AA51" s="1" t="s">
        <v>688</v>
      </c>
      <c r="AB51" s="1" t="s">
        <v>734</v>
      </c>
      <c r="AR51" s="1" t="s">
        <v>613</v>
      </c>
      <c r="AT51" s="1" t="s">
        <v>469</v>
      </c>
      <c r="AU51" s="1" t="s">
        <v>712</v>
      </c>
      <c r="BC51" s="17" t="s">
        <v>693</v>
      </c>
      <c r="BD51" s="17" t="s">
        <v>67</v>
      </c>
      <c r="BE51" s="17" t="s">
        <v>393</v>
      </c>
      <c r="BF51" s="18" t="s">
        <v>648</v>
      </c>
      <c r="BG51" s="17" t="s">
        <v>742</v>
      </c>
    </row>
    <row r="52" spans="16:59" x14ac:dyDescent="0.5">
      <c r="P52" s="1" t="s">
        <v>765</v>
      </c>
      <c r="Q52" s="1" t="s">
        <v>786</v>
      </c>
      <c r="W52" s="1" t="s">
        <v>765</v>
      </c>
      <c r="X52" s="1" t="s">
        <v>786</v>
      </c>
      <c r="Y52" s="1" t="s">
        <v>734</v>
      </c>
      <c r="AA52" s="1" t="s">
        <v>115</v>
      </c>
      <c r="AB52" s="1" t="s">
        <v>800</v>
      </c>
      <c r="AR52" s="1" t="s">
        <v>799</v>
      </c>
      <c r="AT52" s="1" t="s">
        <v>688</v>
      </c>
      <c r="AU52" s="1" t="s">
        <v>734</v>
      </c>
      <c r="BC52" s="17" t="s">
        <v>755</v>
      </c>
      <c r="BD52" s="15" t="s">
        <v>637</v>
      </c>
      <c r="BE52" s="16" t="s">
        <v>465</v>
      </c>
      <c r="BF52" s="17" t="s">
        <v>594</v>
      </c>
      <c r="BG52" s="17" t="s">
        <v>763</v>
      </c>
    </row>
    <row r="53" spans="16:59" x14ac:dyDescent="0.5">
      <c r="P53" s="1" t="s">
        <v>684</v>
      </c>
      <c r="Q53" s="1" t="s">
        <v>686</v>
      </c>
      <c r="W53" s="1" t="s">
        <v>684</v>
      </c>
      <c r="X53" s="1" t="s">
        <v>686</v>
      </c>
      <c r="AA53" s="1" t="s">
        <v>801</v>
      </c>
      <c r="AB53" s="1" t="s">
        <v>802</v>
      </c>
      <c r="AR53" s="1" t="s">
        <v>734</v>
      </c>
      <c r="AT53" s="1" t="s">
        <v>115</v>
      </c>
      <c r="AU53" s="1" t="s">
        <v>800</v>
      </c>
      <c r="BC53" s="17" t="s">
        <v>582</v>
      </c>
      <c r="BD53" s="17" t="s">
        <v>691</v>
      </c>
      <c r="BE53" s="15" t="s">
        <v>693</v>
      </c>
      <c r="BF53" s="18" t="s">
        <v>703</v>
      </c>
      <c r="BG53" s="17" t="s">
        <v>653</v>
      </c>
    </row>
    <row r="54" spans="16:59" x14ac:dyDescent="0.5">
      <c r="P54" s="1" t="s">
        <v>699</v>
      </c>
      <c r="Q54" s="1" t="s">
        <v>393</v>
      </c>
      <c r="W54" s="1" t="s">
        <v>699</v>
      </c>
      <c r="X54" s="1" t="s">
        <v>393</v>
      </c>
      <c r="AA54" s="1" t="s">
        <v>803</v>
      </c>
      <c r="AB54" s="1" t="s">
        <v>393</v>
      </c>
      <c r="AT54" s="1" t="s">
        <v>801</v>
      </c>
      <c r="AU54" s="1" t="s">
        <v>802</v>
      </c>
      <c r="BC54" s="17" t="s">
        <v>396</v>
      </c>
      <c r="BD54" s="17" t="s">
        <v>607</v>
      </c>
      <c r="BE54" s="16" t="s">
        <v>722</v>
      </c>
      <c r="BF54" s="17" t="s">
        <v>566</v>
      </c>
      <c r="BG54" s="17" t="s">
        <v>99</v>
      </c>
    </row>
    <row r="55" spans="16:59" x14ac:dyDescent="0.5">
      <c r="P55" s="1" t="s">
        <v>392</v>
      </c>
      <c r="Q55" s="1" t="s">
        <v>660</v>
      </c>
      <c r="W55" s="1" t="s">
        <v>392</v>
      </c>
      <c r="X55" s="1" t="s">
        <v>660</v>
      </c>
      <c r="AA55" s="1" t="s">
        <v>694</v>
      </c>
      <c r="AB55" s="1" t="s">
        <v>804</v>
      </c>
      <c r="AT55" s="1" t="s">
        <v>803</v>
      </c>
      <c r="AU55" s="1" t="s">
        <v>393</v>
      </c>
      <c r="BC55" s="17" t="s">
        <v>536</v>
      </c>
      <c r="BD55" s="18" t="s">
        <v>706</v>
      </c>
      <c r="BE55" s="18" t="s">
        <v>729</v>
      </c>
      <c r="BF55" s="18" t="s">
        <v>511</v>
      </c>
      <c r="BG55" s="17" t="s">
        <v>465</v>
      </c>
    </row>
    <row r="56" spans="16:59" x14ac:dyDescent="0.5">
      <c r="P56" s="1" t="s">
        <v>540</v>
      </c>
      <c r="Q56" s="1" t="s">
        <v>712</v>
      </c>
      <c r="W56" s="1" t="s">
        <v>540</v>
      </c>
      <c r="X56" s="1" t="s">
        <v>712</v>
      </c>
      <c r="AA56" s="1" t="s">
        <v>805</v>
      </c>
      <c r="AB56" s="1" t="s">
        <v>737</v>
      </c>
      <c r="AT56" s="1" t="s">
        <v>694</v>
      </c>
      <c r="AU56" s="1" t="s">
        <v>804</v>
      </c>
      <c r="BC56" s="19"/>
      <c r="BD56" s="16" t="s">
        <v>620</v>
      </c>
      <c r="BE56" s="16" t="s">
        <v>720</v>
      </c>
      <c r="BF56" s="17" t="s">
        <v>721</v>
      </c>
      <c r="BG56" s="17" t="s">
        <v>693</v>
      </c>
    </row>
    <row r="57" spans="16:59" x14ac:dyDescent="0.5">
      <c r="P57" s="1" t="s">
        <v>806</v>
      </c>
      <c r="Q57" s="1" t="s">
        <v>693</v>
      </c>
      <c r="W57" s="1" t="s">
        <v>806</v>
      </c>
      <c r="X57" s="1" t="s">
        <v>693</v>
      </c>
      <c r="AA57" s="1" t="s">
        <v>657</v>
      </c>
      <c r="AB57" s="1" t="s">
        <v>565</v>
      </c>
      <c r="AT57" s="1" t="s">
        <v>805</v>
      </c>
      <c r="AU57" s="1" t="s">
        <v>737</v>
      </c>
      <c r="BD57" s="18" t="s">
        <v>689</v>
      </c>
      <c r="BE57" s="17" t="s">
        <v>737</v>
      </c>
      <c r="BF57" s="17" t="s">
        <v>442</v>
      </c>
      <c r="BG57" s="17" t="s">
        <v>641</v>
      </c>
    </row>
    <row r="58" spans="16:59" x14ac:dyDescent="0.5">
      <c r="P58" s="1" t="s">
        <v>393</v>
      </c>
      <c r="Q58" s="1" t="s">
        <v>394</v>
      </c>
      <c r="W58" s="1" t="s">
        <v>393</v>
      </c>
      <c r="X58" s="1" t="s">
        <v>394</v>
      </c>
      <c r="AA58" s="1" t="s">
        <v>807</v>
      </c>
      <c r="AB58" s="1" t="s">
        <v>808</v>
      </c>
      <c r="AT58" s="1" t="s">
        <v>657</v>
      </c>
      <c r="AU58" s="1" t="s">
        <v>565</v>
      </c>
      <c r="BD58" s="17" t="s">
        <v>115</v>
      </c>
      <c r="BE58" s="15"/>
      <c r="BF58" s="17" t="s">
        <v>514</v>
      </c>
      <c r="BG58" s="17" t="s">
        <v>720</v>
      </c>
    </row>
    <row r="59" spans="16:59" x14ac:dyDescent="0.5">
      <c r="P59" s="1" t="s">
        <v>660</v>
      </c>
      <c r="Q59" s="1" t="s">
        <v>809</v>
      </c>
      <c r="W59" s="1" t="s">
        <v>660</v>
      </c>
      <c r="X59" s="1" t="s">
        <v>809</v>
      </c>
      <c r="AA59" s="1" t="s">
        <v>810</v>
      </c>
      <c r="AB59" s="1" t="s">
        <v>811</v>
      </c>
      <c r="AT59" s="1" t="s">
        <v>807</v>
      </c>
      <c r="AU59" s="1" t="s">
        <v>808</v>
      </c>
      <c r="BC59" s="2"/>
      <c r="BD59" s="17" t="s">
        <v>707</v>
      </c>
      <c r="BE59" s="15"/>
      <c r="BF59" s="17" t="s">
        <v>62</v>
      </c>
      <c r="BG59" s="17" t="s">
        <v>617</v>
      </c>
    </row>
    <row r="60" spans="16:59" x14ac:dyDescent="0.5">
      <c r="P60" s="1" t="s">
        <v>799</v>
      </c>
      <c r="Q60" s="1" t="s">
        <v>584</v>
      </c>
      <c r="W60" s="1" t="s">
        <v>799</v>
      </c>
      <c r="X60" s="1" t="s">
        <v>584</v>
      </c>
      <c r="AA60" s="1" t="s">
        <v>812</v>
      </c>
      <c r="AB60" s="1" t="s">
        <v>813</v>
      </c>
      <c r="AT60" s="1" t="s">
        <v>810</v>
      </c>
      <c r="AU60" s="1" t="s">
        <v>811</v>
      </c>
      <c r="BD60" s="18" t="s">
        <v>695</v>
      </c>
      <c r="BE60" s="15"/>
      <c r="BF60" s="17" t="s">
        <v>109</v>
      </c>
      <c r="BG60" s="17"/>
    </row>
    <row r="61" spans="16:59" x14ac:dyDescent="0.5">
      <c r="P61" s="1" t="s">
        <v>610</v>
      </c>
      <c r="Q61" s="1" t="s">
        <v>554</v>
      </c>
      <c r="W61" s="1" t="s">
        <v>610</v>
      </c>
      <c r="X61" s="1" t="s">
        <v>554</v>
      </c>
      <c r="AA61" s="1" t="s">
        <v>442</v>
      </c>
      <c r="AB61" s="1" t="s">
        <v>814</v>
      </c>
      <c r="AT61" s="1" t="s">
        <v>812</v>
      </c>
      <c r="AU61" s="1" t="s">
        <v>813</v>
      </c>
      <c r="BD61" s="17" t="s">
        <v>606</v>
      </c>
      <c r="BE61" s="15"/>
      <c r="BF61" s="17" t="s">
        <v>642</v>
      </c>
      <c r="BG61" s="17"/>
    </row>
    <row r="62" spans="16:59" x14ac:dyDescent="0.5">
      <c r="P62" s="1" t="s">
        <v>764</v>
      </c>
      <c r="Q62" s="1" t="s">
        <v>720</v>
      </c>
      <c r="W62" s="1" t="s">
        <v>764</v>
      </c>
      <c r="X62" s="1" t="s">
        <v>720</v>
      </c>
      <c r="AA62" s="1" t="s">
        <v>392</v>
      </c>
      <c r="AB62" s="1" t="s">
        <v>815</v>
      </c>
      <c r="AT62" s="1" t="s">
        <v>442</v>
      </c>
      <c r="AU62" s="1" t="s">
        <v>814</v>
      </c>
      <c r="BD62" s="18" t="s">
        <v>628</v>
      </c>
      <c r="BE62" s="15"/>
      <c r="BF62" s="17" t="s">
        <v>443</v>
      </c>
      <c r="BG62" s="17"/>
    </row>
    <row r="63" spans="16:59" x14ac:dyDescent="0.5">
      <c r="P63" s="1" t="s">
        <v>622</v>
      </c>
      <c r="Q63" s="1" t="s">
        <v>397</v>
      </c>
      <c r="W63" s="1" t="s">
        <v>622</v>
      </c>
      <c r="X63" s="1" t="s">
        <v>397</v>
      </c>
      <c r="AA63" s="1" t="s">
        <v>816</v>
      </c>
      <c r="AT63" s="1" t="s">
        <v>392</v>
      </c>
      <c r="AU63" s="1" t="s">
        <v>815</v>
      </c>
      <c r="BC63" s="2"/>
      <c r="BD63" s="18" t="s">
        <v>649</v>
      </c>
      <c r="BE63" s="15"/>
      <c r="BF63" s="18" t="s">
        <v>466</v>
      </c>
      <c r="BG63" s="17"/>
    </row>
    <row r="64" spans="16:59" x14ac:dyDescent="0.5">
      <c r="Q64" s="1" t="s">
        <v>617</v>
      </c>
      <c r="X64" s="1" t="s">
        <v>617</v>
      </c>
      <c r="AA64" s="1" t="s">
        <v>745</v>
      </c>
      <c r="AT64" s="1" t="s">
        <v>816</v>
      </c>
      <c r="BD64" s="17" t="s">
        <v>388</v>
      </c>
      <c r="BE64" s="15"/>
      <c r="BF64" s="17" t="s">
        <v>389</v>
      </c>
      <c r="BG64" s="17"/>
    </row>
    <row r="65" spans="17:59" x14ac:dyDescent="0.5">
      <c r="Q65" s="1" t="s">
        <v>398</v>
      </c>
      <c r="X65" s="1" t="s">
        <v>398</v>
      </c>
      <c r="AA65" s="1" t="s">
        <v>791</v>
      </c>
      <c r="AT65" s="1" t="s">
        <v>745</v>
      </c>
      <c r="BD65" s="15" t="s">
        <v>704</v>
      </c>
      <c r="BE65" s="15"/>
      <c r="BF65" s="18" t="s">
        <v>632</v>
      </c>
      <c r="BG65" s="17"/>
    </row>
    <row r="66" spans="17:59" x14ac:dyDescent="0.5">
      <c r="Q66" s="1" t="s">
        <v>817</v>
      </c>
      <c r="X66" s="1" t="s">
        <v>817</v>
      </c>
      <c r="AA66" s="1" t="s">
        <v>818</v>
      </c>
      <c r="AT66" s="1" t="s">
        <v>791</v>
      </c>
      <c r="BD66" s="16" t="s">
        <v>665</v>
      </c>
      <c r="BE66" s="15"/>
      <c r="BF66" s="17" t="s">
        <v>663</v>
      </c>
      <c r="BG66" s="17"/>
    </row>
    <row r="67" spans="17:59" x14ac:dyDescent="0.5">
      <c r="AA67" s="1" t="s">
        <v>819</v>
      </c>
      <c r="AT67" s="1" t="s">
        <v>818</v>
      </c>
      <c r="BD67" s="18" t="s">
        <v>746</v>
      </c>
      <c r="BE67" s="15"/>
      <c r="BF67" s="17" t="s">
        <v>681</v>
      </c>
      <c r="BG67" s="17"/>
    </row>
    <row r="68" spans="17:59" x14ac:dyDescent="0.5">
      <c r="AA68" s="1" t="s">
        <v>740</v>
      </c>
      <c r="AT68" s="1" t="s">
        <v>819</v>
      </c>
      <c r="BD68" s="15" t="s">
        <v>592</v>
      </c>
      <c r="BE68" s="15"/>
      <c r="BF68" s="17" t="s">
        <v>485</v>
      </c>
      <c r="BG68" s="17"/>
    </row>
    <row r="69" spans="17:59" x14ac:dyDescent="0.5">
      <c r="AT69" s="1" t="s">
        <v>740</v>
      </c>
      <c r="BD69" s="17" t="s">
        <v>580</v>
      </c>
      <c r="BE69" s="15"/>
      <c r="BF69" s="17" t="s">
        <v>540</v>
      </c>
      <c r="BG69" s="17"/>
    </row>
    <row r="70" spans="17:59" x14ac:dyDescent="0.5">
      <c r="BD70" s="18" t="s">
        <v>758</v>
      </c>
      <c r="BE70" s="20"/>
      <c r="BF70" s="17" t="s">
        <v>742</v>
      </c>
      <c r="BG70" s="17"/>
    </row>
    <row r="71" spans="17:59" x14ac:dyDescent="0.5">
      <c r="BD71" s="17" t="s">
        <v>390</v>
      </c>
      <c r="BF71" s="17" t="s">
        <v>567</v>
      </c>
      <c r="BG71" s="17"/>
    </row>
    <row r="72" spans="17:59" x14ac:dyDescent="0.5">
      <c r="BD72" s="17" t="s">
        <v>694</v>
      </c>
      <c r="BF72" s="18" t="s">
        <v>763</v>
      </c>
      <c r="BG72" s="17"/>
    </row>
    <row r="73" spans="17:59" x14ac:dyDescent="0.5">
      <c r="BD73" s="18" t="s">
        <v>663</v>
      </c>
      <c r="BF73" s="17" t="s">
        <v>513</v>
      </c>
      <c r="BG73" s="17"/>
    </row>
    <row r="74" spans="17:59" x14ac:dyDescent="0.5">
      <c r="BD74" s="15" t="s">
        <v>730</v>
      </c>
      <c r="BF74" s="18" t="s">
        <v>653</v>
      </c>
      <c r="BG74" s="17"/>
    </row>
    <row r="75" spans="17:59" x14ac:dyDescent="0.5">
      <c r="BD75" s="16" t="s">
        <v>734</v>
      </c>
      <c r="BF75" s="17" t="s">
        <v>99</v>
      </c>
      <c r="BG75" s="17"/>
    </row>
    <row r="76" spans="17:59" x14ac:dyDescent="0.5">
      <c r="BD76" s="15" t="s">
        <v>738</v>
      </c>
      <c r="BF76" s="17" t="s">
        <v>710</v>
      </c>
      <c r="BG76" s="17"/>
    </row>
    <row r="77" spans="17:59" x14ac:dyDescent="0.5">
      <c r="BD77" s="18" t="s">
        <v>767</v>
      </c>
      <c r="BF77" s="18" t="s">
        <v>465</v>
      </c>
      <c r="BG77" s="17"/>
    </row>
    <row r="78" spans="17:59" x14ac:dyDescent="0.5">
      <c r="BD78" s="18" t="s">
        <v>653</v>
      </c>
      <c r="BF78" s="18" t="s">
        <v>715</v>
      </c>
      <c r="BG78" s="17"/>
    </row>
    <row r="79" spans="17:59" x14ac:dyDescent="0.5">
      <c r="BD79" s="17" t="s">
        <v>99</v>
      </c>
      <c r="BF79" s="17" t="s">
        <v>693</v>
      </c>
      <c r="BG79" s="17"/>
    </row>
    <row r="80" spans="17:59" x14ac:dyDescent="0.5">
      <c r="BD80" s="16" t="s">
        <v>743</v>
      </c>
      <c r="BF80" s="17" t="s">
        <v>641</v>
      </c>
      <c r="BG80" s="17"/>
    </row>
    <row r="81" spans="56:59" x14ac:dyDescent="0.5">
      <c r="BD81" s="18" t="s">
        <v>757</v>
      </c>
      <c r="BF81" s="18" t="s">
        <v>671</v>
      </c>
      <c r="BG81" s="18"/>
    </row>
    <row r="82" spans="56:59" x14ac:dyDescent="0.5">
      <c r="BD82" s="15" t="s">
        <v>749</v>
      </c>
      <c r="BF82" s="17" t="s">
        <v>711</v>
      </c>
      <c r="BG82" s="17"/>
    </row>
    <row r="83" spans="56:59" x14ac:dyDescent="0.5">
      <c r="BD83" s="17" t="s">
        <v>393</v>
      </c>
      <c r="BF83" s="18" t="s">
        <v>584</v>
      </c>
      <c r="BG83" s="18"/>
    </row>
    <row r="84" spans="56:59" x14ac:dyDescent="0.5">
      <c r="BD84" s="18" t="s">
        <v>755</v>
      </c>
      <c r="BF84" s="18" t="s">
        <v>554</v>
      </c>
      <c r="BG84" s="17"/>
    </row>
    <row r="85" spans="56:59" x14ac:dyDescent="0.5">
      <c r="BD85" s="15" t="s">
        <v>610</v>
      </c>
      <c r="BF85" s="17" t="s">
        <v>720</v>
      </c>
      <c r="BG85" s="17"/>
    </row>
    <row r="86" spans="56:59" x14ac:dyDescent="0.5">
      <c r="BD86" s="17" t="s">
        <v>764</v>
      </c>
      <c r="BF86" s="21" t="s">
        <v>617</v>
      </c>
      <c r="BG86" s="17"/>
    </row>
    <row r="87" spans="56:59" x14ac:dyDescent="0.5">
      <c r="BD87" s="18" t="s">
        <v>729</v>
      </c>
      <c r="BF87" s="18" t="s">
        <v>398</v>
      </c>
      <c r="BG87" s="21"/>
    </row>
    <row r="88" spans="56:59" x14ac:dyDescent="0.5">
      <c r="BD88" s="17" t="s">
        <v>737</v>
      </c>
      <c r="BF88" s="18"/>
    </row>
    <row r="89" spans="56:59" x14ac:dyDescent="0.5">
      <c r="BD89" s="18"/>
      <c r="BF89" s="18"/>
    </row>
    <row r="90" spans="56:59" x14ac:dyDescent="0.5">
      <c r="BD90" s="18"/>
      <c r="BF90" s="18"/>
    </row>
    <row r="91" spans="56:59" x14ac:dyDescent="0.5">
      <c r="BD91" s="17"/>
      <c r="BF91" s="18"/>
    </row>
    <row r="92" spans="56:59" x14ac:dyDescent="0.5">
      <c r="BD92" s="18"/>
      <c r="BF92" s="21"/>
    </row>
    <row r="93" spans="56:59" x14ac:dyDescent="0.5">
      <c r="BD93" s="18"/>
    </row>
    <row r="94" spans="56:59" x14ac:dyDescent="0.5">
      <c r="BD94" s="18"/>
    </row>
    <row r="95" spans="56:59" x14ac:dyDescent="0.5">
      <c r="BD95" s="18"/>
    </row>
    <row r="96" spans="56:59" x14ac:dyDescent="0.5">
      <c r="BD96" s="18"/>
    </row>
    <row r="97" spans="56:56" x14ac:dyDescent="0.5">
      <c r="BD97" s="17"/>
    </row>
    <row r="98" spans="56:56" x14ac:dyDescent="0.5">
      <c r="BD98" s="18"/>
    </row>
    <row r="99" spans="56:56" x14ac:dyDescent="0.5">
      <c r="BD99" s="18"/>
    </row>
    <row r="100" spans="56:56" x14ac:dyDescent="0.5">
      <c r="BD100" s="18"/>
    </row>
    <row r="101" spans="56:56" x14ac:dyDescent="0.5">
      <c r="BD101" s="18"/>
    </row>
    <row r="102" spans="56:56" x14ac:dyDescent="0.5">
      <c r="BD102" s="18"/>
    </row>
    <row r="103" spans="56:56" x14ac:dyDescent="0.5">
      <c r="BD103" s="16"/>
    </row>
    <row r="104" spans="56:56" x14ac:dyDescent="0.5">
      <c r="BD104" s="18"/>
    </row>
    <row r="105" spans="56:56" x14ac:dyDescent="0.5">
      <c r="BD105" s="18"/>
    </row>
    <row r="106" spans="56:56" x14ac:dyDescent="0.5">
      <c r="BD106" s="18"/>
    </row>
    <row r="107" spans="56:56" x14ac:dyDescent="0.5">
      <c r="BD107" s="18"/>
    </row>
    <row r="108" spans="56:56" x14ac:dyDescent="0.5">
      <c r="BD108" s="21"/>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9A8A83-26F3-44AD-9BEB-D6FA58AD4D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61</vt:i4>
      </vt:variant>
    </vt:vector>
  </HeadingPairs>
  <TitlesOfParts>
    <vt:vector size="69" baseType="lpstr">
      <vt:lpstr>Paso1 Analisis perfil egreso</vt:lpstr>
      <vt:lpstr>Hoja1</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ComprensiónB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2026-04-21T19:41:09Z</dcterms:modified>
  <cp:category/>
  <cp:contentStatus/>
</cp:coreProperties>
</file>