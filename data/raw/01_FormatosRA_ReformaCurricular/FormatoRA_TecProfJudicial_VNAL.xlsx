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92" documentId="8_{D34020BD-4980-4C46-97D7-463CC2F94D8F}" xr6:coauthVersionLast="47" xr6:coauthVersionMax="47" xr10:uidLastSave="{D96BA6F3-2FB5-49A7-8D58-495B179FD26E}"/>
  <bookViews>
    <workbookView xWindow="-110" yWindow="-110" windowWidth="19420" windowHeight="10300" firstSheet="4" activeTab="4" xr2:uid="{BD68381A-4EB3-42BA-ADD5-D7B5B6C7E498}"/>
  </bookViews>
  <sheets>
    <sheet name="Paso1 Analisis perfil egreso" sheetId="1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'!$A$1:$I$15</definedName>
    <definedName name="_xlnm._FilterDatabase" localSheetId="3" hidden="1">'Paso 4 Estrategias mesocurricu'!$A$1:$E$17</definedName>
    <definedName name="_xlnm._FilterDatabase" localSheetId="4" hidden="1">'Paso 5 Estrategias micro'!$A$2:$Q$116</definedName>
    <definedName name="ActitudinalBAK">'Taxonomias para RA'!$AC$3:$AG$3</definedName>
    <definedName name="Áreasprofesionales">#REF!</definedName>
    <definedName name="Bloom">'Taxonomias para RA'!$G$3:$I$3</definedName>
    <definedName name="Celda_Creditos_por_materia">#REF!,#REF!,#REF!,#REF!,#REF!,#REF!,#REF!,#REF!,#REF!,#REF!,#REF!,#REF!,#REF!,#REF!,#REF!,#REF!,#REF!,#REF!,#REF!,#REF!,#REF!,#REF!,#REF!,#REF!,#REF!,#REF!,#REF!,#REF!,#REF!,#REF!,#REF!,#REF!,#REF!,#REF!,#REF!,#REF!,#REF!,#REF!,#REF!</definedName>
    <definedName name="Codigo_de_materia">#REF!,#REF!,#REF!,#REF!,#REF!,#REF!,#REF!,#REF!,#REF!,#REF!,#REF!,#REF!,#REF!,#REF!,#REF!,#REF!,#REF!,#REF!,#REF!,#REF!,#REF!,#REF!,#REF!,#REF!,#REF!,#REF!,#REF!,#REF!,#REF!,#REF!,#REF!,#REF!,#REF!,#REF!,#REF!,#REF!,#REF!,#REF!,#REF!</definedName>
    <definedName name="CognitivoBAK">'Taxonomias para RA'!$S$3:$X$3</definedName>
    <definedName name="ComponentesCompetencias" localSheetId="0">'Paso1 Analisis perfil egreso'!$E$2:$G$2</definedName>
    <definedName name="ComponentesCompetencias">#REF!</definedName>
    <definedName name="ComprenderLK">'Taxonomias para RA'!$AM$5:$AM$27</definedName>
    <definedName name="Creditos">#REF!,#REF!,#REF!,#REF!,#REF!,#REF!,#REF!,#REF!,#REF!</definedName>
    <definedName name="EvaluarLK">'Taxonomias para RA'!$AP$5:$AP$46</definedName>
    <definedName name="FACULTADES">#REF!</definedName>
    <definedName name="Nombre">#REF!,#REF!,#REF!,#REF!,#REF!,#REF!,#REF!,#REF!,#REF!,#REF!,#REF!,#REF!,#REF!,#REF!,#REF!,#REF!,#REF!,#REF!,#REF!,#REF!,#REF!,#REF!,#REF!,#REF!,#REF!,#REF!,#REF!,#REF!,#REF!,#REF!,#REF!,#REF!,#REF!,#REF!,#REF!,#REF!,#REF!,#REF!,#REF!,#REF!,#REF!,#REF!,#REF!,#REF!,#REF!,#REF!,#REF!,#REF!</definedName>
    <definedName name="Ocupación">#REF!</definedName>
    <definedName name="PercepciónBAK">'Taxonomias para RA'!$AC$4:$AC$40</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RA">#REF!</definedName>
    <definedName name="RecordarLK">'Taxonomias para RA'!$AL$5:$AL$27</definedName>
    <definedName name="RecuperaciónAK">'Taxonomias para RA'!$AT$4:$AT$27</definedName>
    <definedName name="resultadoaprendizaje">#REF!</definedName>
    <definedName name="SíntesisB">Tabla395381[SíntesisB]</definedName>
    <definedName name="SíntesisBAK">Tabla3966[SíntesisBAK]</definedName>
    <definedName name="taxonomiasra">Tabla1715[Taxonomías]</definedName>
    <definedName name="UsoConocimientoAK">'Taxonomias para RA'!$AW$4:$AW$70</definedName>
    <definedName name="ValorarBAK">Tabla4574[ValorarBAK]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1" i="7" l="1"/>
  <c r="L71" i="7"/>
  <c r="K8" i="7"/>
  <c r="L8" i="7"/>
  <c r="K58" i="7"/>
  <c r="L58" i="7"/>
  <c r="K45" i="7"/>
  <c r="L45" i="7"/>
  <c r="L15" i="7"/>
  <c r="K15" i="7"/>
  <c r="K95" i="7"/>
  <c r="L95" i="7"/>
  <c r="K101" i="7"/>
  <c r="L101" i="7"/>
  <c r="K107" i="7"/>
  <c r="L107" i="7"/>
  <c r="K9" i="7"/>
  <c r="L9" i="7"/>
  <c r="K89" i="7"/>
  <c r="L89" i="7"/>
  <c r="K65" i="7"/>
  <c r="L65" i="7"/>
  <c r="K59" i="7"/>
  <c r="L59" i="7"/>
  <c r="K52" i="7"/>
  <c r="L52" i="7"/>
  <c r="K83" i="7"/>
  <c r="L83" i="7"/>
  <c r="K72" i="7"/>
  <c r="L72" i="7"/>
  <c r="K39" i="7"/>
  <c r="L39" i="7"/>
  <c r="K33" i="7"/>
  <c r="L33" i="7"/>
  <c r="K27" i="7"/>
  <c r="L27" i="7"/>
  <c r="K46" i="7"/>
  <c r="L46" i="7"/>
  <c r="L21" i="7"/>
  <c r="K21" i="7"/>
  <c r="K78" i="7"/>
  <c r="L78" i="7"/>
  <c r="K16" i="7"/>
  <c r="L16" i="7"/>
  <c r="L3" i="7"/>
  <c r="K3" i="7"/>
  <c r="J115" i="7"/>
  <c r="J114" i="7"/>
  <c r="J113" i="7"/>
  <c r="D113" i="7"/>
  <c r="A13" i="7" a="1"/>
  <c r="A13" i="7" s="1"/>
  <c r="A93" i="7" a="1"/>
  <c r="A93" i="7" s="1"/>
  <c r="A69" i="7" a="1"/>
  <c r="A69" i="7" s="1"/>
  <c r="A63" i="7" a="1"/>
  <c r="A63" i="7" s="1"/>
  <c r="A56" i="7" a="1"/>
  <c r="A56" i="7" s="1"/>
  <c r="A87" i="7" a="1"/>
  <c r="A87" i="7" s="1"/>
  <c r="A76" i="7" a="1"/>
  <c r="A76" i="7" s="1"/>
  <c r="A43" i="7" a="1"/>
  <c r="A43" i="7" s="1"/>
  <c r="A37" i="7" a="1"/>
  <c r="A37" i="7" s="1"/>
  <c r="A31" i="7" a="1"/>
  <c r="A31" i="7" s="1"/>
  <c r="A50" i="7" a="1"/>
  <c r="A50" i="7" s="1"/>
  <c r="A17" i="7" a="1"/>
  <c r="A17" i="7" s="1"/>
  <c r="A18" i="7" a="1"/>
  <c r="A18" i="7" s="1"/>
  <c r="A19" i="7" a="1"/>
  <c r="A19" i="7" s="1"/>
  <c r="A20" i="7" a="1"/>
  <c r="A20" i="7" s="1"/>
  <c r="A25" i="7" a="1"/>
  <c r="A25" i="7" s="1"/>
  <c r="A111" i="7" a="1"/>
  <c r="A111" i="7" s="1"/>
  <c r="A99" i="7" a="1"/>
  <c r="A99" i="7" s="1"/>
  <c r="A105" i="7" a="1"/>
  <c r="A105" i="7" s="1"/>
  <c r="A71" i="7" a="1"/>
  <c r="A71" i="7" s="1"/>
  <c r="A8" i="7" a="1"/>
  <c r="A8" i="7" s="1"/>
  <c r="A58" i="7" a="1"/>
  <c r="A58" i="7" s="1"/>
  <c r="A15" i="7" a="1"/>
  <c r="A15" i="7" s="1"/>
  <c r="A100" i="7" a="1"/>
  <c r="A100" i="7" s="1"/>
  <c r="A98" i="7" a="1"/>
  <c r="A98" i="7" s="1"/>
  <c r="A97" i="7" a="1"/>
  <c r="A97" i="7" s="1"/>
  <c r="A96" i="7" a="1"/>
  <c r="A96" i="7" s="1"/>
  <c r="A95" i="7" a="1"/>
  <c r="A95" i="7" s="1"/>
  <c r="A106" i="7" a="1"/>
  <c r="A106" i="7" s="1"/>
  <c r="A104" i="7" a="1"/>
  <c r="A104" i="7" s="1"/>
  <c r="A103" i="7" a="1"/>
  <c r="A103" i="7" s="1"/>
  <c r="A102" i="7" a="1"/>
  <c r="A102" i="7" s="1"/>
  <c r="A101" i="7" a="1"/>
  <c r="A101" i="7" s="1"/>
  <c r="A112" i="7" a="1"/>
  <c r="A112" i="7" s="1"/>
  <c r="A110" i="7" a="1"/>
  <c r="A110" i="7" s="1"/>
  <c r="A109" i="7" a="1"/>
  <c r="A109" i="7" s="1"/>
  <c r="A108" i="7" a="1"/>
  <c r="A108" i="7" s="1"/>
  <c r="A107" i="7" a="1"/>
  <c r="A107" i="7" s="1"/>
  <c r="A14" i="7" a="1"/>
  <c r="A14" i="7" s="1"/>
  <c r="A12" i="7" a="1"/>
  <c r="A12" i="7" s="1"/>
  <c r="A11" i="7" a="1"/>
  <c r="A11" i="7" s="1"/>
  <c r="A10" i="7" a="1"/>
  <c r="A10" i="7" s="1"/>
  <c r="A9" i="7" a="1"/>
  <c r="A9" i="7" s="1"/>
  <c r="A82" i="7" a="1"/>
  <c r="A82" i="7" s="1"/>
  <c r="A81" i="7" a="1"/>
  <c r="A81" i="7" s="1"/>
  <c r="A80" i="7" a="1"/>
  <c r="A80" i="7" s="1"/>
  <c r="A79" i="7" a="1"/>
  <c r="A79" i="7" s="1"/>
  <c r="A78" i="7" a="1"/>
  <c r="A78" i="7" s="1"/>
  <c r="A94" i="7" a="1"/>
  <c r="A94" i="7" s="1"/>
  <c r="A92" i="7" a="1"/>
  <c r="A92" i="7" s="1"/>
  <c r="A91" i="7" a="1"/>
  <c r="A91" i="7" s="1"/>
  <c r="A90" i="7" a="1"/>
  <c r="A90" i="7" s="1"/>
  <c r="A89" i="7" a="1"/>
  <c r="A89" i="7" s="1"/>
  <c r="A70" i="7" a="1"/>
  <c r="A70" i="7" s="1"/>
  <c r="A68" i="7" a="1"/>
  <c r="A68" i="7" s="1"/>
  <c r="A67" i="7" a="1"/>
  <c r="A67" i="7" s="1"/>
  <c r="A66" i="7" a="1"/>
  <c r="A66" i="7" s="1"/>
  <c r="A65" i="7" a="1"/>
  <c r="A65" i="7" s="1"/>
  <c r="A64" i="7" a="1"/>
  <c r="A64" i="7" s="1"/>
  <c r="A62" i="7" a="1"/>
  <c r="A62" i="7" s="1"/>
  <c r="A61" i="7" a="1"/>
  <c r="A61" i="7" s="1"/>
  <c r="A60" i="7" a="1"/>
  <c r="A60" i="7" s="1"/>
  <c r="A59" i="7" a="1"/>
  <c r="A59" i="7" s="1"/>
  <c r="A57" i="7" a="1"/>
  <c r="A57" i="7" s="1"/>
  <c r="A55" i="7" a="1"/>
  <c r="A55" i="7" s="1"/>
  <c r="A54" i="7" a="1"/>
  <c r="A54" i="7" s="1"/>
  <c r="A53" i="7" a="1"/>
  <c r="A53" i="7" s="1"/>
  <c r="A52" i="7" a="1"/>
  <c r="A52" i="7" s="1"/>
  <c r="A88" i="7" a="1"/>
  <c r="A88" i="7" s="1"/>
  <c r="A86" i="7" a="1"/>
  <c r="A86" i="7" s="1"/>
  <c r="A85" i="7" a="1"/>
  <c r="A85" i="7" s="1"/>
  <c r="A84" i="7" a="1"/>
  <c r="A84" i="7" s="1"/>
  <c r="A83" i="7" a="1"/>
  <c r="A83" i="7" s="1"/>
  <c r="A77" i="7" a="1"/>
  <c r="A77" i="7" s="1"/>
  <c r="A75" i="7" a="1"/>
  <c r="A75" i="7" s="1"/>
  <c r="A74" i="7" a="1"/>
  <c r="A74" i="7" s="1"/>
  <c r="A73" i="7" a="1"/>
  <c r="A73" i="7" s="1"/>
  <c r="A72" i="7" a="1"/>
  <c r="A72" i="7" s="1"/>
  <c r="A44" i="7" a="1"/>
  <c r="A44" i="7" s="1"/>
  <c r="A42" i="7" a="1"/>
  <c r="A42" i="7" s="1"/>
  <c r="A41" i="7" a="1"/>
  <c r="A41" i="7" s="1"/>
  <c r="A40" i="7" a="1"/>
  <c r="A40" i="7" s="1"/>
  <c r="A39" i="7" a="1"/>
  <c r="A39" i="7" s="1"/>
  <c r="A38" i="7" a="1"/>
  <c r="A38" i="7" s="1"/>
  <c r="A36" i="7" a="1"/>
  <c r="A36" i="7" s="1"/>
  <c r="A35" i="7" a="1"/>
  <c r="A35" i="7" s="1"/>
  <c r="A34" i="7" a="1"/>
  <c r="A34" i="7" s="1"/>
  <c r="A33" i="7" a="1"/>
  <c r="A33" i="7" s="1"/>
  <c r="A32" i="7" a="1"/>
  <c r="A32" i="7" s="1"/>
  <c r="A30" i="7" a="1"/>
  <c r="A30" i="7" s="1"/>
  <c r="A29" i="7" a="1"/>
  <c r="A29" i="7" s="1"/>
  <c r="A28" i="7" a="1"/>
  <c r="A28" i="7" s="1"/>
  <c r="A27" i="7" a="1"/>
  <c r="A27" i="7" s="1"/>
  <c r="A51" i="7" a="1"/>
  <c r="A51" i="7" s="1"/>
  <c r="A49" i="7" a="1"/>
  <c r="A49" i="7" s="1"/>
  <c r="A48" i="7" a="1"/>
  <c r="A48" i="7" s="1"/>
  <c r="A47" i="7" a="1"/>
  <c r="A47" i="7" s="1"/>
  <c r="A46" i="7" a="1"/>
  <c r="A46" i="7" s="1"/>
  <c r="A16" i="7" a="1"/>
  <c r="A16" i="7" s="1"/>
  <c r="A26" i="7" a="1"/>
  <c r="A26" i="7" s="1"/>
  <c r="A24" i="7" a="1"/>
  <c r="A24" i="7" s="1"/>
  <c r="A23" i="7" a="1"/>
  <c r="A23" i="7" s="1"/>
  <c r="A22" i="7" a="1"/>
  <c r="A22" i="7" s="1"/>
  <c r="A21" i="7" a="1"/>
  <c r="A21" i="7" s="1"/>
  <c r="A45" i="7" a="1"/>
  <c r="A45" i="7" s="1"/>
  <c r="A6" i="7" a="1"/>
  <c r="A6" i="7" s="1"/>
  <c r="A7" i="7" a="1"/>
  <c r="A7" i="7" s="1"/>
  <c r="A4" i="7" a="1"/>
  <c r="A4" i="7" s="1"/>
  <c r="A5" i="7" a="1"/>
  <c r="A5" i="7" s="1"/>
  <c r="A3" i="7" a="1"/>
  <c r="A3" i="7" s="1"/>
  <c r="M21" i="7" l="1"/>
  <c r="M65" i="7"/>
  <c r="M46" i="7"/>
  <c r="M27" i="7"/>
  <c r="M33" i="7"/>
  <c r="M83" i="7"/>
  <c r="M89" i="7"/>
  <c r="M95" i="7"/>
  <c r="M3" i="7"/>
  <c r="M39" i="7"/>
  <c r="M16" i="7"/>
  <c r="M101" i="7"/>
  <c r="M58" i="7"/>
  <c r="M72" i="7"/>
  <c r="M107" i="7"/>
  <c r="M45" i="7"/>
  <c r="M78" i="7"/>
  <c r="M52" i="7"/>
  <c r="M9" i="7"/>
  <c r="M15" i="7"/>
  <c r="M8" i="7"/>
  <c r="M59" i="7"/>
  <c r="M7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CCFD066B-62D6-4D09-BD85-FD8BBAC1596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3D525670-D3C5-467E-9886-D891224213BC}">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CD9BC3DE-AC98-4A6F-B28A-CF8AB2D1AA0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2E1BC055-0FB2-4FAB-BE66-96E72FC4326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B8ECB87A-70DB-4162-BEA8-EA1D989D99B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5C53A12-A907-4B71-AF94-53DAB5FA07AA}">
      <text>
        <r>
          <rPr>
            <b/>
            <sz val="9"/>
            <color indexed="81"/>
            <rFont val="Tahoma"/>
            <family val="2"/>
          </rPr>
          <t>Dir. Currículo:</t>
        </r>
        <r>
          <rPr>
            <sz val="9"/>
            <color indexed="81"/>
            <rFont val="Tahoma"/>
            <family val="2"/>
          </rPr>
          <t xml:space="preserve">
Áreas en las que podrá laborar el profesional.</t>
        </r>
      </text>
    </comment>
    <comment ref="I2" authorId="0" shapeId="0" xr:uid="{49907408-E04E-4552-ABD5-EAB2F874CDBE}">
      <text>
        <r>
          <rPr>
            <b/>
            <sz val="9"/>
            <color indexed="81"/>
            <rFont val="Tahoma"/>
            <family val="2"/>
          </rPr>
          <t>Dir. Currículo:</t>
        </r>
        <r>
          <rPr>
            <sz val="9"/>
            <color indexed="81"/>
            <rFont val="Tahoma"/>
            <family val="2"/>
          </rPr>
          <t xml:space="preserve">
Tareas potenciales que hará el profesional.</t>
        </r>
      </text>
    </comment>
    <comment ref="J2" authorId="0" shapeId="0" xr:uid="{A5FDE75C-120F-44D1-B9D5-F9AEC45D00BA}">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246357A-73CE-4275-A797-36E950DD17CD}">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<sst xmlns="http://schemas.openxmlformats.org/spreadsheetml/2006/main" count="2269" uniqueCount="743">
  <si>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</si>
  <si>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</si>
  <si>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</si>
  <si>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</si>
  <si>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</si>
  <si>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</si>
  <si>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</si>
  <si>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</si>
  <si>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</si>
  <si>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</si>
  <si>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</si>
  <si>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</si>
  <si>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</si>
  <si>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</si>
  <si>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</si>
  <si>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</si>
  <si>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</si>
  <si>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</si>
  <si>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Técnica Profesional Judicial</t>
  </si>
  <si>
    <t>Virtual</t>
  </si>
  <si>
    <t xml:space="preserve">El Técnico Profesional Judicial aplica con visión crítica, ética e integral, los procedimientos y las técnicas jurídicas asociadas a las diferentes áreas del derecho, para asistir al abogado en la resolución de conflictos, de acuerdo con la realidad de la zona geográfica en la que se encuentre, aprovechando diversas tecnologías en los entornos virtuales o presenciales y caracterizándose por su capacidad oral, elaboración de textos jurídicos, así como por la implementación de técnicas archivísticas, de gestión documental, derecho inmobiliario y digitalización del derecho. </t>
  </si>
  <si>
    <t>El Técnico Profesional Judicial del Politécnico Grancolombiano está en capacidad de:
- Ejercer cargos auxiliares o asistenciales con conocimientos legales claros y prácticos en asuntos sustanciales, procedimentales y logísticos tanto en el sector público como en el privado.
- Desempeñar actividades que requieran el uso de tecnologías de la información y la comunicación, implementando sistemas de información documental de acuerdo con las técnicas archivísticas, y de elaboración de textos jurídicos y contractuales asignados en sus labores operativas dentro del área judicial, en cargos tales como escribientes, de secretariado, asistentes, sustanciadores, archivistas, entre otros.</t>
  </si>
  <si>
    <t>Procesos y procedimientos en derecho penal, laboral, civil, público y mercantil</t>
  </si>
  <si>
    <t>gestionar una correcta administración de justicia</t>
  </si>
  <si>
    <t>con un criterio ético y responsable en la aplicación de las normas</t>
  </si>
  <si>
    <t>Asistente jurídico / Auxiliar judicial / Auxiliar de tribunales / Secretario jurídico / Redactor jurídico / Técnico sustanciador / Citador sustanciador / Técnico en documentación procesal / Auxiliar de archivo jurídico / Gestor de gestión documental / Documentalista legal / Operador de digitalización jurídica / Gestor de información jurídica / Técnico administrativo jurídico / Técnico en seguimiento normativo / Asistente administrativo jurídico / Facilitador de resolución de conflictos / Asistente de conciliación / Técnico en mediación legal / Analista auxiliar de riesgos legales / Coordinador de agenda jurídica / Secretario ejecutivo judicial / Técnico investigador judicial / Investigador judicial / Gestor de proyectos de justicia digital / Auxiliar jurídico en entidades judiciales públicas o privadas / Técnico o asistente en derecho de consumo y competencia / Auxiliar en derecho registral e inmobiliario / Técnico en derecho laboral y seguridad social / Auxiliar de apoyo en derecho empresarial y societario / Técnico o gestor en acciones constitucionales / Auxiliar de análisis de datos jurídicos y estadística judicial / Técnico en procedimientos administrativos y control de términos / Apoyo técnico en investigación penal y criminalística básica.</t>
  </si>
  <si>
    <t>Elaborar escritos jurídicos como demandas, memoriales y oficios según lineamientos procesales / Apoyar en la organización y seguimiento de procesos judiciales y administrativos / Recopilar información normativa y jurisprudencial para apoyar sustanciaciones / Redactar contratos, actas, poderes y minutas con base en modelos normativos vigentes / Revisar la coherencia y la estructura legal de documentos antes de su firma o radicación / Clasificar expedientes judiciales según su naturaleza y fase procesal / Cargar, actualizar y consultar información jurídica en sistemas de gestión documental / Digitalizar expedientes físicos asegurando calidad de imagen y respaldo en la nube / Apoyar la elaboración de actas de audiencia de conciliación y acuerdos logrados / Orientar a las partes en los pasos para acceder a mecanismos alternativos de resolución / Sistematizar casos atendidos en centros de conciliación mediante bases de datos / Elaborar oficios, comunicaciones internas y reportes para entidades jurídicas / Coordinar el uso de recursos logísticos para el desarrollo de actividades legales / Participar en la recopilación de datos legales para análisis de riesgos normativos / Apoyar la implementación de herramientas tecnológicas para la transformación digital en entornos jurídicos / Elaborar reportes técnicos sobre cumplimiento documental y normativo / Tramitar y registrar documentos de propiedad y actos de comercio ante cámaras de comercio y notarías / Gestionar trámites relacionados con compraventa, arrendamiento y sociedades / Apoyar la preparación de acciones constitucionales (tutelas, habeas corpus, habeas data) / Realizar seguimiento al cumplimiento de fallos constitucionales o administrativos / Tramitar solicitudes ante entidades públicas y realizar control de términos legales / Apoyar la radicación y seguimiento de denuncias penales / Colaborar en la organización de expedientes y pruebas en procesos penales / Gestionar citaciones y notificaciones en procedimientos penales / Elaborar liquidaciones básicas de prestaciones sociales y nómina / Tramitar afiliaciones, novedades y reportes ante el sistema de seguridad social / Gestionar reclamaciones laborales ante el Ministerio de Trabajo o juzgados laborales / Realizar estudios de títulos básicos y verificación de certificados de tradición y libertad / Tramitar inscripciones, cancelaciones e hipotecas ante oficinas de registro / Gestionar licencias o autorizaciones para actos jurídicos sobre inmuebles / Implementar bases de datos para análisis de procesos judiciales y administrativos / Elaborar visualizaciones y reportes estadísticos sobre la gestión jurídica / Administrar repositorios digitales de información legal con control de acceso / Facilitar procesos de mediación comunitaria o empresarial / Tramitar reclamaciones de consumidores ante autoridades competentes / Apoyar en investigaciones sobre prácticas restrictivas de la competencia / Elaborar informes de cumplimiento de normas de protección al consumidor / Apoyar en la constitución, modificación y disolución de sociedades / Elaborar actas de asambleas y juntas de socios / Gestionar registros y renovaciones de matrícula mercantil / Diseñar y presentar propuestas de servicios jurídicos para emprendimientos / Elaborar planes de negocio para empresas del sector legal / Coordinar alianzas estratégicas con otras entidades o profesionales.</t>
  </si>
  <si>
    <t>Juzgados, tribunales y altas cortes / Fiscalías y procuradurías/ Contralorías y personerías municipales o departamentales / Centros de conciliación y arbitraje / Ministerios y secretarías con áreas jurídicas /Alcaldías y gobernaciones / Entidades descentralizadas con gestión legal (superintendencias, institutos, agencias) / Empresas y corporaciones con unidades legales internas / Firmas de abogados y consultoras jurídicas / Cámaras de comercio y gremios empresariales/Compañías de seguros y bancos en gestión legal y de contratos / Notarías urbanas y rurales/Oficinas de registro de instrumentos públicos / Dependencias de registro mercantil / Empresas de custodia y digitalización de archivos / Dependencias archivísticas de entidades públicas o privadas con alto volumen documental jurídico / Organizaciones no gubernamentales con proyectos de acceso a la justicia.</t>
  </si>
  <si>
    <t>El egresado de la Técnica Profesional Judicial del Politécnico Grancolombiano se forma con una combinación de fundamentos jurídicos en las diferentes áreas del derecho y herramientas tecnológicas aplicadas al ejercicio legal, que incluyen digitalización del derecho, análisis de datos jurídicos y prácticas en ambientes simulados que replican escenarios reales de la administración de justicia. Esta formación le permite desenvolverse con solvencia en la gestión de expedientes y procesos tanto en entornos físicos como virtuales, responder a los retos de transformación digital en el sector legal y adaptarse a diferentes contextos de trabajo. La articulación de estos elementos con las exigencias actuales del mercado fortalece su proyección laboral en notarías, despachos judiciales, áreas jurídicas corporativas y organismos de control, generando una preparación alineada con las tendencias de modernización y eficiencia en la administración de justicia.</t>
  </si>
  <si>
    <t>Procesos archivísticos y de digitalización del derecho</t>
  </si>
  <si>
    <t>categorizar la información judicial de los expedientes</t>
  </si>
  <si>
    <t>de acuerdo con las necesidades de la organización</t>
  </si>
  <si>
    <t>Textos jurídicos y contractuales en las diferentes áreas del derecho</t>
  </si>
  <si>
    <t>documentar la voluntad de las partes</t>
  </si>
  <si>
    <t xml:space="preserve">teniendo en cuenta el orden y las etapas necesarias de los actos jurídicos. </t>
  </si>
  <si>
    <t>Conflictos objeto de negociación</t>
  </si>
  <si>
    <t>apoyar en su resolución</t>
  </si>
  <si>
    <t>a través de métodos alternativos hetero compositivos y autocompositivos</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</si>
  <si>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</si>
  <si>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</si>
  <si>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</si>
  <si>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</si>
  <si>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</si>
  <si>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</si>
  <si>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</si>
  <si>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</si>
  <si>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</si>
  <si>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</si>
  <si>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</si>
  <si>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</si>
  <si>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VerboCompetencia</t>
  </si>
  <si>
    <t>Objeto conceptual</t>
  </si>
  <si>
    <t>Finalidad</t>
  </si>
  <si>
    <t>Condición de contexto o referencia</t>
  </si>
  <si>
    <t>RedacciónCompetencia</t>
  </si>
  <si>
    <t>Tipo de Competencia</t>
  </si>
  <si>
    <t>Desarrollar</t>
  </si>
  <si>
    <t>gestionar una correcta administración de justicia,</t>
  </si>
  <si>
    <t>Desarrollar procesos y procedimientos en derecho penal, laboral, civil, público y mercantil para gestionar una correcta administración de justicia, con un criterio ético y responsable en la aplicación de las normas.</t>
  </si>
  <si>
    <t>Específica</t>
  </si>
  <si>
    <t>Implementar</t>
  </si>
  <si>
    <t>Implementar procesos archivísticos y de digitalización del derecho de acuerdo con las necesidades de la organización, para categorizar la información judicial de los expedientes.</t>
  </si>
  <si>
    <t>Elaborar</t>
  </si>
  <si>
    <t xml:space="preserve">Elaborar textos jurídicos y contractuales en las diferentes áreas del derecho para documentar la voluntad de las partes, teniendo en cuenta el orden y las etapas necesarias de los actos jurídicos. </t>
  </si>
  <si>
    <t>Conocer</t>
  </si>
  <si>
    <t>Conocer los conflictos objeto de negociación para apoyar en su resolución a través de métodos alternativos hetero compositivos y autocompositivos.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</si>
  <si>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</si>
  <si>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</si>
  <si>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</si>
  <si>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</si>
  <si>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</si>
  <si>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</si>
  <si>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</si>
  <si>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</si>
  <si>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</si>
  <si>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</si>
  <si>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</si>
  <si>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</si>
  <si>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</si>
  <si>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</si>
  <si>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</si>
  <si>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</si>
  <si>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</si>
  <si>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</si>
  <si>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</si>
  <si>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</si>
  <si>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</si>
  <si>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</si>
  <si>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</si>
  <si>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</si>
  <si>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</si>
  <si>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los procesos y procedimientos asociados a las diferentes áreas del derecho para estructurar las etapas necesarias y lo que de ellas se deriva, en la resolución de conflictos judiciales y extra judiciales.</t>
  </si>
  <si>
    <t>Saberhacer</t>
  </si>
  <si>
    <t>ProcedimentalB</t>
  </si>
  <si>
    <t>AplicaciónB</t>
  </si>
  <si>
    <t>Emplear</t>
  </si>
  <si>
    <t>Emplea los procesos y procedimientos que permiten gestionar una correcta administración de justicia, para generar los soportes documentales o verbales que apoyan la resolución de conflictos objeto de negociación, en las diferentes áreas del derecho.</t>
  </si>
  <si>
    <t>Saberser</t>
  </si>
  <si>
    <t>con un criterio ético y responsable en la aplicación de las normas.</t>
  </si>
  <si>
    <t>ActitudinalB</t>
  </si>
  <si>
    <t>Aplicar</t>
  </si>
  <si>
    <t>Aplica adecuadamente técnicas, procesos, procedimientos y métodos propios del actuar jurídico y de la gestión documental judicial, para plantear soluciones acordes con la normatividad y con las necesidades identificadas en el contexto o en el objeto de negociación en la etapa judicial o extra judicial, según corresponda.</t>
  </si>
  <si>
    <t>ConocimientoB</t>
  </si>
  <si>
    <t>Reconocer</t>
  </si>
  <si>
    <t>Reconoce los textos jurídicos y contractuales que se deben generar en las diferentes áreas del derecho, para determinar el proceso archivístico o de digitalización que permite organizar y gestionar la documentación de información en las entidades.</t>
  </si>
  <si>
    <t xml:space="preserve">Aplica técnicas para categorizar o documentar información acatando los requisitos establecidos en la normatividad sustancial y procesal, así como de la voluntad de los intervinientes. </t>
  </si>
  <si>
    <t>Conocimientos</t>
  </si>
  <si>
    <t>documentar la voluntad de las partes,</t>
  </si>
  <si>
    <t>a través de métodos alternativos hetero compositivos y autocompositivos.</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</si>
  <si>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</si>
  <si>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</si>
  <si>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</si>
  <si>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</si>
  <si>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</si>
  <si>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</si>
  <si>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</si>
  <si>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</si>
  <si>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</si>
  <si>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</si>
  <si>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</si>
  <si>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</si>
  <si>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</si>
  <si>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Identifica los procesos y procedimientos asociados al derecho penal, laboral, civil, público y mercantil, para estructurar su forma de uso en el desarrollo de conflictos objeto de negociación.</t>
  </si>
  <si>
    <t>Eventos académicos nacionales e internacionales</t>
  </si>
  <si>
    <t>Organización de encuentros con expertos nacionales e internacionales del ámbito jurídico, orientados a la actualización en tendencias, análisis en derecho comparado, cambios normativos y buenas prácticas del derecho. Estos espacios fortalecen el pensamiento crítico, amplían la perspectiva profesional y fomentan redes de contacto en el sector legal.</t>
  </si>
  <si>
    <t>Número de estudiantes del programa que participan en la estrategia.</t>
  </si>
  <si>
    <t>Informar y formar sobre las tendencias, cambios normativos y buenas prácticas compartidas por expertos, promoviendo su apropiación y aplicación en contextos jurídicos reales.</t>
  </si>
  <si>
    <t>Listado de participación</t>
  </si>
  <si>
    <t xml:space="preserve">Aplica las técnicas para categorizar o documentar información acatando los requisitos establecidos en la normatividad sustancial y procesal, así como de la voluntad de los intervinientes. </t>
  </si>
  <si>
    <t>Valoración de los estudiantes de la contribución que da la estrategia a los resultados de aprendizaje asociados.</t>
  </si>
  <si>
    <t>Encuesta</t>
  </si>
  <si>
    <t>Número de eventos realizados en el periodo de tiempo que establezca el programa.</t>
  </si>
  <si>
    <t>Reporte o Informe</t>
  </si>
  <si>
    <t>Misiones internacionales</t>
  </si>
  <si>
    <t>Experiencias académicas y culturales con entidades, organismos o expertos disciplinares del exterior que incluyen congresos, seminarios, diplomados y encuentros, permitiendo ampliar el conocimiento de diversos sistemas jurídicos con análisis en derecho comparado y el intercambio de buenas prácticas en la administración de justicia.</t>
  </si>
  <si>
    <t>Formar y ayudar a decidir sobre la participación en experiencias académicas internacionales, orientando al estudiante en la valoración de beneficios académicos y profesionales.</t>
  </si>
  <si>
    <t>Aplica adecuadamente técnicas, procesos y métodos propios del actuar jurídico y de la gestión documental judicial, para plantear soluciones acordes a las necesidades identificadas en el contexto o al objeto de negociación cuando corresponda.</t>
  </si>
  <si>
    <t>Número de misiones realizadas en el periodo de tiempo que establezca el programa.</t>
  </si>
  <si>
    <t>Análisis de empleabilidad y proyección de impacto como egresados hacia las comunidades</t>
  </si>
  <si>
    <t>Revisión sistemática de la demanda laboral de técnicos judiciales en el sector público y privado, identificando oportunidades de inserción laboral y áreas de impacto social, con el propósito de retroalimentar el plan de estudios y fortalecer la pertinencia del perfil profesional.</t>
  </si>
  <si>
    <t xml:space="preserve">Número de estudiantes que participan en las convocatorias a concursos de la rama judicial o que están vinculados laboralmente en actividades jurídicas. </t>
  </si>
  <si>
    <t>Informar y prevenir respecto a las tendencias del mercado laboral para técnicos judiciales, anticipando competencias y habilidades requeridas por el sector público y privado.</t>
  </si>
  <si>
    <t>Número de veces que se participa en las convocatorias a concursos de la rama judicial.</t>
  </si>
  <si>
    <t>Reconoce los textos jurídicos y contractuales que se deben generar en las situaciones jurídicas de las diferentes áreas del derecho, para determinar el proceso archivístico y de gestión documental que permite organizar la información en las entidades judiciales.</t>
  </si>
  <si>
    <t>Elaboración de textos jurídicos</t>
  </si>
  <si>
    <t>Desarrollo de talleres y ejercicios prácticos enfocados en la producción de documentos jurídicos contractuales y procedimentales, con énfasis en la estructura normativa, el rigor técnico y el uso preciso del lenguaje jurídico para contextos reales.</t>
  </si>
  <si>
    <t>Formar y prevenir sobre errores comunes en la redacción de documentos jurídicos, fortaleciendo la precisión técnica en materia de elementos esenciales y de validez y el uso correcto del lenguaje jurídico.</t>
  </si>
  <si>
    <t>Número de documentos y situaciones simuladas generados en el curso de práctica simulada.</t>
  </si>
  <si>
    <t>Número de documentos publicados producto de proyectos de semilleros.</t>
  </si>
  <si>
    <t>Registros en Alejandría u otros repositorios</t>
  </si>
  <si>
    <t xml:space="preserve">Clases espejo nacional e internacional </t>
  </si>
  <si>
    <t>Implementación de sesiones académicas sincrónicas en modalidad de una o doble vía, donde docentes y estudiantes interactúan con grupos de universidades nacionales e internacionales para contrastar enfoques jurídicos, conocer postulados internacionales y reforzar el aprendizaje en disciplinas del derecho sustancial.</t>
  </si>
  <si>
    <t xml:space="preserve">Participación de los estudiantes en las clases espejo en doble vía a las que son convocados. </t>
  </si>
  <si>
    <t>Formar e informar sobre enfoques y postulados jurídicos nacionales e internacionales, incentivando la comparación crítica normativa y la aplicación contextualizada del conocimiento.</t>
  </si>
  <si>
    <t>Listados de participación</t>
  </si>
  <si>
    <t>Número de tutores del programa que participan en la estrategia.</t>
  </si>
  <si>
    <t>Número de veces que se implementa la estrategia semestralmente.</t>
  </si>
  <si>
    <t>Socialización prácticas simuladas del programa</t>
  </si>
  <si>
    <t>Presentación de casos y textos jurídicos elaborados en el módulo virtual de prácticas simuladas, evidenciando la aplicación práctica de procedimientos judiciales y la suficiencia en el manejo de las diferentes áreas del derecho, con retroalimentación académica entre pares y docentes.</t>
  </si>
  <si>
    <t>Formar a los estudiantes en temas disciplinares y en su aplicación dentro de contextos procedimentales.
Informar y formar mediante la apropiación social del conocimiento, compartiendo las experiencias de prácticas en ambientes simulados y el saber generado por los estudiantes del programa.</t>
  </si>
  <si>
    <t xml:space="preserve">Presenta la fundamentación jurídica en la sustentación de argumentos verbales que permitan resolver un caso ante jurados, desde los diferentes énfasis del derecho con uso de MASC en primera instancia.          </t>
  </si>
  <si>
    <t xml:space="preserve">Reporte o Informe participación en eventos de proyección social con las comunidades </t>
  </si>
  <si>
    <t xml:space="preserve">Desarrolla la solución de problemas formulados a partir de un cuestionario que integra todas las áreas el derecho y los MASC. </t>
  </si>
  <si>
    <t>Reporte o Informe resultado de las pruebas Saber TyT</t>
  </si>
  <si>
    <t xml:space="preserve">Estudiantes que aprueban con promedio superior a 450 puntos de 500, el módulo de practica en ambiente simulados. </t>
  </si>
  <si>
    <t>Curso de preparación para el examen Saber TyT</t>
  </si>
  <si>
    <t>Programa de formación virtual semestral tipo MOOC orientado a reforzar las competencias genéricas evaluadas en el examen Saber TyT, que incluye caja de herramientas, cápsulas de formación, guías de orientación Saber TyT ICFES, sesiones sincrónicas con expertos en competencias ciudadanas, inglés, razonamiento cuantitativo, comunicación escrita y lectura crítica.</t>
  </si>
  <si>
    <t>Formar a los estudiantes en contenidos y competencias clave de la profesión evaluadas en las pruebas Saber TyT.
Prevenir dificultades y orientar la toma de decisiones académicas a partir del análisis de los resultados obtenidos durante el proceso de preparación y simulación del examen.</t>
  </si>
  <si>
    <t>Resultados de las pruebas Saber TyT en comparación con la media de resultados institucional y nacional.</t>
  </si>
  <si>
    <t xml:space="preserve">Puntaje superior en la solución de problemas formulados para la redacción del texto argumentativo que se requieren en la prueba general de Saber TyT.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</si>
  <si>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</si>
  <si>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</si>
  <si>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</si>
  <si>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</si>
  <si>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</si>
  <si>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</si>
  <si>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</si>
  <si>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</si>
  <si>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</si>
  <si>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</si>
  <si>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</si>
  <si>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</si>
  <si>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</si>
  <si>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</si>
  <si>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</si>
  <si>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</si>
  <si>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</si>
  <si>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de la asignatura o módulo</t>
  </si>
  <si>
    <t>Indicadores de logro de la asignatura y/o módulo</t>
  </si>
  <si>
    <t>Tipología</t>
  </si>
  <si>
    <t>B.Institucional</t>
  </si>
  <si>
    <t>B.Disciplinar</t>
  </si>
  <si>
    <t>B.Electivo</t>
  </si>
  <si>
    <t>Créditos</t>
  </si>
  <si>
    <t>Número de horas de trabajo directo</t>
  </si>
  <si>
    <t>Número de horas de trabajo independiente</t>
  </si>
  <si>
    <t>Total de horas</t>
  </si>
  <si>
    <t>Núcleos temáticos</t>
  </si>
  <si>
    <t>Actividades de aprendizaje</t>
  </si>
  <si>
    <t>Actividades de evaluación</t>
  </si>
  <si>
    <t>Acciones de retroalimentación</t>
  </si>
  <si>
    <t>Introducción al Derecho</t>
  </si>
  <si>
    <t xml:space="preserve">Analiza las concepciones del derecho, sus escuelas y corrientes, así como los principios y fuentes del derecho para establecer el derecho en la resolución de casos mediante la argumentación.    </t>
  </si>
  <si>
    <t>T</t>
  </si>
  <si>
    <t> </t>
  </si>
  <si>
    <t>X</t>
  </si>
  <si>
    <t xml:space="preserve">1. Nociones fundamentales de Derecho. 
2. Introducción a la filosofía del Derecho. 
3. Fuentes del Derecho. 
4. Principios generales del Derecho. </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</si>
  <si>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</si>
  <si>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</si>
  <si>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</si>
  <si>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</si>
  <si>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</si>
  <si>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</si>
  <si>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</si>
  <si>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Desarrollo de encuentros sincrónicos
Acompañamiento en foros
Mensajería interna con la reflexión o síntesis de los resultados alcanzados por el grupo
Trabajo Independiente:
Revisión de lecturas fundamentales
Revisión y desarrollo del material de trabajo
Participación en foros de discusión, de actividades formativas o de resolución de dudas
Revisión de material complementario</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</si>
  <si>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</si>
  <si>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</si>
  <si>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</si>
  <si>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</si>
  <si>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</si>
  <si>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</si>
  <si>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llevar a cabo análisis de problemáticas sociales, ambientales y culturales.
Reflexiona sobre los impactos de los avances tecnológicos en el ámbito profesional y ciudadano para generar análisis alrededor de éstos,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</si>
  <si>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</si>
  <si>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
Autoevaluación (semana 8 - Cuestionario final de, mínimo, cinco preguntas, en el cual el estudiante reflexiona sobre su propio desempeño, habilidades y resultados en un contexto específico. )</t>
  </si>
  <si>
    <t>Derecho Civil Personas</t>
  </si>
  <si>
    <t>Emplea el derecho civil y de personas, las nociones fundamentales, los derechos y obligaciones, para implementar los atributos de la personalidad desde la existencia hasta la extinción, en el análisis de casos. </t>
  </si>
  <si>
    <t xml:space="preserve">1. Historia del Derecho Civil.
2. Contenido y estructura del código civil.
3. De las personas.
4. Derechos de las personas. </t>
  </si>
  <si>
    <t>I</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</si>
  <si>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</si>
  <si>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</si>
  <si>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</si>
  <si>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</si>
  <si>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Trámites en Derecho Inmobiliario</t>
  </si>
  <si>
    <t>Diferencia los conceptos de bien y cosa en términos jurídicos para determinar las relaciones jurídicas que existen entre una persona y un bien, a través del ordenamiento jurídico colombiano.
Establece los requisitos legales, sustanciales y procedimentales de adquirir el derecho real de dominio dentro del ordenamiento jurídico colombiano, para documentar trámites en la adquisición de propiedad y uso.
Determina los tipos de contratos necesarios para elaborar documentos en los cuales se trasmita el derecho de dominio o usufructo de los bienes, a la luz de la legislación colombiana vigente.</t>
  </si>
  <si>
    <t>1. Derecho de los bienes y su contenido jurídico.
2. Modos de adquirir el derecho real de dominio.
3. Principales contratos del derecho de los bienes.
4. Planificación Urbana y la gestión inmobiliaria.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</si>
  <si>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</si>
  <si>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</si>
  <si>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1. Temas introductorios, contextualización del derecho procesal. 
2. Mecanismos alternativos de resolución de conflictos, actos, presupuestos y sujetos.  
3. La demanda, su admisión, reforma y adición.  
4. La contestación de la demanda y audiencias.</t>
  </si>
  <si>
    <t>Contratos Civiles</t>
  </si>
  <si>
    <t>Reconoce los diferentes tipos de contratos civiles para determinar los elementos constitutivos y de validez que les corresponden, según sus características.</t>
  </si>
  <si>
    <t>1. Principios Generales del Derecho de Contratos. 
2. Contrato de Compraventa y Contrato de Arrendamiento. 
3. Contratos de Préstamo (Mutuo y Comodato) y Contrato de Mandato.  
4. Contrato de Promesa, Contrato de Depósito y Fiducia y MASC en materia contractual.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</si>
  <si>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</si>
  <si>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</si>
  <si>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1. Contextualización.
2. Análisis de Datos y Visualización.
3. Usos de la Inteligencia Artificial.
4. Casos de Estudio.</t>
  </si>
  <si>
    <t>Administrativo General</t>
  </si>
  <si>
    <t xml:space="preserve">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 </t>
  </si>
  <si>
    <t xml:space="preserve">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 </t>
  </si>
  <si>
    <t>Procedimiento en Derecho Penal</t>
  </si>
  <si>
    <t xml:space="preserve">Reconoce los fundamentos generales, principios y fuentes normativas del derecho penal y procesal penal, así como las instituciones procesales, partes e intervinientes, para aplicar conceptos y procedimientos en el análisis de casos y en el desarrollo de las etapas estructurales del proceso penal colombiano. 
</t>
  </si>
  <si>
    <t>1. Generalidades del Derecho penal y del procedimiento penal. 
2. Principios del Derecho penal y del Derecho procesal penal, la pena y la acción civil en el proceso penal. 
3. Generalidades de los tipos penales, delitos y tipos penales.
4. Etapas del proceso penal.</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</si>
  <si>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</si>
  <si>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</si>
  <si>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</si>
  <si>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Digitalización del Derecho</t>
  </si>
  <si>
    <t>Identifica las nociones básicas de la cibernética jurídica y su relación con el derecho para caracterizar su uso en los procesos del ámbito judicial, según la necesidad del contexto.
Aplica los conceptos fundamentales del Derecho Digital para analizar asuntos judiciales relacionados con las tecnologías de la información y la comunicación.
Implementa sistemas de gestión documental haciendo uso de las TIC, para documentar y digitalizar información de procesos o trámites en las entidades, de acuerdo con las condiciones y necesidades de estas.</t>
  </si>
  <si>
    <t>1. Generalidades de la digitalización del Derecho.
2. Conceptualización de la cibernética jurídica.
3. La archivística.
4. Gestión documental y aplicación de las nuevas tecnologías.</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</si>
  <si>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t>
  </si>
  <si>
    <t>Procedimientos Judiciales</t>
  </si>
  <si>
    <t>Identifica las etapas procesales según la jurisdicción y competencia para proyectar documentos en la realización de actuaciones judiciales, de acuerdo con la fase de la litis.
Conoce las causales de nulidad (sustanciales y procesales) para proyectar la actuación necesaria de saneamiento de documentos o trámites, en los procesos judiciales.
Aplica técnicas de intervención oral para construir argumentos válidos, según las necesidades eventuales del proceso jurídico.</t>
  </si>
  <si>
    <t>1. Aspectos fundamentales del proceso judicial.
2. Procedimientos y recursos en el proceso judicial.
3. La oralidad como esquema procesal y sus aplicaciones en Colombia.
4. Habilidades para una intervención oral efectiva.</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</si>
  <si>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</si>
  <si>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</si>
  <si>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 xml:space="preserve">1. Empatía y Comprensión del Usuario.
2. Co-creación con los Usuarios.
3. Enfoque en la Experiencia del Usuario.
4. Diseño del modelo de negocio. </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</si>
  <si>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</si>
  <si>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</si>
  <si>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</si>
  <si>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</si>
  <si>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</si>
  <si>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</si>
  <si>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</si>
  <si>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 xml:space="preserve">1. Historia, principios generales y fuentes del Derecho Laboral. 
2. Contrato de trabajo, jornada laboral, salario y prestaciones sociales.
3. Reglamento interno de trabajo y fueros laborales. 
4. Seguridad Social.  </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</si>
  <si>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</si>
  <si>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</si>
  <si>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 xml:space="preserve">1. Procedimiento administrativo general y Derecho de petición.  
2. Organización de la Jurisdicción contenciosa administrativa y competencia.
3. Demanda y proceso contencioso administrativo y medios de control.
4. MASC en los procesos contenciosos administrativos. </t>
  </si>
  <si>
    <t>Derecho del Consumo y la Competencia</t>
  </si>
  <si>
    <t xml:space="preserve">Identifica los derechos de los consumidores, garantías, regímenes de responsabilidad y protección contractual, para aplicar los instrumentos jurídicos de protección ante las entidades encargadas competentes en aras de proteger los derechos del consumidor. </t>
  </si>
  <si>
    <t xml:space="preserve">1. Fundamento Constitucional de la Protección al Consumidor.
2. Regulación de Derechos y Obligaciones entre Productores, Proveedores y Consumidores.
3. Derecho de Información y publicidad engañosa.
4. Aspectos Procesales de la Protección al Consumidor. </t>
  </si>
  <si>
    <t>Sociedades</t>
  </si>
  <si>
    <t xml:space="preserve">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 </t>
  </si>
  <si>
    <t>1. Fundamentos constitucionales del esquema societario.
2. Personalidad jurídica y tipicidad societaria.
3. Estructura del contrato de sociedad y asamblea general de socios.
4. La propiedad industrial y la SIC.</t>
  </si>
  <si>
    <t xml:space="preserve">Derecho Empresarial </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</si>
  <si>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</si>
  <si>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</si>
  <si>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Práctica en Ambientes Simulados</t>
  </si>
  <si>
    <t xml:space="preserve">Reconoce los componentes sustanciales y procesales para ejercer el derecho de acción y contradicción que corresponda, con base en los fundamentos del derecho procesal.
Identifica las etapas, los procedimientos e intervinientes para elaborar los textos judiciales que estos requieren en la defensa de sus intereses, con base en los fundamentos del derecho sustancial y procesal.
Describe las etapas, los términos y la actuaciones que se llevan a cabo al interior de las audiencias, mediante las cuales se da impulso al proceso, para aplicarlas en los ejercicios de resolución de casos, según la norma procesal aplicable.
Interviene en las audiencias simuladas aplicando las técnicas de la oralidad, para desarrollar ejercicios de defensa de los intereses de la parte interviniente que representa.                                                                                                                                                                                                                        </t>
  </si>
  <si>
    <t xml:space="preserve">1.  Más que derechos: actos procesales, pruebas y recursos.
2.  Sobre la naturaleza de los procesos civiles.
3. La actuación administrativa, lo contencioso administrativo y los medios de control.
4.  El procedimiento penal en Colombia.                      </t>
  </si>
  <si>
    <t>Total módulos del programa</t>
  </si>
  <si>
    <t>Total créditos programa</t>
  </si>
  <si>
    <t>Total créditos bloque institucional</t>
  </si>
  <si>
    <t>Total créditos bloque disciplinar</t>
  </si>
  <si>
    <t>Total créditos bloque electivo</t>
  </si>
  <si>
    <t>VerbosCompetencias</t>
  </si>
  <si>
    <t>Actualizar</t>
  </si>
  <si>
    <t>Administrar</t>
  </si>
  <si>
    <t>Asegurar</t>
  </si>
  <si>
    <t>Asesorar</t>
  </si>
  <si>
    <t>Auditar</t>
  </si>
  <si>
    <t>Comunicar</t>
  </si>
  <si>
    <t>Conducir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</si>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</sst>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8"/>
      <color theme="0"/>
      <name val="Gill Sans MT"/>
      <family val="2"/>
    </font>
    <font>
      <b/>
      <sz val="11"/>
      <color rgb="FF000000"/>
      <name val="Gill Sans MT"/>
      <family val="2"/>
    </font>
    <font>
      <b/>
      <sz val="11"/>
      <color rgb="FFFFFFFF"/>
      <name val="Gill Sans MT"/>
      <family val="2"/>
    </font>
    <font>
      <u/>
      <sz val="11"/>
      <color theme="10"/>
      <name val="Calibri"/>
      <family val="2"/>
      <scheme val="minor"/>
    </font>
    <font>
      <sz val="8"/>
      <color rgb="FFFFFFFF"/>
      <name val="Gill Sans MT"/>
      <family val="2"/>
    </font>
    <font>
      <b/>
      <sz val="11"/>
      <color theme="1"/>
      <name val="Gill Sans MT"/>
      <family val="2"/>
    </font>
    <font>
      <sz val="8"/>
      <color theme="1"/>
      <name val="Gill Sans MT"/>
      <family val="2"/>
    </font>
    <font>
      <b/>
      <sz val="8"/>
      <color theme="0"/>
      <name val="Gill Sans MT"/>
      <family val="2"/>
    </font>
    <font>
      <sz val="8"/>
      <color rgb="FF000000"/>
      <name val="Gill Sans MT"/>
      <family val="2"/>
    </font>
    <font>
      <sz val="8"/>
      <name val="Gill Sans MT"/>
      <family val="2"/>
    </font>
    <font>
      <sz val="11"/>
      <color rgb="FFFF0000"/>
      <name val="Gill Sans MT"/>
      <family val="2"/>
    </font>
    <font>
      <sz val="14"/>
      <color theme="1"/>
      <name val="Gill Sans MT"/>
      <family val="2"/>
    </font>
    <font>
      <sz val="12"/>
      <color rgb="FF000000"/>
      <name val="Tahoma"/>
      <family val="2"/>
    </font>
    <font>
      <sz val="12"/>
      <color rgb="FF000000"/>
      <name val="Arial"/>
      <family val="2"/>
    </font>
  </fonts>
  <fills count="13">
    <fill>
      <patternFill patternType="none"/>
    </fill>
    <fill>
      <patternFill patternType="gray125"/>
    </fill>
    <fill>
      <patternFill patternType="solid">
        <fgColor rgb="FF0F385A"/>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1FB2DE"/>
        <bgColor rgb="FF000000"/>
      </patternFill>
    </fill>
    <fill>
      <patternFill patternType="solid">
        <fgColor rgb="FFDDEBF7"/>
        <bgColor rgb="FF000000"/>
      </patternFill>
    </fill>
    <fill>
      <patternFill patternType="solid">
        <fgColor rgb="FF0F385A"/>
        <bgColor rgb="FF000000"/>
      </patternFill>
    </fill>
    <fill>
      <patternFill patternType="solid">
        <fgColor rgb="FF1FB2DE"/>
        <bgColor indexed="64"/>
      </patternFill>
    </fill>
    <fill>
      <patternFill patternType="solid">
        <fgColor theme="4"/>
        <bgColor theme="4"/>
      </patternFill>
    </fill>
    <fill>
      <patternFill patternType="solid">
        <fgColor rgb="FF00B050"/>
        <bgColor rgb="FF000000"/>
      </patternFill>
    </fill>
    <fill>
      <patternFill patternType="solid">
        <fgColor theme="7" tint="0.79998168889431442"/>
        <bgColor indexed="64"/>
      </patternFill>
    </fill>
    <fill>
      <patternFill patternType="solid">
        <fgColor theme="2"/>
        <bgColor indexed="64"/>
      </patternFill>
    </fill>
  </fills>
  <borders count="20">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style="thin">
        <color auto="1"/>
      </right>
      <top style="thin">
        <color auto="1"/>
      </top>
      <bottom/>
      <diagonal/>
    </border>
    <border>
      <left style="thin">
        <color theme="4" tint="0.39997558519241921"/>
      </left>
      <right style="thin">
        <color theme="4" tint="0.39997558519241921"/>
      </right>
      <top/>
      <bottom/>
      <diagonal/>
    </border>
    <border>
      <left/>
      <right/>
      <top/>
      <bottom style="medium">
        <color indexed="64"/>
      </bottom>
      <diagonal/>
    </border>
    <border>
      <left/>
      <right/>
      <top style="thin">
        <color auto="1"/>
      </top>
      <bottom/>
      <diagonal/>
    </border>
    <border>
      <left/>
      <right/>
      <top style="medium">
        <color indexed="64"/>
      </top>
      <bottom/>
      <diagonal/>
    </border>
    <border>
      <left style="thin">
        <color rgb="FF1FB2DE"/>
      </left>
      <right style="thin">
        <color rgb="FF1FB2DE"/>
      </right>
      <top style="thin">
        <color auto="1"/>
      </top>
      <bottom/>
      <diagonal/>
    </border>
    <border>
      <left/>
      <right/>
      <top/>
      <bottom style="medium">
        <color rgb="FF000000"/>
      </bottom>
      <diagonal/>
    </border>
    <border>
      <left/>
      <right/>
      <top style="medium">
        <color rgb="FF000000"/>
      </top>
      <bottom/>
      <diagonal/>
    </border>
    <border>
      <left style="thin">
        <color rgb="FF1FB2DE"/>
      </left>
      <right/>
      <top style="thin">
        <color auto="1"/>
      </top>
      <bottom/>
      <diagonal/>
    </border>
    <border>
      <left style="thin">
        <color rgb="FF1FB2DE"/>
      </left>
      <right/>
      <top/>
      <bottom style="medium">
        <color indexed="64"/>
      </bottom>
      <diagonal/>
    </border>
    <border>
      <left style="thin">
        <color rgb="FF1FB2DE"/>
      </left>
      <right/>
      <top style="medium">
        <color indexed="64"/>
      </top>
      <bottom/>
      <diagonal/>
    </border>
    <border>
      <left/>
      <right/>
      <top style="medium">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4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4" borderId="3" xfId="0" applyFont="1" applyFill="1" applyBorder="1" applyAlignment="1">
      <alignment vertical="center"/>
    </xf>
    <xf numFmtId="0" fontId="4" fillId="0" borderId="3" xfId="0" applyFont="1" applyBorder="1" applyAlignment="1">
      <alignment vertical="center"/>
    </xf>
    <xf numFmtId="0" fontId="3" fillId="4" borderId="3" xfId="0" applyFont="1" applyFill="1" applyBorder="1"/>
    <xf numFmtId="0" fontId="3" fillId="0" borderId="3" xfId="0" applyFont="1" applyBorder="1"/>
    <xf numFmtId="0" fontId="3" fillId="4" borderId="4" xfId="0" applyFont="1" applyFill="1" applyBorder="1"/>
    <xf numFmtId="0" fontId="4" fillId="4" borderId="4" xfId="0" applyFont="1" applyFill="1" applyBorder="1" applyAlignment="1">
      <alignment vertical="center"/>
    </xf>
    <xf numFmtId="0" fontId="3" fillId="0" borderId="4" xfId="0" applyFont="1" applyBorder="1"/>
    <xf numFmtId="0" fontId="3" fillId="0" borderId="0" xfId="0" applyFont="1" applyAlignment="1">
      <alignment horizontal="left" vertical="center"/>
    </xf>
    <xf numFmtId="0" fontId="14" fillId="0" borderId="0" xfId="0" applyFont="1" applyAlignment="1">
      <alignment wrapText="1"/>
    </xf>
    <xf numFmtId="0" fontId="3" fillId="0" borderId="0" xfId="0" applyFont="1" applyAlignment="1">
      <alignment horizontal="center" vertical="center"/>
    </xf>
    <xf numFmtId="0" fontId="14" fillId="0" borderId="0" xfId="0" applyFont="1" applyAlignment="1">
      <alignment horizontal="left" vertical="center" wrapText="1"/>
    </xf>
    <xf numFmtId="0" fontId="5" fillId="9" borderId="6" xfId="0" applyFont="1" applyFill="1" applyBorder="1"/>
    <xf numFmtId="0" fontId="9" fillId="0" borderId="0" xfId="0" applyFont="1" applyAlignment="1">
      <alignment horizontal="center" vertical="center" wrapText="1"/>
    </xf>
    <xf numFmtId="0" fontId="17" fillId="5" borderId="0" xfId="0" applyFont="1" applyFill="1" applyAlignment="1">
      <alignment horizontal="center" vertical="center" wrapText="1"/>
    </xf>
    <xf numFmtId="0" fontId="15" fillId="0" borderId="0" xfId="0" applyFont="1" applyAlignment="1">
      <alignment horizontal="center" vertical="center" wrapText="1"/>
    </xf>
    <xf numFmtId="0" fontId="13" fillId="7" borderId="0" xfId="0" applyFont="1" applyFill="1" applyAlignment="1">
      <alignment horizontal="center" vertical="center" wrapText="1"/>
    </xf>
    <xf numFmtId="0" fontId="18" fillId="5" borderId="0" xfId="0" applyFont="1" applyFill="1" applyAlignment="1">
      <alignment horizontal="center" vertical="center" wrapText="1"/>
    </xf>
    <xf numFmtId="0" fontId="15"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vertical="center"/>
    </xf>
    <xf numFmtId="0" fontId="17" fillId="6"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horizontal="center"/>
    </xf>
    <xf numFmtId="0" fontId="5" fillId="2" borderId="2" xfId="0" applyFont="1" applyFill="1" applyBorder="1" applyAlignment="1">
      <alignment horizontal="center" vertical="center" wrapText="1"/>
    </xf>
    <xf numFmtId="0" fontId="15" fillId="0" borderId="0" xfId="0" applyFont="1" applyAlignment="1">
      <alignment vertical="center"/>
    </xf>
    <xf numFmtId="0" fontId="14" fillId="0" borderId="0" xfId="0" applyFont="1" applyAlignment="1">
      <alignment vertical="center"/>
    </xf>
    <xf numFmtId="0" fontId="4" fillId="0" borderId="0" xfId="0" applyFont="1" applyAlignment="1">
      <alignment vertical="center" wrapText="1"/>
    </xf>
    <xf numFmtId="0" fontId="11" fillId="7" borderId="2" xfId="0" applyFont="1" applyFill="1" applyBorder="1" applyAlignment="1">
      <alignment horizontal="center"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3" fillId="0" borderId="7" xfId="0" applyFont="1" applyBorder="1" applyAlignment="1">
      <alignment horizontal="left" vertical="center" wrapText="1"/>
    </xf>
    <xf numFmtId="0" fontId="10" fillId="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7" fillId="5" borderId="5" xfId="0" applyFont="1" applyFill="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9" xfId="0" applyFont="1" applyBorder="1" applyAlignment="1">
      <alignment horizontal="center" vertical="center" wrapText="1"/>
    </xf>
    <xf numFmtId="0" fontId="11" fillId="7" borderId="10"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3" fillId="0" borderId="7" xfId="0" applyFont="1" applyBorder="1" applyAlignment="1">
      <alignment horizontal="center" vertical="center" wrapText="1"/>
    </xf>
    <xf numFmtId="0" fontId="8" fillId="0" borderId="0" xfId="0" applyFont="1" applyAlignment="1">
      <alignment horizontal="left"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0" fontId="8" fillId="0" borderId="11" xfId="0" applyFont="1" applyBorder="1" applyAlignment="1">
      <alignment horizontal="left" vertical="center" wrapText="1"/>
    </xf>
    <xf numFmtId="0" fontId="3" fillId="11" borderId="11" xfId="0" applyFont="1" applyFill="1" applyBorder="1" applyAlignment="1">
      <alignment horizontal="center" vertical="center" wrapText="1"/>
    </xf>
    <xf numFmtId="0" fontId="3" fillId="11" borderId="11" xfId="0" applyFont="1" applyFill="1" applyBorder="1" applyAlignment="1">
      <alignment horizontal="left" vertical="center" wrapText="1"/>
    </xf>
    <xf numFmtId="0" fontId="4" fillId="11" borderId="11" xfId="0" applyFont="1" applyFill="1" applyBorder="1" applyAlignment="1">
      <alignment horizontal="center" vertical="center"/>
    </xf>
    <xf numFmtId="0" fontId="4" fillId="11" borderId="11" xfId="0" applyFont="1" applyFill="1" applyBorder="1" applyAlignment="1">
      <alignment horizontal="center" vertical="center" wrapText="1"/>
    </xf>
    <xf numFmtId="0" fontId="4" fillId="11" borderId="11" xfId="0" applyFont="1" applyFill="1" applyBorder="1" applyAlignment="1">
      <alignment horizontal="left" vertical="center" wrapText="1"/>
    </xf>
    <xf numFmtId="0" fontId="8" fillId="0" borderId="0" xfId="0" applyFont="1" applyAlignment="1">
      <alignment vertical="center" wrapText="1"/>
    </xf>
    <xf numFmtId="0" fontId="8" fillId="0" borderId="11" xfId="0" applyFont="1" applyBorder="1" applyAlignment="1">
      <alignment vertical="center" wrapText="1"/>
    </xf>
    <xf numFmtId="0" fontId="4" fillId="0" borderId="11" xfId="0" applyFont="1" applyBorder="1" applyAlignment="1">
      <alignment vertical="center" wrapText="1"/>
    </xf>
    <xf numFmtId="0" fontId="8" fillId="0" borderId="11" xfId="0" applyFont="1" applyBorder="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7" xfId="0" applyFont="1" applyBorder="1" applyAlignment="1">
      <alignment horizontal="center" vertical="center" wrapText="1"/>
    </xf>
    <xf numFmtId="0" fontId="3" fillId="0" borderId="13" xfId="0" applyFont="1" applyBorder="1" applyAlignment="1">
      <alignment vertical="center" wrapText="1"/>
    </xf>
    <xf numFmtId="0" fontId="3" fillId="0" borderId="1"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1" xfId="0" applyFont="1" applyBorder="1" applyAlignment="1">
      <alignment vertical="center" wrapText="1"/>
    </xf>
    <xf numFmtId="0" fontId="14" fillId="0" borderId="0" xfId="0" applyFont="1"/>
    <xf numFmtId="0" fontId="5" fillId="2" borderId="12" xfId="0" applyFont="1" applyFill="1" applyBorder="1" applyAlignment="1">
      <alignment horizontal="center" vertical="center" wrapText="1"/>
    </xf>
    <xf numFmtId="0" fontId="10" fillId="12" borderId="0" xfId="0" applyFont="1" applyFill="1" applyAlignment="1">
      <alignment horizontal="center" vertical="center" wrapText="1"/>
    </xf>
    <xf numFmtId="0" fontId="5" fillId="2" borderId="16" xfId="0" applyFont="1" applyFill="1" applyBorder="1" applyAlignment="1">
      <alignment horizontal="center" vertical="center" wrapText="1"/>
    </xf>
    <xf numFmtId="0" fontId="10" fillId="1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14" fillId="1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14" fillId="12" borderId="18" xfId="0" applyFont="1" applyFill="1" applyBorder="1" applyAlignment="1">
      <alignment horizontal="center" vertical="center" wrapText="1"/>
    </xf>
    <xf numFmtId="49" fontId="3" fillId="11" borderId="19" xfId="0" applyNumberFormat="1" applyFont="1" applyFill="1" applyBorder="1" applyAlignment="1">
      <alignment horizontal="left" vertical="center" wrapText="1"/>
    </xf>
    <xf numFmtId="0" fontId="4" fillId="11" borderId="19" xfId="0" applyFont="1" applyFill="1" applyBorder="1" applyAlignment="1">
      <alignment horizontal="left" vertical="center" wrapText="1"/>
    </xf>
    <xf numFmtId="0" fontId="3" fillId="11" borderId="19" xfId="0" applyFont="1" applyFill="1" applyBorder="1" applyAlignment="1">
      <alignment horizontal="left" vertical="center" wrapText="1"/>
    </xf>
    <xf numFmtId="0" fontId="4" fillId="11" borderId="7"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 fillId="0" borderId="0" xfId="0" applyFont="1" applyAlignment="1">
      <alignment horizontal="center" wrapText="1"/>
    </xf>
    <xf numFmtId="0" fontId="4" fillId="0" borderId="9" xfId="0" applyFont="1" applyBorder="1" applyAlignment="1">
      <alignment vertical="center" wrapText="1"/>
    </xf>
    <xf numFmtId="0" fontId="20" fillId="0" borderId="0" xfId="0" applyFont="1" applyAlignment="1">
      <alignment vertical="center" wrapText="1"/>
    </xf>
    <xf numFmtId="0" fontId="21" fillId="0" borderId="0" xfId="0" applyFont="1" applyAlignment="1">
      <alignment horizontal="justify" vertical="center"/>
    </xf>
    <xf numFmtId="0" fontId="3" fillId="0" borderId="0" xfId="0" applyFont="1" applyAlignment="1">
      <alignment horizontal="left" wrapText="1"/>
    </xf>
    <xf numFmtId="0" fontId="22" fillId="0" borderId="0" xfId="0" applyFont="1" applyAlignment="1">
      <alignment horizontal="center" vertical="center" wrapText="1"/>
    </xf>
    <xf numFmtId="0" fontId="21" fillId="0" borderId="0" xfId="0" applyFont="1" applyAlignment="1">
      <alignment horizontal="justify" vertical="center" wrapText="1"/>
    </xf>
    <xf numFmtId="0" fontId="8" fillId="0" borderId="8" xfId="0" applyFont="1" applyBorder="1" applyAlignment="1">
      <alignment horizontal="left" vertical="center" wrapText="1"/>
    </xf>
    <xf numFmtId="0" fontId="8" fillId="0" borderId="0" xfId="0" applyFont="1" applyAlignment="1">
      <alignment horizontal="left" vertical="center" wrapText="1"/>
    </xf>
    <xf numFmtId="0" fontId="9"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1" fillId="7" borderId="1" xfId="0" applyFont="1" applyFill="1" applyBorder="1" applyAlignment="1">
      <alignment horizontal="center" vertical="center" wrapText="1"/>
    </xf>
    <xf numFmtId="0" fontId="11" fillId="7" borderId="0" xfId="0" applyFont="1" applyFill="1" applyAlignment="1">
      <alignment horizontal="center" vertical="center" wrapText="1"/>
    </xf>
    <xf numFmtId="0" fontId="8" fillId="0" borderId="12" xfId="0" applyFont="1" applyBorder="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8" fillId="0" borderId="11" xfId="0" applyFont="1" applyBorder="1" applyAlignment="1">
      <alignment horizontal="left" vertical="center" wrapText="1"/>
    </xf>
    <xf numFmtId="0" fontId="8" fillId="0" borderId="8" xfId="0" applyFont="1" applyBorder="1" applyAlignment="1">
      <alignment horizontal="center" vertical="center" wrapText="1"/>
    </xf>
    <xf numFmtId="0" fontId="4" fillId="0" borderId="12" xfId="0" applyFont="1" applyBorder="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8" fillId="0" borderId="0" xfId="0" applyFont="1" applyAlignment="1">
      <alignment vertical="center" wrapText="1"/>
    </xf>
    <xf numFmtId="0" fontId="8" fillId="0" borderId="11" xfId="0" applyFont="1" applyBorder="1" applyAlignment="1">
      <alignment vertical="center" wrapText="1"/>
    </xf>
    <xf numFmtId="0" fontId="4" fillId="10" borderId="0" xfId="0" applyFont="1" applyFill="1" applyAlignment="1">
      <alignment horizontal="center" vertical="center" wrapText="1"/>
    </xf>
    <xf numFmtId="0" fontId="4" fillId="10" borderId="11" xfId="0" applyFont="1" applyFill="1" applyBorder="1" applyAlignment="1">
      <alignment horizontal="center" vertical="center" wrapText="1"/>
    </xf>
    <xf numFmtId="0" fontId="8" fillId="0" borderId="0" xfId="0" applyFont="1" applyAlignment="1">
      <alignment horizontal="center" vertical="center"/>
    </xf>
    <xf numFmtId="0" fontId="8" fillId="0" borderId="11" xfId="0" applyFont="1" applyBorder="1" applyAlignment="1">
      <alignment horizontal="center" vertical="center"/>
    </xf>
    <xf numFmtId="0" fontId="19" fillId="0" borderId="0" xfId="0" applyFont="1" applyAlignment="1">
      <alignment horizontal="center" vertical="center"/>
    </xf>
    <xf numFmtId="0" fontId="19" fillId="0" borderId="11" xfId="0" applyFont="1" applyBorder="1" applyAlignment="1">
      <alignment horizontal="center" vertical="center"/>
    </xf>
    <xf numFmtId="0" fontId="8" fillId="0" borderId="7" xfId="0" applyFont="1" applyBorder="1" applyAlignment="1">
      <alignment horizontal="left" vertical="center" wrapText="1"/>
    </xf>
    <xf numFmtId="0" fontId="8" fillId="0" borderId="12" xfId="0" applyFont="1" applyBorder="1" applyAlignment="1">
      <alignment horizontal="left" vertical="center" wrapText="1"/>
    </xf>
    <xf numFmtId="0" fontId="13" fillId="7" borderId="2" xfId="0" applyFont="1" applyFill="1" applyBorder="1" applyAlignment="1">
      <alignment horizontal="center" vertical="center" wrapText="1"/>
    </xf>
    <xf numFmtId="0" fontId="14" fillId="0" borderId="0" xfId="0" applyFont="1" applyAlignment="1">
      <alignment horizontal="center"/>
    </xf>
    <xf numFmtId="0" fontId="5" fillId="3" borderId="2"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6">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border outline="0">
        <top style="thin">
          <color theme="4" tint="0.39997558519241921"/>
        </top>
      </border>
    </dxf>
    <dxf>
      <font>
        <b/>
        <i val="0"/>
        <strike val="0"/>
        <condense val="0"/>
        <extend val="0"/>
        <outline val="0"/>
        <shadow val="0"/>
        <u val="none"/>
        <vertAlign val="baseline"/>
        <sz val="11"/>
        <color theme="0"/>
        <name val="Gill Sans MT"/>
        <family val="2"/>
        <scheme val="none"/>
      </font>
      <fill>
        <patternFill patternType="solid">
          <fgColor theme="4"/>
          <bgColor theme="4"/>
        </patternFill>
      </fill>
    </dxf>
    <dxf>
      <font>
        <b val="0"/>
        <i val="0"/>
        <strike val="0"/>
        <condense val="0"/>
        <extend val="0"/>
        <outline val="0"/>
        <shadow val="0"/>
        <u val="none"/>
        <vertAlign val="baseline"/>
        <sz val="11"/>
        <color rgb="FF000000"/>
        <name val="Gill Sans MT"/>
        <family val="2"/>
        <scheme val="none"/>
      </font>
      <alignment horizontal="general" vertical="center" textRotation="0" wrapText="1" indent="0" justifyLastLine="0" shrinkToFit="0" readingOrder="0"/>
    </dxf>
    <dxf>
      <border outline="0">
        <top style="thin">
          <color rgb="FF0F385A"/>
        </top>
      </border>
    </dxf>
    <dxf>
      <font>
        <b val="0"/>
        <i val="0"/>
        <strike val="0"/>
        <condense val="0"/>
        <extend val="0"/>
        <outline val="0"/>
        <shadow val="0"/>
        <u val="none"/>
        <vertAlign val="baseline"/>
        <sz val="11"/>
        <color rgb="FF000000"/>
        <name val="Gill Sans MT"/>
        <family val="2"/>
        <scheme val="none"/>
      </font>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Gill Sans MT"/>
        <family val="2"/>
        <scheme val="none"/>
      </font>
      <fill>
        <patternFill patternType="solid">
          <fgColor indexed="64"/>
          <bgColor rgb="FF0F385A"/>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5"/>
    </tableStyle>
    <tableStyle name="Estilo de tabla 2" pivot="0" count="1" xr9:uid="{C6F8D6C6-DD7E-42E8-8328-19C722F9F97F}">
      <tableStyleElement type="wholeTable" dxfId="154"/>
    </tableStyle>
    <tableStyle name="Estilo de tabla 3" pivot="0" count="1" xr9:uid="{BD8219D8-F95E-4ADD-BD98-5883EDA7E91C}">
      <tableStyleElement type="headerRow" dxfId="153"/>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859BDB-111B-4607-9573-7DA82B233108}" name="RedacciónCompetencia" displayName="RedacciónCompetencia" ref="F3:F8" totalsRowShown="0" headerRowDxfId="152" dataDxfId="150" headerRowBorderDxfId="151" tableBorderDxfId="149">
  <autoFilter ref="F3:F8" xr:uid="{2D859BDB-111B-4607-9573-7DA82B233108}"/>
  <tableColumns count="1">
    <tableColumn id="1" xr3:uid="{110E843F-B68F-4CB5-ADA6-851B46A93851}" name="RedacciónCompetencia" dataDxfId="148"/>
  </tableColumns>
  <tableStyleInfo name="Estilo de tabla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F18AE0-1DE3-4D85-937D-5636660B2DF6}" name="Tabla20" displayName="Tabla20" ref="B1:B64" totalsRowShown="0" headerRowDxfId="147" tableBorderDxfId="146">
  <autoFilter ref="B1:B64" xr:uid="{98F18AE0-1DE3-4D85-937D-5636660B2DF6}"/>
  <tableColumns count="1">
    <tableColumn id="1" xr3:uid="{2CBD3635-69A9-450C-98BE-5CB97DA06310}" name="VerbosCompetencia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AplicarLK" displayName="AplicarLK"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AnalizarLK" displayName="AnalizarLK"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CrearLK" displayName="CrearLK"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ConocimientoBAK" displayName="ConocimientoBAK"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ComprensiónBAK" displayName="ComprensiónBAK"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AplicaciónBAK" displayName="AplicaciónBAK"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AnálisisBAK" displayName="AnálisisBAK"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EvaluaciónBAK" displayName="EvaluaciónBAK"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ImitaciónBAK" displayName="ImitaciónBAK"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ManipulaciónBAK" displayName="ManipulaciónBAK"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00" dataDxfId="99">
  <autoFilter ref="AA3:AA68"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ControlBAK" displayName="ControlBAK"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ResponderBAK" displayName="ResponderBAK"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OrganizarBAK" displayName="OrganizarBAK"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CaracterizarBAK" displayName="CaracterizarBAK"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ConocimientoB" displayName="ConocimientoB"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ComprensiónB" displayName="ComprensiónB"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AplicaciónB" displayName="AplicaciónB"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AnálisisB" displayName="AnálisisB"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EvaluaciónB" displayName="EvaluaciónB"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AK" displayName="AK"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LK" displayName="LK"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BAK" displayName="BAK"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ActitudinalB" displayName="ActitudinalB"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CognitivoB" displayName="CognitivoB"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HechosLK" displayName="HechosLK"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ConceptosLK" displayName="ConceptosLK"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MetacogniciónLK" displayName="MetacogniciónLK"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AK" displayName="InformaciónAK"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PsicomotorAK" displayName="PsicomotorAK"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ComprensiónAK" displayName="ComprensiónAK"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AnálisisAK" displayName="AnálisisAK"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MetacogniciónAK" displayName="MetacogniciónAK"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47" Type="http://schemas.openxmlformats.org/officeDocument/2006/relationships/table" Target="../tables/table48.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comments" Target="../comments6.xml"/><Relationship Id="rId10" Type="http://schemas.openxmlformats.org/officeDocument/2006/relationships/table" Target="../tables/table11.xml"/><Relationship Id="rId19" Type="http://schemas.openxmlformats.org/officeDocument/2006/relationships/table" Target="../tables/table20.xml"/><Relationship Id="rId31" Type="http://schemas.openxmlformats.org/officeDocument/2006/relationships/table" Target="../tables/table32.xml"/><Relationship Id="rId44" Type="http://schemas.openxmlformats.org/officeDocument/2006/relationships/table" Target="../tables/table45.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8" Type="http://schemas.openxmlformats.org/officeDocument/2006/relationships/table" Target="../tables/table9.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20" Type="http://schemas.openxmlformats.org/officeDocument/2006/relationships/table" Target="../tables/table21.xml"/><Relationship Id="rId41" Type="http://schemas.openxmlformats.org/officeDocument/2006/relationships/table" Target="../tables/table42.xml"/><Relationship Id="rId1" Type="http://schemas.openxmlformats.org/officeDocument/2006/relationships/vmlDrawing" Target="../drawings/vmlDrawing6.vml"/><Relationship Id="rId6"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2592-DCC2-4A64-81FD-343DF7FF7105}">
  <dimension ref="A1:K22"/>
  <sheetViews>
    <sheetView zoomScaleNormal="100" workbookViewId="0"/>
  </sheetViews>
  <sheetFormatPr baseColWidth="10" defaultColWidth="76.26953125" defaultRowHeight="16.5" x14ac:dyDescent="0.5"/>
  <cols>
    <col min="1" max="1" width="21.1796875" style="3" customWidth="1"/>
    <col min="2" max="2" width="16.7265625" style="3" customWidth="1"/>
    <col min="3" max="4" width="62" style="3" customWidth="1"/>
    <col min="5" max="5" width="39" style="3" customWidth="1"/>
    <col min="6" max="7" width="58" customWidth="1"/>
    <col min="8" max="8" width="77.1796875" style="3" customWidth="1"/>
    <col min="9" max="9" width="120.1796875" style="3" customWidth="1"/>
    <col min="10" max="10" width="75.26953125" style="3" customWidth="1"/>
    <col min="11" max="11" width="80.1796875" style="3" customWidth="1"/>
    <col min="12" max="16384" width="76.26953125" style="3"/>
  </cols>
  <sheetData>
    <row r="1" spans="1:11" s="23" customFormat="1" ht="26" x14ac:dyDescent="0.35">
      <c r="A1" s="33" t="s">
        <v>0</v>
      </c>
      <c r="B1" s="33" t="s">
        <v>1</v>
      </c>
      <c r="C1" s="33" t="s">
        <v>2</v>
      </c>
      <c r="D1" s="33" t="s">
        <v>3</v>
      </c>
      <c r="E1" s="113" t="s">
        <v>4</v>
      </c>
      <c r="F1" s="113"/>
      <c r="G1" s="113"/>
      <c r="H1" s="113" t="s">
        <v>5</v>
      </c>
      <c r="I1" s="113"/>
      <c r="J1" s="113"/>
      <c r="K1" s="33" t="s">
        <v>6</v>
      </c>
    </row>
    <row r="2" spans="1:11" s="104" customFormat="1" x14ac:dyDescent="0.5">
      <c r="A2" s="42" t="s">
        <v>7</v>
      </c>
      <c r="B2" s="42" t="s">
        <v>8</v>
      </c>
      <c r="C2" s="42" t="s">
        <v>9</v>
      </c>
      <c r="D2" s="100" t="s">
        <v>10</v>
      </c>
      <c r="E2" s="101" t="s">
        <v>11</v>
      </c>
      <c r="F2" s="101" t="s">
        <v>12</v>
      </c>
      <c r="G2" s="101" t="s">
        <v>13</v>
      </c>
      <c r="H2" s="102" t="s">
        <v>14</v>
      </c>
      <c r="I2" s="102" t="s">
        <v>15</v>
      </c>
      <c r="J2" s="102" t="s">
        <v>16</v>
      </c>
      <c r="K2" s="103" t="s">
        <v>17</v>
      </c>
    </row>
    <row r="3" spans="1:11" s="4" customFormat="1" ht="102" customHeight="1" x14ac:dyDescent="0.35">
      <c r="A3" s="114" t="s">
        <v>18</v>
      </c>
      <c r="B3" s="114" t="s">
        <v>19</v>
      </c>
      <c r="C3" s="116" t="s">
        <v>20</v>
      </c>
      <c r="D3" s="116" t="s">
        <v>21</v>
      </c>
      <c r="E3" s="57" t="s">
        <v>22</v>
      </c>
      <c r="F3" s="57" t="s">
        <v>23</v>
      </c>
      <c r="G3" s="57" t="s">
        <v>24</v>
      </c>
      <c r="H3" s="112" t="s">
        <v>25</v>
      </c>
      <c r="I3" s="112" t="s">
        <v>26</v>
      </c>
      <c r="J3" s="112" t="s">
        <v>27</v>
      </c>
      <c r="K3" s="111" t="s">
        <v>28</v>
      </c>
    </row>
    <row r="4" spans="1:11" s="4" customFormat="1" ht="125.25" customHeight="1" x14ac:dyDescent="0.35">
      <c r="A4" s="115"/>
      <c r="B4" s="115"/>
      <c r="C4" s="117"/>
      <c r="D4" s="117"/>
      <c r="E4" s="4" t="s">
        <v>29</v>
      </c>
      <c r="F4" s="4" t="s">
        <v>30</v>
      </c>
      <c r="G4" s="4" t="s">
        <v>31</v>
      </c>
      <c r="H4" s="112"/>
      <c r="I4" s="112"/>
      <c r="J4" s="112"/>
      <c r="K4" s="112"/>
    </row>
    <row r="5" spans="1:11" s="4" customFormat="1" ht="114.75" customHeight="1" x14ac:dyDescent="0.35">
      <c r="A5" s="115"/>
      <c r="B5" s="115"/>
      <c r="C5" s="117"/>
      <c r="D5" s="117"/>
      <c r="E5" s="4" t="s">
        <v>32</v>
      </c>
      <c r="F5" s="4" t="s">
        <v>33</v>
      </c>
      <c r="G5" s="4" t="s">
        <v>34</v>
      </c>
      <c r="H5" s="112"/>
      <c r="I5" s="112"/>
      <c r="J5" s="112"/>
      <c r="K5" s="112"/>
    </row>
    <row r="6" spans="1:11" s="4" customFormat="1" ht="99.75" customHeight="1" thickBot="1" x14ac:dyDescent="0.4">
      <c r="A6" s="115"/>
      <c r="B6" s="115"/>
      <c r="C6" s="117"/>
      <c r="D6" s="117"/>
      <c r="E6" s="45" t="s">
        <v>35</v>
      </c>
      <c r="F6" s="45" t="s">
        <v>36</v>
      </c>
      <c r="G6" s="45" t="s">
        <v>37</v>
      </c>
      <c r="H6" s="112"/>
      <c r="I6" s="112"/>
      <c r="J6" s="112"/>
      <c r="K6" s="112"/>
    </row>
    <row r="7" spans="1:11" s="4" customFormat="1" ht="81.75" customHeight="1" x14ac:dyDescent="0.35">
      <c r="A7" s="115"/>
      <c r="B7" s="115"/>
      <c r="C7" s="117"/>
      <c r="D7" s="117"/>
      <c r="E7" s="105" t="s">
        <v>38</v>
      </c>
      <c r="F7" s="105" t="s">
        <v>39</v>
      </c>
      <c r="G7" s="105" t="s">
        <v>40</v>
      </c>
      <c r="H7" s="5"/>
    </row>
    <row r="8" spans="1:11" s="4" customFormat="1" x14ac:dyDescent="0.35">
      <c r="C8" s="45"/>
      <c r="D8" s="74"/>
      <c r="E8" s="45"/>
      <c r="F8" s="45"/>
      <c r="G8" s="45"/>
      <c r="H8" s="5"/>
    </row>
    <row r="9" spans="1:11" ht="21" x14ac:dyDescent="0.5">
      <c r="D9" s="106"/>
      <c r="E9" s="107"/>
      <c r="F9" s="107"/>
      <c r="H9" s="108"/>
    </row>
    <row r="10" spans="1:11" ht="21" x14ac:dyDescent="0.5">
      <c r="D10" s="106"/>
      <c r="E10" s="107"/>
      <c r="F10" s="107"/>
      <c r="H10" s="108"/>
    </row>
    <row r="11" spans="1:11" ht="21" x14ac:dyDescent="0.5">
      <c r="C11" s="109"/>
      <c r="D11" s="106"/>
      <c r="E11" s="109"/>
      <c r="F11" s="109"/>
      <c r="H11" s="108"/>
    </row>
    <row r="12" spans="1:11" ht="21" x14ac:dyDescent="0.5">
      <c r="D12" s="106"/>
      <c r="E12" s="107"/>
      <c r="F12" s="107"/>
      <c r="H12" s="108"/>
    </row>
    <row r="13" spans="1:11" ht="21" x14ac:dyDescent="0.5">
      <c r="C13" s="4"/>
      <c r="D13" s="106"/>
      <c r="E13" s="110"/>
      <c r="F13" s="3"/>
      <c r="H13" s="108"/>
    </row>
    <row r="14" spans="1:11" ht="21" x14ac:dyDescent="0.5">
      <c r="D14" s="106"/>
      <c r="E14" s="107"/>
    </row>
    <row r="15" spans="1:11" ht="21" x14ac:dyDescent="0.5">
      <c r="D15" s="106"/>
    </row>
    <row r="16" spans="1:11" ht="21" x14ac:dyDescent="0.5">
      <c r="D16" s="106"/>
    </row>
    <row r="17" spans="4:4" ht="21" x14ac:dyDescent="0.5">
      <c r="D17" s="106"/>
    </row>
    <row r="18" spans="4:4" ht="21" x14ac:dyDescent="0.5">
      <c r="D18" s="106"/>
    </row>
    <row r="19" spans="4:4" ht="21" x14ac:dyDescent="0.5">
      <c r="D19" s="106"/>
    </row>
    <row r="20" spans="4:4" ht="21" x14ac:dyDescent="0.5">
      <c r="D20" s="106"/>
    </row>
    <row r="21" spans="4:4" ht="21" x14ac:dyDescent="0.5">
      <c r="D21" s="106"/>
    </row>
    <row r="22" spans="4:4" ht="21" x14ac:dyDescent="0.5">
      <c r="D22" s="106"/>
    </row>
  </sheetData>
  <mergeCells count="10">
    <mergeCell ref="K3:K6"/>
    <mergeCell ref="E1:G1"/>
    <mergeCell ref="H1:J1"/>
    <mergeCell ref="A3:A7"/>
    <mergeCell ref="B3:B7"/>
    <mergeCell ref="C3:C7"/>
    <mergeCell ref="D3:D7"/>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53125" defaultRowHeight="16.5" x14ac:dyDescent="0.5"/>
  <cols>
    <col min="1" max="1" width="14.26953125" style="3" customWidth="1"/>
    <col min="2" max="2" width="21.1796875" style="3" customWidth="1"/>
    <col min="3" max="3" width="34.7265625" style="3" customWidth="1"/>
    <col min="4" max="4" width="33.453125" style="3" customWidth="1"/>
    <col min="5" max="5" width="48.1796875" style="3" customWidth="1"/>
    <col min="6" max="6" width="70.1796875" style="3" customWidth="1"/>
    <col min="7" max="7" width="40.54296875" style="3" customWidth="1"/>
    <col min="8" max="16384" width="11.453125" style="3"/>
  </cols>
  <sheetData>
    <row r="1" spans="1:7" ht="17.25" customHeight="1" x14ac:dyDescent="0.5">
      <c r="A1" s="118" t="s">
        <v>41</v>
      </c>
      <c r="B1" s="119"/>
      <c r="C1" s="119"/>
      <c r="D1" s="119"/>
      <c r="E1" s="119"/>
      <c r="F1" s="119"/>
      <c r="G1" s="119"/>
    </row>
    <row r="2" spans="1:7" s="25" customFormat="1" ht="52" x14ac:dyDescent="0.35">
      <c r="A2" s="31" t="s">
        <v>42</v>
      </c>
      <c r="B2" s="32" t="s">
        <v>43</v>
      </c>
      <c r="C2" s="32" t="s">
        <v>44</v>
      </c>
      <c r="D2" s="32" t="s">
        <v>45</v>
      </c>
      <c r="E2" s="32" t="s">
        <v>46</v>
      </c>
      <c r="F2" s="33" t="s">
        <v>47</v>
      </c>
      <c r="G2" s="33" t="s">
        <v>48</v>
      </c>
    </row>
    <row r="3" spans="1:7" s="19" customFormat="1" ht="48" customHeight="1" x14ac:dyDescent="0.5">
      <c r="A3" s="51" t="s">
        <v>49</v>
      </c>
      <c r="B3" s="52" t="s">
        <v>50</v>
      </c>
      <c r="C3" s="52" t="s">
        <v>51</v>
      </c>
      <c r="D3" s="52" t="s">
        <v>52</v>
      </c>
      <c r="E3" s="52" t="s">
        <v>53</v>
      </c>
      <c r="F3" s="42" t="s">
        <v>54</v>
      </c>
      <c r="G3" s="42" t="s">
        <v>55</v>
      </c>
    </row>
    <row r="4" spans="1:7" s="4" customFormat="1" ht="49.5" x14ac:dyDescent="0.35">
      <c r="A4" s="79">
        <v>1</v>
      </c>
      <c r="B4" s="2" t="s">
        <v>56</v>
      </c>
      <c r="C4" s="45" t="s">
        <v>22</v>
      </c>
      <c r="D4" s="4" t="s">
        <v>57</v>
      </c>
      <c r="E4" s="4" t="s">
        <v>24</v>
      </c>
      <c r="F4" s="45" t="s">
        <v>58</v>
      </c>
      <c r="G4" s="5" t="s">
        <v>59</v>
      </c>
    </row>
    <row r="5" spans="1:7" s="4" customFormat="1" ht="49.5" x14ac:dyDescent="0.35">
      <c r="A5" s="79">
        <v>2</v>
      </c>
      <c r="B5" s="2" t="s">
        <v>60</v>
      </c>
      <c r="C5" s="45" t="s">
        <v>29</v>
      </c>
      <c r="D5" s="4" t="s">
        <v>30</v>
      </c>
      <c r="E5" s="4" t="s">
        <v>31</v>
      </c>
      <c r="F5" s="45" t="s">
        <v>61</v>
      </c>
      <c r="G5" s="5" t="s">
        <v>59</v>
      </c>
    </row>
    <row r="6" spans="1:7" s="4" customFormat="1" ht="49.5" x14ac:dyDescent="0.35">
      <c r="A6" s="79">
        <v>3</v>
      </c>
      <c r="B6" s="2" t="s">
        <v>62</v>
      </c>
      <c r="C6" s="45" t="s">
        <v>32</v>
      </c>
      <c r="D6" s="4" t="s">
        <v>33</v>
      </c>
      <c r="E6" s="4" t="s">
        <v>34</v>
      </c>
      <c r="F6" s="45" t="s">
        <v>63</v>
      </c>
      <c r="G6" s="5" t="s">
        <v>59</v>
      </c>
    </row>
    <row r="7" spans="1:7" s="4" customFormat="1" ht="33.5" thickBot="1" x14ac:dyDescent="0.4">
      <c r="A7" s="81">
        <v>4</v>
      </c>
      <c r="B7" s="49" t="s">
        <v>64</v>
      </c>
      <c r="C7" s="48" t="s">
        <v>35</v>
      </c>
      <c r="D7" s="47" t="s">
        <v>36</v>
      </c>
      <c r="E7" s="47" t="s">
        <v>37</v>
      </c>
      <c r="F7" s="48" t="s">
        <v>65</v>
      </c>
      <c r="G7" s="50" t="s">
        <v>59</v>
      </c>
    </row>
    <row r="8" spans="1:7" s="4" customFormat="1" ht="66" x14ac:dyDescent="0.35">
      <c r="A8" s="6">
        <v>5</v>
      </c>
      <c r="B8" s="30" t="s">
        <v>66</v>
      </c>
      <c r="C8" s="45" t="s">
        <v>38</v>
      </c>
      <c r="D8" s="45" t="s">
        <v>39</v>
      </c>
      <c r="E8" s="45" t="s">
        <v>40</v>
      </c>
      <c r="F8" s="45" t="s">
        <v>67</v>
      </c>
      <c r="G8" s="5" t="s">
        <v>68</v>
      </c>
    </row>
  </sheetData>
  <mergeCells count="1">
    <mergeCell ref="A1:G1"/>
  </mergeCells>
  <dataValidations count="1">
    <dataValidation type="list" allowBlank="1" showInputMessage="1" showErrorMessage="1" sqref="B8" xr:uid="{7FF6EE86-2F70-4AF5-821E-634C08680A10}">
      <formula1>Verboscompetencias</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5B03DC40-E0D6-4DA3-A279-08CB6D731208}">
          <x14:formula1>
            <xm:f>'Paso1 Analisis perfil egreso'!$E$3:$E$7</xm:f>
          </x14:formula1>
          <xm:sqref>C4:C8</xm:sqref>
        </x14:dataValidation>
        <x14:dataValidation type="list" allowBlank="1" showInputMessage="1" showErrorMessage="1" xr:uid="{58828317-5290-4B7F-9237-ADA9517686F6}">
          <x14:formula1>
            <xm:f>'Paso1 Analisis perfil egreso'!$F$3:$F$7</xm:f>
          </x14:formula1>
          <xm:sqref>D4:D8</xm:sqref>
        </x14:dataValidation>
        <x14:dataValidation type="list" allowBlank="1" showInputMessage="1" showErrorMessage="1" xr:uid="{C33C15B2-2694-42AE-A6F7-6C75880FCDC0}">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69"/>
  <sheetViews>
    <sheetView zoomScaleNormal="100" workbookViewId="0"/>
  </sheetViews>
  <sheetFormatPr baseColWidth="10" defaultColWidth="11.453125" defaultRowHeight="16.5" x14ac:dyDescent="0.35"/>
  <cols>
    <col min="1" max="1" width="72" style="5" customWidth="1"/>
    <col min="2" max="2" width="24.453125" style="6" customWidth="1"/>
    <col min="3" max="3" width="21.7265625" style="5" customWidth="1"/>
    <col min="4" max="4" width="30.7265625" style="5" customWidth="1"/>
    <col min="5" max="5" width="25.54296875" style="4" customWidth="1"/>
    <col min="6" max="6" width="21.81640625" style="6" customWidth="1"/>
    <col min="7" max="7" width="27.453125" style="20" customWidth="1"/>
    <col min="8" max="8" width="20" style="20" customWidth="1"/>
    <col min="9" max="9" width="72" style="30" customWidth="1"/>
    <col min="10" max="10" width="110.54296875" style="5" customWidth="1"/>
    <col min="11" max="16384" width="11.453125" style="5"/>
  </cols>
  <sheetData>
    <row r="1" spans="1:10" s="28" customFormat="1" ht="52" x14ac:dyDescent="0.35">
      <c r="A1" s="26" t="s">
        <v>69</v>
      </c>
      <c r="B1" s="34" t="s">
        <v>70</v>
      </c>
      <c r="C1" s="24" t="s">
        <v>71</v>
      </c>
      <c r="D1" s="27" t="s">
        <v>72</v>
      </c>
      <c r="E1" s="27" t="s">
        <v>73</v>
      </c>
      <c r="F1" s="24" t="s">
        <v>74</v>
      </c>
      <c r="G1" s="24" t="s">
        <v>75</v>
      </c>
      <c r="H1" s="24" t="s">
        <v>76</v>
      </c>
      <c r="I1" s="35" t="s">
        <v>77</v>
      </c>
    </row>
    <row r="2" spans="1:10" s="21" customFormat="1" x14ac:dyDescent="0.35">
      <c r="A2" s="62" t="s">
        <v>78</v>
      </c>
      <c r="B2" s="37" t="s">
        <v>79</v>
      </c>
      <c r="C2" s="36" t="s">
        <v>80</v>
      </c>
      <c r="D2" s="56" t="s">
        <v>81</v>
      </c>
      <c r="E2" s="56" t="s">
        <v>82</v>
      </c>
      <c r="F2" s="36" t="s">
        <v>83</v>
      </c>
      <c r="G2" s="36" t="s">
        <v>84</v>
      </c>
      <c r="H2" s="36" t="s">
        <v>85</v>
      </c>
      <c r="I2" s="63" t="s">
        <v>86</v>
      </c>
    </row>
    <row r="3" spans="1:10" s="4" customFormat="1" ht="49.5" x14ac:dyDescent="0.35">
      <c r="A3" s="82" t="s">
        <v>58</v>
      </c>
      <c r="B3" s="6">
        <v>1</v>
      </c>
      <c r="C3" s="59" t="s">
        <v>11</v>
      </c>
      <c r="D3" s="59" t="s">
        <v>22</v>
      </c>
      <c r="E3" s="57" t="s">
        <v>87</v>
      </c>
      <c r="F3" s="54" t="s">
        <v>88</v>
      </c>
      <c r="G3" s="54" t="s">
        <v>89</v>
      </c>
      <c r="H3" s="54" t="s">
        <v>90</v>
      </c>
      <c r="I3" s="4" t="s">
        <v>91</v>
      </c>
    </row>
    <row r="4" spans="1:10" ht="66" x14ac:dyDescent="0.35">
      <c r="A4" s="83" t="s">
        <v>58</v>
      </c>
      <c r="B4" s="6">
        <v>4</v>
      </c>
      <c r="C4" s="5" t="s">
        <v>92</v>
      </c>
      <c r="D4" s="5" t="s">
        <v>57</v>
      </c>
      <c r="E4" s="4" t="s">
        <v>87</v>
      </c>
      <c r="F4" s="18" t="s">
        <v>93</v>
      </c>
      <c r="G4" s="18" t="s">
        <v>94</v>
      </c>
      <c r="H4" s="18" t="s">
        <v>95</v>
      </c>
      <c r="I4" s="5" t="s">
        <v>96</v>
      </c>
    </row>
    <row r="5" spans="1:10" ht="66.5" thickBot="1" x14ac:dyDescent="0.4">
      <c r="A5" s="84" t="s">
        <v>58</v>
      </c>
      <c r="B5" s="64">
        <v>6</v>
      </c>
      <c r="C5" s="50" t="s">
        <v>97</v>
      </c>
      <c r="D5" s="50" t="s">
        <v>98</v>
      </c>
      <c r="E5" s="47" t="s">
        <v>87</v>
      </c>
      <c r="F5" s="53" t="s">
        <v>99</v>
      </c>
      <c r="G5" s="53" t="s">
        <v>94</v>
      </c>
      <c r="H5" s="53" t="s">
        <v>100</v>
      </c>
      <c r="I5" s="50" t="s">
        <v>101</v>
      </c>
    </row>
    <row r="6" spans="1:10" ht="49.5" x14ac:dyDescent="0.35">
      <c r="A6" s="85" t="s">
        <v>61</v>
      </c>
      <c r="B6" s="61">
        <v>2</v>
      </c>
      <c r="C6" s="60" t="s">
        <v>11</v>
      </c>
      <c r="D6" s="60" t="s">
        <v>29</v>
      </c>
      <c r="E6" s="58" t="s">
        <v>87</v>
      </c>
      <c r="F6" s="55" t="s">
        <v>88</v>
      </c>
      <c r="G6" s="55" t="s">
        <v>102</v>
      </c>
      <c r="H6" s="55" t="s">
        <v>103</v>
      </c>
      <c r="I6" s="60" t="s">
        <v>104</v>
      </c>
      <c r="J6" s="45"/>
    </row>
    <row r="7" spans="1:10" ht="49.5" x14ac:dyDescent="0.35">
      <c r="A7" s="83" t="s">
        <v>61</v>
      </c>
      <c r="B7" s="6">
        <v>5</v>
      </c>
      <c r="C7" s="5" t="s">
        <v>92</v>
      </c>
      <c r="D7" s="5" t="s">
        <v>30</v>
      </c>
      <c r="E7" s="4" t="s">
        <v>87</v>
      </c>
      <c r="F7" s="18" t="s">
        <v>93</v>
      </c>
      <c r="G7" s="18" t="s">
        <v>94</v>
      </c>
      <c r="H7" s="18" t="s">
        <v>100</v>
      </c>
      <c r="I7" s="5" t="s">
        <v>105</v>
      </c>
      <c r="J7" s="45"/>
    </row>
    <row r="8" spans="1:10" ht="66.5" thickBot="1" x14ac:dyDescent="0.4">
      <c r="A8" s="84" t="s">
        <v>61</v>
      </c>
      <c r="B8" s="64">
        <v>6</v>
      </c>
      <c r="C8" s="50" t="s">
        <v>97</v>
      </c>
      <c r="D8" s="50" t="s">
        <v>31</v>
      </c>
      <c r="E8" s="47" t="s">
        <v>87</v>
      </c>
      <c r="F8" s="53" t="s">
        <v>99</v>
      </c>
      <c r="G8" s="53" t="s">
        <v>94</v>
      </c>
      <c r="H8" s="53" t="s">
        <v>100</v>
      </c>
      <c r="I8" s="50" t="s">
        <v>101</v>
      </c>
    </row>
    <row r="9" spans="1:10" ht="49.5" x14ac:dyDescent="0.35">
      <c r="A9" s="85" t="s">
        <v>63</v>
      </c>
      <c r="B9" s="61">
        <v>2</v>
      </c>
      <c r="C9" s="60" t="s">
        <v>11</v>
      </c>
      <c r="D9" s="60" t="s">
        <v>32</v>
      </c>
      <c r="E9" s="58" t="s">
        <v>87</v>
      </c>
      <c r="F9" s="55" t="s">
        <v>88</v>
      </c>
      <c r="G9" s="55" t="s">
        <v>106</v>
      </c>
      <c r="H9" s="55" t="s">
        <v>103</v>
      </c>
      <c r="I9" s="60" t="s">
        <v>104</v>
      </c>
      <c r="J9" s="45"/>
    </row>
    <row r="10" spans="1:10" ht="49.5" x14ac:dyDescent="0.35">
      <c r="A10" s="83" t="s">
        <v>63</v>
      </c>
      <c r="B10" s="6">
        <v>5</v>
      </c>
      <c r="C10" s="5" t="s">
        <v>92</v>
      </c>
      <c r="D10" s="5" t="s">
        <v>107</v>
      </c>
      <c r="E10" s="4" t="s">
        <v>87</v>
      </c>
      <c r="F10" s="18" t="s">
        <v>93</v>
      </c>
      <c r="G10" s="18" t="s">
        <v>94</v>
      </c>
      <c r="H10" s="18" t="s">
        <v>100</v>
      </c>
      <c r="I10" s="5" t="s">
        <v>105</v>
      </c>
    </row>
    <row r="11" spans="1:10" ht="66.5" thickBot="1" x14ac:dyDescent="0.4">
      <c r="A11" s="84" t="s">
        <v>63</v>
      </c>
      <c r="B11" s="64">
        <v>6</v>
      </c>
      <c r="C11" s="50" t="s">
        <v>97</v>
      </c>
      <c r="D11" s="50" t="s">
        <v>34</v>
      </c>
      <c r="E11" s="47" t="s">
        <v>87</v>
      </c>
      <c r="F11" s="53" t="s">
        <v>99</v>
      </c>
      <c r="G11" s="53" t="s">
        <v>94</v>
      </c>
      <c r="H11" s="53" t="s">
        <v>100</v>
      </c>
      <c r="I11" s="50" t="s">
        <v>101</v>
      </c>
    </row>
    <row r="12" spans="1:10" ht="49.5" x14ac:dyDescent="0.35">
      <c r="A12" s="83" t="s">
        <v>65</v>
      </c>
      <c r="B12" s="6">
        <v>1</v>
      </c>
      <c r="C12" s="5" t="s">
        <v>11</v>
      </c>
      <c r="D12" s="5" t="s">
        <v>35</v>
      </c>
      <c r="E12" s="4" t="s">
        <v>87</v>
      </c>
      <c r="F12" s="18" t="s">
        <v>88</v>
      </c>
      <c r="G12" s="18" t="s">
        <v>89</v>
      </c>
      <c r="H12" s="18" t="s">
        <v>90</v>
      </c>
      <c r="I12" s="4" t="s">
        <v>91</v>
      </c>
      <c r="J12" s="4"/>
    </row>
    <row r="13" spans="1:10" ht="66" x14ac:dyDescent="0.35">
      <c r="A13" s="83" t="s">
        <v>65</v>
      </c>
      <c r="B13" s="6">
        <v>4</v>
      </c>
      <c r="C13" s="5" t="s">
        <v>92</v>
      </c>
      <c r="D13" s="5" t="s">
        <v>36</v>
      </c>
      <c r="E13" s="4" t="s">
        <v>87</v>
      </c>
      <c r="F13" s="18" t="s">
        <v>93</v>
      </c>
      <c r="G13" s="18" t="s">
        <v>94</v>
      </c>
      <c r="H13" s="18" t="s">
        <v>95</v>
      </c>
      <c r="I13" s="5" t="s">
        <v>96</v>
      </c>
    </row>
    <row r="14" spans="1:10" ht="66.5" thickBot="1" x14ac:dyDescent="0.4">
      <c r="A14" s="83" t="s">
        <v>65</v>
      </c>
      <c r="B14" s="6">
        <v>6</v>
      </c>
      <c r="C14" s="5" t="s">
        <v>97</v>
      </c>
      <c r="D14" s="5" t="s">
        <v>108</v>
      </c>
      <c r="E14" s="4" t="s">
        <v>87</v>
      </c>
      <c r="F14" s="18" t="s">
        <v>99</v>
      </c>
      <c r="G14" s="18" t="s">
        <v>94</v>
      </c>
      <c r="H14" s="53" t="s">
        <v>100</v>
      </c>
      <c r="I14" s="50" t="s">
        <v>101</v>
      </c>
    </row>
    <row r="15" spans="1:10" ht="66" x14ac:dyDescent="0.35">
      <c r="A15" s="85" t="s">
        <v>67</v>
      </c>
      <c r="B15" s="61">
        <v>3</v>
      </c>
      <c r="C15" s="60" t="s">
        <v>11</v>
      </c>
      <c r="D15" s="60" t="s">
        <v>38</v>
      </c>
      <c r="E15" s="58" t="s">
        <v>87</v>
      </c>
      <c r="F15" s="55" t="s">
        <v>88</v>
      </c>
      <c r="G15" s="55" t="s">
        <v>89</v>
      </c>
      <c r="H15" s="18" t="s">
        <v>90</v>
      </c>
      <c r="I15" s="5" t="s">
        <v>109</v>
      </c>
    </row>
    <row r="16" spans="1:10" x14ac:dyDescent="0.35">
      <c r="A16" s="4"/>
      <c r="E16" s="5"/>
      <c r="F16" s="20"/>
      <c r="I16" s="5"/>
    </row>
    <row r="17" spans="1:9" x14ac:dyDescent="0.35">
      <c r="A17" s="4"/>
      <c r="E17" s="5"/>
      <c r="F17" s="20"/>
      <c r="I17" s="5"/>
    </row>
    <row r="18" spans="1:9" x14ac:dyDescent="0.35">
      <c r="A18" s="4"/>
      <c r="E18" s="5"/>
      <c r="G18" s="6"/>
      <c r="H18" s="6"/>
      <c r="I18" s="5"/>
    </row>
    <row r="19" spans="1:9" x14ac:dyDescent="0.35">
      <c r="A19" s="4"/>
      <c r="E19" s="5"/>
      <c r="G19" s="6"/>
      <c r="H19" s="6"/>
      <c r="I19" s="5"/>
    </row>
    <row r="20" spans="1:9" x14ac:dyDescent="0.35">
      <c r="A20" s="4"/>
      <c r="E20" s="5"/>
      <c r="G20" s="6"/>
      <c r="H20" s="6"/>
      <c r="I20" s="5"/>
    </row>
    <row r="21" spans="1:9" x14ac:dyDescent="0.35">
      <c r="A21" s="4"/>
      <c r="E21" s="5"/>
      <c r="G21" s="6"/>
      <c r="H21" s="6"/>
      <c r="I21" s="5"/>
    </row>
    <row r="22" spans="1:9" x14ac:dyDescent="0.35">
      <c r="A22" s="4"/>
      <c r="E22" s="5"/>
      <c r="F22" s="20"/>
      <c r="I22" s="5"/>
    </row>
    <row r="23" spans="1:9" x14ac:dyDescent="0.35">
      <c r="E23" s="5"/>
      <c r="F23" s="20"/>
      <c r="I23" s="5"/>
    </row>
    <row r="24" spans="1:9" x14ac:dyDescent="0.35">
      <c r="A24" s="4"/>
      <c r="E24" s="5"/>
      <c r="F24" s="20"/>
      <c r="I24" s="5"/>
    </row>
    <row r="25" spans="1:9" x14ac:dyDescent="0.35">
      <c r="A25" s="4"/>
      <c r="E25" s="5"/>
      <c r="F25" s="20"/>
      <c r="I25" s="5"/>
    </row>
    <row r="26" spans="1:9" x14ac:dyDescent="0.35">
      <c r="E26" s="5"/>
      <c r="F26" s="20"/>
      <c r="H26" s="18"/>
      <c r="I26" s="5"/>
    </row>
    <row r="27" spans="1:9" x14ac:dyDescent="0.35">
      <c r="E27" s="5"/>
      <c r="F27" s="20"/>
      <c r="H27" s="18"/>
      <c r="I27" s="5"/>
    </row>
    <row r="28" spans="1:9" x14ac:dyDescent="0.35">
      <c r="A28" s="4"/>
      <c r="F28" s="20"/>
      <c r="I28" s="5"/>
    </row>
    <row r="29" spans="1:9" x14ac:dyDescent="0.35">
      <c r="A29" s="29"/>
    </row>
    <row r="30" spans="1:9" x14ac:dyDescent="0.35">
      <c r="A30" s="29"/>
    </row>
    <row r="31" spans="1:9" x14ac:dyDescent="0.35">
      <c r="A31" s="29"/>
    </row>
    <row r="32" spans="1:9" x14ac:dyDescent="0.35">
      <c r="A32" s="29"/>
    </row>
    <row r="33" spans="1:1" x14ac:dyDescent="0.35">
      <c r="A33" s="29"/>
    </row>
    <row r="34" spans="1:1" x14ac:dyDescent="0.35">
      <c r="A34" s="29"/>
    </row>
    <row r="35" spans="1:1" x14ac:dyDescent="0.35">
      <c r="A35" s="29"/>
    </row>
    <row r="36" spans="1:1" x14ac:dyDescent="0.35">
      <c r="A36" s="29"/>
    </row>
    <row r="37" spans="1:1" x14ac:dyDescent="0.35">
      <c r="A37" s="29"/>
    </row>
    <row r="38" spans="1:1" x14ac:dyDescent="0.35">
      <c r="A38" s="29"/>
    </row>
    <row r="39" spans="1:1" x14ac:dyDescent="0.35">
      <c r="A39" s="29"/>
    </row>
    <row r="40" spans="1:1" x14ac:dyDescent="0.35">
      <c r="A40" s="29"/>
    </row>
    <row r="41" spans="1:1" x14ac:dyDescent="0.35">
      <c r="A41" s="29"/>
    </row>
    <row r="42" spans="1:1" x14ac:dyDescent="0.35">
      <c r="A42" s="29"/>
    </row>
    <row r="43" spans="1:1" x14ac:dyDescent="0.35">
      <c r="A43" s="29"/>
    </row>
    <row r="44" spans="1:1" x14ac:dyDescent="0.35">
      <c r="A44" s="29"/>
    </row>
    <row r="45" spans="1:1" x14ac:dyDescent="0.35">
      <c r="A45" s="29"/>
    </row>
    <row r="46" spans="1:1" x14ac:dyDescent="0.35">
      <c r="A46" s="29"/>
    </row>
    <row r="47" spans="1:1" x14ac:dyDescent="0.35">
      <c r="A47" s="29"/>
    </row>
    <row r="48" spans="1:1" x14ac:dyDescent="0.35">
      <c r="A48" s="29"/>
    </row>
    <row r="49" spans="1:1" x14ac:dyDescent="0.35">
      <c r="A49" s="29"/>
    </row>
    <row r="50" spans="1:1" x14ac:dyDescent="0.35">
      <c r="A50" s="29"/>
    </row>
    <row r="51" spans="1:1" x14ac:dyDescent="0.35">
      <c r="A51" s="29"/>
    </row>
    <row r="52" spans="1:1" x14ac:dyDescent="0.35">
      <c r="A52" s="29"/>
    </row>
    <row r="53" spans="1:1" x14ac:dyDescent="0.35">
      <c r="A53" s="29"/>
    </row>
    <row r="54" spans="1:1" x14ac:dyDescent="0.35">
      <c r="A54" s="29"/>
    </row>
    <row r="55" spans="1:1" x14ac:dyDescent="0.35">
      <c r="A55" s="29"/>
    </row>
    <row r="56" spans="1:1" x14ac:dyDescent="0.35">
      <c r="A56" s="29"/>
    </row>
    <row r="57" spans="1:1" x14ac:dyDescent="0.35">
      <c r="A57" s="29"/>
    </row>
    <row r="58" spans="1:1" x14ac:dyDescent="0.35">
      <c r="A58" s="29"/>
    </row>
    <row r="59" spans="1:1" x14ac:dyDescent="0.35">
      <c r="A59" s="29"/>
    </row>
    <row r="60" spans="1:1" x14ac:dyDescent="0.35">
      <c r="A60" s="29"/>
    </row>
    <row r="61" spans="1:1" x14ac:dyDescent="0.35">
      <c r="A61" s="29"/>
    </row>
    <row r="62" spans="1:1" x14ac:dyDescent="0.35">
      <c r="A62" s="29"/>
    </row>
    <row r="63" spans="1:1" x14ac:dyDescent="0.35">
      <c r="A63" s="29"/>
    </row>
    <row r="64" spans="1:1" x14ac:dyDescent="0.35">
      <c r="A64" s="29"/>
    </row>
    <row r="65" spans="1:1" x14ac:dyDescent="0.35">
      <c r="A65" s="29"/>
    </row>
    <row r="66" spans="1:1" x14ac:dyDescent="0.35">
      <c r="A66" s="29"/>
    </row>
    <row r="67" spans="1:1" x14ac:dyDescent="0.35">
      <c r="A67" s="29"/>
    </row>
    <row r="68" spans="1:1" x14ac:dyDescent="0.35">
      <c r="A68" s="29"/>
    </row>
    <row r="69" spans="1:1" x14ac:dyDescent="0.35">
      <c r="A69" s="29"/>
    </row>
  </sheetData>
  <dataValidations count="9">
    <dataValidation type="list" allowBlank="1" showInputMessage="1" showErrorMessage="1" sqref="C20" xr:uid="{5F7EB98A-702C-41C7-9328-1AC567AD42BB}">
      <formula1>dominios</formula1>
    </dataValidation>
    <dataValidation type="list" allowBlank="1" showInputMessage="1" showErrorMessage="1" sqref="D16:D28" xr:uid="{A0692BE6-882D-4429-B1A7-9E830F580750}">
      <formula1>INDIRECT($C15)</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E28:E68" xr:uid="{BA7A6A4E-AFC5-4DDA-B73D-529D4171BB07}">
      <formula1>taxonomiasra</formula1>
    </dataValidation>
    <dataValidation type="list" allowBlank="1" showInputMessage="1" showErrorMessage="1" sqref="F3:F15" xr:uid="{3D31D052-A081-4A39-A51A-D6165D65267B}">
      <formula1>INDIRECT($E3)</formula1>
    </dataValidation>
    <dataValidation type="list" allowBlank="1" showInputMessage="1" showErrorMessage="1" sqref="F16:F28" xr:uid="{7C162B68-DA91-40B1-80BB-FEAC7AEA9863}">
      <formula1>INDIRECT($E15)</formula1>
    </dataValidation>
    <dataValidation type="list" allowBlank="1" showInputMessage="1" showErrorMessage="1" sqref="G3:G28" xr:uid="{2E4610CE-EC3D-48AD-B88C-7A8A98A9EF9F}">
      <formula1>INDIRECT($F3)</formula1>
    </dataValidation>
    <dataValidation type="list" allowBlank="1" showInputMessage="1" showErrorMessage="1" sqref="H3:H28" xr:uid="{8510CB5F-5076-4227-ADC6-4B45B16A3C6A}">
      <formula1>INDIRECT($G3)</formula1>
    </dataValidation>
    <dataValidation type="list" allowBlank="1" showInputMessage="1" showErrorMessage="1" sqref="C3:C15" xr:uid="{C31D74B4-7D66-4A49-B3BA-228A0D58F086}">
      <formula1>ComponentesCompetencias</formula1>
    </dataValidation>
    <dataValidation type="list" allowBlank="1" showInputMessage="1" showErrorMessage="1" sqref="D3:D15" xr:uid="{832F050D-FFD5-4CED-B563-3987BF616060}">
      <formula1>INDIRECT($C3)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754C947-857D-4CAF-AF77-29F698ED2A35}">
          <x14:formula1>
            <xm:f>'Paso 2 Redacción competen'!$F$4:$F$7</xm:f>
          </x14:formula1>
          <xm:sqref>A28 A24:A25 A16:A22</xm:sqref>
        </x14:dataValidation>
        <x14:dataValidation type="list" allowBlank="1" showInputMessage="1" showErrorMessage="1" xr:uid="{E273BA7E-F60D-432A-A85A-D0EB46163F49}">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2"/>
  <sheetViews>
    <sheetView zoomScaleNormal="100" workbookViewId="0"/>
  </sheetViews>
  <sheetFormatPr baseColWidth="10" defaultColWidth="11.453125" defaultRowHeight="16.5" x14ac:dyDescent="0.35"/>
  <cols>
    <col min="1" max="1" width="55.26953125" style="18" customWidth="1"/>
    <col min="2" max="2" width="52.81640625" style="20" customWidth="1"/>
    <col min="3" max="3" width="52.1796875" style="18" customWidth="1"/>
    <col min="4" max="4" width="49" style="30" customWidth="1"/>
    <col min="5" max="5" width="36.81640625" style="18" customWidth="1"/>
    <col min="6" max="6" width="39.54296875" style="30" customWidth="1"/>
    <col min="7" max="16384" width="11.453125" style="30"/>
  </cols>
  <sheetData>
    <row r="1" spans="1:6" s="43" customFormat="1" ht="52" x14ac:dyDescent="0.35">
      <c r="A1" s="34" t="s">
        <v>110</v>
      </c>
      <c r="B1" s="34" t="s">
        <v>111</v>
      </c>
      <c r="C1" s="34" t="s">
        <v>112</v>
      </c>
      <c r="D1" s="34" t="s">
        <v>113</v>
      </c>
      <c r="E1" s="34" t="s">
        <v>114</v>
      </c>
      <c r="F1" s="34" t="s">
        <v>115</v>
      </c>
    </row>
    <row r="2" spans="1:6" s="44" customFormat="1" ht="33" x14ac:dyDescent="0.35">
      <c r="A2" s="46" t="s">
        <v>116</v>
      </c>
      <c r="B2" s="46" t="s">
        <v>117</v>
      </c>
      <c r="C2" s="46" t="s">
        <v>118</v>
      </c>
      <c r="D2" s="46" t="s">
        <v>119</v>
      </c>
      <c r="E2" s="46" t="s">
        <v>120</v>
      </c>
      <c r="F2" s="46" t="s">
        <v>121</v>
      </c>
    </row>
    <row r="3" spans="1:6" ht="49.5" x14ac:dyDescent="0.35">
      <c r="A3" s="5" t="s">
        <v>122</v>
      </c>
      <c r="B3" s="123" t="s">
        <v>123</v>
      </c>
      <c r="C3" s="112" t="s">
        <v>124</v>
      </c>
      <c r="D3" s="74" t="s">
        <v>125</v>
      </c>
      <c r="E3" s="126" t="s">
        <v>126</v>
      </c>
      <c r="F3" s="45" t="s">
        <v>127</v>
      </c>
    </row>
    <row r="4" spans="1:6" ht="49.5" x14ac:dyDescent="0.35">
      <c r="A4" s="5" t="s">
        <v>128</v>
      </c>
      <c r="B4" s="123"/>
      <c r="C4" s="112"/>
      <c r="D4" s="74" t="s">
        <v>129</v>
      </c>
      <c r="E4" s="121"/>
      <c r="F4" s="45" t="s">
        <v>130</v>
      </c>
    </row>
    <row r="5" spans="1:6" ht="66.5" thickBot="1" x14ac:dyDescent="0.4">
      <c r="A5" s="67" t="s">
        <v>96</v>
      </c>
      <c r="B5" s="124"/>
      <c r="C5" s="125"/>
      <c r="D5" s="75" t="s">
        <v>131</v>
      </c>
      <c r="E5" s="122"/>
      <c r="F5" s="76" t="s">
        <v>132</v>
      </c>
    </row>
    <row r="6" spans="1:6" ht="66" x14ac:dyDescent="0.35">
      <c r="A6" s="5" t="s">
        <v>96</v>
      </c>
      <c r="B6" s="123" t="s">
        <v>133</v>
      </c>
      <c r="C6" s="112" t="s">
        <v>134</v>
      </c>
      <c r="D6" s="74" t="s">
        <v>125</v>
      </c>
      <c r="E6" s="120" t="s">
        <v>135</v>
      </c>
      <c r="F6" s="45" t="s">
        <v>127</v>
      </c>
    </row>
    <row r="7" spans="1:6" ht="66" x14ac:dyDescent="0.35">
      <c r="A7" s="5" t="s">
        <v>136</v>
      </c>
      <c r="B7" s="123"/>
      <c r="C7" s="112"/>
      <c r="D7" s="74" t="s">
        <v>129</v>
      </c>
      <c r="E7" s="121"/>
      <c r="F7" s="45" t="s">
        <v>130</v>
      </c>
    </row>
    <row r="8" spans="1:6" ht="66.5" thickBot="1" x14ac:dyDescent="0.4">
      <c r="A8" s="67" t="s">
        <v>136</v>
      </c>
      <c r="B8" s="124"/>
      <c r="C8" s="125"/>
      <c r="D8" s="75" t="s">
        <v>137</v>
      </c>
      <c r="E8" s="122"/>
      <c r="F8" s="76" t="s">
        <v>132</v>
      </c>
    </row>
    <row r="9" spans="1:6" ht="49.5" x14ac:dyDescent="0.35">
      <c r="A9" s="5" t="s">
        <v>122</v>
      </c>
      <c r="B9" s="123" t="s">
        <v>138</v>
      </c>
      <c r="C9" s="112" t="s">
        <v>139</v>
      </c>
      <c r="D9" s="74" t="s">
        <v>140</v>
      </c>
      <c r="E9" s="120" t="s">
        <v>141</v>
      </c>
      <c r="F9" s="45" t="s">
        <v>127</v>
      </c>
    </row>
    <row r="10" spans="1:6" ht="49.5" x14ac:dyDescent="0.35">
      <c r="A10" s="5" t="s">
        <v>128</v>
      </c>
      <c r="B10" s="123"/>
      <c r="C10" s="112"/>
      <c r="D10" s="74" t="s">
        <v>142</v>
      </c>
      <c r="E10" s="121"/>
      <c r="F10" s="45" t="s">
        <v>132</v>
      </c>
    </row>
    <row r="11" spans="1:6" ht="66" x14ac:dyDescent="0.35">
      <c r="A11" s="5" t="s">
        <v>96</v>
      </c>
      <c r="B11" s="123"/>
      <c r="C11" s="112"/>
      <c r="D11" s="74"/>
      <c r="E11" s="121"/>
      <c r="F11" s="4"/>
    </row>
    <row r="12" spans="1:6" ht="82.5" x14ac:dyDescent="0.35">
      <c r="A12" s="5" t="s">
        <v>143</v>
      </c>
      <c r="B12" s="123"/>
      <c r="C12" s="112"/>
      <c r="D12" s="74"/>
      <c r="E12" s="121"/>
      <c r="F12" s="4"/>
    </row>
    <row r="13" spans="1:6" ht="66.5" thickBot="1" x14ac:dyDescent="0.4">
      <c r="A13" s="67" t="s">
        <v>136</v>
      </c>
      <c r="B13" s="124"/>
      <c r="C13" s="125"/>
      <c r="D13" s="75"/>
      <c r="E13" s="122"/>
      <c r="F13" s="86"/>
    </row>
    <row r="14" spans="1:6" ht="66" customHeight="1" x14ac:dyDescent="0.35">
      <c r="A14" s="5" t="s">
        <v>122</v>
      </c>
      <c r="B14" s="123" t="s">
        <v>144</v>
      </c>
      <c r="C14" s="112" t="s">
        <v>145</v>
      </c>
      <c r="D14" s="74" t="s">
        <v>125</v>
      </c>
      <c r="E14" s="120" t="s">
        <v>146</v>
      </c>
      <c r="F14" s="45" t="s">
        <v>127</v>
      </c>
    </row>
    <row r="15" spans="1:6" ht="66" customHeight="1" x14ac:dyDescent="0.35">
      <c r="A15" s="5" t="s">
        <v>96</v>
      </c>
      <c r="B15" s="123"/>
      <c r="C15" s="112"/>
      <c r="D15" s="74" t="s">
        <v>147</v>
      </c>
      <c r="E15" s="121"/>
      <c r="F15" s="45" t="s">
        <v>132</v>
      </c>
    </row>
    <row r="16" spans="1:6" ht="66" x14ac:dyDescent="0.35">
      <c r="A16" s="5" t="s">
        <v>136</v>
      </c>
      <c r="B16" s="123"/>
      <c r="C16" s="112"/>
      <c r="D16" s="74" t="s">
        <v>148</v>
      </c>
      <c r="E16" s="121"/>
      <c r="F16" s="45" t="s">
        <v>149</v>
      </c>
    </row>
    <row r="17" spans="1:6" ht="82.5" x14ac:dyDescent="0.35">
      <c r="A17" s="5" t="s">
        <v>143</v>
      </c>
      <c r="B17" s="123"/>
      <c r="C17" s="112"/>
      <c r="D17" s="74"/>
      <c r="E17" s="121"/>
      <c r="F17" s="4"/>
    </row>
    <row r="18" spans="1:6" ht="57.75" customHeight="1" thickBot="1" x14ac:dyDescent="0.4">
      <c r="A18" s="67" t="s">
        <v>128</v>
      </c>
      <c r="B18" s="124"/>
      <c r="C18" s="125"/>
      <c r="D18" s="77"/>
      <c r="E18" s="122"/>
      <c r="F18" s="86"/>
    </row>
    <row r="19" spans="1:6" ht="57.75" customHeight="1" x14ac:dyDescent="0.35">
      <c r="A19" s="5" t="s">
        <v>122</v>
      </c>
      <c r="B19" s="123" t="s">
        <v>150</v>
      </c>
      <c r="C19" s="112" t="s">
        <v>151</v>
      </c>
      <c r="D19" s="65" t="s">
        <v>152</v>
      </c>
      <c r="E19" s="120" t="s">
        <v>153</v>
      </c>
      <c r="F19" s="4" t="s">
        <v>154</v>
      </c>
    </row>
    <row r="20" spans="1:6" ht="66" x14ac:dyDescent="0.35">
      <c r="A20" s="5" t="s">
        <v>96</v>
      </c>
      <c r="B20" s="123"/>
      <c r="C20" s="112"/>
      <c r="D20" s="74" t="s">
        <v>155</v>
      </c>
      <c r="E20" s="121"/>
      <c r="F20" s="4" t="s">
        <v>154</v>
      </c>
    </row>
    <row r="21" spans="1:6" ht="57.75" customHeight="1" x14ac:dyDescent="0.35">
      <c r="A21" s="5" t="s">
        <v>136</v>
      </c>
      <c r="B21" s="123"/>
      <c r="C21" s="112"/>
      <c r="D21" s="74" t="s">
        <v>156</v>
      </c>
      <c r="E21" s="121"/>
      <c r="F21" s="4" t="s">
        <v>132</v>
      </c>
    </row>
    <row r="22" spans="1:6" ht="82.5" x14ac:dyDescent="0.35">
      <c r="A22" s="5" t="s">
        <v>143</v>
      </c>
      <c r="B22" s="123"/>
      <c r="C22" s="112"/>
      <c r="D22" s="78"/>
      <c r="E22" s="121"/>
      <c r="F22" s="4"/>
    </row>
    <row r="23" spans="1:6" ht="57.75" customHeight="1" thickBot="1" x14ac:dyDescent="0.4">
      <c r="A23" s="67" t="s">
        <v>128</v>
      </c>
      <c r="B23" s="124"/>
      <c r="C23" s="125"/>
      <c r="D23" s="77"/>
      <c r="E23" s="122"/>
      <c r="F23" s="86"/>
    </row>
    <row r="24" spans="1:6" ht="129" customHeight="1" x14ac:dyDescent="0.35">
      <c r="A24" s="5" t="s">
        <v>122</v>
      </c>
      <c r="B24" s="123" t="s">
        <v>157</v>
      </c>
      <c r="C24" s="112" t="s">
        <v>158</v>
      </c>
      <c r="D24" s="74" t="s">
        <v>129</v>
      </c>
      <c r="E24" s="120" t="s">
        <v>159</v>
      </c>
      <c r="F24" s="4" t="s">
        <v>132</v>
      </c>
    </row>
    <row r="25" spans="1:6" ht="66" x14ac:dyDescent="0.35">
      <c r="A25" s="5" t="s">
        <v>96</v>
      </c>
      <c r="B25" s="123"/>
      <c r="C25" s="112"/>
      <c r="D25" s="4" t="s">
        <v>160</v>
      </c>
      <c r="E25" s="121"/>
      <c r="F25" s="4" t="s">
        <v>161</v>
      </c>
    </row>
    <row r="26" spans="1:6" ht="66" x14ac:dyDescent="0.35">
      <c r="A26" s="5" t="s">
        <v>136</v>
      </c>
      <c r="B26" s="123"/>
      <c r="C26" s="112"/>
      <c r="D26" s="65" t="s">
        <v>162</v>
      </c>
      <c r="E26" s="121"/>
      <c r="F26" s="74" t="s">
        <v>163</v>
      </c>
    </row>
    <row r="27" spans="1:6" ht="82.5" x14ac:dyDescent="0.35">
      <c r="A27" s="5" t="s">
        <v>143</v>
      </c>
      <c r="B27" s="123"/>
      <c r="C27" s="112"/>
      <c r="D27" s="4" t="s">
        <v>164</v>
      </c>
      <c r="E27" s="121"/>
      <c r="F27" s="4" t="s">
        <v>132</v>
      </c>
    </row>
    <row r="28" spans="1:6" ht="50" thickBot="1" x14ac:dyDescent="0.4">
      <c r="A28" s="67" t="s">
        <v>128</v>
      </c>
      <c r="B28" s="124"/>
      <c r="C28" s="125"/>
      <c r="D28" s="68"/>
      <c r="E28" s="122"/>
      <c r="F28" s="86"/>
    </row>
    <row r="29" spans="1:6" ht="129" customHeight="1" x14ac:dyDescent="0.35">
      <c r="A29" s="5" t="s">
        <v>122</v>
      </c>
      <c r="B29" s="121" t="s">
        <v>165</v>
      </c>
      <c r="C29" s="112" t="s">
        <v>166</v>
      </c>
      <c r="D29" s="74" t="s">
        <v>125</v>
      </c>
      <c r="E29" s="120" t="s">
        <v>167</v>
      </c>
      <c r="F29" s="4" t="s">
        <v>154</v>
      </c>
    </row>
    <row r="30" spans="1:6" ht="66" x14ac:dyDescent="0.35">
      <c r="A30" s="5" t="s">
        <v>96</v>
      </c>
      <c r="B30" s="121"/>
      <c r="C30" s="112"/>
      <c r="D30" s="74" t="s">
        <v>156</v>
      </c>
      <c r="E30" s="121"/>
      <c r="F30" s="4" t="s">
        <v>132</v>
      </c>
    </row>
    <row r="31" spans="1:6" ht="66" x14ac:dyDescent="0.35">
      <c r="A31" s="5" t="s">
        <v>136</v>
      </c>
      <c r="B31" s="121"/>
      <c r="C31" s="112"/>
      <c r="D31" s="74" t="s">
        <v>168</v>
      </c>
      <c r="E31" s="121"/>
      <c r="F31" s="4" t="s">
        <v>132</v>
      </c>
    </row>
    <row r="32" spans="1:6" ht="145.5" customHeight="1" thickBot="1" x14ac:dyDescent="0.4">
      <c r="A32" s="67" t="s">
        <v>143</v>
      </c>
      <c r="B32" s="122"/>
      <c r="C32" s="125"/>
      <c r="D32" s="68" t="s">
        <v>169</v>
      </c>
      <c r="E32" s="122"/>
      <c r="F32" s="86" t="s">
        <v>132</v>
      </c>
    </row>
  </sheetData>
  <autoFilter ref="A1:E17" xr:uid="{1F726B80-E6B4-4ED4-A764-E59AF4E18393}"/>
  <mergeCells count="21">
    <mergeCell ref="E3:E5"/>
    <mergeCell ref="E6:E8"/>
    <mergeCell ref="E9:E13"/>
    <mergeCell ref="E19:E23"/>
    <mergeCell ref="E14:E18"/>
    <mergeCell ref="B3:B5"/>
    <mergeCell ref="C3:C5"/>
    <mergeCell ref="B6:B8"/>
    <mergeCell ref="C6:C8"/>
    <mergeCell ref="B24:B28"/>
    <mergeCell ref="C24:C28"/>
    <mergeCell ref="B9:B13"/>
    <mergeCell ref="C9:C13"/>
    <mergeCell ref="B14:B18"/>
    <mergeCell ref="C14:C18"/>
    <mergeCell ref="E29:E32"/>
    <mergeCell ref="E24:E28"/>
    <mergeCell ref="B29:B32"/>
    <mergeCell ref="B19:B23"/>
    <mergeCell ref="C19:C23"/>
    <mergeCell ref="C29:C3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B10912B-CB7B-44AA-88E7-774973FC03D0}">
          <x14:formula1>
            <xm:f>'Paso 3 Redacción RA '!$I$3:$I$14</xm:f>
          </x14:formula1>
          <xm:sqref>A3:A32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R116"/>
  <sheetViews>
    <sheetView tabSelected="1" zoomScaleNormal="100" workbookViewId="0"/>
  </sheetViews>
  <sheetFormatPr baseColWidth="10" defaultColWidth="11.453125" defaultRowHeight="16.5" x14ac:dyDescent="0.5"/>
  <cols>
    <col min="1" max="1" width="13.1796875" style="6" bestFit="1" customWidth="1"/>
    <col min="2" max="2" width="63.453125" style="18" customWidth="1"/>
    <col min="3" max="3" width="17.26953125" style="20" customWidth="1"/>
    <col min="4" max="4" width="30.453125" style="20" customWidth="1"/>
    <col min="5" max="5" width="61.81640625" style="18" customWidth="1"/>
    <col min="6" max="6" width="23.7265625" style="20" customWidth="1"/>
    <col min="7" max="9" width="16.7265625" style="20" customWidth="1"/>
    <col min="10" max="10" width="21.1796875" style="20" customWidth="1"/>
    <col min="11" max="11" width="35.7265625" style="20" customWidth="1"/>
    <col min="12" max="12" width="31" style="20" customWidth="1"/>
    <col min="13" max="13" width="20.453125" style="20" customWidth="1"/>
    <col min="14" max="14" width="48.81640625" style="18" customWidth="1"/>
    <col min="15" max="15" width="51.1796875" style="18" customWidth="1"/>
    <col min="16" max="16" width="75.1796875" style="18" customWidth="1"/>
    <col min="17" max="17" width="86.26953125" style="20" customWidth="1"/>
    <col min="18" max="18" width="11.453125" style="20"/>
    <col min="19" max="16384" width="11.453125" style="1"/>
  </cols>
  <sheetData>
    <row r="1" spans="1:18" s="39" customFormat="1" ht="52" x14ac:dyDescent="0.4">
      <c r="A1" s="33" t="s">
        <v>170</v>
      </c>
      <c r="B1" s="33" t="s">
        <v>171</v>
      </c>
      <c r="C1" s="33" t="s">
        <v>172</v>
      </c>
      <c r="D1" s="33" t="s">
        <v>173</v>
      </c>
      <c r="E1" s="33" t="s">
        <v>174</v>
      </c>
      <c r="F1" s="33" t="s">
        <v>175</v>
      </c>
      <c r="G1" s="142" t="s">
        <v>176</v>
      </c>
      <c r="H1" s="142"/>
      <c r="I1" s="142"/>
      <c r="J1" s="34" t="s">
        <v>177</v>
      </c>
      <c r="K1" s="34" t="s">
        <v>178</v>
      </c>
      <c r="L1" s="34" t="s">
        <v>179</v>
      </c>
      <c r="M1" s="34" t="s">
        <v>180</v>
      </c>
      <c r="N1" s="34" t="s">
        <v>181</v>
      </c>
      <c r="O1" s="34" t="s">
        <v>182</v>
      </c>
      <c r="P1" s="34" t="s">
        <v>183</v>
      </c>
      <c r="Q1" s="33" t="s">
        <v>184</v>
      </c>
      <c r="R1" s="38"/>
    </row>
    <row r="2" spans="1:18" s="41" customFormat="1" ht="33" x14ac:dyDescent="0.5">
      <c r="A2" s="42" t="s">
        <v>185</v>
      </c>
      <c r="B2" s="42" t="s">
        <v>116</v>
      </c>
      <c r="C2" s="42" t="s">
        <v>186</v>
      </c>
      <c r="D2" s="42" t="s">
        <v>187</v>
      </c>
      <c r="E2" s="42" t="s">
        <v>188</v>
      </c>
      <c r="F2" s="42" t="s">
        <v>189</v>
      </c>
      <c r="G2" s="42" t="s">
        <v>190</v>
      </c>
      <c r="H2" s="42" t="s">
        <v>191</v>
      </c>
      <c r="I2" s="42" t="s">
        <v>192</v>
      </c>
      <c r="J2" s="42" t="s">
        <v>193</v>
      </c>
      <c r="K2" s="42" t="s">
        <v>194</v>
      </c>
      <c r="L2" s="42" t="s">
        <v>195</v>
      </c>
      <c r="M2" s="42" t="s">
        <v>196</v>
      </c>
      <c r="N2" s="42" t="s">
        <v>197</v>
      </c>
      <c r="O2" s="42" t="s">
        <v>198</v>
      </c>
      <c r="P2" s="42" t="s">
        <v>199</v>
      </c>
      <c r="Q2" s="42" t="s">
        <v>200</v>
      </c>
      <c r="R2" s="40"/>
    </row>
    <row r="3" spans="1:18" ht="49.5" x14ac:dyDescent="0.5">
      <c r="A3" s="6" t="str" cm="1">
        <f t="array" ref="A3">_xlfn.XLOOKUP(B3,'Paso 3 Redacción RA '!$I$3:$I$15,'Paso 3 Redacción RA '!$C$3:$C$15,,0,1)</f>
        <v>Saber</v>
      </c>
      <c r="B3" s="5" t="s">
        <v>91</v>
      </c>
      <c r="C3" s="128">
        <v>1</v>
      </c>
      <c r="D3" s="123" t="s">
        <v>201</v>
      </c>
      <c r="E3" s="112" t="s">
        <v>202</v>
      </c>
      <c r="F3" s="128" t="s">
        <v>203</v>
      </c>
      <c r="G3" s="128" t="s">
        <v>204</v>
      </c>
      <c r="H3" s="128" t="s">
        <v>205</v>
      </c>
      <c r="I3" s="128"/>
      <c r="J3" s="123">
        <v>3</v>
      </c>
      <c r="K3" s="128">
        <f>12*J3</f>
        <v>36</v>
      </c>
      <c r="L3" s="128">
        <f>36*J3</f>
        <v>108</v>
      </c>
      <c r="M3" s="128">
        <f>SUM(K3:L7)</f>
        <v>144</v>
      </c>
      <c r="N3" s="130" t="s">
        <v>206</v>
      </c>
      <c r="O3" s="112" t="s">
        <v>207</v>
      </c>
      <c r="P3" s="132" t="s">
        <v>208</v>
      </c>
      <c r="Q3" s="130" t="s">
        <v>209</v>
      </c>
    </row>
    <row r="4" spans="1:18" ht="66" x14ac:dyDescent="0.5">
      <c r="A4" s="6" t="str" cm="1">
        <f t="array" ref="A4">_xlfn.XLOOKUP(B4,'Paso 3 Redacción RA '!$I$3:$I$15,'Paso 3 Redacción RA '!$C$3:$C$15,,0,1)</f>
        <v>Saberhacer</v>
      </c>
      <c r="B4" s="5" t="s">
        <v>96</v>
      </c>
      <c r="C4" s="128"/>
      <c r="D4" s="123"/>
      <c r="E4" s="112"/>
      <c r="F4" s="128"/>
      <c r="G4" s="128"/>
      <c r="H4" s="128"/>
      <c r="I4" s="128"/>
      <c r="J4" s="123"/>
      <c r="K4" s="128"/>
      <c r="L4" s="128"/>
      <c r="M4" s="128"/>
      <c r="N4" s="130"/>
      <c r="O4" s="112"/>
      <c r="P4" s="132"/>
      <c r="Q4" s="130"/>
    </row>
    <row r="5" spans="1:18" ht="82.5" x14ac:dyDescent="0.5">
      <c r="A5" s="6" t="str" cm="1">
        <f t="array" ref="A5">_xlfn.XLOOKUP(B5,'Paso 3 Redacción RA '!$I$3:$I$15,'Paso 3 Redacción RA '!$C$3:$C$15,,0,1)</f>
        <v>Saberser</v>
      </c>
      <c r="B5" s="5" t="s">
        <v>101</v>
      </c>
      <c r="C5" s="128"/>
      <c r="D5" s="123"/>
      <c r="E5" s="112"/>
      <c r="F5" s="128"/>
      <c r="G5" s="128"/>
      <c r="H5" s="128"/>
      <c r="I5" s="128"/>
      <c r="J5" s="123"/>
      <c r="K5" s="128"/>
      <c r="L5" s="128"/>
      <c r="M5" s="128"/>
      <c r="N5" s="130"/>
      <c r="O5" s="112"/>
      <c r="P5" s="132"/>
      <c r="Q5" s="130"/>
    </row>
    <row r="6" spans="1:18" ht="66" x14ac:dyDescent="0.5">
      <c r="A6" s="6" t="str" cm="1">
        <f t="array" ref="A6">_xlfn.XLOOKUP(B6,'Paso 3 Redacción RA '!$I$3:$I$15,'Paso 3 Redacción RA '!$C$3:$C$15,,0,1)</f>
        <v>Saber</v>
      </c>
      <c r="B6" s="5" t="s">
        <v>104</v>
      </c>
      <c r="C6" s="128"/>
      <c r="D6" s="123"/>
      <c r="E6" s="112"/>
      <c r="F6" s="128"/>
      <c r="G6" s="128"/>
      <c r="H6" s="128"/>
      <c r="I6" s="128"/>
      <c r="J6" s="123"/>
      <c r="K6" s="128"/>
      <c r="L6" s="128"/>
      <c r="M6" s="128"/>
      <c r="N6" s="130"/>
      <c r="O6" s="112"/>
      <c r="P6" s="132"/>
      <c r="Q6" s="130"/>
    </row>
    <row r="7" spans="1:18" ht="50" thickBot="1" x14ac:dyDescent="0.55000000000000004">
      <c r="A7" s="66" t="str" cm="1">
        <f t="array" ref="A7">_xlfn.XLOOKUP(B7,'Paso 3 Redacción RA '!$I$3:$I$15,'Paso 3 Redacción RA '!$C$3:$C$15,,0,1)</f>
        <v>Saberhacer</v>
      </c>
      <c r="B7" s="67" t="s">
        <v>105</v>
      </c>
      <c r="C7" s="129"/>
      <c r="D7" s="124"/>
      <c r="E7" s="125"/>
      <c r="F7" s="129"/>
      <c r="G7" s="129"/>
      <c r="H7" s="129"/>
      <c r="I7" s="129"/>
      <c r="J7" s="124"/>
      <c r="K7" s="129"/>
      <c r="L7" s="129"/>
      <c r="M7" s="129"/>
      <c r="N7" s="131"/>
      <c r="O7" s="125"/>
      <c r="P7" s="133"/>
      <c r="Q7" s="131"/>
    </row>
    <row r="8" spans="1:18" ht="346.5" x14ac:dyDescent="0.5">
      <c r="A8" s="69" t="str" cm="1">
        <f t="array" ref="A8">_xlfn.XLOOKUP(B8,'Paso 3 Redacción RA '!$I$3:$I$15,'Paso 3 Redacción RA '!$C$3:$C$15,,0,1)</f>
        <v>Saber</v>
      </c>
      <c r="B8" s="70" t="s">
        <v>109</v>
      </c>
      <c r="C8" s="71">
        <v>1</v>
      </c>
      <c r="D8" s="72" t="s">
        <v>210</v>
      </c>
      <c r="E8" s="73" t="s">
        <v>211</v>
      </c>
      <c r="F8" s="71" t="s">
        <v>212</v>
      </c>
      <c r="G8" s="71" t="s">
        <v>205</v>
      </c>
      <c r="H8" s="71" t="s">
        <v>204</v>
      </c>
      <c r="I8" s="71"/>
      <c r="J8" s="72">
        <v>3</v>
      </c>
      <c r="K8" s="71">
        <f>12*J8</f>
        <v>36</v>
      </c>
      <c r="L8" s="71">
        <f>36*J8</f>
        <v>108</v>
      </c>
      <c r="M8" s="71">
        <f>SUM(K8:L8)</f>
        <v>144</v>
      </c>
      <c r="N8" s="73" t="s">
        <v>213</v>
      </c>
      <c r="O8" s="96" t="s">
        <v>214</v>
      </c>
      <c r="P8" s="97" t="s">
        <v>215</v>
      </c>
      <c r="Q8" s="73" t="s">
        <v>209</v>
      </c>
    </row>
    <row r="9" spans="1:18" ht="49.5" x14ac:dyDescent="0.5">
      <c r="A9" s="6" t="str" cm="1">
        <f t="array" ref="A9">_xlfn.XLOOKUP(B9,'Paso 3 Redacción RA '!$I$3:$I$15,'Paso 3 Redacción RA '!$C$3:$C$15,,0,1)</f>
        <v>Saber</v>
      </c>
      <c r="B9" s="5" t="s">
        <v>91</v>
      </c>
      <c r="C9" s="136">
        <v>1</v>
      </c>
      <c r="D9" s="121" t="s">
        <v>216</v>
      </c>
      <c r="E9" s="130" t="s">
        <v>217</v>
      </c>
      <c r="F9" s="128" t="s">
        <v>212</v>
      </c>
      <c r="G9" s="128" t="s">
        <v>204</v>
      </c>
      <c r="H9" s="128" t="s">
        <v>205</v>
      </c>
      <c r="I9" s="128"/>
      <c r="J9" s="123">
        <v>3</v>
      </c>
      <c r="K9" s="127">
        <f>12*J9</f>
        <v>36</v>
      </c>
      <c r="L9" s="127">
        <f>36*J9</f>
        <v>108</v>
      </c>
      <c r="M9" s="127">
        <f>SUM(K9:L14)</f>
        <v>144</v>
      </c>
      <c r="N9" s="130" t="s">
        <v>218</v>
      </c>
      <c r="O9" s="112" t="s">
        <v>207</v>
      </c>
      <c r="P9" s="132" t="s">
        <v>219</v>
      </c>
      <c r="Q9" s="130" t="s">
        <v>209</v>
      </c>
    </row>
    <row r="10" spans="1:18" ht="66" x14ac:dyDescent="0.5">
      <c r="A10" s="6" t="str" cm="1">
        <f t="array" ref="A10">_xlfn.XLOOKUP(B10,'Paso 3 Redacción RA '!$I$3:$I$15,'Paso 3 Redacción RA '!$C$3:$C$15,,0,1)</f>
        <v>Saberhacer</v>
      </c>
      <c r="B10" s="5" t="s">
        <v>96</v>
      </c>
      <c r="C10" s="136"/>
      <c r="D10" s="121"/>
      <c r="E10" s="130"/>
      <c r="F10" s="128"/>
      <c r="G10" s="128"/>
      <c r="H10" s="128"/>
      <c r="I10" s="128"/>
      <c r="J10" s="123"/>
      <c r="K10" s="128"/>
      <c r="L10" s="128"/>
      <c r="M10" s="128"/>
      <c r="N10" s="130"/>
      <c r="O10" s="112"/>
      <c r="P10" s="132"/>
      <c r="Q10" s="130"/>
    </row>
    <row r="11" spans="1:18" ht="82.5" x14ac:dyDescent="0.5">
      <c r="A11" s="6" t="str" cm="1">
        <f t="array" ref="A11">_xlfn.XLOOKUP(B11,'Paso 3 Redacción RA '!$I$3:$I$15,'Paso 3 Redacción RA '!$C$3:$C$15,,0,1)</f>
        <v>Saberser</v>
      </c>
      <c r="B11" s="5" t="s">
        <v>101</v>
      </c>
      <c r="C11" s="136"/>
      <c r="D11" s="121"/>
      <c r="E11" s="130"/>
      <c r="F11" s="128"/>
      <c r="G11" s="128"/>
      <c r="H11" s="128"/>
      <c r="I11" s="128"/>
      <c r="J11" s="123"/>
      <c r="K11" s="128"/>
      <c r="L11" s="128"/>
      <c r="M11" s="128"/>
      <c r="N11" s="130"/>
      <c r="O11" s="112"/>
      <c r="P11" s="132"/>
      <c r="Q11" s="130"/>
    </row>
    <row r="12" spans="1:18" ht="66" x14ac:dyDescent="0.5">
      <c r="A12" s="6" t="str" cm="1">
        <f t="array" ref="A12">_xlfn.XLOOKUP(B12,'Paso 3 Redacción RA '!$I$3:$I$15,'Paso 3 Redacción RA '!$C$3:$C$15,,0,1)</f>
        <v>Saber</v>
      </c>
      <c r="B12" s="5" t="s">
        <v>104</v>
      </c>
      <c r="C12" s="136"/>
      <c r="D12" s="121"/>
      <c r="E12" s="130"/>
      <c r="F12" s="128"/>
      <c r="G12" s="128"/>
      <c r="H12" s="128"/>
      <c r="I12" s="128"/>
      <c r="J12" s="123"/>
      <c r="K12" s="128"/>
      <c r="L12" s="128"/>
      <c r="M12" s="128"/>
      <c r="N12" s="130"/>
      <c r="O12" s="112"/>
      <c r="P12" s="132"/>
      <c r="Q12" s="130"/>
    </row>
    <row r="13" spans="1:18" ht="49.5" x14ac:dyDescent="0.5">
      <c r="A13" s="6" t="str" cm="1">
        <f t="array" ref="A13">_xlfn.XLOOKUP(B13,'Paso 3 Redacción RA '!$I$3:$I$15,'Paso 3 Redacción RA '!$C$3:$C$15,,0,1)</f>
        <v>Saber</v>
      </c>
      <c r="B13" s="5" t="s">
        <v>109</v>
      </c>
      <c r="C13" s="136"/>
      <c r="D13" s="121"/>
      <c r="E13" s="130"/>
      <c r="F13" s="128"/>
      <c r="G13" s="128"/>
      <c r="H13" s="128"/>
      <c r="I13" s="128"/>
      <c r="J13" s="123"/>
      <c r="K13" s="128"/>
      <c r="L13" s="128"/>
      <c r="M13" s="128"/>
      <c r="N13" s="130"/>
      <c r="O13" s="112"/>
      <c r="P13" s="132"/>
      <c r="Q13" s="130"/>
    </row>
    <row r="14" spans="1:18" ht="50" thickBot="1" x14ac:dyDescent="0.55000000000000004">
      <c r="A14" s="66" t="str" cm="1">
        <f t="array" ref="A14">_xlfn.XLOOKUP(B14,'Paso 3 Redacción RA '!$I$3:$I$15,'Paso 3 Redacción RA '!$C$3:$C$15,,0,1)</f>
        <v>Saberhacer</v>
      </c>
      <c r="B14" s="67" t="s">
        <v>105</v>
      </c>
      <c r="C14" s="137"/>
      <c r="D14" s="122"/>
      <c r="E14" s="131"/>
      <c r="F14" s="129"/>
      <c r="G14" s="129"/>
      <c r="H14" s="129"/>
      <c r="I14" s="129"/>
      <c r="J14" s="124"/>
      <c r="K14" s="129"/>
      <c r="L14" s="129"/>
      <c r="M14" s="129"/>
      <c r="N14" s="131"/>
      <c r="O14" s="125"/>
      <c r="P14" s="133"/>
      <c r="Q14" s="131"/>
    </row>
    <row r="15" spans="1:18" ht="314" thickBot="1" x14ac:dyDescent="0.55000000000000004">
      <c r="A15" s="69" t="str" cm="1">
        <f t="array" ref="A15">_xlfn.XLOOKUP(B15,'Paso 3 Redacción RA '!$I$3:$I$15,'Paso 3 Redacción RA '!$C$3:$C$15,,0,1)</f>
        <v>Saber</v>
      </c>
      <c r="B15" s="70" t="s">
        <v>109</v>
      </c>
      <c r="C15" s="71">
        <v>1</v>
      </c>
      <c r="D15" s="72" t="s">
        <v>220</v>
      </c>
      <c r="E15" s="73" t="s">
        <v>221</v>
      </c>
      <c r="F15" s="71" t="s">
        <v>212</v>
      </c>
      <c r="G15" s="71" t="s">
        <v>205</v>
      </c>
      <c r="H15" s="71" t="s">
        <v>204</v>
      </c>
      <c r="I15" s="71" t="s">
        <v>204</v>
      </c>
      <c r="J15" s="72">
        <v>3</v>
      </c>
      <c r="K15" s="71">
        <f>12*J15</f>
        <v>36</v>
      </c>
      <c r="L15" s="71">
        <f>36*J15</f>
        <v>108</v>
      </c>
      <c r="M15" s="71">
        <f>SUM(K15:L15)</f>
        <v>144</v>
      </c>
      <c r="N15" s="73" t="s">
        <v>222</v>
      </c>
      <c r="O15" s="98" t="s">
        <v>214</v>
      </c>
      <c r="P15" s="98" t="s">
        <v>223</v>
      </c>
      <c r="Q15" s="73" t="s">
        <v>209</v>
      </c>
    </row>
    <row r="16" spans="1:18" ht="49.5" x14ac:dyDescent="0.5">
      <c r="A16" s="6" t="str" cm="1">
        <f t="array" ref="A16">_xlfn.XLOOKUP(B16,'Paso 3 Redacción RA '!$I$3:$I$15,'Paso 3 Redacción RA '!$C$3:$C$15,,0,1)</f>
        <v>Saber</v>
      </c>
      <c r="B16" s="5" t="s">
        <v>109</v>
      </c>
      <c r="C16" s="128">
        <v>1</v>
      </c>
      <c r="D16" s="123" t="s">
        <v>224</v>
      </c>
      <c r="E16" s="112" t="s">
        <v>225</v>
      </c>
      <c r="F16" s="128" t="s">
        <v>212</v>
      </c>
      <c r="G16" s="128" t="s">
        <v>204</v>
      </c>
      <c r="H16" s="128" t="s">
        <v>205</v>
      </c>
      <c r="I16" s="128"/>
      <c r="J16" s="123">
        <v>3</v>
      </c>
      <c r="K16" s="128">
        <f>12*J16</f>
        <v>36</v>
      </c>
      <c r="L16" s="128">
        <f>36*J16</f>
        <v>108</v>
      </c>
      <c r="M16" s="128">
        <f>SUM(K16:L20)</f>
        <v>144</v>
      </c>
      <c r="N16" s="130" t="s">
        <v>226</v>
      </c>
      <c r="O16" s="112" t="s">
        <v>207</v>
      </c>
      <c r="P16" s="132" t="s">
        <v>219</v>
      </c>
      <c r="Q16" s="130" t="s">
        <v>209</v>
      </c>
    </row>
    <row r="17" spans="1:17" ht="66" x14ac:dyDescent="0.5">
      <c r="A17" s="6" t="str" cm="1">
        <f t="array" ref="A17">_xlfn.XLOOKUP(B17,'Paso 3 Redacción RA '!$I$3:$I$15,'Paso 3 Redacción RA '!$C$3:$C$15,,0,1)</f>
        <v>Saberhacer</v>
      </c>
      <c r="B17" s="5" t="s">
        <v>96</v>
      </c>
      <c r="C17" s="128"/>
      <c r="D17" s="123"/>
      <c r="E17" s="112"/>
      <c r="F17" s="128"/>
      <c r="G17" s="128"/>
      <c r="H17" s="128"/>
      <c r="I17" s="128"/>
      <c r="J17" s="123"/>
      <c r="K17" s="128"/>
      <c r="L17" s="128"/>
      <c r="M17" s="128"/>
      <c r="N17" s="130"/>
      <c r="O17" s="112"/>
      <c r="P17" s="132"/>
      <c r="Q17" s="130"/>
    </row>
    <row r="18" spans="1:17" ht="82.5" x14ac:dyDescent="0.5">
      <c r="A18" s="6" t="str" cm="1">
        <f t="array" ref="A18">_xlfn.XLOOKUP(B18,'Paso 3 Redacción RA '!$I$3:$I$15,'Paso 3 Redacción RA '!$C$3:$C$15,,0,1)</f>
        <v>Saberser</v>
      </c>
      <c r="B18" s="5" t="s">
        <v>101</v>
      </c>
      <c r="C18" s="128"/>
      <c r="D18" s="123"/>
      <c r="E18" s="112"/>
      <c r="F18" s="128"/>
      <c r="G18" s="128"/>
      <c r="H18" s="128"/>
      <c r="I18" s="128"/>
      <c r="J18" s="123"/>
      <c r="K18" s="128"/>
      <c r="L18" s="128"/>
      <c r="M18" s="128"/>
      <c r="N18" s="130"/>
      <c r="O18" s="112"/>
      <c r="P18" s="132"/>
      <c r="Q18" s="130"/>
    </row>
    <row r="19" spans="1:17" ht="66" x14ac:dyDescent="0.5">
      <c r="A19" s="6" t="str" cm="1">
        <f t="array" ref="A19">_xlfn.XLOOKUP(B19,'Paso 3 Redacción RA '!$I$3:$I$15,'Paso 3 Redacción RA '!$C$3:$C$15,,0,1)</f>
        <v>Saber</v>
      </c>
      <c r="B19" s="5" t="s">
        <v>104</v>
      </c>
      <c r="C19" s="128"/>
      <c r="D19" s="123"/>
      <c r="E19" s="112"/>
      <c r="F19" s="128"/>
      <c r="G19" s="128"/>
      <c r="H19" s="128"/>
      <c r="I19" s="128"/>
      <c r="J19" s="123"/>
      <c r="K19" s="128"/>
      <c r="L19" s="128"/>
      <c r="M19" s="128"/>
      <c r="N19" s="130"/>
      <c r="O19" s="112"/>
      <c r="P19" s="132"/>
      <c r="Q19" s="130"/>
    </row>
    <row r="20" spans="1:17" ht="50" thickBot="1" x14ac:dyDescent="0.55000000000000004">
      <c r="A20" s="66" t="str" cm="1">
        <f t="array" ref="A20">_xlfn.XLOOKUP(B20,'Paso 3 Redacción RA '!$I$3:$I$15,'Paso 3 Redacción RA '!$C$3:$C$15,,0,1)</f>
        <v>Saberhacer</v>
      </c>
      <c r="B20" s="67" t="s">
        <v>105</v>
      </c>
      <c r="C20" s="129"/>
      <c r="D20" s="124"/>
      <c r="E20" s="125"/>
      <c r="F20" s="129"/>
      <c r="G20" s="129"/>
      <c r="H20" s="129"/>
      <c r="I20" s="129"/>
      <c r="J20" s="124"/>
      <c r="K20" s="129"/>
      <c r="L20" s="129"/>
      <c r="M20" s="129"/>
      <c r="N20" s="131"/>
      <c r="O20" s="125"/>
      <c r="P20" s="133"/>
      <c r="Q20" s="131"/>
    </row>
    <row r="21" spans="1:17" ht="49.5" x14ac:dyDescent="0.5">
      <c r="A21" s="6" t="str" cm="1">
        <f t="array" ref="A21">_xlfn.XLOOKUP(B21,'Paso 3 Redacción RA '!$I$3:$I$15,'Paso 3 Redacción RA '!$C$3:$C$15,,0,1)</f>
        <v>Saber</v>
      </c>
      <c r="B21" s="5" t="s">
        <v>91</v>
      </c>
      <c r="C21" s="128" t="s">
        <v>227</v>
      </c>
      <c r="D21" s="121" t="s">
        <v>228</v>
      </c>
      <c r="E21" s="112" t="s">
        <v>229</v>
      </c>
      <c r="F21" s="128" t="s">
        <v>212</v>
      </c>
      <c r="G21" s="128" t="s">
        <v>204</v>
      </c>
      <c r="H21" s="128" t="s">
        <v>205</v>
      </c>
      <c r="I21" s="128"/>
      <c r="J21" s="123">
        <v>3</v>
      </c>
      <c r="K21" s="128">
        <f>12*J21</f>
        <v>36</v>
      </c>
      <c r="L21" s="128">
        <f>36*J21</f>
        <v>108</v>
      </c>
      <c r="M21" s="128">
        <f>SUM(K21:L26)</f>
        <v>144</v>
      </c>
      <c r="N21" s="112" t="s">
        <v>230</v>
      </c>
      <c r="O21" s="112" t="s">
        <v>207</v>
      </c>
      <c r="P21" s="132" t="s">
        <v>231</v>
      </c>
      <c r="Q21" s="130" t="s">
        <v>209</v>
      </c>
    </row>
    <row r="22" spans="1:17" ht="66" x14ac:dyDescent="0.5">
      <c r="A22" s="6" t="str" cm="1">
        <f t="array" ref="A22">_xlfn.XLOOKUP(B22,'Paso 3 Redacción RA '!$I$3:$I$15,'Paso 3 Redacción RA '!$C$3:$C$15,,0,1)</f>
        <v>Saberhacer</v>
      </c>
      <c r="B22" s="5" t="s">
        <v>96</v>
      </c>
      <c r="C22" s="128"/>
      <c r="D22" s="121"/>
      <c r="E22" s="112"/>
      <c r="F22" s="128"/>
      <c r="G22" s="128"/>
      <c r="H22" s="128"/>
      <c r="I22" s="128"/>
      <c r="J22" s="123"/>
      <c r="K22" s="128"/>
      <c r="L22" s="128"/>
      <c r="M22" s="128"/>
      <c r="N22" s="112"/>
      <c r="O22" s="112"/>
      <c r="P22" s="132"/>
      <c r="Q22" s="130"/>
    </row>
    <row r="23" spans="1:17" ht="82.5" x14ac:dyDescent="0.5">
      <c r="A23" s="6" t="str" cm="1">
        <f t="array" ref="A23">_xlfn.XLOOKUP(B23,'Paso 3 Redacción RA '!$I$3:$I$15,'Paso 3 Redacción RA '!$C$3:$C$15,,0,1)</f>
        <v>Saberser</v>
      </c>
      <c r="B23" s="5" t="s">
        <v>101</v>
      </c>
      <c r="C23" s="128"/>
      <c r="D23" s="121"/>
      <c r="E23" s="112"/>
      <c r="F23" s="128"/>
      <c r="G23" s="128"/>
      <c r="H23" s="128"/>
      <c r="I23" s="128"/>
      <c r="J23" s="123"/>
      <c r="K23" s="128"/>
      <c r="L23" s="128"/>
      <c r="M23" s="128"/>
      <c r="N23" s="112"/>
      <c r="O23" s="112"/>
      <c r="P23" s="132"/>
      <c r="Q23" s="130"/>
    </row>
    <row r="24" spans="1:17" ht="66" x14ac:dyDescent="0.5">
      <c r="A24" s="6" t="str" cm="1">
        <f t="array" ref="A24">_xlfn.XLOOKUP(B24,'Paso 3 Redacción RA '!$I$3:$I$15,'Paso 3 Redacción RA '!$C$3:$C$15,,0,1)</f>
        <v>Saber</v>
      </c>
      <c r="B24" s="5" t="s">
        <v>104</v>
      </c>
      <c r="C24" s="128"/>
      <c r="D24" s="121"/>
      <c r="E24" s="112"/>
      <c r="F24" s="128"/>
      <c r="G24" s="128"/>
      <c r="H24" s="128"/>
      <c r="I24" s="128"/>
      <c r="J24" s="123"/>
      <c r="K24" s="128"/>
      <c r="L24" s="128"/>
      <c r="M24" s="128"/>
      <c r="N24" s="112"/>
      <c r="O24" s="112"/>
      <c r="P24" s="132"/>
      <c r="Q24" s="130"/>
    </row>
    <row r="25" spans="1:17" ht="49.5" x14ac:dyDescent="0.5">
      <c r="A25" s="6" t="str" cm="1">
        <f t="array" ref="A25">_xlfn.XLOOKUP(B25,'Paso 3 Redacción RA '!$I$3:$I$15,'Paso 3 Redacción RA '!$C$3:$C$15,,0,1)</f>
        <v>Saber</v>
      </c>
      <c r="B25" s="5" t="s">
        <v>109</v>
      </c>
      <c r="C25" s="128"/>
      <c r="D25" s="121"/>
      <c r="E25" s="112"/>
      <c r="F25" s="128"/>
      <c r="G25" s="128"/>
      <c r="H25" s="128"/>
      <c r="I25" s="128"/>
      <c r="J25" s="123"/>
      <c r="K25" s="128"/>
      <c r="L25" s="128"/>
      <c r="M25" s="128"/>
      <c r="N25" s="112"/>
      <c r="O25" s="112"/>
      <c r="P25" s="132"/>
      <c r="Q25" s="130"/>
    </row>
    <row r="26" spans="1:17" ht="50" thickBot="1" x14ac:dyDescent="0.55000000000000004">
      <c r="A26" s="66" t="str" cm="1">
        <f t="array" ref="A26">_xlfn.XLOOKUP(B26,'Paso 3 Redacción RA '!$I$3:$I$15,'Paso 3 Redacción RA '!$C$3:$C$15,,0,1)</f>
        <v>Saberhacer</v>
      </c>
      <c r="B26" s="67" t="s">
        <v>105</v>
      </c>
      <c r="C26" s="129"/>
      <c r="D26" s="122"/>
      <c r="E26" s="125"/>
      <c r="F26" s="129"/>
      <c r="G26" s="129"/>
      <c r="H26" s="129"/>
      <c r="I26" s="129"/>
      <c r="J26" s="124"/>
      <c r="K26" s="129"/>
      <c r="L26" s="129"/>
      <c r="M26" s="129"/>
      <c r="N26" s="125"/>
      <c r="O26" s="125"/>
      <c r="P26" s="133"/>
      <c r="Q26" s="131"/>
    </row>
    <row r="27" spans="1:17" ht="49.5" x14ac:dyDescent="0.5">
      <c r="A27" s="6" t="str" cm="1">
        <f t="array" ref="A27">_xlfn.XLOOKUP(B27,'Paso 3 Redacción RA '!$I$3:$I$15,'Paso 3 Redacción RA '!$C$3:$C$15,,0,1)</f>
        <v>Saber</v>
      </c>
      <c r="B27" s="5" t="s">
        <v>91</v>
      </c>
      <c r="C27" s="128">
        <v>2</v>
      </c>
      <c r="D27" s="123" t="s">
        <v>232</v>
      </c>
      <c r="E27" s="130" t="s">
        <v>233</v>
      </c>
      <c r="F27" s="128" t="s">
        <v>212</v>
      </c>
      <c r="G27" s="128" t="s">
        <v>204</v>
      </c>
      <c r="H27" s="128" t="s">
        <v>205</v>
      </c>
      <c r="I27" s="128"/>
      <c r="J27" s="123">
        <v>2</v>
      </c>
      <c r="K27" s="127">
        <f>12*J27</f>
        <v>24</v>
      </c>
      <c r="L27" s="127">
        <f>36*J27</f>
        <v>72</v>
      </c>
      <c r="M27" s="127">
        <f>SUM(K27:L32)</f>
        <v>96</v>
      </c>
      <c r="N27" s="130" t="s">
        <v>234</v>
      </c>
      <c r="O27" s="112" t="s">
        <v>207</v>
      </c>
      <c r="P27" s="132" t="s">
        <v>231</v>
      </c>
      <c r="Q27" s="130" t="s">
        <v>209</v>
      </c>
    </row>
    <row r="28" spans="1:17" ht="66" x14ac:dyDescent="0.5">
      <c r="A28" s="6" t="str" cm="1">
        <f t="array" ref="A28">_xlfn.XLOOKUP(B28,'Paso 3 Redacción RA '!$I$3:$I$15,'Paso 3 Redacción RA '!$C$3:$C$15,,0,1)</f>
        <v>Saberhacer</v>
      </c>
      <c r="B28" s="5" t="s">
        <v>96</v>
      </c>
      <c r="C28" s="128"/>
      <c r="D28" s="123"/>
      <c r="E28" s="130"/>
      <c r="F28" s="128"/>
      <c r="G28" s="128"/>
      <c r="H28" s="128"/>
      <c r="I28" s="128"/>
      <c r="J28" s="123"/>
      <c r="K28" s="128"/>
      <c r="L28" s="128"/>
      <c r="M28" s="128"/>
      <c r="N28" s="130"/>
      <c r="O28" s="112"/>
      <c r="P28" s="132"/>
      <c r="Q28" s="130"/>
    </row>
    <row r="29" spans="1:17" ht="82.5" x14ac:dyDescent="0.5">
      <c r="A29" s="6" t="str" cm="1">
        <f t="array" ref="A29">_xlfn.XLOOKUP(B29,'Paso 3 Redacción RA '!$I$3:$I$15,'Paso 3 Redacción RA '!$C$3:$C$15,,0,1)</f>
        <v>Saberser</v>
      </c>
      <c r="B29" s="5" t="s">
        <v>101</v>
      </c>
      <c r="C29" s="128"/>
      <c r="D29" s="123"/>
      <c r="E29" s="130"/>
      <c r="F29" s="128"/>
      <c r="G29" s="128"/>
      <c r="H29" s="128"/>
      <c r="I29" s="128"/>
      <c r="J29" s="123"/>
      <c r="K29" s="128"/>
      <c r="L29" s="128"/>
      <c r="M29" s="128"/>
      <c r="N29" s="130"/>
      <c r="O29" s="112"/>
      <c r="P29" s="132"/>
      <c r="Q29" s="130"/>
    </row>
    <row r="30" spans="1:17" ht="66" x14ac:dyDescent="0.5">
      <c r="A30" s="6" t="str" cm="1">
        <f t="array" ref="A30">_xlfn.XLOOKUP(B30,'Paso 3 Redacción RA '!$I$3:$I$15,'Paso 3 Redacción RA '!$C$3:$C$15,,0,1)</f>
        <v>Saber</v>
      </c>
      <c r="B30" s="5" t="s">
        <v>104</v>
      </c>
      <c r="C30" s="128"/>
      <c r="D30" s="123"/>
      <c r="E30" s="130"/>
      <c r="F30" s="128"/>
      <c r="G30" s="128"/>
      <c r="H30" s="128"/>
      <c r="I30" s="128"/>
      <c r="J30" s="123"/>
      <c r="K30" s="128"/>
      <c r="L30" s="128"/>
      <c r="M30" s="128"/>
      <c r="N30" s="130"/>
      <c r="O30" s="112"/>
      <c r="P30" s="132"/>
      <c r="Q30" s="130"/>
    </row>
    <row r="31" spans="1:17" ht="49.5" x14ac:dyDescent="0.5">
      <c r="A31" s="6" t="str" cm="1">
        <f t="array" ref="A31">_xlfn.XLOOKUP(B31,'Paso 3 Redacción RA '!$I$3:$I$15,'Paso 3 Redacción RA '!$C$3:$C$15,,0,1)</f>
        <v>Saberhacer</v>
      </c>
      <c r="B31" s="5" t="s">
        <v>105</v>
      </c>
      <c r="C31" s="128"/>
      <c r="D31" s="123"/>
      <c r="E31" s="130"/>
      <c r="F31" s="128"/>
      <c r="G31" s="128"/>
      <c r="H31" s="128"/>
      <c r="I31" s="128"/>
      <c r="J31" s="123"/>
      <c r="K31" s="128"/>
      <c r="L31" s="128"/>
      <c r="M31" s="128"/>
      <c r="N31" s="130"/>
      <c r="O31" s="112"/>
      <c r="P31" s="132"/>
      <c r="Q31" s="130"/>
    </row>
    <row r="32" spans="1:17" ht="50" thickBot="1" x14ac:dyDescent="0.55000000000000004">
      <c r="A32" s="66" t="str" cm="1">
        <f t="array" ref="A32">_xlfn.XLOOKUP(B32,'Paso 3 Redacción RA '!$I$3:$I$15,'Paso 3 Redacción RA '!$C$3:$C$15,,0,1)</f>
        <v>Saberhacer</v>
      </c>
      <c r="B32" s="67" t="s">
        <v>105</v>
      </c>
      <c r="C32" s="129"/>
      <c r="D32" s="124"/>
      <c r="E32" s="131"/>
      <c r="F32" s="129"/>
      <c r="G32" s="129"/>
      <c r="H32" s="129"/>
      <c r="I32" s="129"/>
      <c r="J32" s="124"/>
      <c r="K32" s="129"/>
      <c r="L32" s="129"/>
      <c r="M32" s="129"/>
      <c r="N32" s="131"/>
      <c r="O32" s="125"/>
      <c r="P32" s="133"/>
      <c r="Q32" s="131"/>
    </row>
    <row r="33" spans="1:17" ht="49.5" x14ac:dyDescent="0.5">
      <c r="A33" s="6" t="str" cm="1">
        <f t="array" ref="A33">_xlfn.XLOOKUP(B33,'Paso 3 Redacción RA '!$I$3:$I$15,'Paso 3 Redacción RA '!$C$3:$C$15,,0,1)</f>
        <v>Saber</v>
      </c>
      <c r="B33" s="5" t="s">
        <v>91</v>
      </c>
      <c r="C33" s="128">
        <v>2</v>
      </c>
      <c r="D33" s="123" t="s">
        <v>235</v>
      </c>
      <c r="E33" s="130" t="s">
        <v>236</v>
      </c>
      <c r="F33" s="128" t="s">
        <v>212</v>
      </c>
      <c r="G33" s="128" t="s">
        <v>204</v>
      </c>
      <c r="H33" s="128" t="s">
        <v>205</v>
      </c>
      <c r="I33" s="128"/>
      <c r="J33" s="123">
        <v>3</v>
      </c>
      <c r="K33" s="127">
        <f>12*J33</f>
        <v>36</v>
      </c>
      <c r="L33" s="127">
        <f>36*J33</f>
        <v>108</v>
      </c>
      <c r="M33" s="127">
        <f>SUM(K33:L38)</f>
        <v>144</v>
      </c>
      <c r="N33" s="130" t="s">
        <v>237</v>
      </c>
      <c r="O33" s="112" t="s">
        <v>207</v>
      </c>
      <c r="P33" s="132" t="s">
        <v>219</v>
      </c>
      <c r="Q33" s="130" t="s">
        <v>209</v>
      </c>
    </row>
    <row r="34" spans="1:17" ht="66" x14ac:dyDescent="0.5">
      <c r="A34" s="6" t="str" cm="1">
        <f t="array" ref="A34">_xlfn.XLOOKUP(B34,'Paso 3 Redacción RA '!$I$3:$I$15,'Paso 3 Redacción RA '!$C$3:$C$15,,0,1)</f>
        <v>Saberhacer</v>
      </c>
      <c r="B34" s="5" t="s">
        <v>96</v>
      </c>
      <c r="C34" s="128"/>
      <c r="D34" s="123"/>
      <c r="E34" s="130"/>
      <c r="F34" s="128"/>
      <c r="G34" s="128"/>
      <c r="H34" s="128"/>
      <c r="I34" s="128"/>
      <c r="J34" s="123"/>
      <c r="K34" s="128"/>
      <c r="L34" s="128"/>
      <c r="M34" s="128"/>
      <c r="N34" s="130"/>
      <c r="O34" s="112"/>
      <c r="P34" s="132"/>
      <c r="Q34" s="130"/>
    </row>
    <row r="35" spans="1:17" ht="82.5" x14ac:dyDescent="0.5">
      <c r="A35" s="6" t="str" cm="1">
        <f t="array" ref="A35">_xlfn.XLOOKUP(B35,'Paso 3 Redacción RA '!$I$3:$I$15,'Paso 3 Redacción RA '!$C$3:$C$15,,0,1)</f>
        <v>Saberser</v>
      </c>
      <c r="B35" s="5" t="s">
        <v>101</v>
      </c>
      <c r="C35" s="128"/>
      <c r="D35" s="123"/>
      <c r="E35" s="130"/>
      <c r="F35" s="128"/>
      <c r="G35" s="128"/>
      <c r="H35" s="128"/>
      <c r="I35" s="128"/>
      <c r="J35" s="123"/>
      <c r="K35" s="128"/>
      <c r="L35" s="128"/>
      <c r="M35" s="128"/>
      <c r="N35" s="130"/>
      <c r="O35" s="112"/>
      <c r="P35" s="132"/>
      <c r="Q35" s="130"/>
    </row>
    <row r="36" spans="1:17" ht="66" x14ac:dyDescent="0.5">
      <c r="A36" s="6" t="str" cm="1">
        <f t="array" ref="A36">_xlfn.XLOOKUP(B36,'Paso 3 Redacción RA '!$I$3:$I$15,'Paso 3 Redacción RA '!$C$3:$C$15,,0,1)</f>
        <v>Saber</v>
      </c>
      <c r="B36" s="5" t="s">
        <v>104</v>
      </c>
      <c r="C36" s="128"/>
      <c r="D36" s="123"/>
      <c r="E36" s="130"/>
      <c r="F36" s="128"/>
      <c r="G36" s="128"/>
      <c r="H36" s="128"/>
      <c r="I36" s="128"/>
      <c r="J36" s="123"/>
      <c r="K36" s="128"/>
      <c r="L36" s="128"/>
      <c r="M36" s="128"/>
      <c r="N36" s="130"/>
      <c r="O36" s="112"/>
      <c r="P36" s="132"/>
      <c r="Q36" s="130"/>
    </row>
    <row r="37" spans="1:17" ht="49.5" x14ac:dyDescent="0.5">
      <c r="A37" s="6" t="str" cm="1">
        <f t="array" ref="A37">_xlfn.XLOOKUP(B37,'Paso 3 Redacción RA '!$I$3:$I$15,'Paso 3 Redacción RA '!$C$3:$C$15,,0,1)</f>
        <v>Saber</v>
      </c>
      <c r="B37" s="5" t="s">
        <v>109</v>
      </c>
      <c r="C37" s="128"/>
      <c r="D37" s="123"/>
      <c r="E37" s="130"/>
      <c r="F37" s="128"/>
      <c r="G37" s="128"/>
      <c r="H37" s="128"/>
      <c r="I37" s="128"/>
      <c r="J37" s="123"/>
      <c r="K37" s="128"/>
      <c r="L37" s="128"/>
      <c r="M37" s="128"/>
      <c r="N37" s="130"/>
      <c r="O37" s="112"/>
      <c r="P37" s="132"/>
      <c r="Q37" s="130"/>
    </row>
    <row r="38" spans="1:17" ht="50" thickBot="1" x14ac:dyDescent="0.55000000000000004">
      <c r="A38" s="66" t="str" cm="1">
        <f t="array" ref="A38">_xlfn.XLOOKUP(B38,'Paso 3 Redacción RA '!$I$3:$I$15,'Paso 3 Redacción RA '!$C$3:$C$15,,0,1)</f>
        <v>Saberhacer</v>
      </c>
      <c r="B38" s="67" t="s">
        <v>105</v>
      </c>
      <c r="C38" s="129"/>
      <c r="D38" s="124"/>
      <c r="E38" s="131"/>
      <c r="F38" s="129"/>
      <c r="G38" s="129"/>
      <c r="H38" s="129"/>
      <c r="I38" s="129"/>
      <c r="J38" s="124"/>
      <c r="K38" s="129"/>
      <c r="L38" s="129"/>
      <c r="M38" s="129"/>
      <c r="N38" s="131"/>
      <c r="O38" s="125"/>
      <c r="P38" s="133"/>
      <c r="Q38" s="131"/>
    </row>
    <row r="39" spans="1:17" ht="49.5" x14ac:dyDescent="0.5">
      <c r="A39" s="6" t="str" cm="1">
        <f t="array" ref="A39">_xlfn.XLOOKUP(B39,'Paso 3 Redacción RA '!$I$3:$I$15,'Paso 3 Redacción RA '!$C$3:$C$15,,0,1)</f>
        <v>Saber</v>
      </c>
      <c r="B39" s="5" t="s">
        <v>91</v>
      </c>
      <c r="C39" s="128">
        <v>2</v>
      </c>
      <c r="D39" s="123" t="s">
        <v>238</v>
      </c>
      <c r="E39" s="112" t="s">
        <v>239</v>
      </c>
      <c r="F39" s="128" t="s">
        <v>212</v>
      </c>
      <c r="G39" s="128" t="s">
        <v>204</v>
      </c>
      <c r="H39" s="128" t="s">
        <v>205</v>
      </c>
      <c r="I39" s="128"/>
      <c r="J39" s="123">
        <v>3</v>
      </c>
      <c r="K39" s="127">
        <f>12*J39</f>
        <v>36</v>
      </c>
      <c r="L39" s="127">
        <f>36*J39</f>
        <v>108</v>
      </c>
      <c r="M39" s="127">
        <f>SUM(K39:L44)</f>
        <v>144</v>
      </c>
      <c r="N39" s="130" t="s">
        <v>240</v>
      </c>
      <c r="O39" s="112" t="s">
        <v>207</v>
      </c>
      <c r="P39" s="132" t="s">
        <v>219</v>
      </c>
      <c r="Q39" s="130" t="s">
        <v>209</v>
      </c>
    </row>
    <row r="40" spans="1:17" ht="66" x14ac:dyDescent="0.5">
      <c r="A40" s="6" t="str" cm="1">
        <f t="array" ref="A40">_xlfn.XLOOKUP(B40,'Paso 3 Redacción RA '!$I$3:$I$15,'Paso 3 Redacción RA '!$C$3:$C$15,,0,1)</f>
        <v>Saberhacer</v>
      </c>
      <c r="B40" s="5" t="s">
        <v>96</v>
      </c>
      <c r="C40" s="128"/>
      <c r="D40" s="123"/>
      <c r="E40" s="112"/>
      <c r="F40" s="128"/>
      <c r="G40" s="128"/>
      <c r="H40" s="128"/>
      <c r="I40" s="128"/>
      <c r="J40" s="123"/>
      <c r="K40" s="128"/>
      <c r="L40" s="128"/>
      <c r="M40" s="128"/>
      <c r="N40" s="130"/>
      <c r="O40" s="112"/>
      <c r="P40" s="132"/>
      <c r="Q40" s="130"/>
    </row>
    <row r="41" spans="1:17" ht="82.5" x14ac:dyDescent="0.5">
      <c r="A41" s="6" t="str" cm="1">
        <f t="array" ref="A41">_xlfn.XLOOKUP(B41,'Paso 3 Redacción RA '!$I$3:$I$15,'Paso 3 Redacción RA '!$C$3:$C$15,,0,1)</f>
        <v>Saberser</v>
      </c>
      <c r="B41" s="5" t="s">
        <v>101</v>
      </c>
      <c r="C41" s="128"/>
      <c r="D41" s="123"/>
      <c r="E41" s="112"/>
      <c r="F41" s="128"/>
      <c r="G41" s="128"/>
      <c r="H41" s="128"/>
      <c r="I41" s="128"/>
      <c r="J41" s="123"/>
      <c r="K41" s="128"/>
      <c r="L41" s="128"/>
      <c r="M41" s="128"/>
      <c r="N41" s="130"/>
      <c r="O41" s="112"/>
      <c r="P41" s="132"/>
      <c r="Q41" s="130"/>
    </row>
    <row r="42" spans="1:17" ht="66" x14ac:dyDescent="0.5">
      <c r="A42" s="6" t="str" cm="1">
        <f t="array" ref="A42">_xlfn.XLOOKUP(B42,'Paso 3 Redacción RA '!$I$3:$I$15,'Paso 3 Redacción RA '!$C$3:$C$15,,0,1)</f>
        <v>Saber</v>
      </c>
      <c r="B42" s="5" t="s">
        <v>104</v>
      </c>
      <c r="C42" s="128"/>
      <c r="D42" s="123"/>
      <c r="E42" s="112"/>
      <c r="F42" s="128"/>
      <c r="G42" s="128"/>
      <c r="H42" s="128"/>
      <c r="I42" s="128"/>
      <c r="J42" s="123"/>
      <c r="K42" s="128"/>
      <c r="L42" s="128"/>
      <c r="M42" s="128"/>
      <c r="N42" s="130"/>
      <c r="O42" s="112"/>
      <c r="P42" s="132"/>
      <c r="Q42" s="130"/>
    </row>
    <row r="43" spans="1:17" ht="49.5" x14ac:dyDescent="0.5">
      <c r="A43" s="6" t="str" cm="1">
        <f t="array" ref="A43">_xlfn.XLOOKUP(B43,'Paso 3 Redacción RA '!$I$3:$I$15,'Paso 3 Redacción RA '!$C$3:$C$15,,0,1)</f>
        <v>Saber</v>
      </c>
      <c r="B43" s="5" t="s">
        <v>109</v>
      </c>
      <c r="C43" s="128"/>
      <c r="D43" s="123"/>
      <c r="E43" s="112"/>
      <c r="F43" s="128"/>
      <c r="G43" s="128"/>
      <c r="H43" s="128"/>
      <c r="I43" s="128"/>
      <c r="J43" s="123"/>
      <c r="K43" s="128"/>
      <c r="L43" s="128"/>
      <c r="M43" s="128"/>
      <c r="N43" s="130"/>
      <c r="O43" s="112"/>
      <c r="P43" s="132"/>
      <c r="Q43" s="130"/>
    </row>
    <row r="44" spans="1:17" ht="50" thickBot="1" x14ac:dyDescent="0.55000000000000004">
      <c r="A44" s="66" t="str" cm="1">
        <f t="array" ref="A44">_xlfn.XLOOKUP(B44,'Paso 3 Redacción RA '!$I$3:$I$15,'Paso 3 Redacción RA '!$C$3:$C$15,,0,1)</f>
        <v>Saberhacer</v>
      </c>
      <c r="B44" s="67" t="s">
        <v>105</v>
      </c>
      <c r="C44" s="129"/>
      <c r="D44" s="124"/>
      <c r="E44" s="125"/>
      <c r="F44" s="129"/>
      <c r="G44" s="129"/>
      <c r="H44" s="129"/>
      <c r="I44" s="129"/>
      <c r="J44" s="124"/>
      <c r="K44" s="129"/>
      <c r="L44" s="129"/>
      <c r="M44" s="129"/>
      <c r="N44" s="131"/>
      <c r="O44" s="125"/>
      <c r="P44" s="133"/>
      <c r="Q44" s="131"/>
    </row>
    <row r="45" spans="1:17" ht="314" thickBot="1" x14ac:dyDescent="0.55000000000000004">
      <c r="A45" s="69" t="str" cm="1">
        <f t="array" ref="A45">_xlfn.XLOOKUP(B45,'Paso 3 Redacción RA '!$I$3:$I$15,'Paso 3 Redacción RA '!$C$3:$C$15,,0,1)</f>
        <v>Saber</v>
      </c>
      <c r="B45" s="70" t="s">
        <v>109</v>
      </c>
      <c r="C45" s="71">
        <v>2</v>
      </c>
      <c r="D45" s="72" t="s">
        <v>241</v>
      </c>
      <c r="E45" s="73" t="s">
        <v>242</v>
      </c>
      <c r="F45" s="71" t="s">
        <v>212</v>
      </c>
      <c r="G45" s="71" t="s">
        <v>205</v>
      </c>
      <c r="H45" s="71" t="s">
        <v>204</v>
      </c>
      <c r="I45" s="71" t="s">
        <v>204</v>
      </c>
      <c r="J45" s="72">
        <v>3</v>
      </c>
      <c r="K45" s="71">
        <f>12*J45</f>
        <v>36</v>
      </c>
      <c r="L45" s="71">
        <f>36*J45</f>
        <v>108</v>
      </c>
      <c r="M45" s="71">
        <f>SUM(K45:L45)</f>
        <v>144</v>
      </c>
      <c r="N45" s="73" t="s">
        <v>243</v>
      </c>
      <c r="O45" s="97" t="s">
        <v>214</v>
      </c>
      <c r="P45" s="97" t="s">
        <v>223</v>
      </c>
      <c r="Q45" s="73" t="s">
        <v>209</v>
      </c>
    </row>
    <row r="46" spans="1:17" ht="49.5" x14ac:dyDescent="0.5">
      <c r="A46" s="6" t="str" cm="1">
        <f t="array" ref="A46">_xlfn.XLOOKUP(B46,'Paso 3 Redacción RA '!$I$3:$I$15,'Paso 3 Redacción RA '!$C$3:$C$15,,0,1)</f>
        <v>Saber</v>
      </c>
      <c r="B46" s="5" t="s">
        <v>91</v>
      </c>
      <c r="C46" s="128">
        <v>2</v>
      </c>
      <c r="D46" s="123" t="s">
        <v>244</v>
      </c>
      <c r="E46" s="112" t="s">
        <v>245</v>
      </c>
      <c r="F46" s="136" t="s">
        <v>212</v>
      </c>
      <c r="G46" s="128" t="s">
        <v>204</v>
      </c>
      <c r="H46" s="128" t="s">
        <v>205</v>
      </c>
      <c r="I46" s="128"/>
      <c r="J46" s="123">
        <v>3</v>
      </c>
      <c r="K46" s="127">
        <f>12*J46</f>
        <v>36</v>
      </c>
      <c r="L46" s="127">
        <f>36*J46</f>
        <v>108</v>
      </c>
      <c r="M46" s="127">
        <f>SUM(K46:L51)</f>
        <v>144</v>
      </c>
      <c r="N46" s="130" t="s">
        <v>246</v>
      </c>
      <c r="O46" s="112" t="s">
        <v>207</v>
      </c>
      <c r="P46" s="132" t="s">
        <v>219</v>
      </c>
      <c r="Q46" s="130" t="s">
        <v>209</v>
      </c>
    </row>
    <row r="47" spans="1:17" ht="66" x14ac:dyDescent="0.5">
      <c r="A47" s="6" t="str" cm="1">
        <f t="array" ref="A47">_xlfn.XLOOKUP(B47,'Paso 3 Redacción RA '!$I$3:$I$15,'Paso 3 Redacción RA '!$C$3:$C$15,,0,1)</f>
        <v>Saberhacer</v>
      </c>
      <c r="B47" s="5" t="s">
        <v>96</v>
      </c>
      <c r="C47" s="128"/>
      <c r="D47" s="123"/>
      <c r="E47" s="112"/>
      <c r="F47" s="136"/>
      <c r="G47" s="128"/>
      <c r="H47" s="128"/>
      <c r="I47" s="128"/>
      <c r="J47" s="123"/>
      <c r="K47" s="128"/>
      <c r="L47" s="128"/>
      <c r="M47" s="128"/>
      <c r="N47" s="130"/>
      <c r="O47" s="112"/>
      <c r="P47" s="132"/>
      <c r="Q47" s="130"/>
    </row>
    <row r="48" spans="1:17" ht="82.5" x14ac:dyDescent="0.5">
      <c r="A48" s="6" t="str" cm="1">
        <f t="array" ref="A48">_xlfn.XLOOKUP(B48,'Paso 3 Redacción RA '!$I$3:$I$15,'Paso 3 Redacción RA '!$C$3:$C$15,,0,1)</f>
        <v>Saberser</v>
      </c>
      <c r="B48" s="5" t="s">
        <v>101</v>
      </c>
      <c r="C48" s="128"/>
      <c r="D48" s="123"/>
      <c r="E48" s="112"/>
      <c r="F48" s="136"/>
      <c r="G48" s="128"/>
      <c r="H48" s="128"/>
      <c r="I48" s="128"/>
      <c r="J48" s="123"/>
      <c r="K48" s="128"/>
      <c r="L48" s="128"/>
      <c r="M48" s="128"/>
      <c r="N48" s="130"/>
      <c r="O48" s="112"/>
      <c r="P48" s="132"/>
      <c r="Q48" s="130"/>
    </row>
    <row r="49" spans="1:17" ht="66" x14ac:dyDescent="0.5">
      <c r="A49" s="6" t="str" cm="1">
        <f t="array" ref="A49">_xlfn.XLOOKUP(B49,'Paso 3 Redacción RA '!$I$3:$I$15,'Paso 3 Redacción RA '!$C$3:$C$15,,0,1)</f>
        <v>Saber</v>
      </c>
      <c r="B49" s="5" t="s">
        <v>104</v>
      </c>
      <c r="C49" s="128"/>
      <c r="D49" s="123"/>
      <c r="E49" s="112"/>
      <c r="F49" s="136"/>
      <c r="G49" s="128"/>
      <c r="H49" s="128"/>
      <c r="I49" s="128"/>
      <c r="J49" s="123"/>
      <c r="K49" s="128"/>
      <c r="L49" s="128"/>
      <c r="M49" s="128"/>
      <c r="N49" s="130"/>
      <c r="O49" s="112"/>
      <c r="P49" s="132"/>
      <c r="Q49" s="130"/>
    </row>
    <row r="50" spans="1:17" ht="49.5" x14ac:dyDescent="0.5">
      <c r="A50" s="6" t="str" cm="1">
        <f t="array" ref="A50">_xlfn.XLOOKUP(B50,'Paso 3 Redacción RA '!$I$3:$I$15,'Paso 3 Redacción RA '!$C$3:$C$15,,0,1)</f>
        <v>Saber</v>
      </c>
      <c r="B50" s="5" t="s">
        <v>109</v>
      </c>
      <c r="C50" s="128"/>
      <c r="D50" s="123"/>
      <c r="E50" s="112"/>
      <c r="F50" s="136"/>
      <c r="G50" s="128"/>
      <c r="H50" s="128"/>
      <c r="I50" s="128"/>
      <c r="J50" s="123"/>
      <c r="K50" s="128"/>
      <c r="L50" s="128"/>
      <c r="M50" s="128"/>
      <c r="N50" s="130"/>
      <c r="O50" s="112"/>
      <c r="P50" s="132"/>
      <c r="Q50" s="130"/>
    </row>
    <row r="51" spans="1:17" ht="50" thickBot="1" x14ac:dyDescent="0.55000000000000004">
      <c r="A51" s="66" t="str" cm="1">
        <f t="array" ref="A51">_xlfn.XLOOKUP(B51,'Paso 3 Redacción RA '!$I$3:$I$15,'Paso 3 Redacción RA '!$C$3:$C$15,,0,1)</f>
        <v>Saberhacer</v>
      </c>
      <c r="B51" s="67" t="s">
        <v>105</v>
      </c>
      <c r="C51" s="129"/>
      <c r="D51" s="124"/>
      <c r="E51" s="125"/>
      <c r="F51" s="137"/>
      <c r="G51" s="129"/>
      <c r="H51" s="129"/>
      <c r="I51" s="129"/>
      <c r="J51" s="124"/>
      <c r="K51" s="129"/>
      <c r="L51" s="129"/>
      <c r="M51" s="129"/>
      <c r="N51" s="131"/>
      <c r="O51" s="125"/>
      <c r="P51" s="133"/>
      <c r="Q51" s="131"/>
    </row>
    <row r="52" spans="1:17" ht="49.5" x14ac:dyDescent="0.5">
      <c r="A52" s="6" t="str" cm="1">
        <f t="array" ref="A52">_xlfn.XLOOKUP(B52,'Paso 3 Redacción RA '!$I$3:$I$15,'Paso 3 Redacción RA '!$C$3:$C$15,,0,1)</f>
        <v>Saber</v>
      </c>
      <c r="B52" s="5" t="s">
        <v>91</v>
      </c>
      <c r="C52" s="128">
        <v>2</v>
      </c>
      <c r="D52" s="121" t="s">
        <v>247</v>
      </c>
      <c r="E52" s="112" t="s">
        <v>248</v>
      </c>
      <c r="F52" s="128" t="s">
        <v>212</v>
      </c>
      <c r="G52" s="128" t="s">
        <v>204</v>
      </c>
      <c r="H52" s="128" t="s">
        <v>205</v>
      </c>
      <c r="I52" s="128"/>
      <c r="J52" s="123">
        <v>3</v>
      </c>
      <c r="K52" s="127">
        <f>12*J52</f>
        <v>36</v>
      </c>
      <c r="L52" s="127">
        <f>36*J52</f>
        <v>108</v>
      </c>
      <c r="M52" s="127">
        <f>SUM(K52:L57)</f>
        <v>144</v>
      </c>
      <c r="N52" s="130" t="s">
        <v>249</v>
      </c>
      <c r="O52" s="141" t="s">
        <v>207</v>
      </c>
      <c r="P52" s="132" t="s">
        <v>231</v>
      </c>
      <c r="Q52" s="130" t="s">
        <v>209</v>
      </c>
    </row>
    <row r="53" spans="1:17" ht="66" x14ac:dyDescent="0.5">
      <c r="A53" s="6" t="str" cm="1">
        <f t="array" ref="A53">_xlfn.XLOOKUP(B53,'Paso 3 Redacción RA '!$I$3:$I$15,'Paso 3 Redacción RA '!$C$3:$C$15,,0,1)</f>
        <v>Saberhacer</v>
      </c>
      <c r="B53" s="5" t="s">
        <v>96</v>
      </c>
      <c r="C53" s="128"/>
      <c r="D53" s="121"/>
      <c r="E53" s="112"/>
      <c r="F53" s="128"/>
      <c r="G53" s="128"/>
      <c r="H53" s="128"/>
      <c r="I53" s="128"/>
      <c r="J53" s="123"/>
      <c r="K53" s="128"/>
      <c r="L53" s="128"/>
      <c r="M53" s="128"/>
      <c r="N53" s="130"/>
      <c r="O53" s="112"/>
      <c r="P53" s="132"/>
      <c r="Q53" s="130"/>
    </row>
    <row r="54" spans="1:17" ht="82.5" x14ac:dyDescent="0.5">
      <c r="A54" s="6" t="str" cm="1">
        <f t="array" ref="A54">_xlfn.XLOOKUP(B54,'Paso 3 Redacción RA '!$I$3:$I$15,'Paso 3 Redacción RA '!$C$3:$C$15,,0,1)</f>
        <v>Saberser</v>
      </c>
      <c r="B54" s="5" t="s">
        <v>101</v>
      </c>
      <c r="C54" s="128"/>
      <c r="D54" s="121"/>
      <c r="E54" s="112"/>
      <c r="F54" s="128"/>
      <c r="G54" s="128"/>
      <c r="H54" s="128"/>
      <c r="I54" s="128"/>
      <c r="J54" s="123"/>
      <c r="K54" s="128"/>
      <c r="L54" s="128"/>
      <c r="M54" s="128"/>
      <c r="N54" s="130"/>
      <c r="O54" s="112"/>
      <c r="P54" s="132"/>
      <c r="Q54" s="130"/>
    </row>
    <row r="55" spans="1:17" ht="66" x14ac:dyDescent="0.5">
      <c r="A55" s="6" t="str" cm="1">
        <f t="array" ref="A55">_xlfn.XLOOKUP(B55,'Paso 3 Redacción RA '!$I$3:$I$15,'Paso 3 Redacción RA '!$C$3:$C$15,,0,1)</f>
        <v>Saber</v>
      </c>
      <c r="B55" s="5" t="s">
        <v>104</v>
      </c>
      <c r="C55" s="128"/>
      <c r="D55" s="121"/>
      <c r="E55" s="112"/>
      <c r="F55" s="128"/>
      <c r="G55" s="128"/>
      <c r="H55" s="128"/>
      <c r="I55" s="128"/>
      <c r="J55" s="123"/>
      <c r="K55" s="128"/>
      <c r="L55" s="128"/>
      <c r="M55" s="128"/>
      <c r="N55" s="130"/>
      <c r="O55" s="112"/>
      <c r="P55" s="132"/>
      <c r="Q55" s="130"/>
    </row>
    <row r="56" spans="1:17" ht="49.5" x14ac:dyDescent="0.5">
      <c r="A56" s="6" t="str" cm="1">
        <f t="array" ref="A56">_xlfn.XLOOKUP(B56,'Paso 3 Redacción RA '!$I$3:$I$15,'Paso 3 Redacción RA '!$C$3:$C$15,,0,1)</f>
        <v>Saber</v>
      </c>
      <c r="B56" s="5" t="s">
        <v>109</v>
      </c>
      <c r="C56" s="128"/>
      <c r="D56" s="121"/>
      <c r="E56" s="112"/>
      <c r="F56" s="128"/>
      <c r="G56" s="128"/>
      <c r="H56" s="128"/>
      <c r="I56" s="128"/>
      <c r="J56" s="123"/>
      <c r="K56" s="128"/>
      <c r="L56" s="128"/>
      <c r="M56" s="128"/>
      <c r="N56" s="130"/>
      <c r="O56" s="112"/>
      <c r="P56" s="132"/>
      <c r="Q56" s="130"/>
    </row>
    <row r="57" spans="1:17" ht="50" thickBot="1" x14ac:dyDescent="0.55000000000000004">
      <c r="A57" s="66" t="str" cm="1">
        <f t="array" ref="A57">_xlfn.XLOOKUP(B57,'Paso 3 Redacción RA '!$I$3:$I$15,'Paso 3 Redacción RA '!$C$3:$C$15,,0,1)</f>
        <v>Saberhacer</v>
      </c>
      <c r="B57" s="67" t="s">
        <v>105</v>
      </c>
      <c r="C57" s="129"/>
      <c r="D57" s="122"/>
      <c r="E57" s="125"/>
      <c r="F57" s="129"/>
      <c r="G57" s="129"/>
      <c r="H57" s="129"/>
      <c r="I57" s="129"/>
      <c r="J57" s="124"/>
      <c r="K57" s="129"/>
      <c r="L57" s="129"/>
      <c r="M57" s="129"/>
      <c r="N57" s="131"/>
      <c r="O57" s="125"/>
      <c r="P57" s="133"/>
      <c r="Q57" s="131"/>
    </row>
    <row r="58" spans="1:17" ht="314" thickBot="1" x14ac:dyDescent="0.55000000000000004">
      <c r="A58" s="69" t="str" cm="1">
        <f t="array" ref="A58">_xlfn.XLOOKUP(B58,'Paso 3 Redacción RA '!$I$3:$I$15,'Paso 3 Redacción RA '!$C$3:$C$15,,0,1)</f>
        <v>Saber</v>
      </c>
      <c r="B58" s="70" t="s">
        <v>109</v>
      </c>
      <c r="C58" s="71">
        <v>3</v>
      </c>
      <c r="D58" s="72" t="s">
        <v>250</v>
      </c>
      <c r="E58" s="73" t="s">
        <v>251</v>
      </c>
      <c r="F58" s="71" t="s">
        <v>212</v>
      </c>
      <c r="G58" s="71" t="s">
        <v>205</v>
      </c>
      <c r="H58" s="71" t="s">
        <v>204</v>
      </c>
      <c r="I58" s="71"/>
      <c r="J58" s="72">
        <v>3</v>
      </c>
      <c r="K58" s="71">
        <f>12*J58</f>
        <v>36</v>
      </c>
      <c r="L58" s="71">
        <f>36*J58</f>
        <v>108</v>
      </c>
      <c r="M58" s="71">
        <f>SUM(K58:L58)</f>
        <v>144</v>
      </c>
      <c r="N58" s="98" t="s">
        <v>252</v>
      </c>
      <c r="O58" s="99" t="s">
        <v>214</v>
      </c>
      <c r="P58" s="97" t="s">
        <v>223</v>
      </c>
      <c r="Q58" s="73" t="s">
        <v>209</v>
      </c>
    </row>
    <row r="59" spans="1:17" ht="49.5" x14ac:dyDescent="0.5">
      <c r="A59" s="6" t="str" cm="1">
        <f t="array" ref="A59">_xlfn.XLOOKUP(B59,'Paso 3 Redacción RA '!$I$3:$I$15,'Paso 3 Redacción RA '!$C$3:$C$15,,0,1)</f>
        <v>Saber</v>
      </c>
      <c r="B59" s="5" t="s">
        <v>91</v>
      </c>
      <c r="C59" s="128">
        <v>3</v>
      </c>
      <c r="D59" s="123" t="s">
        <v>253</v>
      </c>
      <c r="E59" s="130" t="s">
        <v>254</v>
      </c>
      <c r="F59" s="136" t="s">
        <v>203</v>
      </c>
      <c r="G59" s="128" t="s">
        <v>204</v>
      </c>
      <c r="H59" s="128" t="s">
        <v>205</v>
      </c>
      <c r="I59" s="128"/>
      <c r="J59" s="123">
        <v>3</v>
      </c>
      <c r="K59" s="127">
        <f>12*J59</f>
        <v>36</v>
      </c>
      <c r="L59" s="127">
        <f>36*J59</f>
        <v>108</v>
      </c>
      <c r="M59" s="127">
        <f>SUM(K59:L64)</f>
        <v>144</v>
      </c>
      <c r="N59" s="130" t="s">
        <v>255</v>
      </c>
      <c r="O59" s="112" t="s">
        <v>207</v>
      </c>
      <c r="P59" s="132" t="s">
        <v>256</v>
      </c>
      <c r="Q59" s="130" t="s">
        <v>209</v>
      </c>
    </row>
    <row r="60" spans="1:17" ht="66" x14ac:dyDescent="0.5">
      <c r="A60" s="6" t="str" cm="1">
        <f t="array" ref="A60">_xlfn.XLOOKUP(B60,'Paso 3 Redacción RA '!$I$3:$I$15,'Paso 3 Redacción RA '!$C$3:$C$15,,0,1)</f>
        <v>Saberhacer</v>
      </c>
      <c r="B60" s="5" t="s">
        <v>96</v>
      </c>
      <c r="C60" s="128"/>
      <c r="D60" s="123"/>
      <c r="E60" s="130"/>
      <c r="F60" s="138"/>
      <c r="G60" s="128"/>
      <c r="H60" s="128"/>
      <c r="I60" s="128"/>
      <c r="J60" s="123"/>
      <c r="K60" s="128"/>
      <c r="L60" s="128"/>
      <c r="M60" s="128"/>
      <c r="N60" s="130"/>
      <c r="O60" s="112"/>
      <c r="P60" s="132"/>
      <c r="Q60" s="130"/>
    </row>
    <row r="61" spans="1:17" ht="82.5" x14ac:dyDescent="0.5">
      <c r="A61" s="6" t="str" cm="1">
        <f t="array" ref="A61">_xlfn.XLOOKUP(B61,'Paso 3 Redacción RA '!$I$3:$I$15,'Paso 3 Redacción RA '!$C$3:$C$15,,0,1)</f>
        <v>Saberser</v>
      </c>
      <c r="B61" s="5" t="s">
        <v>101</v>
      </c>
      <c r="C61" s="128"/>
      <c r="D61" s="123"/>
      <c r="E61" s="130"/>
      <c r="F61" s="138"/>
      <c r="G61" s="128"/>
      <c r="H61" s="128"/>
      <c r="I61" s="128"/>
      <c r="J61" s="123"/>
      <c r="K61" s="128"/>
      <c r="L61" s="128"/>
      <c r="M61" s="128"/>
      <c r="N61" s="130"/>
      <c r="O61" s="112"/>
      <c r="P61" s="132"/>
      <c r="Q61" s="130"/>
    </row>
    <row r="62" spans="1:17" ht="66" x14ac:dyDescent="0.5">
      <c r="A62" s="6" t="str" cm="1">
        <f t="array" ref="A62">_xlfn.XLOOKUP(B62,'Paso 3 Redacción RA '!$I$3:$I$15,'Paso 3 Redacción RA '!$C$3:$C$15,,0,1)</f>
        <v>Saber</v>
      </c>
      <c r="B62" s="5" t="s">
        <v>104</v>
      </c>
      <c r="C62" s="128"/>
      <c r="D62" s="123"/>
      <c r="E62" s="130"/>
      <c r="F62" s="138"/>
      <c r="G62" s="128"/>
      <c r="H62" s="128"/>
      <c r="I62" s="128"/>
      <c r="J62" s="123"/>
      <c r="K62" s="128"/>
      <c r="L62" s="128"/>
      <c r="M62" s="128"/>
      <c r="N62" s="130"/>
      <c r="O62" s="112"/>
      <c r="P62" s="132"/>
      <c r="Q62" s="130"/>
    </row>
    <row r="63" spans="1:17" ht="49.5" x14ac:dyDescent="0.5">
      <c r="A63" s="6" t="str" cm="1">
        <f t="array" ref="A63">_xlfn.XLOOKUP(B63,'Paso 3 Redacción RA '!$I$3:$I$15,'Paso 3 Redacción RA '!$C$3:$C$15,,0,1)</f>
        <v>Saber</v>
      </c>
      <c r="B63" s="5" t="s">
        <v>109</v>
      </c>
      <c r="C63" s="128"/>
      <c r="D63" s="123"/>
      <c r="E63" s="130"/>
      <c r="F63" s="138"/>
      <c r="G63" s="128"/>
      <c r="H63" s="128"/>
      <c r="I63" s="128"/>
      <c r="J63" s="123"/>
      <c r="K63" s="128"/>
      <c r="L63" s="128"/>
      <c r="M63" s="128"/>
      <c r="N63" s="130"/>
      <c r="O63" s="112"/>
      <c r="P63" s="132"/>
      <c r="Q63" s="130"/>
    </row>
    <row r="64" spans="1:17" ht="50" thickBot="1" x14ac:dyDescent="0.55000000000000004">
      <c r="A64" s="66" t="str" cm="1">
        <f t="array" ref="A64">_xlfn.XLOOKUP(B64,'Paso 3 Redacción RA '!$I$3:$I$15,'Paso 3 Redacción RA '!$C$3:$C$15,,0,1)</f>
        <v>Saberhacer</v>
      </c>
      <c r="B64" s="67" t="s">
        <v>105</v>
      </c>
      <c r="C64" s="129"/>
      <c r="D64" s="124"/>
      <c r="E64" s="131"/>
      <c r="F64" s="139"/>
      <c r="G64" s="129"/>
      <c r="H64" s="129"/>
      <c r="I64" s="129"/>
      <c r="J64" s="124"/>
      <c r="K64" s="129"/>
      <c r="L64" s="129"/>
      <c r="M64" s="129"/>
      <c r="N64" s="131"/>
      <c r="O64" s="140"/>
      <c r="P64" s="133"/>
      <c r="Q64" s="131"/>
    </row>
    <row r="65" spans="1:17" ht="49.5" x14ac:dyDescent="0.5">
      <c r="A65" s="6" t="str" cm="1">
        <f t="array" ref="A65">_xlfn.XLOOKUP(B65,'Paso 3 Redacción RA '!$I$3:$I$15,'Paso 3 Redacción RA '!$C$3:$C$15,,0,1)</f>
        <v>Saber</v>
      </c>
      <c r="B65" s="5" t="s">
        <v>91</v>
      </c>
      <c r="C65" s="128">
        <v>3</v>
      </c>
      <c r="D65" s="123" t="s">
        <v>257</v>
      </c>
      <c r="E65" s="130" t="s">
        <v>258</v>
      </c>
      <c r="F65" s="128" t="s">
        <v>212</v>
      </c>
      <c r="G65" s="128" t="s">
        <v>204</v>
      </c>
      <c r="H65" s="128" t="s">
        <v>205</v>
      </c>
      <c r="I65" s="128"/>
      <c r="J65" s="123">
        <v>3</v>
      </c>
      <c r="K65" s="127">
        <f>12*J65</f>
        <v>36</v>
      </c>
      <c r="L65" s="127">
        <f>36*J65</f>
        <v>108</v>
      </c>
      <c r="M65" s="127">
        <f>SUM(K65:L70)</f>
        <v>144</v>
      </c>
      <c r="N65" s="130" t="s">
        <v>259</v>
      </c>
      <c r="O65" s="112" t="s">
        <v>207</v>
      </c>
      <c r="P65" s="132" t="s">
        <v>231</v>
      </c>
      <c r="Q65" s="130" t="s">
        <v>209</v>
      </c>
    </row>
    <row r="66" spans="1:17" ht="66" x14ac:dyDescent="0.5">
      <c r="A66" s="6" t="str" cm="1">
        <f t="array" ref="A66">_xlfn.XLOOKUP(B66,'Paso 3 Redacción RA '!$I$3:$I$15,'Paso 3 Redacción RA '!$C$3:$C$15,,0,1)</f>
        <v>Saberhacer</v>
      </c>
      <c r="B66" s="5" t="s">
        <v>96</v>
      </c>
      <c r="C66" s="128"/>
      <c r="D66" s="123"/>
      <c r="E66" s="130"/>
      <c r="F66" s="128"/>
      <c r="G66" s="128"/>
      <c r="H66" s="128"/>
      <c r="I66" s="128"/>
      <c r="J66" s="123"/>
      <c r="K66" s="128"/>
      <c r="L66" s="128"/>
      <c r="M66" s="128"/>
      <c r="N66" s="130"/>
      <c r="O66" s="112"/>
      <c r="P66" s="132"/>
      <c r="Q66" s="130"/>
    </row>
    <row r="67" spans="1:17" ht="82.5" x14ac:dyDescent="0.5">
      <c r="A67" s="6" t="str" cm="1">
        <f t="array" ref="A67">_xlfn.XLOOKUP(B67,'Paso 3 Redacción RA '!$I$3:$I$15,'Paso 3 Redacción RA '!$C$3:$C$15,,0,1)</f>
        <v>Saberser</v>
      </c>
      <c r="B67" s="5" t="s">
        <v>101</v>
      </c>
      <c r="C67" s="128"/>
      <c r="D67" s="123"/>
      <c r="E67" s="130"/>
      <c r="F67" s="128"/>
      <c r="G67" s="128"/>
      <c r="H67" s="128"/>
      <c r="I67" s="128"/>
      <c r="J67" s="123"/>
      <c r="K67" s="128"/>
      <c r="L67" s="128"/>
      <c r="M67" s="128"/>
      <c r="N67" s="130"/>
      <c r="O67" s="112"/>
      <c r="P67" s="132"/>
      <c r="Q67" s="130"/>
    </row>
    <row r="68" spans="1:17" ht="66" x14ac:dyDescent="0.5">
      <c r="A68" s="6" t="str" cm="1">
        <f t="array" ref="A68">_xlfn.XLOOKUP(B68,'Paso 3 Redacción RA '!$I$3:$I$15,'Paso 3 Redacción RA '!$C$3:$C$15,,0,1)</f>
        <v>Saber</v>
      </c>
      <c r="B68" s="5" t="s">
        <v>104</v>
      </c>
      <c r="C68" s="128"/>
      <c r="D68" s="123"/>
      <c r="E68" s="130"/>
      <c r="F68" s="128"/>
      <c r="G68" s="128"/>
      <c r="H68" s="128"/>
      <c r="I68" s="128"/>
      <c r="J68" s="123"/>
      <c r="K68" s="128"/>
      <c r="L68" s="128"/>
      <c r="M68" s="128"/>
      <c r="N68" s="130"/>
      <c r="O68" s="112"/>
      <c r="P68" s="132"/>
      <c r="Q68" s="130"/>
    </row>
    <row r="69" spans="1:17" ht="49.5" x14ac:dyDescent="0.5">
      <c r="A69" s="6" t="str" cm="1">
        <f t="array" ref="A69">_xlfn.XLOOKUP(B69,'Paso 3 Redacción RA '!$I$3:$I$15,'Paso 3 Redacción RA '!$C$3:$C$15,,0,1)</f>
        <v>Saber</v>
      </c>
      <c r="B69" s="5" t="s">
        <v>109</v>
      </c>
      <c r="C69" s="128"/>
      <c r="D69" s="123"/>
      <c r="E69" s="130"/>
      <c r="F69" s="128"/>
      <c r="G69" s="128"/>
      <c r="H69" s="128"/>
      <c r="I69" s="128"/>
      <c r="J69" s="123"/>
      <c r="K69" s="128"/>
      <c r="L69" s="128"/>
      <c r="M69" s="128"/>
      <c r="N69" s="130"/>
      <c r="O69" s="112"/>
      <c r="P69" s="132"/>
      <c r="Q69" s="130"/>
    </row>
    <row r="70" spans="1:17" ht="50" thickBot="1" x14ac:dyDescent="0.55000000000000004">
      <c r="A70" s="66" t="str" cm="1">
        <f t="array" ref="A70">_xlfn.XLOOKUP(B70,'Paso 3 Redacción RA '!$I$3:$I$15,'Paso 3 Redacción RA '!$C$3:$C$15,,0,1)</f>
        <v>Saberhacer</v>
      </c>
      <c r="B70" s="67" t="s">
        <v>105</v>
      </c>
      <c r="C70" s="129"/>
      <c r="D70" s="124"/>
      <c r="E70" s="131"/>
      <c r="F70" s="129"/>
      <c r="G70" s="129"/>
      <c r="H70" s="129"/>
      <c r="I70" s="129"/>
      <c r="J70" s="124"/>
      <c r="K70" s="129"/>
      <c r="L70" s="129"/>
      <c r="M70" s="129"/>
      <c r="N70" s="131"/>
      <c r="O70" s="140"/>
      <c r="P70" s="133"/>
      <c r="Q70" s="131"/>
    </row>
    <row r="71" spans="1:17" ht="248" thickBot="1" x14ac:dyDescent="0.55000000000000004">
      <c r="A71" s="69" t="str" cm="1">
        <f t="array" ref="A71">_xlfn.XLOOKUP(B71,'Paso 3 Redacción RA '!$I$3:$I$15,'Paso 3 Redacción RA '!$C$3:$C$15,,0,1)</f>
        <v>Saber</v>
      </c>
      <c r="B71" s="70" t="s">
        <v>109</v>
      </c>
      <c r="C71" s="71">
        <v>3</v>
      </c>
      <c r="D71" s="72" t="s">
        <v>260</v>
      </c>
      <c r="E71" s="73" t="s">
        <v>261</v>
      </c>
      <c r="F71" s="71" t="s">
        <v>212</v>
      </c>
      <c r="G71" s="71" t="s">
        <v>205</v>
      </c>
      <c r="H71" s="71" t="s">
        <v>204</v>
      </c>
      <c r="I71" s="71"/>
      <c r="J71" s="72">
        <v>3</v>
      </c>
      <c r="K71" s="71">
        <f>12*J71</f>
        <v>36</v>
      </c>
      <c r="L71" s="71">
        <f>36*J71</f>
        <v>108</v>
      </c>
      <c r="M71" s="71">
        <f>SUM(K71:L71)</f>
        <v>144</v>
      </c>
      <c r="N71" s="73" t="s">
        <v>262</v>
      </c>
      <c r="O71" s="97" t="s">
        <v>263</v>
      </c>
      <c r="P71" s="97" t="s">
        <v>264</v>
      </c>
      <c r="Q71" s="73" t="s">
        <v>209</v>
      </c>
    </row>
    <row r="72" spans="1:17" ht="49.5" x14ac:dyDescent="0.5">
      <c r="A72" s="6" t="str" cm="1">
        <f t="array" ref="A72">_xlfn.XLOOKUP(B72,'Paso 3 Redacción RA '!$I$3:$I$15,'Paso 3 Redacción RA '!$C$3:$C$15,,0,1)</f>
        <v>Saber</v>
      </c>
      <c r="B72" s="5" t="s">
        <v>91</v>
      </c>
      <c r="C72" s="128">
        <v>3</v>
      </c>
      <c r="D72" s="123" t="s">
        <v>265</v>
      </c>
      <c r="E72" s="130" t="s">
        <v>266</v>
      </c>
      <c r="F72" s="128" t="s">
        <v>212</v>
      </c>
      <c r="G72" s="128" t="s">
        <v>204</v>
      </c>
      <c r="H72" s="128" t="s">
        <v>205</v>
      </c>
      <c r="I72" s="128"/>
      <c r="J72" s="123">
        <v>3</v>
      </c>
      <c r="K72" s="127">
        <f>12*J72</f>
        <v>36</v>
      </c>
      <c r="L72" s="127">
        <f>36*J72</f>
        <v>108</v>
      </c>
      <c r="M72" s="127">
        <f>SUM(K72:L77)</f>
        <v>144</v>
      </c>
      <c r="N72" s="130" t="s">
        <v>267</v>
      </c>
      <c r="O72" s="112" t="s">
        <v>207</v>
      </c>
      <c r="P72" s="132" t="s">
        <v>219</v>
      </c>
      <c r="Q72" s="130" t="s">
        <v>209</v>
      </c>
    </row>
    <row r="73" spans="1:17" ht="66" x14ac:dyDescent="0.5">
      <c r="A73" s="6" t="str" cm="1">
        <f t="array" ref="A73">_xlfn.XLOOKUP(B73,'Paso 3 Redacción RA '!$I$3:$I$15,'Paso 3 Redacción RA '!$C$3:$C$15,,0,1)</f>
        <v>Saberhacer</v>
      </c>
      <c r="B73" s="5" t="s">
        <v>96</v>
      </c>
      <c r="C73" s="128"/>
      <c r="D73" s="123"/>
      <c r="E73" s="130"/>
      <c r="F73" s="128"/>
      <c r="G73" s="128"/>
      <c r="H73" s="128"/>
      <c r="I73" s="128"/>
      <c r="J73" s="123"/>
      <c r="K73" s="128"/>
      <c r="L73" s="128"/>
      <c r="M73" s="128"/>
      <c r="N73" s="130"/>
      <c r="O73" s="112"/>
      <c r="P73" s="132"/>
      <c r="Q73" s="130"/>
    </row>
    <row r="74" spans="1:17" ht="82.5" x14ac:dyDescent="0.5">
      <c r="A74" s="6" t="str" cm="1">
        <f t="array" ref="A74">_xlfn.XLOOKUP(B74,'Paso 3 Redacción RA '!$I$3:$I$15,'Paso 3 Redacción RA '!$C$3:$C$15,,0,1)</f>
        <v>Saberser</v>
      </c>
      <c r="B74" s="5" t="s">
        <v>101</v>
      </c>
      <c r="C74" s="128"/>
      <c r="D74" s="123"/>
      <c r="E74" s="130"/>
      <c r="F74" s="128"/>
      <c r="G74" s="128"/>
      <c r="H74" s="128"/>
      <c r="I74" s="128"/>
      <c r="J74" s="123"/>
      <c r="K74" s="128"/>
      <c r="L74" s="128"/>
      <c r="M74" s="128"/>
      <c r="N74" s="130"/>
      <c r="O74" s="112"/>
      <c r="P74" s="132"/>
      <c r="Q74" s="130"/>
    </row>
    <row r="75" spans="1:17" ht="66" x14ac:dyDescent="0.5">
      <c r="A75" s="6" t="str" cm="1">
        <f t="array" ref="A75">_xlfn.XLOOKUP(B75,'Paso 3 Redacción RA '!$I$3:$I$15,'Paso 3 Redacción RA '!$C$3:$C$15,,0,1)</f>
        <v>Saber</v>
      </c>
      <c r="B75" s="5" t="s">
        <v>104</v>
      </c>
      <c r="C75" s="128"/>
      <c r="D75" s="123"/>
      <c r="E75" s="130"/>
      <c r="F75" s="128"/>
      <c r="G75" s="128"/>
      <c r="H75" s="128"/>
      <c r="I75" s="128"/>
      <c r="J75" s="123"/>
      <c r="K75" s="128"/>
      <c r="L75" s="128"/>
      <c r="M75" s="128"/>
      <c r="N75" s="130"/>
      <c r="O75" s="112"/>
      <c r="P75" s="132"/>
      <c r="Q75" s="130"/>
    </row>
    <row r="76" spans="1:17" ht="49.5" x14ac:dyDescent="0.5">
      <c r="A76" s="6" t="str" cm="1">
        <f t="array" ref="A76">_xlfn.XLOOKUP(B76,'Paso 3 Redacción RA '!$I$3:$I$15,'Paso 3 Redacción RA '!$C$3:$C$15,,0,1)</f>
        <v>Saber</v>
      </c>
      <c r="B76" s="5" t="s">
        <v>109</v>
      </c>
      <c r="C76" s="128"/>
      <c r="D76" s="123"/>
      <c r="E76" s="130"/>
      <c r="F76" s="128"/>
      <c r="G76" s="128"/>
      <c r="H76" s="128"/>
      <c r="I76" s="128"/>
      <c r="J76" s="123"/>
      <c r="K76" s="128"/>
      <c r="L76" s="128"/>
      <c r="M76" s="128"/>
      <c r="N76" s="130"/>
      <c r="O76" s="112"/>
      <c r="P76" s="132"/>
      <c r="Q76" s="130"/>
    </row>
    <row r="77" spans="1:17" ht="50" thickBot="1" x14ac:dyDescent="0.55000000000000004">
      <c r="A77" s="66" t="str" cm="1">
        <f t="array" ref="A77">_xlfn.XLOOKUP(B77,'Paso 3 Redacción RA '!$I$3:$I$15,'Paso 3 Redacción RA '!$C$3:$C$15,,0,1)</f>
        <v>Saberhacer</v>
      </c>
      <c r="B77" s="67" t="s">
        <v>105</v>
      </c>
      <c r="C77" s="129"/>
      <c r="D77" s="124"/>
      <c r="E77" s="131"/>
      <c r="F77" s="129"/>
      <c r="G77" s="129"/>
      <c r="H77" s="129"/>
      <c r="I77" s="129"/>
      <c r="J77" s="124"/>
      <c r="K77" s="129"/>
      <c r="L77" s="129"/>
      <c r="M77" s="129"/>
      <c r="N77" s="131"/>
      <c r="O77" s="125"/>
      <c r="P77" s="133"/>
      <c r="Q77" s="131"/>
    </row>
    <row r="78" spans="1:17" ht="49.5" x14ac:dyDescent="0.5">
      <c r="A78" s="6" t="str" cm="1">
        <f t="array" ref="A78">_xlfn.XLOOKUP(B78,'Paso 3 Redacción RA '!$I$3:$I$15,'Paso 3 Redacción RA '!$C$3:$C$15,,0,1)</f>
        <v>Saber</v>
      </c>
      <c r="B78" s="5" t="s">
        <v>91</v>
      </c>
      <c r="C78" s="128">
        <v>3</v>
      </c>
      <c r="D78" s="123" t="s">
        <v>268</v>
      </c>
      <c r="E78" s="112" t="s">
        <v>269</v>
      </c>
      <c r="F78" s="128" t="s">
        <v>212</v>
      </c>
      <c r="G78" s="128" t="s">
        <v>204</v>
      </c>
      <c r="H78" s="128" t="s">
        <v>205</v>
      </c>
      <c r="I78" s="128"/>
      <c r="J78" s="123">
        <v>3</v>
      </c>
      <c r="K78" s="128">
        <f>12*J78</f>
        <v>36</v>
      </c>
      <c r="L78" s="128">
        <f>36*J78</f>
        <v>108</v>
      </c>
      <c r="M78" s="128">
        <f>SUM(K78:L82)</f>
        <v>144</v>
      </c>
      <c r="N78" s="130" t="s">
        <v>270</v>
      </c>
      <c r="O78" s="112" t="s">
        <v>207</v>
      </c>
      <c r="P78" s="132" t="s">
        <v>219</v>
      </c>
      <c r="Q78" s="130" t="s">
        <v>209</v>
      </c>
    </row>
    <row r="79" spans="1:17" ht="66" x14ac:dyDescent="0.5">
      <c r="A79" s="6" t="str" cm="1">
        <f t="array" ref="A79">_xlfn.XLOOKUP(B79,'Paso 3 Redacción RA '!$I$3:$I$15,'Paso 3 Redacción RA '!$C$3:$C$15,,0,1)</f>
        <v>Saberhacer</v>
      </c>
      <c r="B79" s="5" t="s">
        <v>96</v>
      </c>
      <c r="C79" s="128"/>
      <c r="D79" s="123"/>
      <c r="E79" s="112"/>
      <c r="F79" s="128"/>
      <c r="G79" s="128"/>
      <c r="H79" s="128"/>
      <c r="I79" s="128"/>
      <c r="J79" s="123"/>
      <c r="K79" s="128"/>
      <c r="L79" s="128"/>
      <c r="M79" s="128"/>
      <c r="N79" s="130"/>
      <c r="O79" s="112"/>
      <c r="P79" s="132"/>
      <c r="Q79" s="130"/>
    </row>
    <row r="80" spans="1:17" ht="82.5" x14ac:dyDescent="0.5">
      <c r="A80" s="6" t="str" cm="1">
        <f t="array" ref="A80">_xlfn.XLOOKUP(B80,'Paso 3 Redacción RA '!$I$3:$I$15,'Paso 3 Redacción RA '!$C$3:$C$15,,0,1)</f>
        <v>Saberser</v>
      </c>
      <c r="B80" s="5" t="s">
        <v>101</v>
      </c>
      <c r="C80" s="128"/>
      <c r="D80" s="123"/>
      <c r="E80" s="112"/>
      <c r="F80" s="128"/>
      <c r="G80" s="128"/>
      <c r="H80" s="128"/>
      <c r="I80" s="128"/>
      <c r="J80" s="123"/>
      <c r="K80" s="128"/>
      <c r="L80" s="128"/>
      <c r="M80" s="128"/>
      <c r="N80" s="130"/>
      <c r="O80" s="112"/>
      <c r="P80" s="132"/>
      <c r="Q80" s="130"/>
    </row>
    <row r="81" spans="1:17" ht="66" x14ac:dyDescent="0.5">
      <c r="A81" s="6" t="str" cm="1">
        <f t="array" ref="A81">_xlfn.XLOOKUP(B81,'Paso 3 Redacción RA '!$I$3:$I$15,'Paso 3 Redacción RA '!$C$3:$C$15,,0,1)</f>
        <v>Saber</v>
      </c>
      <c r="B81" s="5" t="s">
        <v>104</v>
      </c>
      <c r="C81" s="128"/>
      <c r="D81" s="123"/>
      <c r="E81" s="112"/>
      <c r="F81" s="128"/>
      <c r="G81" s="128"/>
      <c r="H81" s="128"/>
      <c r="I81" s="128"/>
      <c r="J81" s="123"/>
      <c r="K81" s="128"/>
      <c r="L81" s="128"/>
      <c r="M81" s="128"/>
      <c r="N81" s="130"/>
      <c r="O81" s="112"/>
      <c r="P81" s="132"/>
      <c r="Q81" s="130"/>
    </row>
    <row r="82" spans="1:17" ht="50" thickBot="1" x14ac:dyDescent="0.55000000000000004">
      <c r="A82" s="66" t="str" cm="1">
        <f t="array" ref="A82">_xlfn.XLOOKUP(B82,'Paso 3 Redacción RA '!$I$3:$I$15,'Paso 3 Redacción RA '!$C$3:$C$15,,0,1)</f>
        <v>Saberhacer</v>
      </c>
      <c r="B82" s="67" t="s">
        <v>105</v>
      </c>
      <c r="C82" s="129"/>
      <c r="D82" s="124"/>
      <c r="E82" s="125"/>
      <c r="F82" s="129"/>
      <c r="G82" s="129"/>
      <c r="H82" s="129"/>
      <c r="I82" s="129"/>
      <c r="J82" s="124"/>
      <c r="K82" s="129"/>
      <c r="L82" s="129"/>
      <c r="M82" s="129"/>
      <c r="N82" s="131"/>
      <c r="O82" s="125"/>
      <c r="P82" s="133"/>
      <c r="Q82" s="131"/>
    </row>
    <row r="83" spans="1:17" ht="49.5" x14ac:dyDescent="0.5">
      <c r="A83" s="6" t="str" cm="1">
        <f t="array" ref="A83">_xlfn.XLOOKUP(B83,'Paso 3 Redacción RA '!$I$3:$I$15,'Paso 3 Redacción RA '!$C$3:$C$15,,0,1)</f>
        <v>Saber</v>
      </c>
      <c r="B83" s="5" t="s">
        <v>91</v>
      </c>
      <c r="C83" s="136">
        <v>4</v>
      </c>
      <c r="D83" s="123" t="s">
        <v>271</v>
      </c>
      <c r="E83" s="130" t="s">
        <v>272</v>
      </c>
      <c r="F83" s="128" t="s">
        <v>212</v>
      </c>
      <c r="G83" s="128" t="s">
        <v>204</v>
      </c>
      <c r="H83" s="128" t="s">
        <v>205</v>
      </c>
      <c r="I83" s="128"/>
      <c r="J83" s="123">
        <v>3</v>
      </c>
      <c r="K83" s="127">
        <f>12*J83</f>
        <v>36</v>
      </c>
      <c r="L83" s="127">
        <f>36*J83</f>
        <v>108</v>
      </c>
      <c r="M83" s="127">
        <f>SUM(K83:L88)</f>
        <v>144</v>
      </c>
      <c r="N83" s="130" t="s">
        <v>273</v>
      </c>
      <c r="O83" s="112" t="s">
        <v>207</v>
      </c>
      <c r="P83" s="132" t="s">
        <v>219</v>
      </c>
      <c r="Q83" s="130" t="s">
        <v>209</v>
      </c>
    </row>
    <row r="84" spans="1:17" ht="66" x14ac:dyDescent="0.5">
      <c r="A84" s="6" t="str" cm="1">
        <f t="array" ref="A84">_xlfn.XLOOKUP(B84,'Paso 3 Redacción RA '!$I$3:$I$15,'Paso 3 Redacción RA '!$C$3:$C$15,,0,1)</f>
        <v>Saberhacer</v>
      </c>
      <c r="B84" s="5" t="s">
        <v>96</v>
      </c>
      <c r="C84" s="136"/>
      <c r="D84" s="123"/>
      <c r="E84" s="130"/>
      <c r="F84" s="128"/>
      <c r="G84" s="128"/>
      <c r="H84" s="128"/>
      <c r="I84" s="128"/>
      <c r="J84" s="123"/>
      <c r="K84" s="128"/>
      <c r="L84" s="128"/>
      <c r="M84" s="128"/>
      <c r="N84" s="130"/>
      <c r="O84" s="112"/>
      <c r="P84" s="132"/>
      <c r="Q84" s="130"/>
    </row>
    <row r="85" spans="1:17" ht="82.5" x14ac:dyDescent="0.5">
      <c r="A85" s="6" t="str" cm="1">
        <f t="array" ref="A85">_xlfn.XLOOKUP(B85,'Paso 3 Redacción RA '!$I$3:$I$15,'Paso 3 Redacción RA '!$C$3:$C$15,,0,1)</f>
        <v>Saberser</v>
      </c>
      <c r="B85" s="5" t="s">
        <v>101</v>
      </c>
      <c r="C85" s="136"/>
      <c r="D85" s="123"/>
      <c r="E85" s="130"/>
      <c r="F85" s="128"/>
      <c r="G85" s="128"/>
      <c r="H85" s="128"/>
      <c r="I85" s="128"/>
      <c r="J85" s="123"/>
      <c r="K85" s="128"/>
      <c r="L85" s="128"/>
      <c r="M85" s="128"/>
      <c r="N85" s="130"/>
      <c r="O85" s="112"/>
      <c r="P85" s="132"/>
      <c r="Q85" s="130"/>
    </row>
    <row r="86" spans="1:17" ht="66" x14ac:dyDescent="0.5">
      <c r="A86" s="6" t="str" cm="1">
        <f t="array" ref="A86">_xlfn.XLOOKUP(B86,'Paso 3 Redacción RA '!$I$3:$I$15,'Paso 3 Redacción RA '!$C$3:$C$15,,0,1)</f>
        <v>Saber</v>
      </c>
      <c r="B86" s="5" t="s">
        <v>104</v>
      </c>
      <c r="C86" s="136"/>
      <c r="D86" s="123"/>
      <c r="E86" s="130"/>
      <c r="F86" s="128"/>
      <c r="G86" s="128"/>
      <c r="H86" s="128"/>
      <c r="I86" s="128"/>
      <c r="J86" s="123"/>
      <c r="K86" s="128"/>
      <c r="L86" s="128"/>
      <c r="M86" s="128"/>
      <c r="N86" s="130"/>
      <c r="O86" s="112"/>
      <c r="P86" s="132"/>
      <c r="Q86" s="130"/>
    </row>
    <row r="87" spans="1:17" ht="49.5" x14ac:dyDescent="0.5">
      <c r="A87" s="6" t="str" cm="1">
        <f t="array" ref="A87">_xlfn.XLOOKUP(B87,'Paso 3 Redacción RA '!$I$3:$I$15,'Paso 3 Redacción RA '!$C$3:$C$15,,0,1)</f>
        <v>Saber</v>
      </c>
      <c r="B87" s="5" t="s">
        <v>109</v>
      </c>
      <c r="C87" s="136"/>
      <c r="D87" s="123"/>
      <c r="E87" s="130"/>
      <c r="F87" s="128"/>
      <c r="G87" s="128"/>
      <c r="H87" s="128"/>
      <c r="I87" s="128"/>
      <c r="J87" s="123"/>
      <c r="K87" s="128"/>
      <c r="L87" s="128"/>
      <c r="M87" s="128"/>
      <c r="N87" s="130"/>
      <c r="O87" s="112"/>
      <c r="P87" s="132"/>
      <c r="Q87" s="130"/>
    </row>
    <row r="88" spans="1:17" ht="50" thickBot="1" x14ac:dyDescent="0.55000000000000004">
      <c r="A88" s="66" t="str" cm="1">
        <f t="array" ref="A88">_xlfn.XLOOKUP(B88,'Paso 3 Redacción RA '!$I$3:$I$15,'Paso 3 Redacción RA '!$C$3:$C$15,,0,1)</f>
        <v>Saberhacer</v>
      </c>
      <c r="B88" s="67" t="s">
        <v>105</v>
      </c>
      <c r="C88" s="137"/>
      <c r="D88" s="124"/>
      <c r="E88" s="131"/>
      <c r="F88" s="129"/>
      <c r="G88" s="129"/>
      <c r="H88" s="129"/>
      <c r="I88" s="129"/>
      <c r="J88" s="124"/>
      <c r="K88" s="129"/>
      <c r="L88" s="129"/>
      <c r="M88" s="129"/>
      <c r="N88" s="131"/>
      <c r="O88" s="125"/>
      <c r="P88" s="133"/>
      <c r="Q88" s="131"/>
    </row>
    <row r="89" spans="1:17" ht="49.5" x14ac:dyDescent="0.5">
      <c r="A89" s="6" t="str" cm="1">
        <f t="array" ref="A89">_xlfn.XLOOKUP(B89,'Paso 3 Redacción RA '!$I$3:$I$15,'Paso 3 Redacción RA '!$C$3:$C$15,,0,1)</f>
        <v>Saber</v>
      </c>
      <c r="B89" s="5" t="s">
        <v>91</v>
      </c>
      <c r="C89" s="128">
        <v>4</v>
      </c>
      <c r="D89" s="123" t="s">
        <v>274</v>
      </c>
      <c r="E89" s="130" t="s">
        <v>275</v>
      </c>
      <c r="F89" s="128" t="s">
        <v>212</v>
      </c>
      <c r="G89" s="128" t="s">
        <v>204</v>
      </c>
      <c r="H89" s="128" t="s">
        <v>205</v>
      </c>
      <c r="I89" s="128"/>
      <c r="J89" s="123">
        <v>3</v>
      </c>
      <c r="K89" s="127">
        <f>12*J89</f>
        <v>36</v>
      </c>
      <c r="L89" s="127">
        <f>36*J89</f>
        <v>108</v>
      </c>
      <c r="M89" s="127">
        <f>SUM(K89:L94)</f>
        <v>144</v>
      </c>
      <c r="N89" s="130" t="s">
        <v>276</v>
      </c>
      <c r="O89" s="112" t="s">
        <v>207</v>
      </c>
      <c r="P89" s="132" t="s">
        <v>219</v>
      </c>
      <c r="Q89" s="130" t="s">
        <v>209</v>
      </c>
    </row>
    <row r="90" spans="1:17" ht="66" x14ac:dyDescent="0.5">
      <c r="A90" s="6" t="str" cm="1">
        <f t="array" ref="A90">_xlfn.XLOOKUP(B90,'Paso 3 Redacción RA '!$I$3:$I$15,'Paso 3 Redacción RA '!$C$3:$C$15,,0,1)</f>
        <v>Saberhacer</v>
      </c>
      <c r="B90" s="5" t="s">
        <v>96</v>
      </c>
      <c r="C90" s="128"/>
      <c r="D90" s="123"/>
      <c r="E90" s="130"/>
      <c r="F90" s="128"/>
      <c r="G90" s="128"/>
      <c r="H90" s="128"/>
      <c r="I90" s="128"/>
      <c r="J90" s="123"/>
      <c r="K90" s="128"/>
      <c r="L90" s="128"/>
      <c r="M90" s="128"/>
      <c r="N90" s="130"/>
      <c r="O90" s="112"/>
      <c r="P90" s="132"/>
      <c r="Q90" s="130"/>
    </row>
    <row r="91" spans="1:17" ht="82.5" x14ac:dyDescent="0.5">
      <c r="A91" s="6" t="str" cm="1">
        <f t="array" ref="A91">_xlfn.XLOOKUP(B91,'Paso 3 Redacción RA '!$I$3:$I$15,'Paso 3 Redacción RA '!$C$3:$C$15,,0,1)</f>
        <v>Saberser</v>
      </c>
      <c r="B91" s="5" t="s">
        <v>101</v>
      </c>
      <c r="C91" s="128"/>
      <c r="D91" s="123"/>
      <c r="E91" s="130"/>
      <c r="F91" s="128"/>
      <c r="G91" s="128"/>
      <c r="H91" s="128"/>
      <c r="I91" s="128"/>
      <c r="J91" s="123"/>
      <c r="K91" s="128"/>
      <c r="L91" s="128"/>
      <c r="M91" s="128"/>
      <c r="N91" s="130"/>
      <c r="O91" s="112"/>
      <c r="P91" s="132"/>
      <c r="Q91" s="130"/>
    </row>
    <row r="92" spans="1:17" ht="66" x14ac:dyDescent="0.5">
      <c r="A92" s="6" t="str" cm="1">
        <f t="array" ref="A92">_xlfn.XLOOKUP(B92,'Paso 3 Redacción RA '!$I$3:$I$15,'Paso 3 Redacción RA '!$C$3:$C$15,,0,1)</f>
        <v>Saber</v>
      </c>
      <c r="B92" s="5" t="s">
        <v>104</v>
      </c>
      <c r="C92" s="128"/>
      <c r="D92" s="123"/>
      <c r="E92" s="130"/>
      <c r="F92" s="128"/>
      <c r="G92" s="128"/>
      <c r="H92" s="128"/>
      <c r="I92" s="128"/>
      <c r="J92" s="123"/>
      <c r="K92" s="128"/>
      <c r="L92" s="128"/>
      <c r="M92" s="128"/>
      <c r="N92" s="130"/>
      <c r="O92" s="112"/>
      <c r="P92" s="132"/>
      <c r="Q92" s="130"/>
    </row>
    <row r="93" spans="1:17" ht="49.5" x14ac:dyDescent="0.5">
      <c r="A93" s="6" t="str" cm="1">
        <f t="array" ref="A93">_xlfn.XLOOKUP(B93,'Paso 3 Redacción RA '!$I$3:$I$15,'Paso 3 Redacción RA '!$C$3:$C$15,,0,1)</f>
        <v>Saber</v>
      </c>
      <c r="B93" s="5" t="s">
        <v>109</v>
      </c>
      <c r="C93" s="128"/>
      <c r="D93" s="123"/>
      <c r="E93" s="130"/>
      <c r="F93" s="128"/>
      <c r="G93" s="128"/>
      <c r="H93" s="128"/>
      <c r="I93" s="128"/>
      <c r="J93" s="123"/>
      <c r="K93" s="128"/>
      <c r="L93" s="128"/>
      <c r="M93" s="128"/>
      <c r="N93" s="130"/>
      <c r="O93" s="112"/>
      <c r="P93" s="132"/>
      <c r="Q93" s="130"/>
    </row>
    <row r="94" spans="1:17" ht="50" thickBot="1" x14ac:dyDescent="0.55000000000000004">
      <c r="A94" s="66" t="str" cm="1">
        <f t="array" ref="A94">_xlfn.XLOOKUP(B94,'Paso 3 Redacción RA '!$I$3:$I$15,'Paso 3 Redacción RA '!$C$3:$C$15,,0,1)</f>
        <v>Saberhacer</v>
      </c>
      <c r="B94" s="67" t="s">
        <v>105</v>
      </c>
      <c r="C94" s="129"/>
      <c r="D94" s="124"/>
      <c r="E94" s="131"/>
      <c r="F94" s="129"/>
      <c r="G94" s="129"/>
      <c r="H94" s="129"/>
      <c r="I94" s="129"/>
      <c r="J94" s="124"/>
      <c r="K94" s="129"/>
      <c r="L94" s="129"/>
      <c r="M94" s="129"/>
      <c r="N94" s="131"/>
      <c r="O94" s="125"/>
      <c r="P94" s="133"/>
      <c r="Q94" s="131"/>
    </row>
    <row r="95" spans="1:17" ht="49.5" x14ac:dyDescent="0.5">
      <c r="A95" s="6" t="str" cm="1">
        <f t="array" ref="A95">_xlfn.XLOOKUP(B95,'Paso 3 Redacción RA '!$I$3:$I$15,'Paso 3 Redacción RA '!$C$3:$C$15,,0,1)</f>
        <v>Saber</v>
      </c>
      <c r="B95" s="5" t="s">
        <v>91</v>
      </c>
      <c r="C95" s="128">
        <v>4</v>
      </c>
      <c r="D95" s="123" t="s">
        <v>277</v>
      </c>
      <c r="E95" s="112" t="s">
        <v>278</v>
      </c>
      <c r="F95" s="128" t="s">
        <v>212</v>
      </c>
      <c r="G95" s="128" t="s">
        <v>204</v>
      </c>
      <c r="H95" s="128" t="s">
        <v>205</v>
      </c>
      <c r="I95" s="128"/>
      <c r="J95" s="123">
        <v>3</v>
      </c>
      <c r="K95" s="127">
        <f>12*J95</f>
        <v>36</v>
      </c>
      <c r="L95" s="127">
        <f>36*J95</f>
        <v>108</v>
      </c>
      <c r="M95" s="127">
        <f>SUM(K95:L100)</f>
        <v>144</v>
      </c>
      <c r="N95" s="130" t="s">
        <v>279</v>
      </c>
      <c r="O95" s="112" t="s">
        <v>207</v>
      </c>
      <c r="P95" s="132" t="s">
        <v>219</v>
      </c>
      <c r="Q95" s="130" t="s">
        <v>209</v>
      </c>
    </row>
    <row r="96" spans="1:17" ht="66" x14ac:dyDescent="0.5">
      <c r="A96" s="6" t="str" cm="1">
        <f t="array" ref="A96">_xlfn.XLOOKUP(B96,'Paso 3 Redacción RA '!$I$3:$I$15,'Paso 3 Redacción RA '!$C$3:$C$15,,0,1)</f>
        <v>Saberhacer</v>
      </c>
      <c r="B96" s="5" t="s">
        <v>96</v>
      </c>
      <c r="C96" s="128"/>
      <c r="D96" s="123"/>
      <c r="E96" s="112"/>
      <c r="F96" s="128"/>
      <c r="G96" s="128"/>
      <c r="H96" s="128"/>
      <c r="I96" s="128"/>
      <c r="J96" s="123"/>
      <c r="K96" s="128"/>
      <c r="L96" s="128"/>
      <c r="M96" s="128"/>
      <c r="N96" s="130"/>
      <c r="O96" s="112"/>
      <c r="P96" s="132"/>
      <c r="Q96" s="130"/>
    </row>
    <row r="97" spans="1:17" ht="82.5" x14ac:dyDescent="0.5">
      <c r="A97" s="6" t="str" cm="1">
        <f t="array" ref="A97">_xlfn.XLOOKUP(B97,'Paso 3 Redacción RA '!$I$3:$I$15,'Paso 3 Redacción RA '!$C$3:$C$15,,0,1)</f>
        <v>Saberser</v>
      </c>
      <c r="B97" s="5" t="s">
        <v>101</v>
      </c>
      <c r="C97" s="128"/>
      <c r="D97" s="123"/>
      <c r="E97" s="112"/>
      <c r="F97" s="128"/>
      <c r="G97" s="128"/>
      <c r="H97" s="128"/>
      <c r="I97" s="128"/>
      <c r="J97" s="123"/>
      <c r="K97" s="128"/>
      <c r="L97" s="128"/>
      <c r="M97" s="128"/>
      <c r="N97" s="130"/>
      <c r="O97" s="112"/>
      <c r="P97" s="132"/>
      <c r="Q97" s="130"/>
    </row>
    <row r="98" spans="1:17" ht="66" x14ac:dyDescent="0.5">
      <c r="A98" s="6" t="str" cm="1">
        <f t="array" ref="A98">_xlfn.XLOOKUP(B98,'Paso 3 Redacción RA '!$I$3:$I$15,'Paso 3 Redacción RA '!$C$3:$C$15,,0,1)</f>
        <v>Saber</v>
      </c>
      <c r="B98" s="5" t="s">
        <v>104</v>
      </c>
      <c r="C98" s="128"/>
      <c r="D98" s="123"/>
      <c r="E98" s="112"/>
      <c r="F98" s="128"/>
      <c r="G98" s="128"/>
      <c r="H98" s="128"/>
      <c r="I98" s="128"/>
      <c r="J98" s="123"/>
      <c r="K98" s="128"/>
      <c r="L98" s="128"/>
      <c r="M98" s="128"/>
      <c r="N98" s="130"/>
      <c r="O98" s="112"/>
      <c r="P98" s="132"/>
      <c r="Q98" s="130"/>
    </row>
    <row r="99" spans="1:17" ht="49.5" x14ac:dyDescent="0.5">
      <c r="A99" s="6" t="str" cm="1">
        <f t="array" ref="A99">_xlfn.XLOOKUP(B99,'Paso 3 Redacción RA '!$I$3:$I$15,'Paso 3 Redacción RA '!$C$3:$C$15,,0,1)</f>
        <v>Saber</v>
      </c>
      <c r="B99" s="5" t="s">
        <v>109</v>
      </c>
      <c r="C99" s="128"/>
      <c r="D99" s="123"/>
      <c r="E99" s="112"/>
      <c r="F99" s="128"/>
      <c r="G99" s="128"/>
      <c r="H99" s="128"/>
      <c r="I99" s="128"/>
      <c r="J99" s="123"/>
      <c r="K99" s="128"/>
      <c r="L99" s="128"/>
      <c r="M99" s="128"/>
      <c r="N99" s="130"/>
      <c r="O99" s="112"/>
      <c r="P99" s="132"/>
      <c r="Q99" s="130"/>
    </row>
    <row r="100" spans="1:17" ht="50" thickBot="1" x14ac:dyDescent="0.55000000000000004">
      <c r="A100" s="66" t="str" cm="1">
        <f t="array" ref="A100">_xlfn.XLOOKUP(B100,'Paso 3 Redacción RA '!$I$3:$I$15,'Paso 3 Redacción RA '!$C$3:$C$15,,0,1)</f>
        <v>Saberhacer</v>
      </c>
      <c r="B100" s="67" t="s">
        <v>105</v>
      </c>
      <c r="C100" s="129"/>
      <c r="D100" s="124"/>
      <c r="E100" s="125"/>
      <c r="F100" s="129"/>
      <c r="G100" s="129"/>
      <c r="H100" s="129"/>
      <c r="I100" s="129"/>
      <c r="J100" s="124"/>
      <c r="K100" s="129"/>
      <c r="L100" s="129"/>
      <c r="M100" s="129"/>
      <c r="N100" s="131"/>
      <c r="O100" s="125"/>
      <c r="P100" s="133"/>
      <c r="Q100" s="131"/>
    </row>
    <row r="101" spans="1:17" ht="49.5" x14ac:dyDescent="0.5">
      <c r="A101" s="6" t="str" cm="1">
        <f t="array" ref="A101">_xlfn.XLOOKUP(B101,'Paso 3 Redacción RA '!$I$3:$I$15,'Paso 3 Redacción RA '!$C$3:$C$15,,0,1)</f>
        <v>Saber</v>
      </c>
      <c r="B101" s="5" t="s">
        <v>91</v>
      </c>
      <c r="C101" s="128">
        <v>4</v>
      </c>
      <c r="D101" s="123" t="s">
        <v>280</v>
      </c>
      <c r="E101" s="112" t="s">
        <v>281</v>
      </c>
      <c r="F101" s="128" t="s">
        <v>203</v>
      </c>
      <c r="G101" s="128" t="s">
        <v>204</v>
      </c>
      <c r="H101" s="128" t="s">
        <v>205</v>
      </c>
      <c r="I101" s="128"/>
      <c r="J101" s="128">
        <v>3</v>
      </c>
      <c r="K101" s="127">
        <f>12*J101</f>
        <v>36</v>
      </c>
      <c r="L101" s="127">
        <f>36*J101</f>
        <v>108</v>
      </c>
      <c r="M101" s="127">
        <f>SUM(K101:L106)</f>
        <v>144</v>
      </c>
      <c r="N101" s="130" t="s">
        <v>282</v>
      </c>
      <c r="O101" s="112" t="s">
        <v>207</v>
      </c>
      <c r="P101" s="132" t="s">
        <v>208</v>
      </c>
      <c r="Q101" s="130" t="s">
        <v>209</v>
      </c>
    </row>
    <row r="102" spans="1:17" ht="66" x14ac:dyDescent="0.5">
      <c r="A102" s="6" t="str" cm="1">
        <f t="array" ref="A102">_xlfn.XLOOKUP(B102,'Paso 3 Redacción RA '!$I$3:$I$15,'Paso 3 Redacción RA '!$C$3:$C$15,,0,1)</f>
        <v>Saberhacer</v>
      </c>
      <c r="B102" s="5" t="s">
        <v>96</v>
      </c>
      <c r="C102" s="128"/>
      <c r="D102" s="123"/>
      <c r="E102" s="112"/>
      <c r="F102" s="128"/>
      <c r="G102" s="128"/>
      <c r="H102" s="128"/>
      <c r="I102" s="128"/>
      <c r="J102" s="128"/>
      <c r="K102" s="128"/>
      <c r="L102" s="128"/>
      <c r="M102" s="128"/>
      <c r="N102" s="130"/>
      <c r="O102" s="112"/>
      <c r="P102" s="132"/>
      <c r="Q102" s="130"/>
    </row>
    <row r="103" spans="1:17" ht="82.5" x14ac:dyDescent="0.5">
      <c r="A103" s="6" t="str" cm="1">
        <f t="array" ref="A103">_xlfn.XLOOKUP(B103,'Paso 3 Redacción RA '!$I$3:$I$15,'Paso 3 Redacción RA '!$C$3:$C$15,,0,1)</f>
        <v>Saberser</v>
      </c>
      <c r="B103" s="5" t="s">
        <v>101</v>
      </c>
      <c r="C103" s="128"/>
      <c r="D103" s="123"/>
      <c r="E103" s="112"/>
      <c r="F103" s="128"/>
      <c r="G103" s="128"/>
      <c r="H103" s="128"/>
      <c r="I103" s="128"/>
      <c r="J103" s="128"/>
      <c r="K103" s="128"/>
      <c r="L103" s="128"/>
      <c r="M103" s="128"/>
      <c r="N103" s="130"/>
      <c r="O103" s="112"/>
      <c r="P103" s="132"/>
      <c r="Q103" s="130"/>
    </row>
    <row r="104" spans="1:17" ht="66" x14ac:dyDescent="0.5">
      <c r="A104" s="6" t="str" cm="1">
        <f t="array" ref="A104">_xlfn.XLOOKUP(B104,'Paso 3 Redacción RA '!$I$3:$I$15,'Paso 3 Redacción RA '!$C$3:$C$15,,0,1)</f>
        <v>Saber</v>
      </c>
      <c r="B104" s="5" t="s">
        <v>104</v>
      </c>
      <c r="C104" s="128"/>
      <c r="D104" s="123"/>
      <c r="E104" s="112"/>
      <c r="F104" s="128"/>
      <c r="G104" s="128"/>
      <c r="H104" s="128"/>
      <c r="I104" s="128"/>
      <c r="J104" s="128"/>
      <c r="K104" s="128"/>
      <c r="L104" s="128"/>
      <c r="M104" s="128"/>
      <c r="N104" s="130"/>
      <c r="O104" s="112"/>
      <c r="P104" s="132"/>
      <c r="Q104" s="130"/>
    </row>
    <row r="105" spans="1:17" ht="49.5" x14ac:dyDescent="0.5">
      <c r="A105" s="6" t="str" cm="1">
        <f t="array" ref="A105">_xlfn.XLOOKUP(B105,'Paso 3 Redacción RA '!$I$3:$I$15,'Paso 3 Redacción RA '!$C$3:$C$15,,0,1)</f>
        <v>Saber</v>
      </c>
      <c r="B105" s="5" t="s">
        <v>109</v>
      </c>
      <c r="C105" s="128"/>
      <c r="D105" s="123"/>
      <c r="E105" s="112"/>
      <c r="F105" s="128"/>
      <c r="G105" s="128"/>
      <c r="H105" s="128"/>
      <c r="I105" s="128"/>
      <c r="J105" s="128"/>
      <c r="K105" s="128"/>
      <c r="L105" s="128"/>
      <c r="M105" s="128"/>
      <c r="N105" s="130"/>
      <c r="O105" s="112"/>
      <c r="P105" s="132"/>
      <c r="Q105" s="130"/>
    </row>
    <row r="106" spans="1:17" ht="50" thickBot="1" x14ac:dyDescent="0.55000000000000004">
      <c r="A106" s="66" t="str" cm="1">
        <f t="array" ref="A106">_xlfn.XLOOKUP(B106,'Paso 3 Redacción RA '!$I$3:$I$15,'Paso 3 Redacción RA '!$C$3:$C$15,,0,1)</f>
        <v>Saberhacer</v>
      </c>
      <c r="B106" s="67" t="s">
        <v>105</v>
      </c>
      <c r="C106" s="129"/>
      <c r="D106" s="124"/>
      <c r="E106" s="125"/>
      <c r="F106" s="129"/>
      <c r="G106" s="129"/>
      <c r="H106" s="129"/>
      <c r="I106" s="129"/>
      <c r="J106" s="129"/>
      <c r="K106" s="129"/>
      <c r="L106" s="129"/>
      <c r="M106" s="129"/>
      <c r="N106" s="131"/>
      <c r="O106" s="125"/>
      <c r="P106" s="133"/>
      <c r="Q106" s="131"/>
    </row>
    <row r="107" spans="1:17" ht="49.5" customHeight="1" x14ac:dyDescent="0.5">
      <c r="A107" s="6" t="str" cm="1">
        <f t="array" ref="A107">_xlfn.XLOOKUP(B107,'Paso 3 Redacción RA '!$I$3:$I$15,'Paso 3 Redacción RA '!$C$3:$C$15,,0,1)</f>
        <v>Saber</v>
      </c>
      <c r="B107" s="5" t="s">
        <v>91</v>
      </c>
      <c r="C107" s="128">
        <v>4</v>
      </c>
      <c r="D107" s="123" t="s">
        <v>283</v>
      </c>
      <c r="E107" s="112" t="s">
        <v>284</v>
      </c>
      <c r="F107" s="128" t="s">
        <v>212</v>
      </c>
      <c r="G107" s="128" t="s">
        <v>204</v>
      </c>
      <c r="H107" s="128" t="s">
        <v>205</v>
      </c>
      <c r="I107" s="128"/>
      <c r="J107" s="128">
        <v>5</v>
      </c>
      <c r="K107" s="127">
        <f>12*J107</f>
        <v>60</v>
      </c>
      <c r="L107" s="127">
        <f>36*J107</f>
        <v>180</v>
      </c>
      <c r="M107" s="127">
        <f>SUM(K107:L112)</f>
        <v>240</v>
      </c>
      <c r="N107" s="130" t="s">
        <v>285</v>
      </c>
      <c r="O107" s="132" t="s">
        <v>207</v>
      </c>
      <c r="P107" s="132" t="s">
        <v>231</v>
      </c>
      <c r="Q107" s="130" t="s">
        <v>209</v>
      </c>
    </row>
    <row r="108" spans="1:17" ht="66" x14ac:dyDescent="0.5">
      <c r="A108" s="6" t="str" cm="1">
        <f t="array" ref="A108">_xlfn.XLOOKUP(B108,'Paso 3 Redacción RA '!$I$3:$I$15,'Paso 3 Redacción RA '!$C$3:$C$15,,0,1)</f>
        <v>Saberhacer</v>
      </c>
      <c r="B108" s="5" t="s">
        <v>96</v>
      </c>
      <c r="C108" s="128"/>
      <c r="D108" s="134"/>
      <c r="E108" s="112"/>
      <c r="F108" s="128"/>
      <c r="G108" s="128"/>
      <c r="H108" s="128"/>
      <c r="I108" s="128"/>
      <c r="J108" s="128"/>
      <c r="K108" s="128"/>
      <c r="L108" s="128"/>
      <c r="M108" s="128"/>
      <c r="N108" s="130"/>
      <c r="O108" s="132"/>
      <c r="P108" s="132"/>
      <c r="Q108" s="130"/>
    </row>
    <row r="109" spans="1:17" ht="82.5" x14ac:dyDescent="0.5">
      <c r="A109" s="6" t="str" cm="1">
        <f t="array" ref="A109">_xlfn.XLOOKUP(B109,'Paso 3 Redacción RA '!$I$3:$I$15,'Paso 3 Redacción RA '!$C$3:$C$15,,0,1)</f>
        <v>Saberser</v>
      </c>
      <c r="B109" s="5" t="s">
        <v>101</v>
      </c>
      <c r="C109" s="128"/>
      <c r="D109" s="134"/>
      <c r="E109" s="112"/>
      <c r="F109" s="128"/>
      <c r="G109" s="128"/>
      <c r="H109" s="128"/>
      <c r="I109" s="128"/>
      <c r="J109" s="128"/>
      <c r="K109" s="128"/>
      <c r="L109" s="128"/>
      <c r="M109" s="128"/>
      <c r="N109" s="130"/>
      <c r="O109" s="132"/>
      <c r="P109" s="132"/>
      <c r="Q109" s="130"/>
    </row>
    <row r="110" spans="1:17" ht="66" x14ac:dyDescent="0.5">
      <c r="A110" s="6" t="str" cm="1">
        <f t="array" ref="A110">_xlfn.XLOOKUP(B110,'Paso 3 Redacción RA '!$I$3:$I$15,'Paso 3 Redacción RA '!$C$3:$C$15,,0,1)</f>
        <v>Saber</v>
      </c>
      <c r="B110" s="5" t="s">
        <v>104</v>
      </c>
      <c r="C110" s="128"/>
      <c r="D110" s="134"/>
      <c r="E110" s="112"/>
      <c r="F110" s="128"/>
      <c r="G110" s="128"/>
      <c r="H110" s="128"/>
      <c r="I110" s="128"/>
      <c r="J110" s="128"/>
      <c r="K110" s="128"/>
      <c r="L110" s="128"/>
      <c r="M110" s="128"/>
      <c r="N110" s="130"/>
      <c r="O110" s="132"/>
      <c r="P110" s="132"/>
      <c r="Q110" s="130"/>
    </row>
    <row r="111" spans="1:17" ht="49.5" x14ac:dyDescent="0.5">
      <c r="A111" s="6" t="str" cm="1">
        <f t="array" ref="A111">_xlfn.XLOOKUP(B111,'Paso 3 Redacción RA '!$I$3:$I$15,'Paso 3 Redacción RA '!$C$3:$C$15,,0,1)</f>
        <v>Saber</v>
      </c>
      <c r="B111" s="5" t="s">
        <v>109</v>
      </c>
      <c r="C111" s="128"/>
      <c r="D111" s="134"/>
      <c r="E111" s="112"/>
      <c r="F111" s="128"/>
      <c r="G111" s="128"/>
      <c r="H111" s="128"/>
      <c r="I111" s="128"/>
      <c r="J111" s="128"/>
      <c r="K111" s="128"/>
      <c r="L111" s="128"/>
      <c r="M111" s="128"/>
      <c r="N111" s="130"/>
      <c r="O111" s="132"/>
      <c r="P111" s="132"/>
      <c r="Q111" s="130"/>
    </row>
    <row r="112" spans="1:17" ht="50" thickBot="1" x14ac:dyDescent="0.55000000000000004">
      <c r="A112" s="66" t="str" cm="1">
        <f t="array" ref="A112">_xlfn.XLOOKUP(B112,'Paso 3 Redacción RA '!$I$3:$I$15,'Paso 3 Redacción RA '!$C$3:$C$15,,0,1)</f>
        <v>Saberhacer</v>
      </c>
      <c r="B112" s="67" t="s">
        <v>105</v>
      </c>
      <c r="C112" s="129"/>
      <c r="D112" s="135"/>
      <c r="E112" s="125"/>
      <c r="F112" s="129"/>
      <c r="G112" s="129"/>
      <c r="H112" s="129"/>
      <c r="I112" s="129"/>
      <c r="J112" s="129"/>
      <c r="K112" s="129"/>
      <c r="L112" s="129"/>
      <c r="M112" s="129"/>
      <c r="N112" s="131"/>
      <c r="O112" s="133"/>
      <c r="P112" s="133"/>
      <c r="Q112" s="131"/>
    </row>
    <row r="113" spans="3:11" ht="33" x14ac:dyDescent="0.5">
      <c r="C113" s="88" t="s">
        <v>286</v>
      </c>
      <c r="D113" s="89">
        <f>COUNTA(D3:D112)</f>
        <v>23</v>
      </c>
      <c r="E113" s="1"/>
      <c r="I113" s="90" t="s">
        <v>287</v>
      </c>
      <c r="J113" s="91">
        <f>SUM(J3:J112)</f>
        <v>70</v>
      </c>
      <c r="K113" s="6"/>
    </row>
    <row r="114" spans="3:11" ht="49.5" x14ac:dyDescent="0.5">
      <c r="D114" s="80"/>
      <c r="E114" s="80"/>
      <c r="I114" s="92" t="s">
        <v>288</v>
      </c>
      <c r="J114" s="93">
        <f>SUM(J15,J45,J58,J8,J71)</f>
        <v>15</v>
      </c>
    </row>
    <row r="115" spans="3:11" ht="49.5" x14ac:dyDescent="0.5">
      <c r="I115" s="92" t="s">
        <v>289</v>
      </c>
      <c r="J115" s="93">
        <f>SUM(J3,J21,J16,J46,J27,J33,J39,J72,J83,J52,J59,J65,J89,J78,J9,J107,J101,J95)</f>
        <v>55</v>
      </c>
    </row>
    <row r="116" spans="3:11" ht="33" x14ac:dyDescent="0.5">
      <c r="I116" s="94" t="s">
        <v>290</v>
      </c>
      <c r="J116" s="95">
        <v>0</v>
      </c>
    </row>
  </sheetData>
  <mergeCells count="271">
    <mergeCell ref="C65:C70"/>
    <mergeCell ref="C3:C7"/>
    <mergeCell ref="D3:D7"/>
    <mergeCell ref="G1:I1"/>
    <mergeCell ref="C72:C77"/>
    <mergeCell ref="D72:D77"/>
    <mergeCell ref="E72:E77"/>
    <mergeCell ref="G72:G77"/>
    <mergeCell ref="H72:H77"/>
    <mergeCell ref="I72:I77"/>
    <mergeCell ref="F3:F7"/>
    <mergeCell ref="E3:E7"/>
    <mergeCell ref="G3:G7"/>
    <mergeCell ref="H3:H7"/>
    <mergeCell ref="I3:I7"/>
    <mergeCell ref="G21:G26"/>
    <mergeCell ref="H21:H26"/>
    <mergeCell ref="I21:I26"/>
    <mergeCell ref="F52:F57"/>
    <mergeCell ref="C16:C20"/>
    <mergeCell ref="D16:D20"/>
    <mergeCell ref="E16:E20"/>
    <mergeCell ref="I16:I20"/>
    <mergeCell ref="C21:C26"/>
    <mergeCell ref="Q16:Q20"/>
    <mergeCell ref="N3:N7"/>
    <mergeCell ref="O3:O7"/>
    <mergeCell ref="P3:P7"/>
    <mergeCell ref="Q3:Q7"/>
    <mergeCell ref="M65:M70"/>
    <mergeCell ref="F65:F70"/>
    <mergeCell ref="N65:N70"/>
    <mergeCell ref="O65:O70"/>
    <mergeCell ref="P65:P70"/>
    <mergeCell ref="M3:M7"/>
    <mergeCell ref="J3:J7"/>
    <mergeCell ref="K3:K7"/>
    <mergeCell ref="L3:L7"/>
    <mergeCell ref="J21:J26"/>
    <mergeCell ref="K21:K26"/>
    <mergeCell ref="L21:L26"/>
    <mergeCell ref="N52:N57"/>
    <mergeCell ref="O52:O57"/>
    <mergeCell ref="P52:P57"/>
    <mergeCell ref="L52:L57"/>
    <mergeCell ref="M52:M57"/>
    <mergeCell ref="Q21:Q26"/>
    <mergeCell ref="G16:G20"/>
    <mergeCell ref="D21:D26"/>
    <mergeCell ref="E21:E26"/>
    <mergeCell ref="M21:M26"/>
    <mergeCell ref="F21:F26"/>
    <mergeCell ref="N21:N26"/>
    <mergeCell ref="O21:O26"/>
    <mergeCell ref="P21:P26"/>
    <mergeCell ref="O46:O51"/>
    <mergeCell ref="P46:P51"/>
    <mergeCell ref="N46:N51"/>
    <mergeCell ref="J46:J51"/>
    <mergeCell ref="K46:K51"/>
    <mergeCell ref="L46:L51"/>
    <mergeCell ref="M27:M32"/>
    <mergeCell ref="F27:F32"/>
    <mergeCell ref="N27:N32"/>
    <mergeCell ref="O27:O32"/>
    <mergeCell ref="P27:P32"/>
    <mergeCell ref="J33:J38"/>
    <mergeCell ref="K33:K38"/>
    <mergeCell ref="L33:L38"/>
    <mergeCell ref="J16:J20"/>
    <mergeCell ref="K16:K20"/>
    <mergeCell ref="L16:L20"/>
    <mergeCell ref="M16:M20"/>
    <mergeCell ref="F16:F20"/>
    <mergeCell ref="N16:N20"/>
    <mergeCell ref="O16:O20"/>
    <mergeCell ref="P16:P20"/>
    <mergeCell ref="H16:H20"/>
    <mergeCell ref="Q27:Q32"/>
    <mergeCell ref="C46:C51"/>
    <mergeCell ref="D46:D51"/>
    <mergeCell ref="E46:E51"/>
    <mergeCell ref="G46:G51"/>
    <mergeCell ref="H46:H51"/>
    <mergeCell ref="I46:I51"/>
    <mergeCell ref="M46:M51"/>
    <mergeCell ref="F46:F51"/>
    <mergeCell ref="C27:C32"/>
    <mergeCell ref="D27:D32"/>
    <mergeCell ref="E27:E32"/>
    <mergeCell ref="G27:G32"/>
    <mergeCell ref="H27:H32"/>
    <mergeCell ref="I27:I32"/>
    <mergeCell ref="J27:J32"/>
    <mergeCell ref="K27:K32"/>
    <mergeCell ref="L27:L32"/>
    <mergeCell ref="C33:C38"/>
    <mergeCell ref="D33:D38"/>
    <mergeCell ref="E33:E38"/>
    <mergeCell ref="G33:G38"/>
    <mergeCell ref="H33:H38"/>
    <mergeCell ref="I33:I38"/>
    <mergeCell ref="C39:C44"/>
    <mergeCell ref="D39:D44"/>
    <mergeCell ref="E39:E44"/>
    <mergeCell ref="G39:G44"/>
    <mergeCell ref="H39:H44"/>
    <mergeCell ref="I39:I44"/>
    <mergeCell ref="J39:J44"/>
    <mergeCell ref="K39:K44"/>
    <mergeCell ref="L39:L44"/>
    <mergeCell ref="F39:F44"/>
    <mergeCell ref="F72:F77"/>
    <mergeCell ref="N72:N77"/>
    <mergeCell ref="O72:O77"/>
    <mergeCell ref="P72:P77"/>
    <mergeCell ref="O33:O38"/>
    <mergeCell ref="P33:P38"/>
    <mergeCell ref="Q33:Q38"/>
    <mergeCell ref="M39:M44"/>
    <mergeCell ref="N39:N44"/>
    <mergeCell ref="O39:O44"/>
    <mergeCell ref="P39:P44"/>
    <mergeCell ref="Q39:Q44"/>
    <mergeCell ref="M33:M38"/>
    <mergeCell ref="F33:F38"/>
    <mergeCell ref="N33:N38"/>
    <mergeCell ref="G65:G70"/>
    <mergeCell ref="H65:H70"/>
    <mergeCell ref="I65:I70"/>
    <mergeCell ref="J65:J70"/>
    <mergeCell ref="K65:K70"/>
    <mergeCell ref="L65:L70"/>
    <mergeCell ref="Q52:Q57"/>
    <mergeCell ref="M59:M64"/>
    <mergeCell ref="Q46:Q51"/>
    <mergeCell ref="G52:G57"/>
    <mergeCell ref="H52:H57"/>
    <mergeCell ref="I52:I57"/>
    <mergeCell ref="J52:J57"/>
    <mergeCell ref="K52:K57"/>
    <mergeCell ref="Q72:Q77"/>
    <mergeCell ref="C83:C88"/>
    <mergeCell ref="D83:D88"/>
    <mergeCell ref="E83:E88"/>
    <mergeCell ref="G83:G88"/>
    <mergeCell ref="H83:H88"/>
    <mergeCell ref="I83:I88"/>
    <mergeCell ref="J83:J88"/>
    <mergeCell ref="K83:K88"/>
    <mergeCell ref="L83:L88"/>
    <mergeCell ref="M83:M88"/>
    <mergeCell ref="F83:F88"/>
    <mergeCell ref="N83:N88"/>
    <mergeCell ref="O83:O88"/>
    <mergeCell ref="P83:P88"/>
    <mergeCell ref="Q83:Q88"/>
    <mergeCell ref="J72:J77"/>
    <mergeCell ref="K72:K77"/>
    <mergeCell ref="M72:M77"/>
    <mergeCell ref="F59:F64"/>
    <mergeCell ref="N59:N64"/>
    <mergeCell ref="O59:O64"/>
    <mergeCell ref="P59:P64"/>
    <mergeCell ref="Q59:Q64"/>
    <mergeCell ref="C52:C57"/>
    <mergeCell ref="D52:D57"/>
    <mergeCell ref="M78:M82"/>
    <mergeCell ref="F78:F82"/>
    <mergeCell ref="N78:N82"/>
    <mergeCell ref="O78:O82"/>
    <mergeCell ref="P78:P82"/>
    <mergeCell ref="Q78:Q82"/>
    <mergeCell ref="Q65:Q70"/>
    <mergeCell ref="C59:C64"/>
    <mergeCell ref="D59:D64"/>
    <mergeCell ref="E59:E64"/>
    <mergeCell ref="G59:G64"/>
    <mergeCell ref="H59:H64"/>
    <mergeCell ref="I59:I64"/>
    <mergeCell ref="J59:J64"/>
    <mergeCell ref="K59:K64"/>
    <mergeCell ref="L59:L64"/>
    <mergeCell ref="E52:E57"/>
    <mergeCell ref="O89:O94"/>
    <mergeCell ref="P89:P94"/>
    <mergeCell ref="Q89:Q94"/>
    <mergeCell ref="D65:D70"/>
    <mergeCell ref="E65:E70"/>
    <mergeCell ref="C78:C82"/>
    <mergeCell ref="D78:D82"/>
    <mergeCell ref="E78:E82"/>
    <mergeCell ref="G78:G82"/>
    <mergeCell ref="H78:H82"/>
    <mergeCell ref="I78:I82"/>
    <mergeCell ref="J78:J82"/>
    <mergeCell ref="K78:K82"/>
    <mergeCell ref="L78:L82"/>
    <mergeCell ref="C89:C94"/>
    <mergeCell ref="D89:D94"/>
    <mergeCell ref="E89:E94"/>
    <mergeCell ref="G89:G94"/>
    <mergeCell ref="H89:H94"/>
    <mergeCell ref="I89:I94"/>
    <mergeCell ref="J89:J94"/>
    <mergeCell ref="K89:K94"/>
    <mergeCell ref="L89:L94"/>
    <mergeCell ref="L72:L77"/>
    <mergeCell ref="Q107:Q112"/>
    <mergeCell ref="C9:C14"/>
    <mergeCell ref="D9:D14"/>
    <mergeCell ref="E9:E14"/>
    <mergeCell ref="G9:G14"/>
    <mergeCell ref="H9:H14"/>
    <mergeCell ref="I9:I14"/>
    <mergeCell ref="J9:J14"/>
    <mergeCell ref="K9:K14"/>
    <mergeCell ref="L9:L14"/>
    <mergeCell ref="M9:M14"/>
    <mergeCell ref="F9:F14"/>
    <mergeCell ref="N9:N14"/>
    <mergeCell ref="O9:O14"/>
    <mergeCell ref="P9:P14"/>
    <mergeCell ref="Q9:Q14"/>
    <mergeCell ref="I101:I106"/>
    <mergeCell ref="J101:J106"/>
    <mergeCell ref="K101:K106"/>
    <mergeCell ref="L101:L106"/>
    <mergeCell ref="M101:M106"/>
    <mergeCell ref="M89:M94"/>
    <mergeCell ref="F89:F94"/>
    <mergeCell ref="N89:N94"/>
    <mergeCell ref="C107:C112"/>
    <mergeCell ref="D107:D112"/>
    <mergeCell ref="E107:E112"/>
    <mergeCell ref="G107:G112"/>
    <mergeCell ref="H107:H112"/>
    <mergeCell ref="I107:I112"/>
    <mergeCell ref="J107:J112"/>
    <mergeCell ref="K107:K112"/>
    <mergeCell ref="L107:L112"/>
    <mergeCell ref="Q101:Q106"/>
    <mergeCell ref="C95:C100"/>
    <mergeCell ref="D95:D100"/>
    <mergeCell ref="E95:E100"/>
    <mergeCell ref="G95:G100"/>
    <mergeCell ref="H95:H100"/>
    <mergeCell ref="I95:I100"/>
    <mergeCell ref="J95:J100"/>
    <mergeCell ref="K95:K100"/>
    <mergeCell ref="L95:L100"/>
    <mergeCell ref="M95:M100"/>
    <mergeCell ref="F95:F100"/>
    <mergeCell ref="N95:N100"/>
    <mergeCell ref="O95:O100"/>
    <mergeCell ref="P95:P100"/>
    <mergeCell ref="Q95:Q100"/>
    <mergeCell ref="C101:C106"/>
    <mergeCell ref="D101:D106"/>
    <mergeCell ref="E101:E106"/>
    <mergeCell ref="G101:G106"/>
    <mergeCell ref="H101:H106"/>
    <mergeCell ref="M107:M112"/>
    <mergeCell ref="F107:F112"/>
    <mergeCell ref="F101:F106"/>
    <mergeCell ref="N101:N106"/>
    <mergeCell ref="O101:O106"/>
    <mergeCell ref="P101:P106"/>
    <mergeCell ref="N107:N112"/>
    <mergeCell ref="O107:O112"/>
    <mergeCell ref="P107:P112"/>
  </mergeCell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887007-A51E-4194-A3E2-67598F7F1933}">
          <x14:formula1>
            <xm:f>'Paso 3 Redacción RA '!$I$3:$I$15</xm:f>
          </x14:formula1>
          <xm:sqref>B3:B112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7"/>
  <sheetViews>
    <sheetView workbookViewId="0">
      <selection activeCell="H18" sqref="H18"/>
    </sheetView>
  </sheetViews>
  <sheetFormatPr baseColWidth="10" defaultColWidth="11.453125" defaultRowHeight="14.5" x14ac:dyDescent="0.35"/>
  <cols>
    <col min="2" max="2" width="27.1796875" customWidth="1"/>
  </cols>
  <sheetData>
    <row r="1" spans="2:2" ht="16.5" x14ac:dyDescent="0.5">
      <c r="B1" s="22" t="s">
        <v>291</v>
      </c>
    </row>
    <row r="2" spans="2:2" ht="16.5" x14ac:dyDescent="0.5">
      <c r="B2" s="15" t="s">
        <v>292</v>
      </c>
    </row>
    <row r="3" spans="2:2" ht="16.5" x14ac:dyDescent="0.5">
      <c r="B3" s="17" t="s">
        <v>293</v>
      </c>
    </row>
    <row r="4" spans="2:2" ht="16.5" x14ac:dyDescent="0.5">
      <c r="B4" s="15" t="s">
        <v>294</v>
      </c>
    </row>
    <row r="5" spans="2:2" ht="16.5" x14ac:dyDescent="0.5">
      <c r="B5" s="17" t="s">
        <v>295</v>
      </c>
    </row>
    <row r="6" spans="2:2" ht="16.5" x14ac:dyDescent="0.5">
      <c r="B6" s="15" t="s">
        <v>296</v>
      </c>
    </row>
    <row r="7" spans="2:2" ht="16.5" x14ac:dyDescent="0.5">
      <c r="B7" s="17" t="s">
        <v>297</v>
      </c>
    </row>
    <row r="8" spans="2:2" ht="16.5" x14ac:dyDescent="0.5">
      <c r="B8" s="15" t="s">
        <v>298</v>
      </c>
    </row>
    <row r="9" spans="2:2" ht="16.5" x14ac:dyDescent="0.5">
      <c r="B9" s="17" t="s">
        <v>64</v>
      </c>
    </row>
    <row r="10" spans="2:2" ht="16.5" x14ac:dyDescent="0.5">
      <c r="B10" s="15" t="s">
        <v>299</v>
      </c>
    </row>
    <row r="11" spans="2:2" ht="16.5" x14ac:dyDescent="0.5">
      <c r="B11" s="17" t="s">
        <v>300</v>
      </c>
    </row>
    <row r="12" spans="2:2" ht="16.5" x14ac:dyDescent="0.5">
      <c r="B12" s="15" t="s">
        <v>56</v>
      </c>
    </row>
    <row r="13" spans="2:2" ht="16.5" x14ac:dyDescent="0.5">
      <c r="B13" s="17" t="s">
        <v>301</v>
      </c>
    </row>
    <row r="14" spans="2:2" ht="16.5" x14ac:dyDescent="0.5">
      <c r="B14" s="15" t="s">
        <v>302</v>
      </c>
    </row>
    <row r="15" spans="2:2" ht="16.5" x14ac:dyDescent="0.5">
      <c r="B15" s="17" t="s">
        <v>303</v>
      </c>
    </row>
    <row r="16" spans="2:2" ht="16.5" x14ac:dyDescent="0.5">
      <c r="B16" s="15" t="s">
        <v>304</v>
      </c>
    </row>
    <row r="17" spans="2:2" ht="16.5" x14ac:dyDescent="0.5">
      <c r="B17" s="17" t="s">
        <v>305</v>
      </c>
    </row>
    <row r="18" spans="2:2" ht="16.5" x14ac:dyDescent="0.5">
      <c r="B18" s="15" t="s">
        <v>306</v>
      </c>
    </row>
    <row r="19" spans="2:2" ht="16.5" x14ac:dyDescent="0.5">
      <c r="B19" s="17" t="s">
        <v>307</v>
      </c>
    </row>
    <row r="20" spans="2:2" ht="16.5" x14ac:dyDescent="0.5">
      <c r="B20" s="15" t="s">
        <v>308</v>
      </c>
    </row>
    <row r="21" spans="2:2" ht="16.5" x14ac:dyDescent="0.5">
      <c r="B21" s="17" t="s">
        <v>309</v>
      </c>
    </row>
    <row r="22" spans="2:2" ht="16.5" x14ac:dyDescent="0.5">
      <c r="B22" s="15" t="s">
        <v>310</v>
      </c>
    </row>
    <row r="23" spans="2:2" ht="16.5" x14ac:dyDescent="0.5">
      <c r="B23" s="17" t="s">
        <v>60</v>
      </c>
    </row>
    <row r="24" spans="2:2" ht="16.5" x14ac:dyDescent="0.5">
      <c r="B24" s="15" t="s">
        <v>311</v>
      </c>
    </row>
    <row r="25" spans="2:2" ht="16.5" x14ac:dyDescent="0.5">
      <c r="B25" s="17" t="s">
        <v>312</v>
      </c>
    </row>
    <row r="26" spans="2:2" ht="16.5" x14ac:dyDescent="0.5">
      <c r="B26" s="15" t="s">
        <v>313</v>
      </c>
    </row>
    <row r="27" spans="2:2" ht="16.5" x14ac:dyDescent="0.5">
      <c r="B27" s="17" t="s">
        <v>314</v>
      </c>
    </row>
    <row r="28" spans="2:2" ht="16.5" x14ac:dyDescent="0.5">
      <c r="B28" s="15" t="s">
        <v>315</v>
      </c>
    </row>
    <row r="29" spans="2:2" ht="16.5" x14ac:dyDescent="0.5">
      <c r="B29" s="17" t="s">
        <v>316</v>
      </c>
    </row>
    <row r="30" spans="2:2" ht="16.5" x14ac:dyDescent="0.5">
      <c r="B30" s="15" t="s">
        <v>317</v>
      </c>
    </row>
    <row r="31" spans="2:2" ht="16.5" x14ac:dyDescent="0.5">
      <c r="B31" s="17" t="s">
        <v>318</v>
      </c>
    </row>
    <row r="32" spans="2:2" ht="16.5" x14ac:dyDescent="0.5">
      <c r="B32" s="15" t="s">
        <v>319</v>
      </c>
    </row>
    <row r="33" spans="2:2" ht="16.5" x14ac:dyDescent="0.5">
      <c r="B33" s="17" t="s">
        <v>320</v>
      </c>
    </row>
    <row r="34" spans="2:2" ht="16.5" x14ac:dyDescent="0.5">
      <c r="B34" s="15" t="s">
        <v>321</v>
      </c>
    </row>
    <row r="35" spans="2:2" ht="16.5" x14ac:dyDescent="0.5">
      <c r="B35" s="17" t="s">
        <v>322</v>
      </c>
    </row>
    <row r="36" spans="2:2" ht="16.5" x14ac:dyDescent="0.5">
      <c r="B36" s="15" t="s">
        <v>62</v>
      </c>
    </row>
    <row r="37" spans="2:2" ht="16.5" x14ac:dyDescent="0.5">
      <c r="B37" s="14" t="s">
        <v>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I27" sqref="I27"/>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43" t="s">
        <v>323</v>
      </c>
      <c r="T1" s="143"/>
      <c r="U1" s="143"/>
      <c r="V1" s="143"/>
      <c r="W1" s="143"/>
      <c r="X1" s="143"/>
      <c r="Y1" s="143"/>
      <c r="Z1" s="143"/>
      <c r="AA1" s="143"/>
      <c r="AB1" s="143"/>
      <c r="AC1" s="143"/>
      <c r="AD1" s="143"/>
      <c r="AE1" s="143"/>
      <c r="AF1" s="143"/>
      <c r="AG1" s="143"/>
      <c r="AH1" s="7"/>
      <c r="AI1" s="7"/>
      <c r="AJ1" s="7"/>
      <c r="AL1" s="143" t="s">
        <v>324</v>
      </c>
      <c r="AM1" s="143"/>
      <c r="AN1" s="143"/>
      <c r="AO1" s="143"/>
      <c r="AP1" s="143"/>
      <c r="AQ1" s="143"/>
      <c r="AR1" s="7"/>
      <c r="AS1" s="7"/>
      <c r="AT1" s="143" t="s">
        <v>325</v>
      </c>
      <c r="AU1" s="143"/>
      <c r="AV1" s="143"/>
      <c r="AW1" s="143"/>
      <c r="AX1" s="143"/>
      <c r="AY1" s="143"/>
      <c r="AZ1" s="7"/>
      <c r="BC1" s="7"/>
    </row>
    <row r="2" spans="1:55" x14ac:dyDescent="0.5">
      <c r="L2" s="143" t="s">
        <v>326</v>
      </c>
      <c r="M2" s="143"/>
      <c r="N2" s="143"/>
      <c r="O2" s="143"/>
      <c r="P2" s="143"/>
      <c r="Q2" s="143"/>
      <c r="S2" s="144" t="s">
        <v>327</v>
      </c>
      <c r="T2" s="144"/>
      <c r="U2" s="144"/>
      <c r="V2" s="144"/>
      <c r="W2" s="144"/>
      <c r="X2" s="144"/>
      <c r="Y2" s="144" t="s">
        <v>328</v>
      </c>
      <c r="Z2" s="144"/>
      <c r="AA2" s="144"/>
      <c r="AB2" s="144"/>
      <c r="AC2" s="144" t="s">
        <v>329</v>
      </c>
      <c r="AD2" s="144"/>
      <c r="AE2" s="144"/>
      <c r="AF2" s="144"/>
      <c r="AG2" s="144"/>
      <c r="AH2" s="7"/>
      <c r="AI2" s="7"/>
      <c r="AJ2" s="7"/>
      <c r="AL2" s="145"/>
      <c r="AM2" s="145"/>
      <c r="AN2" s="145"/>
      <c r="AO2" s="145"/>
      <c r="AP2" s="145"/>
      <c r="AQ2" s="145"/>
      <c r="AR2" s="7"/>
      <c r="AS2" s="7"/>
      <c r="AT2" s="7"/>
      <c r="AU2" s="7"/>
      <c r="AV2" s="7"/>
      <c r="AW2" s="7"/>
      <c r="AX2" s="7"/>
      <c r="AY2" s="7"/>
      <c r="AZ2" s="7"/>
      <c r="BC2" s="7"/>
    </row>
    <row r="3" spans="1:55" x14ac:dyDescent="0.5">
      <c r="A3" s="87" t="s">
        <v>330</v>
      </c>
      <c r="C3" s="87" t="s">
        <v>331</v>
      </c>
      <c r="D3" s="87" t="s">
        <v>332</v>
      </c>
      <c r="E3" s="87" t="s">
        <v>333</v>
      </c>
      <c r="G3" s="87" t="s">
        <v>88</v>
      </c>
      <c r="H3" s="87" t="s">
        <v>93</v>
      </c>
      <c r="I3" s="87" t="s">
        <v>99</v>
      </c>
      <c r="L3" s="1" t="s">
        <v>102</v>
      </c>
      <c r="M3" s="1" t="s">
        <v>89</v>
      </c>
      <c r="N3" s="1" t="s">
        <v>94</v>
      </c>
      <c r="O3" s="1" t="s">
        <v>334</v>
      </c>
      <c r="P3" s="1" t="s">
        <v>335</v>
      </c>
      <c r="Q3" s="1" t="s">
        <v>336</v>
      </c>
      <c r="S3" s="1" t="s">
        <v>337</v>
      </c>
      <c r="T3" s="1" t="s">
        <v>338</v>
      </c>
      <c r="U3" s="1" t="s">
        <v>339</v>
      </c>
      <c r="V3" s="1" t="s">
        <v>340</v>
      </c>
      <c r="W3" s="1" t="s">
        <v>341</v>
      </c>
      <c r="X3" s="1" t="s">
        <v>342</v>
      </c>
      <c r="Y3" s="1" t="s">
        <v>343</v>
      </c>
      <c r="Z3" s="1" t="s">
        <v>344</v>
      </c>
      <c r="AA3" s="1" t="s">
        <v>345</v>
      </c>
      <c r="AB3" s="1" t="s">
        <v>346</v>
      </c>
      <c r="AC3" s="1" t="s">
        <v>347</v>
      </c>
      <c r="AD3" s="1" t="s">
        <v>348</v>
      </c>
      <c r="AE3" s="1" t="s">
        <v>349</v>
      </c>
      <c r="AF3" s="1" t="s">
        <v>350</v>
      </c>
      <c r="AG3" s="1" t="s">
        <v>351</v>
      </c>
      <c r="AL3" s="128" t="s">
        <v>352</v>
      </c>
      <c r="AM3" s="128"/>
      <c r="AN3" s="128"/>
      <c r="AO3" s="128" t="s">
        <v>353</v>
      </c>
      <c r="AP3" s="128"/>
      <c r="AQ3" s="128"/>
      <c r="AR3" s="8"/>
      <c r="AS3" s="8"/>
      <c r="AT3" s="8"/>
      <c r="AU3" s="8"/>
      <c r="AV3" s="8"/>
      <c r="AW3" s="8"/>
      <c r="AX3" s="8"/>
      <c r="AY3" s="8"/>
      <c r="AZ3" s="8"/>
      <c r="BC3" s="8"/>
    </row>
    <row r="4" spans="1:55" x14ac:dyDescent="0.5">
      <c r="A4" s="1" t="s">
        <v>87</v>
      </c>
      <c r="C4" s="1" t="s">
        <v>354</v>
      </c>
      <c r="D4" s="1" t="s">
        <v>355</v>
      </c>
      <c r="E4" s="1" t="s">
        <v>356</v>
      </c>
      <c r="G4" s="1" t="s">
        <v>102</v>
      </c>
      <c r="H4" s="1" t="s">
        <v>102</v>
      </c>
      <c r="I4" s="1" t="s">
        <v>102</v>
      </c>
      <c r="L4" s="1" t="s">
        <v>357</v>
      </c>
      <c r="M4" s="1" t="s">
        <v>296</v>
      </c>
      <c r="N4" s="1" t="s">
        <v>100</v>
      </c>
      <c r="O4" s="1" t="s">
        <v>358</v>
      </c>
      <c r="P4" s="1" t="s">
        <v>359</v>
      </c>
      <c r="Q4" s="1" t="s">
        <v>360</v>
      </c>
      <c r="S4" s="1" t="s">
        <v>357</v>
      </c>
      <c r="T4" s="1" t="s">
        <v>296</v>
      </c>
      <c r="U4" s="1" t="s">
        <v>100</v>
      </c>
      <c r="V4" s="1" t="s">
        <v>358</v>
      </c>
      <c r="W4" s="1" t="s">
        <v>359</v>
      </c>
      <c r="X4" s="1" t="s">
        <v>360</v>
      </c>
      <c r="Y4" s="1" t="s">
        <v>361</v>
      </c>
      <c r="Z4" s="1" t="s">
        <v>362</v>
      </c>
      <c r="AA4" s="1" t="s">
        <v>363</v>
      </c>
      <c r="AB4" s="1" t="s">
        <v>364</v>
      </c>
      <c r="AC4" s="1" t="s">
        <v>310</v>
      </c>
      <c r="AD4" s="1" t="s">
        <v>365</v>
      </c>
      <c r="AE4" s="1" t="s">
        <v>366</v>
      </c>
      <c r="AF4" s="1" t="s">
        <v>367</v>
      </c>
      <c r="AG4" s="1" t="s">
        <v>368</v>
      </c>
      <c r="AL4" s="9" t="s">
        <v>369</v>
      </c>
      <c r="AM4" s="9" t="s">
        <v>370</v>
      </c>
      <c r="AN4" s="9" t="s">
        <v>371</v>
      </c>
      <c r="AO4" s="9" t="s">
        <v>372</v>
      </c>
      <c r="AP4" s="10" t="s">
        <v>373</v>
      </c>
      <c r="AQ4" s="9" t="s">
        <v>374</v>
      </c>
      <c r="AR4" s="8"/>
      <c r="AS4" s="8"/>
      <c r="AT4" s="1" t="s">
        <v>375</v>
      </c>
      <c r="AU4" s="1" t="s">
        <v>376</v>
      </c>
      <c r="AV4" s="1" t="s">
        <v>377</v>
      </c>
      <c r="AW4" s="1" t="s">
        <v>378</v>
      </c>
      <c r="AX4" s="1" t="s">
        <v>379</v>
      </c>
      <c r="AY4" s="1" t="s">
        <v>380</v>
      </c>
      <c r="AZ4" s="8"/>
      <c r="BC4" s="8"/>
    </row>
    <row r="5" spans="1:55" x14ac:dyDescent="0.5">
      <c r="A5" s="1" t="s">
        <v>331</v>
      </c>
      <c r="C5" s="1" t="s">
        <v>381</v>
      </c>
      <c r="D5" s="1" t="s">
        <v>382</v>
      </c>
      <c r="E5" s="1" t="s">
        <v>383</v>
      </c>
      <c r="G5" s="1" t="s">
        <v>89</v>
      </c>
      <c r="H5" s="1" t="s">
        <v>89</v>
      </c>
      <c r="I5" s="1" t="s">
        <v>89</v>
      </c>
      <c r="L5" s="1" t="s">
        <v>384</v>
      </c>
      <c r="M5" s="1" t="s">
        <v>385</v>
      </c>
      <c r="N5" s="1" t="s">
        <v>386</v>
      </c>
      <c r="O5" s="1" t="s">
        <v>66</v>
      </c>
      <c r="P5" s="1" t="s">
        <v>293</v>
      </c>
      <c r="Q5" s="1" t="s">
        <v>387</v>
      </c>
      <c r="S5" s="1" t="s">
        <v>384</v>
      </c>
      <c r="T5" s="1" t="s">
        <v>385</v>
      </c>
      <c r="U5" s="1" t="s">
        <v>386</v>
      </c>
      <c r="V5" s="1" t="s">
        <v>66</v>
      </c>
      <c r="W5" s="1" t="s">
        <v>293</v>
      </c>
      <c r="X5" s="1" t="s">
        <v>387</v>
      </c>
      <c r="Y5" s="1" t="s">
        <v>359</v>
      </c>
      <c r="Z5" s="1" t="s">
        <v>388</v>
      </c>
      <c r="AA5" s="1" t="s">
        <v>314</v>
      </c>
      <c r="AB5" s="1" t="s">
        <v>389</v>
      </c>
      <c r="AC5" s="1" t="s">
        <v>298</v>
      </c>
      <c r="AD5" s="1" t="s">
        <v>390</v>
      </c>
      <c r="AE5" s="1" t="s">
        <v>365</v>
      </c>
      <c r="AF5" s="1" t="s">
        <v>391</v>
      </c>
      <c r="AG5" s="1" t="s">
        <v>392</v>
      </c>
      <c r="AL5" s="2" t="s">
        <v>393</v>
      </c>
      <c r="AM5" s="2" t="s">
        <v>394</v>
      </c>
      <c r="AN5" s="2" t="s">
        <v>395</v>
      </c>
      <c r="AO5" s="2" t="s">
        <v>396</v>
      </c>
      <c r="AP5" s="2" t="s">
        <v>359</v>
      </c>
      <c r="AQ5" s="2" t="s">
        <v>56</v>
      </c>
      <c r="AR5" s="2"/>
      <c r="AS5" s="2"/>
      <c r="AT5" s="11" t="s">
        <v>393</v>
      </c>
      <c r="AU5" s="13" t="s">
        <v>296</v>
      </c>
      <c r="AV5" s="11" t="s">
        <v>396</v>
      </c>
      <c r="AW5" s="11" t="s">
        <v>395</v>
      </c>
      <c r="AX5" s="13" t="s">
        <v>397</v>
      </c>
      <c r="AY5" s="13" t="s">
        <v>397</v>
      </c>
      <c r="AZ5" s="2"/>
      <c r="BC5" s="2"/>
    </row>
    <row r="6" spans="1:55" x14ac:dyDescent="0.5">
      <c r="A6" s="1" t="s">
        <v>332</v>
      </c>
      <c r="C6" s="1" t="s">
        <v>398</v>
      </c>
      <c r="D6" s="1" t="s">
        <v>399</v>
      </c>
      <c r="E6" s="1" t="s">
        <v>400</v>
      </c>
      <c r="G6" s="1" t="s">
        <v>94</v>
      </c>
      <c r="H6" s="1" t="s">
        <v>94</v>
      </c>
      <c r="I6" s="1" t="s">
        <v>94</v>
      </c>
      <c r="L6" s="1" t="s">
        <v>401</v>
      </c>
      <c r="M6" s="1" t="s">
        <v>402</v>
      </c>
      <c r="N6" s="1" t="s">
        <v>403</v>
      </c>
      <c r="O6" s="1" t="s">
        <v>404</v>
      </c>
      <c r="P6" s="1" t="s">
        <v>405</v>
      </c>
      <c r="Q6" s="1" t="s">
        <v>406</v>
      </c>
      <c r="S6" s="1" t="s">
        <v>401</v>
      </c>
      <c r="T6" s="1" t="s">
        <v>402</v>
      </c>
      <c r="U6" s="1" t="s">
        <v>403</v>
      </c>
      <c r="V6" s="1" t="s">
        <v>404</v>
      </c>
      <c r="W6" s="1" t="s">
        <v>405</v>
      </c>
      <c r="X6" s="1" t="s">
        <v>406</v>
      </c>
      <c r="Y6" s="1" t="s">
        <v>407</v>
      </c>
      <c r="Z6" s="1" t="s">
        <v>408</v>
      </c>
      <c r="AA6" s="1" t="s">
        <v>409</v>
      </c>
      <c r="AB6" s="1" t="s">
        <v>410</v>
      </c>
      <c r="AC6" s="1" t="s">
        <v>301</v>
      </c>
      <c r="AD6" s="1" t="s">
        <v>411</v>
      </c>
      <c r="AE6" s="1" t="s">
        <v>397</v>
      </c>
      <c r="AF6" s="1" t="s">
        <v>412</v>
      </c>
      <c r="AG6" s="1" t="s">
        <v>298</v>
      </c>
      <c r="AL6" s="2" t="s">
        <v>401</v>
      </c>
      <c r="AM6" s="2" t="s">
        <v>413</v>
      </c>
      <c r="AN6" s="2" t="s">
        <v>396</v>
      </c>
      <c r="AO6" s="2" t="s">
        <v>358</v>
      </c>
      <c r="AP6" s="2" t="s">
        <v>414</v>
      </c>
      <c r="AQ6" s="2" t="s">
        <v>62</v>
      </c>
      <c r="AR6" s="2"/>
      <c r="AS6" s="2"/>
      <c r="AT6" s="12" t="s">
        <v>401</v>
      </c>
      <c r="AU6" s="14" t="s">
        <v>385</v>
      </c>
      <c r="AV6" s="13" t="s">
        <v>358</v>
      </c>
      <c r="AW6" s="12" t="s">
        <v>396</v>
      </c>
      <c r="AX6" s="14" t="s">
        <v>415</v>
      </c>
      <c r="AY6" s="13" t="s">
        <v>366</v>
      </c>
      <c r="AZ6" s="2"/>
      <c r="BC6" s="2"/>
    </row>
    <row r="7" spans="1:55" x14ac:dyDescent="0.5">
      <c r="A7" s="1" t="s">
        <v>333</v>
      </c>
      <c r="D7" s="1" t="s">
        <v>416</v>
      </c>
      <c r="G7" s="1" t="s">
        <v>334</v>
      </c>
      <c r="H7" s="1" t="s">
        <v>334</v>
      </c>
      <c r="I7" s="1" t="s">
        <v>334</v>
      </c>
      <c r="L7" s="1" t="s">
        <v>417</v>
      </c>
      <c r="M7" s="1" t="s">
        <v>297</v>
      </c>
      <c r="N7" s="1" t="s">
        <v>418</v>
      </c>
      <c r="O7" s="1" t="s">
        <v>419</v>
      </c>
      <c r="P7" s="1" t="s">
        <v>405</v>
      </c>
      <c r="Q7" s="1" t="s">
        <v>420</v>
      </c>
      <c r="S7" s="1" t="s">
        <v>417</v>
      </c>
      <c r="T7" s="1" t="s">
        <v>297</v>
      </c>
      <c r="U7" s="1" t="s">
        <v>418</v>
      </c>
      <c r="V7" s="1" t="s">
        <v>419</v>
      </c>
      <c r="W7" s="1" t="s">
        <v>405</v>
      </c>
      <c r="X7" s="1" t="s">
        <v>420</v>
      </c>
      <c r="Y7" s="1" t="s">
        <v>421</v>
      </c>
      <c r="Z7" s="1" t="s">
        <v>422</v>
      </c>
      <c r="AA7" s="1" t="s">
        <v>423</v>
      </c>
      <c r="AB7" s="1" t="s">
        <v>424</v>
      </c>
      <c r="AC7" s="1" t="s">
        <v>362</v>
      </c>
      <c r="AD7" s="1" t="s">
        <v>393</v>
      </c>
      <c r="AE7" s="1" t="s">
        <v>393</v>
      </c>
      <c r="AF7" s="1" t="s">
        <v>415</v>
      </c>
      <c r="AG7" s="1" t="s">
        <v>425</v>
      </c>
      <c r="AL7" s="2" t="s">
        <v>426</v>
      </c>
      <c r="AM7" s="2" t="s">
        <v>427</v>
      </c>
      <c r="AN7" s="2" t="s">
        <v>404</v>
      </c>
      <c r="AO7" s="2" t="s">
        <v>428</v>
      </c>
      <c r="AP7" s="2" t="s">
        <v>429</v>
      </c>
      <c r="AQ7" s="2" t="s">
        <v>430</v>
      </c>
      <c r="AR7" s="2"/>
      <c r="AS7" s="2"/>
      <c r="AT7" s="11" t="s">
        <v>426</v>
      </c>
      <c r="AU7" s="1" t="s">
        <v>394</v>
      </c>
      <c r="AV7" s="14" t="s">
        <v>66</v>
      </c>
      <c r="AW7" s="13" t="s">
        <v>100</v>
      </c>
      <c r="AX7" s="13" t="s">
        <v>366</v>
      </c>
      <c r="AY7" s="13" t="s">
        <v>431</v>
      </c>
      <c r="AZ7" s="2"/>
      <c r="BC7" s="2"/>
    </row>
    <row r="8" spans="1:55" x14ac:dyDescent="0.5">
      <c r="G8" s="1" t="s">
        <v>335</v>
      </c>
      <c r="H8" s="1" t="s">
        <v>335</v>
      </c>
      <c r="I8" s="1" t="s">
        <v>335</v>
      </c>
      <c r="L8" s="1" t="s">
        <v>432</v>
      </c>
      <c r="M8" s="1" t="s">
        <v>433</v>
      </c>
      <c r="N8" s="1" t="s">
        <v>298</v>
      </c>
      <c r="O8" s="1" t="s">
        <v>413</v>
      </c>
      <c r="P8" s="1" t="s">
        <v>434</v>
      </c>
      <c r="Q8" s="1" t="s">
        <v>435</v>
      </c>
      <c r="S8" s="1" t="s">
        <v>432</v>
      </c>
      <c r="T8" s="1" t="s">
        <v>433</v>
      </c>
      <c r="U8" s="1" t="s">
        <v>298</v>
      </c>
      <c r="V8" s="1" t="s">
        <v>413</v>
      </c>
      <c r="W8" s="1" t="s">
        <v>434</v>
      </c>
      <c r="X8" s="1" t="s">
        <v>435</v>
      </c>
      <c r="Y8" s="1" t="s">
        <v>294</v>
      </c>
      <c r="Z8" s="1" t="s">
        <v>436</v>
      </c>
      <c r="AA8" s="1" t="s">
        <v>437</v>
      </c>
      <c r="AB8" s="1" t="s">
        <v>438</v>
      </c>
      <c r="AC8" s="1" t="s">
        <v>100</v>
      </c>
      <c r="AD8" s="1" t="s">
        <v>294</v>
      </c>
      <c r="AE8" s="1" t="s">
        <v>439</v>
      </c>
      <c r="AF8" s="1" t="s">
        <v>440</v>
      </c>
      <c r="AG8" s="1" t="s">
        <v>441</v>
      </c>
      <c r="AL8" s="2" t="s">
        <v>432</v>
      </c>
      <c r="AM8" s="2" t="s">
        <v>411</v>
      </c>
      <c r="AN8" s="2" t="s">
        <v>419</v>
      </c>
      <c r="AO8" s="2" t="s">
        <v>442</v>
      </c>
      <c r="AP8" s="2" t="s">
        <v>443</v>
      </c>
      <c r="AQ8" s="2" t="s">
        <v>444</v>
      </c>
      <c r="AR8" s="2"/>
      <c r="AS8" s="2"/>
      <c r="AT8" s="12" t="s">
        <v>432</v>
      </c>
      <c r="AU8" s="13" t="s">
        <v>402</v>
      </c>
      <c r="AV8" s="13" t="s">
        <v>100</v>
      </c>
      <c r="AW8" s="11" t="s">
        <v>404</v>
      </c>
      <c r="AX8" s="14" t="s">
        <v>431</v>
      </c>
      <c r="AY8" s="13" t="s">
        <v>445</v>
      </c>
      <c r="AZ8" s="2"/>
      <c r="BC8" s="2"/>
    </row>
    <row r="9" spans="1:55" x14ac:dyDescent="0.5">
      <c r="G9" s="1" t="s">
        <v>336</v>
      </c>
      <c r="H9" s="1" t="s">
        <v>336</v>
      </c>
      <c r="I9" s="1" t="s">
        <v>336</v>
      </c>
      <c r="L9" s="1" t="s">
        <v>300</v>
      </c>
      <c r="M9" s="1" t="s">
        <v>446</v>
      </c>
      <c r="N9" s="1" t="s">
        <v>447</v>
      </c>
      <c r="O9" s="1" t="s">
        <v>448</v>
      </c>
      <c r="P9" s="1" t="s">
        <v>449</v>
      </c>
      <c r="Q9" s="1" t="s">
        <v>294</v>
      </c>
      <c r="S9" s="1" t="s">
        <v>300</v>
      </c>
      <c r="T9" s="1" t="s">
        <v>446</v>
      </c>
      <c r="U9" s="1" t="s">
        <v>447</v>
      </c>
      <c r="V9" s="1" t="s">
        <v>448</v>
      </c>
      <c r="W9" s="1" t="s">
        <v>449</v>
      </c>
      <c r="X9" s="1" t="s">
        <v>294</v>
      </c>
      <c r="Y9" s="1" t="s">
        <v>420</v>
      </c>
      <c r="Z9" s="1" t="s">
        <v>450</v>
      </c>
      <c r="AA9" s="1" t="s">
        <v>451</v>
      </c>
      <c r="AB9" s="1" t="s">
        <v>452</v>
      </c>
      <c r="AC9" s="1" t="s">
        <v>453</v>
      </c>
      <c r="AD9" s="1" t="s">
        <v>310</v>
      </c>
      <c r="AE9" s="1" t="s">
        <v>454</v>
      </c>
      <c r="AF9" s="1" t="s">
        <v>455</v>
      </c>
      <c r="AG9" s="1" t="s">
        <v>431</v>
      </c>
      <c r="AL9" s="2" t="s">
        <v>300</v>
      </c>
      <c r="AM9" s="2" t="s">
        <v>456</v>
      </c>
      <c r="AN9" s="2" t="s">
        <v>457</v>
      </c>
      <c r="AO9" s="2" t="s">
        <v>419</v>
      </c>
      <c r="AP9" s="2" t="s">
        <v>458</v>
      </c>
      <c r="AQ9" s="2" t="s">
        <v>459</v>
      </c>
      <c r="AR9" s="2"/>
      <c r="AS9" s="2"/>
      <c r="AT9" s="11" t="s">
        <v>300</v>
      </c>
      <c r="AU9" s="12" t="s">
        <v>413</v>
      </c>
      <c r="AV9" s="13" t="s">
        <v>428</v>
      </c>
      <c r="AW9" s="14" t="s">
        <v>386</v>
      </c>
      <c r="AX9" s="14" t="s">
        <v>393</v>
      </c>
      <c r="AY9" s="14" t="s">
        <v>460</v>
      </c>
      <c r="AZ9" s="2"/>
      <c r="BC9" s="2"/>
    </row>
    <row r="10" spans="1:55" x14ac:dyDescent="0.5">
      <c r="L10" s="1" t="s">
        <v>461</v>
      </c>
      <c r="M10" s="1" t="s">
        <v>462</v>
      </c>
      <c r="N10" s="1" t="s">
        <v>411</v>
      </c>
      <c r="O10" s="1" t="s">
        <v>427</v>
      </c>
      <c r="P10" s="1" t="s">
        <v>404</v>
      </c>
      <c r="Q10" s="1" t="s">
        <v>295</v>
      </c>
      <c r="S10" s="1" t="s">
        <v>461</v>
      </c>
      <c r="T10" s="1" t="s">
        <v>462</v>
      </c>
      <c r="U10" s="1" t="s">
        <v>411</v>
      </c>
      <c r="V10" s="1" t="s">
        <v>427</v>
      </c>
      <c r="W10" s="1" t="s">
        <v>404</v>
      </c>
      <c r="X10" s="1" t="s">
        <v>295</v>
      </c>
      <c r="Y10" s="1" t="s">
        <v>66</v>
      </c>
      <c r="Z10" s="1" t="s">
        <v>310</v>
      </c>
      <c r="AA10" s="1" t="s">
        <v>463</v>
      </c>
      <c r="AB10" s="1" t="s">
        <v>464</v>
      </c>
      <c r="AC10" s="1" t="s">
        <v>465</v>
      </c>
      <c r="AD10" s="1" t="s">
        <v>297</v>
      </c>
      <c r="AE10" s="1" t="s">
        <v>466</v>
      </c>
      <c r="AF10" s="1" t="s">
        <v>467</v>
      </c>
      <c r="AG10" s="1" t="s">
        <v>468</v>
      </c>
      <c r="AL10" s="2" t="s">
        <v>461</v>
      </c>
      <c r="AM10" s="2" t="s">
        <v>469</v>
      </c>
      <c r="AN10" s="2" t="s">
        <v>470</v>
      </c>
      <c r="AO10" s="2" t="s">
        <v>471</v>
      </c>
      <c r="AP10" s="2" t="s">
        <v>403</v>
      </c>
      <c r="AQ10" s="2" t="s">
        <v>312</v>
      </c>
      <c r="AR10" s="2"/>
      <c r="AS10" s="2"/>
      <c r="AT10" s="12" t="s">
        <v>461</v>
      </c>
      <c r="AU10" s="14" t="s">
        <v>297</v>
      </c>
      <c r="AV10" s="14" t="s">
        <v>442</v>
      </c>
      <c r="AW10" s="12" t="s">
        <v>419</v>
      </c>
      <c r="AX10" s="14" t="s">
        <v>445</v>
      </c>
      <c r="AY10" s="13" t="s">
        <v>472</v>
      </c>
      <c r="AZ10" s="2"/>
      <c r="BC10" s="2"/>
    </row>
    <row r="11" spans="1:55" x14ac:dyDescent="0.5">
      <c r="G11" s="87" t="s">
        <v>355</v>
      </c>
      <c r="H11" s="87" t="s">
        <v>382</v>
      </c>
      <c r="I11" s="87" t="s">
        <v>473</v>
      </c>
      <c r="J11" s="87" t="s">
        <v>416</v>
      </c>
      <c r="L11" s="1" t="s">
        <v>411</v>
      </c>
      <c r="M11" s="1" t="s">
        <v>474</v>
      </c>
      <c r="N11" s="1" t="s">
        <v>475</v>
      </c>
      <c r="O11" s="1" t="s">
        <v>446</v>
      </c>
      <c r="P11" s="1" t="s">
        <v>418</v>
      </c>
      <c r="Q11" s="1" t="s">
        <v>476</v>
      </c>
      <c r="S11" s="1" t="s">
        <v>411</v>
      </c>
      <c r="T11" s="1" t="s">
        <v>474</v>
      </c>
      <c r="U11" s="1" t="s">
        <v>475</v>
      </c>
      <c r="V11" s="1" t="s">
        <v>446</v>
      </c>
      <c r="W11" s="1" t="s">
        <v>418</v>
      </c>
      <c r="X11" s="1" t="s">
        <v>476</v>
      </c>
      <c r="Y11" s="1" t="s">
        <v>100</v>
      </c>
      <c r="Z11" s="1" t="s">
        <v>367</v>
      </c>
      <c r="AA11" s="1" t="s">
        <v>477</v>
      </c>
      <c r="AB11" s="1" t="s">
        <v>310</v>
      </c>
      <c r="AC11" s="1" t="s">
        <v>478</v>
      </c>
      <c r="AD11" s="1" t="s">
        <v>479</v>
      </c>
      <c r="AE11" s="1" t="s">
        <v>445</v>
      </c>
      <c r="AF11" s="1" t="s">
        <v>480</v>
      </c>
      <c r="AG11" s="1" t="s">
        <v>481</v>
      </c>
      <c r="AL11" s="2" t="s">
        <v>482</v>
      </c>
      <c r="AM11" s="2" t="s">
        <v>483</v>
      </c>
      <c r="AN11" s="2" t="s">
        <v>411</v>
      </c>
      <c r="AO11" s="2" t="s">
        <v>413</v>
      </c>
      <c r="AP11" s="2" t="s">
        <v>413</v>
      </c>
      <c r="AQ11" s="2" t="s">
        <v>484</v>
      </c>
      <c r="AR11" s="2"/>
      <c r="AS11" s="2"/>
      <c r="AT11" s="11" t="s">
        <v>482</v>
      </c>
      <c r="AU11" s="11" t="s">
        <v>427</v>
      </c>
      <c r="AV11" s="13" t="s">
        <v>404</v>
      </c>
      <c r="AW11" s="13" t="s">
        <v>403</v>
      </c>
      <c r="AX11" s="14" t="s">
        <v>460</v>
      </c>
      <c r="AY11" s="13" t="s">
        <v>455</v>
      </c>
      <c r="AZ11" s="2"/>
      <c r="BC11" s="2"/>
    </row>
    <row r="12" spans="1:55" x14ac:dyDescent="0.5">
      <c r="G12" s="1" t="s">
        <v>369</v>
      </c>
      <c r="H12" s="1" t="s">
        <v>369</v>
      </c>
      <c r="I12" s="1" t="s">
        <v>369</v>
      </c>
      <c r="J12" s="1" t="s">
        <v>369</v>
      </c>
      <c r="L12" s="1" t="s">
        <v>485</v>
      </c>
      <c r="M12" s="1" t="s">
        <v>485</v>
      </c>
      <c r="N12" s="1" t="s">
        <v>436</v>
      </c>
      <c r="O12" s="1" t="s">
        <v>486</v>
      </c>
      <c r="P12" s="1" t="s">
        <v>487</v>
      </c>
      <c r="Q12" s="1" t="s">
        <v>404</v>
      </c>
      <c r="S12" s="1" t="s">
        <v>485</v>
      </c>
      <c r="T12" s="1" t="s">
        <v>485</v>
      </c>
      <c r="U12" s="1" t="s">
        <v>436</v>
      </c>
      <c r="V12" s="1" t="s">
        <v>486</v>
      </c>
      <c r="W12" s="1" t="s">
        <v>487</v>
      </c>
      <c r="X12" s="1" t="s">
        <v>404</v>
      </c>
      <c r="Y12" s="1" t="s">
        <v>405</v>
      </c>
      <c r="Z12" s="1" t="s">
        <v>488</v>
      </c>
      <c r="AA12" s="1" t="s">
        <v>489</v>
      </c>
      <c r="AB12" s="1" t="s">
        <v>490</v>
      </c>
      <c r="AC12" s="1" t="s">
        <v>95</v>
      </c>
      <c r="AD12" s="1" t="s">
        <v>456</v>
      </c>
      <c r="AE12" s="1" t="s">
        <v>491</v>
      </c>
      <c r="AF12" s="1" t="s">
        <v>492</v>
      </c>
      <c r="AG12" s="1" t="s">
        <v>493</v>
      </c>
      <c r="AL12" s="2" t="s">
        <v>494</v>
      </c>
      <c r="AM12" s="2" t="s">
        <v>495</v>
      </c>
      <c r="AN12" s="2" t="s">
        <v>56</v>
      </c>
      <c r="AO12" s="2" t="s">
        <v>496</v>
      </c>
      <c r="AP12" s="2" t="s">
        <v>497</v>
      </c>
      <c r="AQ12" s="2" t="s">
        <v>498</v>
      </c>
      <c r="AR12" s="2"/>
      <c r="AS12" s="2"/>
      <c r="AT12" s="12" t="s">
        <v>494</v>
      </c>
      <c r="AU12" s="13" t="s">
        <v>433</v>
      </c>
      <c r="AV12" s="14" t="s">
        <v>386</v>
      </c>
      <c r="AW12" s="14" t="s">
        <v>418</v>
      </c>
      <c r="AX12" s="13" t="s">
        <v>472</v>
      </c>
      <c r="AY12" s="14" t="s">
        <v>454</v>
      </c>
      <c r="AZ12" s="2"/>
      <c r="BC12" s="2"/>
    </row>
    <row r="13" spans="1:55" x14ac:dyDescent="0.5">
      <c r="G13" s="1" t="s">
        <v>370</v>
      </c>
      <c r="H13" s="1" t="s">
        <v>370</v>
      </c>
      <c r="I13" s="1" t="s">
        <v>370</v>
      </c>
      <c r="J13" s="1" t="s">
        <v>370</v>
      </c>
      <c r="L13" s="1" t="s">
        <v>494</v>
      </c>
      <c r="M13" s="1" t="s">
        <v>499</v>
      </c>
      <c r="N13" s="1" t="s">
        <v>500</v>
      </c>
      <c r="O13" s="1" t="s">
        <v>474</v>
      </c>
      <c r="P13" s="1" t="s">
        <v>501</v>
      </c>
      <c r="Q13" s="1" t="s">
        <v>502</v>
      </c>
      <c r="S13" s="1" t="s">
        <v>494</v>
      </c>
      <c r="T13" s="1" t="s">
        <v>499</v>
      </c>
      <c r="U13" s="1" t="s">
        <v>500</v>
      </c>
      <c r="V13" s="1" t="s">
        <v>474</v>
      </c>
      <c r="W13" s="1" t="s">
        <v>501</v>
      </c>
      <c r="X13" s="1" t="s">
        <v>502</v>
      </c>
      <c r="Y13" s="1" t="s">
        <v>503</v>
      </c>
      <c r="Z13" s="1" t="s">
        <v>504</v>
      </c>
      <c r="AA13" s="1" t="s">
        <v>304</v>
      </c>
      <c r="AB13" s="1" t="s">
        <v>505</v>
      </c>
      <c r="AC13" s="1" t="s">
        <v>397</v>
      </c>
      <c r="AD13" s="1" t="s">
        <v>506</v>
      </c>
      <c r="AE13" s="1" t="s">
        <v>507</v>
      </c>
      <c r="AF13" s="1" t="s">
        <v>300</v>
      </c>
      <c r="AG13" s="1" t="s">
        <v>506</v>
      </c>
      <c r="AL13" s="2" t="s">
        <v>508</v>
      </c>
      <c r="AM13" s="2" t="s">
        <v>509</v>
      </c>
      <c r="AN13" s="2" t="s">
        <v>408</v>
      </c>
      <c r="AO13" s="2" t="s">
        <v>510</v>
      </c>
      <c r="AP13" s="2" t="s">
        <v>418</v>
      </c>
      <c r="AQ13" s="2" t="s">
        <v>467</v>
      </c>
      <c r="AR13" s="2"/>
      <c r="AS13" s="2"/>
      <c r="AT13" s="11" t="s">
        <v>508</v>
      </c>
      <c r="AU13" s="14" t="s">
        <v>446</v>
      </c>
      <c r="AV13" s="14" t="s">
        <v>419</v>
      </c>
      <c r="AW13" s="13" t="s">
        <v>298</v>
      </c>
      <c r="AX13" s="14" t="s">
        <v>455</v>
      </c>
      <c r="AY13" s="13" t="s">
        <v>365</v>
      </c>
      <c r="AZ13" s="2"/>
      <c r="BC13" s="2"/>
    </row>
    <row r="14" spans="1:55" x14ac:dyDescent="0.5">
      <c r="G14" s="1" t="s">
        <v>371</v>
      </c>
      <c r="H14" s="1" t="s">
        <v>371</v>
      </c>
      <c r="I14" s="1" t="s">
        <v>371</v>
      </c>
      <c r="J14" s="1" t="s">
        <v>371</v>
      </c>
      <c r="L14" s="1" t="s">
        <v>511</v>
      </c>
      <c r="M14" s="1" t="s">
        <v>436</v>
      </c>
      <c r="N14" s="1" t="s">
        <v>302</v>
      </c>
      <c r="O14" s="1" t="s">
        <v>512</v>
      </c>
      <c r="P14" s="1" t="s">
        <v>457</v>
      </c>
      <c r="Q14" s="1" t="s">
        <v>513</v>
      </c>
      <c r="S14" s="1" t="s">
        <v>511</v>
      </c>
      <c r="T14" s="1" t="s">
        <v>436</v>
      </c>
      <c r="U14" s="1" t="s">
        <v>302</v>
      </c>
      <c r="V14" s="1" t="s">
        <v>512</v>
      </c>
      <c r="W14" s="1" t="s">
        <v>457</v>
      </c>
      <c r="X14" s="1" t="s">
        <v>513</v>
      </c>
      <c r="Y14" s="1" t="s">
        <v>514</v>
      </c>
      <c r="Z14" s="1" t="s">
        <v>511</v>
      </c>
      <c r="AA14" s="1" t="s">
        <v>515</v>
      </c>
      <c r="AB14" s="1" t="s">
        <v>516</v>
      </c>
      <c r="AC14" s="1" t="s">
        <v>517</v>
      </c>
      <c r="AD14" s="1" t="s">
        <v>518</v>
      </c>
      <c r="AE14" s="1" t="s">
        <v>519</v>
      </c>
      <c r="AF14" s="1" t="s">
        <v>475</v>
      </c>
      <c r="AG14" s="1" t="s">
        <v>518</v>
      </c>
      <c r="AL14" s="2" t="s">
        <v>520</v>
      </c>
      <c r="AM14" s="2" t="s">
        <v>521</v>
      </c>
      <c r="AN14" s="2" t="s">
        <v>494</v>
      </c>
      <c r="AO14" s="2" t="s">
        <v>522</v>
      </c>
      <c r="AP14" s="2" t="s">
        <v>447</v>
      </c>
      <c r="AQ14" s="2" t="s">
        <v>523</v>
      </c>
      <c r="AR14" s="2"/>
      <c r="AS14" s="2"/>
      <c r="AT14" s="12" t="s">
        <v>520</v>
      </c>
      <c r="AU14" s="13" t="s">
        <v>462</v>
      </c>
      <c r="AV14" s="12" t="s">
        <v>471</v>
      </c>
      <c r="AW14" s="11" t="s">
        <v>457</v>
      </c>
      <c r="AX14" s="14" t="s">
        <v>429</v>
      </c>
      <c r="AY14" s="13" t="s">
        <v>524</v>
      </c>
      <c r="AZ14" s="2"/>
      <c r="BC14" s="2"/>
    </row>
    <row r="15" spans="1:55" x14ac:dyDescent="0.5">
      <c r="G15" s="1" t="s">
        <v>372</v>
      </c>
      <c r="H15" s="1" t="s">
        <v>372</v>
      </c>
      <c r="I15" s="1" t="s">
        <v>372</v>
      </c>
      <c r="J15" s="1" t="s">
        <v>372</v>
      </c>
      <c r="L15" s="1" t="s">
        <v>508</v>
      </c>
      <c r="M15" s="1" t="s">
        <v>456</v>
      </c>
      <c r="N15" s="1" t="s">
        <v>408</v>
      </c>
      <c r="O15" s="1" t="s">
        <v>56</v>
      </c>
      <c r="P15" s="1" t="s">
        <v>447</v>
      </c>
      <c r="Q15" s="1" t="s">
        <v>394</v>
      </c>
      <c r="S15" s="1" t="s">
        <v>508</v>
      </c>
      <c r="T15" s="1" t="s">
        <v>456</v>
      </c>
      <c r="U15" s="1" t="s">
        <v>408</v>
      </c>
      <c r="V15" s="1" t="s">
        <v>56</v>
      </c>
      <c r="W15" s="1" t="s">
        <v>447</v>
      </c>
      <c r="X15" s="1" t="s">
        <v>394</v>
      </c>
      <c r="Y15" s="1" t="s">
        <v>363</v>
      </c>
      <c r="Z15" s="1" t="s">
        <v>298</v>
      </c>
      <c r="AA15" s="1" t="s">
        <v>525</v>
      </c>
      <c r="AB15" s="1" t="s">
        <v>298</v>
      </c>
      <c r="AC15" s="1" t="s">
        <v>305</v>
      </c>
      <c r="AD15" s="1" t="s">
        <v>526</v>
      </c>
      <c r="AE15" s="1" t="s">
        <v>460</v>
      </c>
      <c r="AF15" s="1" t="s">
        <v>448</v>
      </c>
      <c r="AG15" s="1" t="s">
        <v>500</v>
      </c>
      <c r="AL15" s="2" t="s">
        <v>527</v>
      </c>
      <c r="AM15" s="2" t="s">
        <v>528</v>
      </c>
      <c r="AN15" s="2" t="s">
        <v>95</v>
      </c>
      <c r="AO15" s="2" t="s">
        <v>529</v>
      </c>
      <c r="AP15" s="2" t="s">
        <v>530</v>
      </c>
      <c r="AQ15" s="2" t="s">
        <v>531</v>
      </c>
      <c r="AR15" s="2"/>
      <c r="AS15" s="2"/>
      <c r="AT15" s="11" t="s">
        <v>527</v>
      </c>
      <c r="AU15" s="14" t="s">
        <v>474</v>
      </c>
      <c r="AV15" s="13" t="s">
        <v>403</v>
      </c>
      <c r="AW15" s="14" t="s">
        <v>447</v>
      </c>
      <c r="AX15" s="14" t="s">
        <v>454</v>
      </c>
      <c r="AY15" s="13" t="s">
        <v>519</v>
      </c>
      <c r="AZ15" s="2"/>
      <c r="BC15" s="2"/>
    </row>
    <row r="16" spans="1:55" x14ac:dyDescent="0.5">
      <c r="G16" s="1" t="s">
        <v>373</v>
      </c>
      <c r="H16" s="1" t="s">
        <v>373</v>
      </c>
      <c r="I16" s="1" t="s">
        <v>373</v>
      </c>
      <c r="J16" s="1" t="s">
        <v>373</v>
      </c>
      <c r="L16" s="1" t="s">
        <v>304</v>
      </c>
      <c r="M16" s="1" t="s">
        <v>302</v>
      </c>
      <c r="N16" s="1" t="s">
        <v>532</v>
      </c>
      <c r="O16" s="1" t="s">
        <v>533</v>
      </c>
      <c r="P16" s="1" t="s">
        <v>534</v>
      </c>
      <c r="Q16" s="1" t="s">
        <v>487</v>
      </c>
      <c r="S16" s="1" t="s">
        <v>304</v>
      </c>
      <c r="T16" s="1" t="s">
        <v>302</v>
      </c>
      <c r="U16" s="1" t="s">
        <v>532</v>
      </c>
      <c r="V16" s="1" t="s">
        <v>533</v>
      </c>
      <c r="W16" s="1" t="s">
        <v>534</v>
      </c>
      <c r="X16" s="1" t="s">
        <v>487</v>
      </c>
      <c r="Y16" s="1" t="s">
        <v>535</v>
      </c>
      <c r="Z16" s="1" t="s">
        <v>301</v>
      </c>
      <c r="AA16" s="1" t="s">
        <v>536</v>
      </c>
      <c r="AB16" s="1" t="s">
        <v>362</v>
      </c>
      <c r="AC16" s="1" t="s">
        <v>537</v>
      </c>
      <c r="AD16" s="1" t="s">
        <v>538</v>
      </c>
      <c r="AE16" s="1" t="s">
        <v>472</v>
      </c>
      <c r="AF16" s="1" t="s">
        <v>539</v>
      </c>
      <c r="AG16" s="1" t="s">
        <v>529</v>
      </c>
      <c r="AL16" s="2" t="s">
        <v>451</v>
      </c>
      <c r="AM16" s="2" t="s">
        <v>540</v>
      </c>
      <c r="AN16" s="2" t="s">
        <v>511</v>
      </c>
      <c r="AO16" s="2" t="s">
        <v>541</v>
      </c>
      <c r="AP16" s="2" t="s">
        <v>534</v>
      </c>
      <c r="AQ16" s="2" t="s">
        <v>542</v>
      </c>
      <c r="AR16" s="2"/>
      <c r="AS16" s="2"/>
      <c r="AT16" s="12" t="s">
        <v>451</v>
      </c>
      <c r="AU16" s="12" t="s">
        <v>411</v>
      </c>
      <c r="AV16" s="13" t="s">
        <v>413</v>
      </c>
      <c r="AW16" s="11" t="s">
        <v>411</v>
      </c>
      <c r="AX16" s="14" t="s">
        <v>365</v>
      </c>
      <c r="AY16" s="13" t="s">
        <v>543</v>
      </c>
      <c r="AZ16" s="2"/>
      <c r="BC16" s="2"/>
    </row>
    <row r="17" spans="7:55" x14ac:dyDescent="0.5">
      <c r="G17" s="1" t="s">
        <v>374</v>
      </c>
      <c r="H17" s="1" t="s">
        <v>374</v>
      </c>
      <c r="I17" s="1" t="s">
        <v>374</v>
      </c>
      <c r="J17" s="1" t="s">
        <v>374</v>
      </c>
      <c r="L17" s="1" t="s">
        <v>544</v>
      </c>
      <c r="M17" s="1" t="s">
        <v>304</v>
      </c>
      <c r="N17" s="1" t="s">
        <v>494</v>
      </c>
      <c r="O17" s="1" t="s">
        <v>545</v>
      </c>
      <c r="P17" s="1" t="s">
        <v>546</v>
      </c>
      <c r="Q17" s="1" t="s">
        <v>501</v>
      </c>
      <c r="S17" s="1" t="s">
        <v>544</v>
      </c>
      <c r="T17" s="1" t="s">
        <v>304</v>
      </c>
      <c r="U17" s="1" t="s">
        <v>494</v>
      </c>
      <c r="V17" s="1" t="s">
        <v>545</v>
      </c>
      <c r="W17" s="1" t="s">
        <v>546</v>
      </c>
      <c r="X17" s="1" t="s">
        <v>501</v>
      </c>
      <c r="Y17" s="1" t="s">
        <v>309</v>
      </c>
      <c r="Z17" s="1" t="s">
        <v>453</v>
      </c>
      <c r="AA17" s="1" t="s">
        <v>547</v>
      </c>
      <c r="AB17" s="1" t="s">
        <v>548</v>
      </c>
      <c r="AC17" s="1" t="s">
        <v>454</v>
      </c>
      <c r="AD17" s="1" t="s">
        <v>549</v>
      </c>
      <c r="AE17" s="1" t="s">
        <v>550</v>
      </c>
      <c r="AF17" s="1" t="s">
        <v>551</v>
      </c>
      <c r="AG17" s="1" t="s">
        <v>419</v>
      </c>
      <c r="AL17" s="2" t="s">
        <v>552</v>
      </c>
      <c r="AM17" s="2" t="s">
        <v>553</v>
      </c>
      <c r="AN17" s="2" t="s">
        <v>554</v>
      </c>
      <c r="AO17" s="2" t="s">
        <v>494</v>
      </c>
      <c r="AP17" s="2" t="s">
        <v>446</v>
      </c>
      <c r="AQ17" s="2" t="s">
        <v>555</v>
      </c>
      <c r="AR17" s="2"/>
      <c r="AS17" s="2"/>
      <c r="AT17" s="11" t="s">
        <v>552</v>
      </c>
      <c r="AU17" s="13" t="s">
        <v>485</v>
      </c>
      <c r="AV17" s="14" t="s">
        <v>418</v>
      </c>
      <c r="AW17" s="12" t="s">
        <v>56</v>
      </c>
      <c r="AX17" s="14" t="s">
        <v>405</v>
      </c>
      <c r="AY17" s="13" t="s">
        <v>419</v>
      </c>
      <c r="AZ17" s="2"/>
      <c r="BC17" s="2"/>
    </row>
    <row r="18" spans="7:55" x14ac:dyDescent="0.5">
      <c r="L18" s="1" t="s">
        <v>556</v>
      </c>
      <c r="M18" s="1" t="s">
        <v>556</v>
      </c>
      <c r="N18" s="1" t="s">
        <v>557</v>
      </c>
      <c r="O18" s="1" t="s">
        <v>522</v>
      </c>
      <c r="P18" s="1" t="s">
        <v>512</v>
      </c>
      <c r="Q18" s="1" t="s">
        <v>558</v>
      </c>
      <c r="S18" s="1" t="s">
        <v>556</v>
      </c>
      <c r="T18" s="1" t="s">
        <v>556</v>
      </c>
      <c r="U18" s="1" t="s">
        <v>557</v>
      </c>
      <c r="V18" s="1" t="s">
        <v>522</v>
      </c>
      <c r="W18" s="1" t="s">
        <v>512</v>
      </c>
      <c r="X18" s="1" t="s">
        <v>558</v>
      </c>
      <c r="Y18" s="1" t="s">
        <v>559</v>
      </c>
      <c r="Z18" s="1" t="s">
        <v>465</v>
      </c>
      <c r="AA18" s="1" t="s">
        <v>453</v>
      </c>
      <c r="AB18" s="1" t="s">
        <v>418</v>
      </c>
      <c r="AC18" s="1" t="s">
        <v>507</v>
      </c>
      <c r="AD18" s="1" t="s">
        <v>432</v>
      </c>
      <c r="AE18" s="1" t="s">
        <v>560</v>
      </c>
      <c r="AF18" s="1" t="s">
        <v>90</v>
      </c>
      <c r="AG18" s="1" t="s">
        <v>561</v>
      </c>
      <c r="AL18" s="2" t="s">
        <v>562</v>
      </c>
      <c r="AM18" s="2" t="s">
        <v>563</v>
      </c>
      <c r="AN18" s="2" t="s">
        <v>564</v>
      </c>
      <c r="AO18" s="2" t="s">
        <v>477</v>
      </c>
      <c r="AP18" s="2" t="s">
        <v>474</v>
      </c>
      <c r="AQ18" s="2" t="s">
        <v>565</v>
      </c>
      <c r="AR18" s="2"/>
      <c r="AS18" s="2"/>
      <c r="AT18" s="12" t="s">
        <v>562</v>
      </c>
      <c r="AU18" s="14" t="s">
        <v>499</v>
      </c>
      <c r="AV18" s="13" t="s">
        <v>298</v>
      </c>
      <c r="AW18" s="11" t="s">
        <v>475</v>
      </c>
      <c r="AX18" s="14" t="s">
        <v>524</v>
      </c>
      <c r="AY18" s="13" t="s">
        <v>394</v>
      </c>
      <c r="AZ18" s="2"/>
      <c r="BC18" s="2"/>
    </row>
    <row r="19" spans="7:55" x14ac:dyDescent="0.5">
      <c r="G19" s="87" t="s">
        <v>356</v>
      </c>
      <c r="H19" s="87" t="s">
        <v>566</v>
      </c>
      <c r="I19" s="87" t="s">
        <v>400</v>
      </c>
      <c r="L19" s="1" t="s">
        <v>556</v>
      </c>
      <c r="M19" s="1" t="s">
        <v>495</v>
      </c>
      <c r="N19" s="1" t="s">
        <v>95</v>
      </c>
      <c r="O19" s="1" t="s">
        <v>539</v>
      </c>
      <c r="P19" s="1" t="s">
        <v>567</v>
      </c>
      <c r="Q19" s="1" t="s">
        <v>568</v>
      </c>
      <c r="S19" s="1" t="s">
        <v>556</v>
      </c>
      <c r="T19" s="1" t="s">
        <v>495</v>
      </c>
      <c r="U19" s="1" t="s">
        <v>95</v>
      </c>
      <c r="V19" s="1" t="s">
        <v>539</v>
      </c>
      <c r="W19" s="1" t="s">
        <v>567</v>
      </c>
      <c r="X19" s="1" t="s">
        <v>568</v>
      </c>
      <c r="Y19" s="1" t="s">
        <v>569</v>
      </c>
      <c r="Z19" s="1" t="s">
        <v>556</v>
      </c>
      <c r="AA19" s="1" t="s">
        <v>570</v>
      </c>
      <c r="AB19" s="1" t="s">
        <v>571</v>
      </c>
      <c r="AC19" s="1" t="s">
        <v>491</v>
      </c>
      <c r="AD19" s="1" t="s">
        <v>572</v>
      </c>
      <c r="AE19" s="1" t="s">
        <v>573</v>
      </c>
      <c r="AF19" s="1" t="s">
        <v>103</v>
      </c>
      <c r="AG19" s="1" t="s">
        <v>313</v>
      </c>
      <c r="AL19" s="2" t="s">
        <v>574</v>
      </c>
      <c r="AM19" s="2" t="s">
        <v>562</v>
      </c>
      <c r="AN19" s="2" t="s">
        <v>90</v>
      </c>
      <c r="AO19" s="2" t="s">
        <v>575</v>
      </c>
      <c r="AP19" s="2" t="s">
        <v>546</v>
      </c>
      <c r="AQ19" s="2" t="s">
        <v>576</v>
      </c>
      <c r="AR19" s="2"/>
      <c r="AS19" s="2"/>
      <c r="AT19" s="11" t="s">
        <v>574</v>
      </c>
      <c r="AU19" s="13" t="s">
        <v>436</v>
      </c>
      <c r="AV19" s="14" t="s">
        <v>448</v>
      </c>
      <c r="AW19" s="11" t="s">
        <v>436</v>
      </c>
      <c r="AX19" s="13" t="s">
        <v>519</v>
      </c>
      <c r="AY19" s="13" t="s">
        <v>441</v>
      </c>
      <c r="AZ19" s="2"/>
      <c r="BC19" s="2"/>
    </row>
    <row r="20" spans="7:55" x14ac:dyDescent="0.5">
      <c r="G20" s="1" t="s">
        <v>375</v>
      </c>
      <c r="H20" s="1" t="s">
        <v>375</v>
      </c>
      <c r="I20" s="1" t="s">
        <v>375</v>
      </c>
      <c r="L20" s="1" t="s">
        <v>577</v>
      </c>
      <c r="M20" s="1" t="s">
        <v>578</v>
      </c>
      <c r="N20" s="1" t="s">
        <v>483</v>
      </c>
      <c r="O20" s="1" t="s">
        <v>500</v>
      </c>
      <c r="P20" s="1" t="s">
        <v>56</v>
      </c>
      <c r="Q20" s="1" t="s">
        <v>579</v>
      </c>
      <c r="S20" s="1" t="s">
        <v>577</v>
      </c>
      <c r="T20" s="1" t="s">
        <v>578</v>
      </c>
      <c r="U20" s="1" t="s">
        <v>483</v>
      </c>
      <c r="V20" s="1" t="s">
        <v>500</v>
      </c>
      <c r="W20" s="1" t="s">
        <v>56</v>
      </c>
      <c r="X20" s="1" t="s">
        <v>579</v>
      </c>
      <c r="Y20" s="1" t="s">
        <v>580</v>
      </c>
      <c r="Z20" s="1" t="s">
        <v>581</v>
      </c>
      <c r="AA20" s="1" t="s">
        <v>582</v>
      </c>
      <c r="AB20" s="1" t="s">
        <v>555</v>
      </c>
      <c r="AC20" s="1" t="s">
        <v>583</v>
      </c>
      <c r="AD20" s="1" t="s">
        <v>584</v>
      </c>
      <c r="AE20" s="1" t="s">
        <v>543</v>
      </c>
      <c r="AF20" s="1" t="s">
        <v>307</v>
      </c>
      <c r="AG20" s="1" t="s">
        <v>543</v>
      </c>
      <c r="AL20" s="2" t="s">
        <v>585</v>
      </c>
      <c r="AM20" s="2" t="s">
        <v>585</v>
      </c>
      <c r="AN20" s="2" t="s">
        <v>563</v>
      </c>
      <c r="AO20" s="2" t="s">
        <v>304</v>
      </c>
      <c r="AP20" s="2" t="s">
        <v>512</v>
      </c>
      <c r="AQ20" s="2" t="s">
        <v>320</v>
      </c>
      <c r="AR20" s="2"/>
      <c r="AS20" s="2"/>
      <c r="AT20" s="12" t="s">
        <v>585</v>
      </c>
      <c r="AU20" s="11" t="s">
        <v>456</v>
      </c>
      <c r="AV20" s="14" t="s">
        <v>447</v>
      </c>
      <c r="AW20" s="11" t="s">
        <v>500</v>
      </c>
      <c r="AX20" s="13" t="s">
        <v>543</v>
      </c>
      <c r="AY20" s="13" t="s">
        <v>466</v>
      </c>
      <c r="AZ20" s="2"/>
      <c r="BC20" s="2"/>
    </row>
    <row r="21" spans="7:55" x14ac:dyDescent="0.5">
      <c r="G21" s="1" t="s">
        <v>376</v>
      </c>
      <c r="H21" s="1" t="s">
        <v>376</v>
      </c>
      <c r="I21" s="1" t="s">
        <v>376</v>
      </c>
      <c r="L21" s="1" t="s">
        <v>310</v>
      </c>
      <c r="M21" s="1" t="s">
        <v>509</v>
      </c>
      <c r="N21" s="1" t="s">
        <v>491</v>
      </c>
      <c r="O21" s="1" t="s">
        <v>529</v>
      </c>
      <c r="P21" s="1" t="s">
        <v>485</v>
      </c>
      <c r="Q21" s="1" t="s">
        <v>586</v>
      </c>
      <c r="S21" s="1" t="s">
        <v>310</v>
      </c>
      <c r="T21" s="1" t="s">
        <v>509</v>
      </c>
      <c r="U21" s="1" t="s">
        <v>491</v>
      </c>
      <c r="V21" s="1" t="s">
        <v>529</v>
      </c>
      <c r="W21" s="1" t="s">
        <v>485</v>
      </c>
      <c r="X21" s="1" t="s">
        <v>586</v>
      </c>
      <c r="Y21" s="1" t="s">
        <v>447</v>
      </c>
      <c r="Z21" s="1" t="s">
        <v>587</v>
      </c>
      <c r="AA21" s="1" t="s">
        <v>588</v>
      </c>
      <c r="AB21" s="1" t="s">
        <v>589</v>
      </c>
      <c r="AC21" s="1" t="s">
        <v>590</v>
      </c>
      <c r="AD21" s="1" t="s">
        <v>591</v>
      </c>
      <c r="AE21" s="1" t="s">
        <v>524</v>
      </c>
      <c r="AF21" s="1" t="s">
        <v>405</v>
      </c>
      <c r="AG21" s="1" t="s">
        <v>592</v>
      </c>
      <c r="AL21" s="2" t="s">
        <v>593</v>
      </c>
      <c r="AM21" s="2" t="s">
        <v>594</v>
      </c>
      <c r="AN21" s="2" t="s">
        <v>547</v>
      </c>
      <c r="AO21" s="2" t="s">
        <v>556</v>
      </c>
      <c r="AP21" s="2" t="s">
        <v>480</v>
      </c>
      <c r="AQ21" s="2" t="s">
        <v>595</v>
      </c>
      <c r="AR21" s="2"/>
      <c r="AS21" s="2"/>
      <c r="AT21" s="11" t="s">
        <v>593</v>
      </c>
      <c r="AU21" s="13" t="s">
        <v>302</v>
      </c>
      <c r="AV21" s="13" t="s">
        <v>427</v>
      </c>
      <c r="AW21" s="11" t="s">
        <v>302</v>
      </c>
      <c r="AX21" s="14" t="s">
        <v>596</v>
      </c>
      <c r="AY21" s="13" t="s">
        <v>298</v>
      </c>
      <c r="AZ21" s="2"/>
      <c r="BC21" s="2"/>
    </row>
    <row r="22" spans="7:55" x14ac:dyDescent="0.5">
      <c r="G22" s="1" t="s">
        <v>377</v>
      </c>
      <c r="H22" s="1" t="s">
        <v>377</v>
      </c>
      <c r="I22" s="1" t="s">
        <v>377</v>
      </c>
      <c r="L22" s="1" t="s">
        <v>90</v>
      </c>
      <c r="M22" s="1" t="s">
        <v>367</v>
      </c>
      <c r="N22" s="1" t="s">
        <v>597</v>
      </c>
      <c r="O22" s="1" t="s">
        <v>597</v>
      </c>
      <c r="P22" s="1" t="s">
        <v>598</v>
      </c>
      <c r="Q22" s="1" t="s">
        <v>599</v>
      </c>
      <c r="S22" s="1" t="s">
        <v>90</v>
      </c>
      <c r="T22" s="1" t="s">
        <v>367</v>
      </c>
      <c r="U22" s="1" t="s">
        <v>597</v>
      </c>
      <c r="V22" s="1" t="s">
        <v>597</v>
      </c>
      <c r="W22" s="1" t="s">
        <v>598</v>
      </c>
      <c r="X22" s="1" t="s">
        <v>599</v>
      </c>
      <c r="Y22" s="1" t="s">
        <v>600</v>
      </c>
      <c r="Z22" s="1" t="s">
        <v>509</v>
      </c>
      <c r="AA22" s="1" t="s">
        <v>541</v>
      </c>
      <c r="AB22" s="1" t="s">
        <v>489</v>
      </c>
      <c r="AC22" s="1" t="s">
        <v>601</v>
      </c>
      <c r="AD22" s="1" t="s">
        <v>317</v>
      </c>
      <c r="AE22" s="1" t="s">
        <v>602</v>
      </c>
      <c r="AF22" s="1" t="s">
        <v>583</v>
      </c>
      <c r="AG22" s="1" t="s">
        <v>603</v>
      </c>
      <c r="AL22" s="2" t="s">
        <v>604</v>
      </c>
      <c r="AM22" s="2" t="s">
        <v>605</v>
      </c>
      <c r="AN22" s="2" t="s">
        <v>503</v>
      </c>
      <c r="AO22" s="2" t="s">
        <v>540</v>
      </c>
      <c r="AP22" s="2" t="s">
        <v>411</v>
      </c>
      <c r="AT22" s="11" t="s">
        <v>594</v>
      </c>
      <c r="AU22" s="13" t="s">
        <v>469</v>
      </c>
      <c r="AV22" s="14" t="s">
        <v>496</v>
      </c>
      <c r="AW22" s="11" t="s">
        <v>408</v>
      </c>
      <c r="AX22" s="14" t="s">
        <v>419</v>
      </c>
      <c r="AY22" s="13" t="s">
        <v>457</v>
      </c>
    </row>
    <row r="23" spans="7:55" x14ac:dyDescent="0.5">
      <c r="G23" s="1" t="s">
        <v>378</v>
      </c>
      <c r="H23" s="1" t="s">
        <v>378</v>
      </c>
      <c r="I23" s="1" t="s">
        <v>378</v>
      </c>
      <c r="L23" s="1" t="s">
        <v>528</v>
      </c>
      <c r="M23" s="1" t="s">
        <v>521</v>
      </c>
      <c r="N23" s="1" t="s">
        <v>597</v>
      </c>
      <c r="O23" s="1" t="s">
        <v>556</v>
      </c>
      <c r="P23" s="1" t="s">
        <v>301</v>
      </c>
      <c r="Q23" s="1" t="s">
        <v>446</v>
      </c>
      <c r="S23" s="1" t="s">
        <v>528</v>
      </c>
      <c r="T23" s="1" t="s">
        <v>521</v>
      </c>
      <c r="U23" s="1" t="s">
        <v>597</v>
      </c>
      <c r="V23" s="1" t="s">
        <v>556</v>
      </c>
      <c r="W23" s="1" t="s">
        <v>301</v>
      </c>
      <c r="X23" s="1" t="s">
        <v>446</v>
      </c>
      <c r="Y23" s="1" t="s">
        <v>310</v>
      </c>
      <c r="Z23" s="1" t="s">
        <v>606</v>
      </c>
      <c r="AA23" s="1" t="s">
        <v>607</v>
      </c>
      <c r="AB23" s="1" t="s">
        <v>463</v>
      </c>
      <c r="AC23" s="1" t="s">
        <v>608</v>
      </c>
      <c r="AD23" s="1" t="s">
        <v>535</v>
      </c>
      <c r="AE23" s="1" t="s">
        <v>494</v>
      </c>
      <c r="AF23" s="1" t="s">
        <v>486</v>
      </c>
      <c r="AG23" s="1" t="s">
        <v>609</v>
      </c>
      <c r="AL23" s="2" t="s">
        <v>549</v>
      </c>
      <c r="AM23" s="2" t="s">
        <v>583</v>
      </c>
      <c r="AN23" s="2" t="s">
        <v>314</v>
      </c>
      <c r="AO23" s="2" t="s">
        <v>610</v>
      </c>
      <c r="AP23" s="2" t="s">
        <v>611</v>
      </c>
      <c r="AT23" s="12" t="s">
        <v>604</v>
      </c>
      <c r="AU23" s="13" t="s">
        <v>483</v>
      </c>
      <c r="AV23" s="14" t="s">
        <v>446</v>
      </c>
      <c r="AW23" s="13" t="s">
        <v>532</v>
      </c>
      <c r="AX23" s="13" t="s">
        <v>394</v>
      </c>
      <c r="AY23" s="13" t="s">
        <v>448</v>
      </c>
    </row>
    <row r="24" spans="7:55" x14ac:dyDescent="0.5">
      <c r="G24" s="1" t="s">
        <v>379</v>
      </c>
      <c r="H24" s="1" t="s">
        <v>379</v>
      </c>
      <c r="I24" s="1" t="s">
        <v>379</v>
      </c>
      <c r="L24" s="1" t="s">
        <v>527</v>
      </c>
      <c r="M24" s="1" t="s">
        <v>310</v>
      </c>
      <c r="N24" s="1" t="s">
        <v>305</v>
      </c>
      <c r="O24" s="1" t="s">
        <v>612</v>
      </c>
      <c r="P24" s="1" t="s">
        <v>302</v>
      </c>
      <c r="Q24" s="1" t="s">
        <v>486</v>
      </c>
      <c r="S24" s="1" t="s">
        <v>527</v>
      </c>
      <c r="T24" s="1" t="s">
        <v>310</v>
      </c>
      <c r="U24" s="1" t="s">
        <v>305</v>
      </c>
      <c r="V24" s="1" t="s">
        <v>612</v>
      </c>
      <c r="W24" s="1" t="s">
        <v>302</v>
      </c>
      <c r="X24" s="1" t="s">
        <v>486</v>
      </c>
      <c r="Y24" s="1" t="s">
        <v>450</v>
      </c>
      <c r="Z24" s="1" t="s">
        <v>361</v>
      </c>
      <c r="AA24" s="1" t="s">
        <v>613</v>
      </c>
      <c r="AB24" s="1" t="s">
        <v>581</v>
      </c>
      <c r="AC24" s="1" t="s">
        <v>543</v>
      </c>
      <c r="AD24" s="1" t="s">
        <v>614</v>
      </c>
      <c r="AE24" s="1" t="s">
        <v>614</v>
      </c>
      <c r="AF24" s="1" t="s">
        <v>615</v>
      </c>
      <c r="AG24" s="1" t="s">
        <v>516</v>
      </c>
      <c r="AL24" s="2" t="s">
        <v>103</v>
      </c>
      <c r="AM24" s="2" t="s">
        <v>615</v>
      </c>
      <c r="AN24" s="2" t="s">
        <v>616</v>
      </c>
      <c r="AO24" s="2" t="s">
        <v>617</v>
      </c>
      <c r="AP24" s="2" t="s">
        <v>302</v>
      </c>
      <c r="AT24" s="11" t="s">
        <v>549</v>
      </c>
      <c r="AU24" s="13" t="s">
        <v>304</v>
      </c>
      <c r="AV24" s="13" t="s">
        <v>486</v>
      </c>
      <c r="AW24" s="12" t="s">
        <v>494</v>
      </c>
      <c r="AX24" s="13" t="s">
        <v>518</v>
      </c>
      <c r="AY24" s="13" t="s">
        <v>618</v>
      </c>
    </row>
    <row r="25" spans="7:55" x14ac:dyDescent="0.5">
      <c r="G25" s="1" t="s">
        <v>619</v>
      </c>
      <c r="H25" s="1" t="s">
        <v>619</v>
      </c>
      <c r="I25" s="1" t="s">
        <v>619</v>
      </c>
      <c r="L25" s="1" t="s">
        <v>620</v>
      </c>
      <c r="M25" s="1" t="s">
        <v>90</v>
      </c>
      <c r="N25" s="1" t="s">
        <v>612</v>
      </c>
      <c r="O25" s="1" t="s">
        <v>610</v>
      </c>
      <c r="P25" s="1" t="s">
        <v>609</v>
      </c>
      <c r="Q25" s="1" t="s">
        <v>621</v>
      </c>
      <c r="S25" s="1" t="s">
        <v>620</v>
      </c>
      <c r="T25" s="1" t="s">
        <v>90</v>
      </c>
      <c r="U25" s="1" t="s">
        <v>612</v>
      </c>
      <c r="V25" s="1" t="s">
        <v>610</v>
      </c>
      <c r="W25" s="1" t="s">
        <v>609</v>
      </c>
      <c r="X25" s="1" t="s">
        <v>621</v>
      </c>
      <c r="Y25" s="1" t="s">
        <v>622</v>
      </c>
      <c r="Z25" s="1" t="s">
        <v>623</v>
      </c>
      <c r="AA25" s="1" t="s">
        <v>624</v>
      </c>
      <c r="AB25" s="1" t="s">
        <v>625</v>
      </c>
      <c r="AC25" s="1" t="s">
        <v>592</v>
      </c>
      <c r="AD25" s="1" t="s">
        <v>494</v>
      </c>
      <c r="AE25" s="1" t="s">
        <v>626</v>
      </c>
      <c r="AF25" s="1" t="s">
        <v>457</v>
      </c>
      <c r="AG25" s="1" t="s">
        <v>429</v>
      </c>
      <c r="AL25" s="2" t="s">
        <v>615</v>
      </c>
      <c r="AM25" s="2" t="s">
        <v>391</v>
      </c>
      <c r="AN25" s="2" t="s">
        <v>317</v>
      </c>
      <c r="AO25" s="2" t="s">
        <v>627</v>
      </c>
      <c r="AP25" s="2" t="s">
        <v>491</v>
      </c>
      <c r="AT25" s="12" t="s">
        <v>103</v>
      </c>
      <c r="AU25" s="13" t="s">
        <v>556</v>
      </c>
      <c r="AV25" s="14" t="s">
        <v>474</v>
      </c>
      <c r="AW25" s="13" t="s">
        <v>557</v>
      </c>
      <c r="AX25" s="13" t="s">
        <v>628</v>
      </c>
      <c r="AY25" s="13" t="s">
        <v>493</v>
      </c>
    </row>
    <row r="26" spans="7:55" x14ac:dyDescent="0.5">
      <c r="L26" s="1" t="s">
        <v>574</v>
      </c>
      <c r="M26" s="1" t="s">
        <v>629</v>
      </c>
      <c r="N26" s="1" t="s">
        <v>528</v>
      </c>
      <c r="O26" s="1" t="s">
        <v>630</v>
      </c>
      <c r="P26" s="1" t="s">
        <v>569</v>
      </c>
      <c r="Q26" s="1" t="s">
        <v>474</v>
      </c>
      <c r="S26" s="1" t="s">
        <v>574</v>
      </c>
      <c r="T26" s="1" t="s">
        <v>629</v>
      </c>
      <c r="U26" s="1" t="s">
        <v>528</v>
      </c>
      <c r="V26" s="1" t="s">
        <v>630</v>
      </c>
      <c r="W26" s="1" t="s">
        <v>569</v>
      </c>
      <c r="X26" s="1" t="s">
        <v>474</v>
      </c>
      <c r="Y26" s="1" t="s">
        <v>458</v>
      </c>
      <c r="Z26" s="1" t="s">
        <v>405</v>
      </c>
      <c r="AA26" s="1" t="s">
        <v>407</v>
      </c>
      <c r="AB26" s="1" t="s">
        <v>631</v>
      </c>
      <c r="AC26" s="1" t="s">
        <v>632</v>
      </c>
      <c r="AD26" s="1" t="s">
        <v>626</v>
      </c>
      <c r="AE26" s="1" t="s">
        <v>394</v>
      </c>
      <c r="AF26" s="1" t="s">
        <v>633</v>
      </c>
      <c r="AG26" s="1" t="s">
        <v>634</v>
      </c>
      <c r="AL26" s="2" t="s">
        <v>615</v>
      </c>
      <c r="AM26" s="2" t="s">
        <v>635</v>
      </c>
      <c r="AN26" s="2" t="s">
        <v>391</v>
      </c>
      <c r="AO26" s="2" t="s">
        <v>585</v>
      </c>
      <c r="AP26" s="2" t="s">
        <v>305</v>
      </c>
      <c r="AT26" s="11" t="s">
        <v>615</v>
      </c>
      <c r="AU26" s="13" t="s">
        <v>495</v>
      </c>
      <c r="AV26" s="13" t="s">
        <v>512</v>
      </c>
      <c r="AW26" s="14" t="s">
        <v>95</v>
      </c>
      <c r="AX26" s="13" t="s">
        <v>441</v>
      </c>
      <c r="AY26" s="13" t="s">
        <v>486</v>
      </c>
    </row>
    <row r="27" spans="7:55" x14ac:dyDescent="0.5">
      <c r="L27" s="1" t="s">
        <v>636</v>
      </c>
      <c r="M27" s="1" t="s">
        <v>540</v>
      </c>
      <c r="N27" s="1" t="s">
        <v>629</v>
      </c>
      <c r="O27" s="1" t="s">
        <v>617</v>
      </c>
      <c r="P27" s="1" t="s">
        <v>508</v>
      </c>
      <c r="Q27" s="1" t="s">
        <v>546</v>
      </c>
      <c r="S27" s="1" t="s">
        <v>636</v>
      </c>
      <c r="T27" s="1" t="s">
        <v>540</v>
      </c>
      <c r="U27" s="1" t="s">
        <v>629</v>
      </c>
      <c r="V27" s="1" t="s">
        <v>617</v>
      </c>
      <c r="W27" s="1" t="s">
        <v>508</v>
      </c>
      <c r="X27" s="1" t="s">
        <v>546</v>
      </c>
      <c r="Y27" s="1" t="s">
        <v>407</v>
      </c>
      <c r="Z27" s="1" t="s">
        <v>444</v>
      </c>
      <c r="AA27" s="1" t="s">
        <v>361</v>
      </c>
      <c r="AB27" s="1" t="s">
        <v>453</v>
      </c>
      <c r="AC27" s="1" t="s">
        <v>494</v>
      </c>
      <c r="AD27" s="1" t="s">
        <v>394</v>
      </c>
      <c r="AE27" s="1" t="s">
        <v>637</v>
      </c>
      <c r="AF27" s="1" t="s">
        <v>638</v>
      </c>
      <c r="AG27" s="1" t="s">
        <v>322</v>
      </c>
      <c r="AL27" s="2" t="s">
        <v>639</v>
      </c>
      <c r="AM27" s="2" t="s">
        <v>505</v>
      </c>
      <c r="AN27" s="2" t="s">
        <v>614</v>
      </c>
      <c r="AO27" s="2" t="s">
        <v>514</v>
      </c>
      <c r="AP27" s="2" t="s">
        <v>612</v>
      </c>
      <c r="AT27" s="16" t="s">
        <v>639</v>
      </c>
      <c r="AU27" s="13" t="s">
        <v>578</v>
      </c>
      <c r="AV27" s="13" t="s">
        <v>411</v>
      </c>
      <c r="AW27" s="12" t="s">
        <v>511</v>
      </c>
      <c r="AX27" s="14" t="s">
        <v>425</v>
      </c>
      <c r="AY27" s="13" t="s">
        <v>573</v>
      </c>
    </row>
    <row r="28" spans="7:55" x14ac:dyDescent="0.5">
      <c r="L28" s="1" t="s">
        <v>585</v>
      </c>
      <c r="M28" s="1" t="s">
        <v>563</v>
      </c>
      <c r="N28" s="1" t="s">
        <v>563</v>
      </c>
      <c r="O28" s="1" t="s">
        <v>527</v>
      </c>
      <c r="P28" s="1" t="s">
        <v>304</v>
      </c>
      <c r="Q28" s="1" t="s">
        <v>512</v>
      </c>
      <c r="S28" s="1" t="s">
        <v>585</v>
      </c>
      <c r="T28" s="1" t="s">
        <v>563</v>
      </c>
      <c r="U28" s="1" t="s">
        <v>563</v>
      </c>
      <c r="V28" s="1" t="s">
        <v>527</v>
      </c>
      <c r="W28" s="1" t="s">
        <v>304</v>
      </c>
      <c r="X28" s="1" t="s">
        <v>512</v>
      </c>
      <c r="Y28" s="1" t="s">
        <v>320</v>
      </c>
      <c r="Z28" s="1" t="s">
        <v>547</v>
      </c>
      <c r="AA28" s="1" t="s">
        <v>640</v>
      </c>
      <c r="AB28" s="1" t="s">
        <v>641</v>
      </c>
      <c r="AC28" s="1" t="s">
        <v>626</v>
      </c>
      <c r="AD28" s="1" t="s">
        <v>642</v>
      </c>
      <c r="AE28" s="1" t="s">
        <v>643</v>
      </c>
      <c r="AF28" s="1" t="s">
        <v>644</v>
      </c>
      <c r="AG28" s="1" t="s">
        <v>618</v>
      </c>
      <c r="AL28" s="2"/>
      <c r="AM28" s="2"/>
      <c r="AN28" s="2" t="s">
        <v>645</v>
      </c>
      <c r="AO28" s="2" t="s">
        <v>583</v>
      </c>
      <c r="AP28" s="2" t="s">
        <v>495</v>
      </c>
      <c r="AT28" s="16"/>
      <c r="AU28" s="13" t="s">
        <v>509</v>
      </c>
      <c r="AV28" s="14" t="s">
        <v>56</v>
      </c>
      <c r="AW28" s="11" t="s">
        <v>554</v>
      </c>
      <c r="AX28" s="13" t="s">
        <v>466</v>
      </c>
      <c r="AY28" s="13" t="s">
        <v>603</v>
      </c>
    </row>
    <row r="29" spans="7:55" x14ac:dyDescent="0.5">
      <c r="L29" s="1" t="s">
        <v>646</v>
      </c>
      <c r="M29" s="1" t="s">
        <v>630</v>
      </c>
      <c r="N29" s="1" t="s">
        <v>617</v>
      </c>
      <c r="O29" s="1" t="s">
        <v>570</v>
      </c>
      <c r="P29" s="1" t="s">
        <v>647</v>
      </c>
      <c r="Q29" s="1" t="s">
        <v>480</v>
      </c>
      <c r="S29" s="1" t="s">
        <v>646</v>
      </c>
      <c r="T29" s="1" t="s">
        <v>630</v>
      </c>
      <c r="U29" s="1" t="s">
        <v>617</v>
      </c>
      <c r="V29" s="1" t="s">
        <v>570</v>
      </c>
      <c r="W29" s="1" t="s">
        <v>647</v>
      </c>
      <c r="X29" s="1" t="s">
        <v>480</v>
      </c>
      <c r="Y29" s="1" t="s">
        <v>648</v>
      </c>
      <c r="Z29" s="1" t="s">
        <v>649</v>
      </c>
      <c r="AA29" s="1" t="s">
        <v>649</v>
      </c>
      <c r="AB29" s="1" t="s">
        <v>650</v>
      </c>
      <c r="AC29" s="1" t="s">
        <v>614</v>
      </c>
      <c r="AD29" s="1" t="s">
        <v>651</v>
      </c>
      <c r="AE29" s="1" t="s">
        <v>569</v>
      </c>
      <c r="AF29" s="1" t="s">
        <v>499</v>
      </c>
      <c r="AG29" s="1" t="s">
        <v>586</v>
      </c>
      <c r="AL29" s="2"/>
      <c r="AN29" s="2" t="s">
        <v>652</v>
      </c>
      <c r="AO29" s="2" t="s">
        <v>653</v>
      </c>
      <c r="AP29" s="2" t="s">
        <v>654</v>
      </c>
      <c r="AU29" s="13" t="s">
        <v>367</v>
      </c>
      <c r="AV29" s="13" t="s">
        <v>510</v>
      </c>
      <c r="AW29" s="13" t="s">
        <v>483</v>
      </c>
      <c r="AX29" s="13" t="s">
        <v>298</v>
      </c>
      <c r="AY29" s="13" t="s">
        <v>480</v>
      </c>
    </row>
    <row r="30" spans="7:55" x14ac:dyDescent="0.5">
      <c r="L30" s="1" t="s">
        <v>514</v>
      </c>
      <c r="M30" s="1" t="s">
        <v>451</v>
      </c>
      <c r="N30" s="1" t="s">
        <v>527</v>
      </c>
      <c r="O30" s="1" t="s">
        <v>314</v>
      </c>
      <c r="P30" s="1" t="s">
        <v>655</v>
      </c>
      <c r="Q30" s="1" t="s">
        <v>480</v>
      </c>
      <c r="S30" s="1" t="s">
        <v>514</v>
      </c>
      <c r="T30" s="1" t="s">
        <v>451</v>
      </c>
      <c r="U30" s="1" t="s">
        <v>527</v>
      </c>
      <c r="V30" s="1" t="s">
        <v>314</v>
      </c>
      <c r="W30" s="1" t="s">
        <v>655</v>
      </c>
      <c r="X30" s="1" t="s">
        <v>480</v>
      </c>
      <c r="Y30" s="1" t="s">
        <v>322</v>
      </c>
      <c r="Z30" s="1" t="s">
        <v>90</v>
      </c>
      <c r="AA30" s="1" t="s">
        <v>309</v>
      </c>
      <c r="AB30" s="1" t="s">
        <v>60</v>
      </c>
      <c r="AC30" s="1" t="s">
        <v>656</v>
      </c>
      <c r="AD30" s="1" t="s">
        <v>629</v>
      </c>
      <c r="AE30" s="1" t="s">
        <v>313</v>
      </c>
      <c r="AL30" s="2"/>
      <c r="AN30" s="2" t="s">
        <v>643</v>
      </c>
      <c r="AO30" s="2" t="s">
        <v>657</v>
      </c>
      <c r="AP30" s="2" t="s">
        <v>307</v>
      </c>
      <c r="AU30" s="13" t="s">
        <v>521</v>
      </c>
      <c r="AV30" s="13" t="s">
        <v>533</v>
      </c>
      <c r="AW30" s="14" t="s">
        <v>491</v>
      </c>
      <c r="AX30" s="14" t="s">
        <v>457</v>
      </c>
      <c r="AY30" s="13" t="s">
        <v>475</v>
      </c>
    </row>
    <row r="31" spans="7:55" x14ac:dyDescent="0.5">
      <c r="L31" s="1" t="s">
        <v>503</v>
      </c>
      <c r="M31" s="1" t="s">
        <v>584</v>
      </c>
      <c r="N31" s="1" t="s">
        <v>547</v>
      </c>
      <c r="O31" s="1" t="s">
        <v>583</v>
      </c>
      <c r="P31" s="1" t="s">
        <v>307</v>
      </c>
      <c r="Q31" s="1" t="s">
        <v>475</v>
      </c>
      <c r="S31" s="1" t="s">
        <v>503</v>
      </c>
      <c r="T31" s="1" t="s">
        <v>584</v>
      </c>
      <c r="U31" s="1" t="s">
        <v>547</v>
      </c>
      <c r="V31" s="1" t="s">
        <v>583</v>
      </c>
      <c r="W31" s="1" t="s">
        <v>307</v>
      </c>
      <c r="X31" s="1" t="s">
        <v>475</v>
      </c>
      <c r="Y31" s="1" t="s">
        <v>586</v>
      </c>
      <c r="Z31" s="1" t="s">
        <v>610</v>
      </c>
      <c r="AA31" s="1" t="s">
        <v>368</v>
      </c>
      <c r="AB31" s="1" t="s">
        <v>658</v>
      </c>
      <c r="AC31" s="1" t="s">
        <v>659</v>
      </c>
      <c r="AD31" s="1" t="s">
        <v>529</v>
      </c>
      <c r="AE31" s="1" t="s">
        <v>596</v>
      </c>
      <c r="AL31" s="2"/>
      <c r="AN31" s="2" t="s">
        <v>660</v>
      </c>
      <c r="AO31" s="2" t="s">
        <v>661</v>
      </c>
      <c r="AP31" s="2" t="s">
        <v>662</v>
      </c>
      <c r="AU31" s="13" t="s">
        <v>310</v>
      </c>
      <c r="AV31" s="14" t="s">
        <v>475</v>
      </c>
      <c r="AW31" s="13" t="s">
        <v>597</v>
      </c>
      <c r="AX31" s="14" t="s">
        <v>448</v>
      </c>
      <c r="AY31" s="13" t="s">
        <v>539</v>
      </c>
    </row>
    <row r="32" spans="7:55" x14ac:dyDescent="0.5">
      <c r="L32" s="1" t="s">
        <v>583</v>
      </c>
      <c r="M32" s="1" t="s">
        <v>594</v>
      </c>
      <c r="N32" s="1" t="s">
        <v>312</v>
      </c>
      <c r="O32" s="1" t="s">
        <v>657</v>
      </c>
      <c r="P32" s="1" t="s">
        <v>308</v>
      </c>
      <c r="Q32" s="1" t="s">
        <v>456</v>
      </c>
      <c r="S32" s="1" t="s">
        <v>583</v>
      </c>
      <c r="T32" s="1" t="s">
        <v>594</v>
      </c>
      <c r="U32" s="1" t="s">
        <v>312</v>
      </c>
      <c r="V32" s="1" t="s">
        <v>657</v>
      </c>
      <c r="W32" s="1" t="s">
        <v>308</v>
      </c>
      <c r="X32" s="1" t="s">
        <v>456</v>
      </c>
      <c r="Y32" s="1" t="s">
        <v>427</v>
      </c>
      <c r="Z32" s="1" t="s">
        <v>635</v>
      </c>
      <c r="AA32" s="1" t="s">
        <v>663</v>
      </c>
      <c r="AB32" s="1" t="s">
        <v>664</v>
      </c>
      <c r="AC32" s="1" t="s">
        <v>585</v>
      </c>
      <c r="AD32" s="1" t="s">
        <v>633</v>
      </c>
      <c r="AE32" s="1" t="s">
        <v>665</v>
      </c>
      <c r="AL32" s="2"/>
      <c r="AO32" s="2" t="s">
        <v>666</v>
      </c>
      <c r="AP32" s="2" t="s">
        <v>667</v>
      </c>
      <c r="AU32" s="13" t="s">
        <v>90</v>
      </c>
      <c r="AV32" s="14" t="s">
        <v>545</v>
      </c>
      <c r="AW32" s="13" t="s">
        <v>305</v>
      </c>
      <c r="AX32" s="13" t="s">
        <v>618</v>
      </c>
      <c r="AY32" s="13" t="s">
        <v>500</v>
      </c>
    </row>
    <row r="33" spans="12:51" x14ac:dyDescent="0.5">
      <c r="L33" s="1" t="s">
        <v>668</v>
      </c>
      <c r="M33" s="1" t="s">
        <v>668</v>
      </c>
      <c r="N33" s="1" t="s">
        <v>669</v>
      </c>
      <c r="O33" s="1" t="s">
        <v>103</v>
      </c>
      <c r="P33" s="1" t="s">
        <v>309</v>
      </c>
      <c r="Q33" s="1" t="s">
        <v>494</v>
      </c>
      <c r="S33" s="1" t="s">
        <v>668</v>
      </c>
      <c r="T33" s="1" t="s">
        <v>668</v>
      </c>
      <c r="U33" s="1" t="s">
        <v>669</v>
      </c>
      <c r="V33" s="1" t="s">
        <v>103</v>
      </c>
      <c r="W33" s="1" t="s">
        <v>309</v>
      </c>
      <c r="X33" s="1" t="s">
        <v>494</v>
      </c>
      <c r="Y33" s="1" t="s">
        <v>642</v>
      </c>
      <c r="Z33" s="1" t="s">
        <v>670</v>
      </c>
      <c r="AA33" s="1" t="s">
        <v>671</v>
      </c>
      <c r="AB33" s="1" t="s">
        <v>592</v>
      </c>
      <c r="AC33" s="1" t="s">
        <v>603</v>
      </c>
      <c r="AD33" s="1" t="s">
        <v>64</v>
      </c>
      <c r="AE33" s="1" t="s">
        <v>437</v>
      </c>
      <c r="AO33" s="2" t="s">
        <v>672</v>
      </c>
      <c r="AP33" s="2" t="s">
        <v>673</v>
      </c>
      <c r="AU33" s="13" t="s">
        <v>528</v>
      </c>
      <c r="AV33" s="13" t="s">
        <v>436</v>
      </c>
      <c r="AW33" s="14" t="s">
        <v>612</v>
      </c>
      <c r="AX33" s="13" t="s">
        <v>493</v>
      </c>
      <c r="AY33" s="13" t="s">
        <v>529</v>
      </c>
    </row>
    <row r="34" spans="12:51" x14ac:dyDescent="0.5">
      <c r="L34" s="1" t="s">
        <v>657</v>
      </c>
      <c r="M34" s="1" t="s">
        <v>633</v>
      </c>
      <c r="N34" s="1" t="s">
        <v>503</v>
      </c>
      <c r="O34" s="1" t="s">
        <v>615</v>
      </c>
      <c r="P34" s="1" t="s">
        <v>310</v>
      </c>
      <c r="Q34" s="1" t="s">
        <v>569</v>
      </c>
      <c r="S34" s="1" t="s">
        <v>657</v>
      </c>
      <c r="T34" s="1" t="s">
        <v>633</v>
      </c>
      <c r="U34" s="1" t="s">
        <v>503</v>
      </c>
      <c r="V34" s="1" t="s">
        <v>615</v>
      </c>
      <c r="W34" s="1" t="s">
        <v>310</v>
      </c>
      <c r="X34" s="1" t="s">
        <v>569</v>
      </c>
      <c r="Y34" s="1" t="s">
        <v>674</v>
      </c>
      <c r="Z34" s="1" t="s">
        <v>103</v>
      </c>
      <c r="AA34" s="1" t="s">
        <v>675</v>
      </c>
      <c r="AB34" s="1" t="s">
        <v>676</v>
      </c>
      <c r="AC34" s="1" t="s">
        <v>556</v>
      </c>
      <c r="AE34" s="1" t="s">
        <v>677</v>
      </c>
      <c r="AO34" s="2" t="s">
        <v>678</v>
      </c>
      <c r="AP34" s="2" t="s">
        <v>679</v>
      </c>
      <c r="AU34" s="13" t="s">
        <v>629</v>
      </c>
      <c r="AV34" s="13" t="s">
        <v>522</v>
      </c>
      <c r="AW34" s="12" t="s">
        <v>564</v>
      </c>
      <c r="AX34" s="13" t="s">
        <v>677</v>
      </c>
      <c r="AY34" s="13" t="s">
        <v>609</v>
      </c>
    </row>
    <row r="35" spans="12:51" x14ac:dyDescent="0.5">
      <c r="L35" s="1" t="s">
        <v>478</v>
      </c>
      <c r="M35" s="1" t="s">
        <v>680</v>
      </c>
      <c r="N35" s="1" t="s">
        <v>681</v>
      </c>
      <c r="O35" s="1" t="s">
        <v>678</v>
      </c>
      <c r="P35" s="1" t="s">
        <v>540</v>
      </c>
      <c r="Q35" s="1" t="s">
        <v>626</v>
      </c>
      <c r="S35" s="1" t="s">
        <v>478</v>
      </c>
      <c r="T35" s="1" t="s">
        <v>680</v>
      </c>
      <c r="U35" s="1" t="s">
        <v>681</v>
      </c>
      <c r="V35" s="1" t="s">
        <v>678</v>
      </c>
      <c r="W35" s="1" t="s">
        <v>540</v>
      </c>
      <c r="X35" s="1" t="s">
        <v>626</v>
      </c>
      <c r="Y35" s="1" t="s">
        <v>682</v>
      </c>
      <c r="Z35" s="1" t="s">
        <v>683</v>
      </c>
      <c r="AA35" s="1" t="s">
        <v>684</v>
      </c>
      <c r="AB35" s="1" t="s">
        <v>685</v>
      </c>
      <c r="AC35" s="1" t="s">
        <v>660</v>
      </c>
      <c r="AE35" s="1" t="s">
        <v>686</v>
      </c>
      <c r="AO35" s="2" t="s">
        <v>531</v>
      </c>
      <c r="AP35" s="2" t="s">
        <v>561</v>
      </c>
      <c r="AU35" s="13" t="s">
        <v>540</v>
      </c>
      <c r="AV35" s="14" t="s">
        <v>539</v>
      </c>
      <c r="AW35" s="11" t="s">
        <v>90</v>
      </c>
      <c r="AX35" s="14" t="s">
        <v>586</v>
      </c>
      <c r="AY35" s="13" t="s">
        <v>494</v>
      </c>
    </row>
    <row r="36" spans="12:51" x14ac:dyDescent="0.5">
      <c r="L36" s="1" t="s">
        <v>103</v>
      </c>
      <c r="M36" s="1" t="s">
        <v>391</v>
      </c>
      <c r="N36" s="1" t="s">
        <v>616</v>
      </c>
      <c r="O36" s="1" t="s">
        <v>687</v>
      </c>
      <c r="P36" s="1" t="s">
        <v>683</v>
      </c>
      <c r="Q36" s="1" t="s">
        <v>304</v>
      </c>
      <c r="S36" s="1" t="s">
        <v>103</v>
      </c>
      <c r="T36" s="1" t="s">
        <v>391</v>
      </c>
      <c r="U36" s="1" t="s">
        <v>616</v>
      </c>
      <c r="V36" s="1" t="s">
        <v>687</v>
      </c>
      <c r="W36" s="1" t="s">
        <v>683</v>
      </c>
      <c r="X36" s="1" t="s">
        <v>304</v>
      </c>
      <c r="Y36" s="1" t="s">
        <v>626</v>
      </c>
      <c r="Z36" s="1" t="s">
        <v>688</v>
      </c>
      <c r="AA36" s="1" t="s">
        <v>669</v>
      </c>
      <c r="AB36" s="1" t="s">
        <v>394</v>
      </c>
      <c r="AC36" s="1" t="s">
        <v>432</v>
      </c>
      <c r="AE36" s="1" t="s">
        <v>628</v>
      </c>
      <c r="AP36" s="2" t="s">
        <v>570</v>
      </c>
      <c r="AU36" s="13" t="s">
        <v>553</v>
      </c>
      <c r="AV36" s="13" t="s">
        <v>500</v>
      </c>
      <c r="AW36" s="13" t="s">
        <v>528</v>
      </c>
      <c r="AX36" s="14" t="s">
        <v>637</v>
      </c>
      <c r="AY36" s="13" t="s">
        <v>626</v>
      </c>
    </row>
    <row r="37" spans="12:51" x14ac:dyDescent="0.5">
      <c r="L37" s="1" t="s">
        <v>689</v>
      </c>
      <c r="M37" s="1" t="s">
        <v>635</v>
      </c>
      <c r="N37" s="1" t="s">
        <v>690</v>
      </c>
      <c r="P37" s="1" t="s">
        <v>563</v>
      </c>
      <c r="Q37" s="1" t="s">
        <v>491</v>
      </c>
      <c r="S37" s="1" t="s">
        <v>689</v>
      </c>
      <c r="T37" s="1" t="s">
        <v>635</v>
      </c>
      <c r="U37" s="1" t="s">
        <v>690</v>
      </c>
      <c r="W37" s="1" t="s">
        <v>563</v>
      </c>
      <c r="X37" s="1" t="s">
        <v>491</v>
      </c>
      <c r="Y37" s="1" t="s">
        <v>690</v>
      </c>
      <c r="Z37" s="1" t="s">
        <v>489</v>
      </c>
      <c r="AA37" s="1" t="s">
        <v>301</v>
      </c>
      <c r="AB37" s="1" t="s">
        <v>514</v>
      </c>
      <c r="AC37" s="1" t="s">
        <v>454</v>
      </c>
      <c r="AE37" s="1" t="s">
        <v>429</v>
      </c>
      <c r="AP37" s="2" t="s">
        <v>691</v>
      </c>
      <c r="AU37" s="13" t="s">
        <v>563</v>
      </c>
      <c r="AV37" s="13" t="s">
        <v>302</v>
      </c>
      <c r="AW37" s="14" t="s">
        <v>629</v>
      </c>
      <c r="AX37" s="14" t="s">
        <v>506</v>
      </c>
      <c r="AY37" s="13" t="s">
        <v>491</v>
      </c>
    </row>
    <row r="38" spans="12:51" x14ac:dyDescent="0.5">
      <c r="L38" s="1" t="s">
        <v>670</v>
      </c>
      <c r="M38" s="1" t="s">
        <v>614</v>
      </c>
      <c r="N38" s="1" t="s">
        <v>615</v>
      </c>
      <c r="P38" s="1" t="s">
        <v>692</v>
      </c>
      <c r="Q38" s="1" t="s">
        <v>305</v>
      </c>
      <c r="S38" s="1" t="s">
        <v>670</v>
      </c>
      <c r="T38" s="1" t="s">
        <v>614</v>
      </c>
      <c r="U38" s="1" t="s">
        <v>615</v>
      </c>
      <c r="W38" s="1" t="s">
        <v>692</v>
      </c>
      <c r="X38" s="1" t="s">
        <v>305</v>
      </c>
      <c r="Y38" s="1" t="s">
        <v>693</v>
      </c>
      <c r="Z38" s="1" t="s">
        <v>630</v>
      </c>
      <c r="AA38" s="1" t="s">
        <v>694</v>
      </c>
      <c r="AB38" s="1" t="s">
        <v>405</v>
      </c>
      <c r="AC38" s="1" t="s">
        <v>529</v>
      </c>
      <c r="AE38" s="1" t="s">
        <v>634</v>
      </c>
      <c r="AP38" s="2" t="s">
        <v>695</v>
      </c>
      <c r="AU38" s="13" t="s">
        <v>630</v>
      </c>
      <c r="AV38" s="11" t="s">
        <v>529</v>
      </c>
      <c r="AW38" s="11" t="s">
        <v>563</v>
      </c>
      <c r="AX38" s="14" t="s">
        <v>550</v>
      </c>
      <c r="AY38" s="13" t="s">
        <v>437</v>
      </c>
    </row>
    <row r="39" spans="12:51" x14ac:dyDescent="0.5">
      <c r="L39" s="1" t="s">
        <v>615</v>
      </c>
      <c r="M39" s="1" t="s">
        <v>678</v>
      </c>
      <c r="N39" s="1" t="s">
        <v>680</v>
      </c>
      <c r="P39" s="1" t="s">
        <v>696</v>
      </c>
      <c r="Q39" s="1" t="s">
        <v>305</v>
      </c>
      <c r="S39" s="1" t="s">
        <v>615</v>
      </c>
      <c r="T39" s="1" t="s">
        <v>678</v>
      </c>
      <c r="U39" s="1" t="s">
        <v>680</v>
      </c>
      <c r="W39" s="1" t="s">
        <v>696</v>
      </c>
      <c r="X39" s="1" t="s">
        <v>305</v>
      </c>
      <c r="Y39" s="1" t="s">
        <v>697</v>
      </c>
      <c r="Z39" s="1" t="s">
        <v>358</v>
      </c>
      <c r="AA39" s="1" t="s">
        <v>503</v>
      </c>
      <c r="AB39" s="1" t="s">
        <v>654</v>
      </c>
      <c r="AC39" s="1" t="s">
        <v>533</v>
      </c>
      <c r="AP39" s="2" t="s">
        <v>551</v>
      </c>
      <c r="AU39" s="13" t="s">
        <v>451</v>
      </c>
      <c r="AV39" s="12" t="s">
        <v>541</v>
      </c>
      <c r="AW39" s="14" t="s">
        <v>617</v>
      </c>
      <c r="AX39" s="14" t="s">
        <v>486</v>
      </c>
      <c r="AY39" s="13" t="s">
        <v>644</v>
      </c>
    </row>
    <row r="40" spans="12:51" x14ac:dyDescent="0.5">
      <c r="L40" s="1" t="s">
        <v>633</v>
      </c>
      <c r="M40" s="1" t="s">
        <v>505</v>
      </c>
      <c r="N40" s="1" t="s">
        <v>317</v>
      </c>
      <c r="P40" s="1" t="s">
        <v>697</v>
      </c>
      <c r="Q40" s="1" t="s">
        <v>698</v>
      </c>
      <c r="S40" s="1" t="s">
        <v>633</v>
      </c>
      <c r="T40" s="1" t="s">
        <v>505</v>
      </c>
      <c r="U40" s="1" t="s">
        <v>317</v>
      </c>
      <c r="W40" s="1" t="s">
        <v>697</v>
      </c>
      <c r="X40" s="1" t="s">
        <v>698</v>
      </c>
      <c r="Y40" s="1" t="s">
        <v>413</v>
      </c>
      <c r="Z40" s="1" t="s">
        <v>699</v>
      </c>
      <c r="AA40" s="1" t="s">
        <v>514</v>
      </c>
      <c r="AB40" s="1" t="s">
        <v>700</v>
      </c>
      <c r="AC40" s="1" t="s">
        <v>394</v>
      </c>
      <c r="AP40" s="2" t="s">
        <v>701</v>
      </c>
      <c r="AU40" s="13" t="s">
        <v>562</v>
      </c>
      <c r="AV40" s="14" t="s">
        <v>408</v>
      </c>
      <c r="AW40" s="13" t="s">
        <v>527</v>
      </c>
      <c r="AX40" s="14" t="s">
        <v>573</v>
      </c>
      <c r="AY40" s="13" t="s">
        <v>367</v>
      </c>
    </row>
    <row r="41" spans="12:51" x14ac:dyDescent="0.5">
      <c r="L41" s="1" t="s">
        <v>490</v>
      </c>
      <c r="M41" s="1" t="s">
        <v>320</v>
      </c>
      <c r="N41" s="1" t="s">
        <v>652</v>
      </c>
      <c r="P41" s="1" t="s">
        <v>547</v>
      </c>
      <c r="Q41" s="1" t="s">
        <v>702</v>
      </c>
      <c r="S41" s="1" t="s">
        <v>490</v>
      </c>
      <c r="T41" s="1" t="s">
        <v>320</v>
      </c>
      <c r="U41" s="1" t="s">
        <v>652</v>
      </c>
      <c r="W41" s="1" t="s">
        <v>547</v>
      </c>
      <c r="X41" s="1" t="s">
        <v>702</v>
      </c>
      <c r="Y41" s="1" t="s">
        <v>703</v>
      </c>
      <c r="AA41" s="1" t="s">
        <v>635</v>
      </c>
      <c r="AB41" s="1" t="s">
        <v>583</v>
      </c>
      <c r="AP41" s="2" t="s">
        <v>704</v>
      </c>
      <c r="AU41" s="13" t="s">
        <v>584</v>
      </c>
      <c r="AV41" s="13" t="s">
        <v>532</v>
      </c>
      <c r="AW41" s="14" t="s">
        <v>547</v>
      </c>
      <c r="AX41" s="13" t="s">
        <v>603</v>
      </c>
      <c r="AY41" s="13" t="s">
        <v>307</v>
      </c>
    </row>
    <row r="42" spans="12:51" x14ac:dyDescent="0.5">
      <c r="L42" s="1" t="s">
        <v>635</v>
      </c>
      <c r="M42" s="1" t="s">
        <v>463</v>
      </c>
      <c r="N42" s="1" t="s">
        <v>660</v>
      </c>
      <c r="P42" s="1" t="s">
        <v>444</v>
      </c>
      <c r="Q42" s="1" t="s">
        <v>679</v>
      </c>
      <c r="S42" s="1" t="s">
        <v>635</v>
      </c>
      <c r="T42" s="1" t="s">
        <v>463</v>
      </c>
      <c r="U42" s="1" t="s">
        <v>660</v>
      </c>
      <c r="W42" s="1" t="s">
        <v>444</v>
      </c>
      <c r="X42" s="1" t="s">
        <v>679</v>
      </c>
      <c r="Y42" s="1" t="s">
        <v>298</v>
      </c>
      <c r="AA42" s="1" t="s">
        <v>705</v>
      </c>
      <c r="AB42" s="1" t="s">
        <v>640</v>
      </c>
      <c r="AP42" s="2" t="s">
        <v>657</v>
      </c>
      <c r="AU42" s="13" t="s">
        <v>585</v>
      </c>
      <c r="AV42" s="11" t="s">
        <v>494</v>
      </c>
      <c r="AW42" s="13" t="s">
        <v>312</v>
      </c>
      <c r="AX42" s="14" t="s">
        <v>480</v>
      </c>
      <c r="AY42" s="13" t="s">
        <v>90</v>
      </c>
    </row>
    <row r="43" spans="12:51" x14ac:dyDescent="0.5">
      <c r="L43" s="1" t="s">
        <v>706</v>
      </c>
      <c r="N43" s="1" t="s">
        <v>537</v>
      </c>
      <c r="P43" s="1" t="s">
        <v>407</v>
      </c>
      <c r="Q43" s="1" t="s">
        <v>561</v>
      </c>
      <c r="S43" s="1" t="s">
        <v>706</v>
      </c>
      <c r="U43" s="1" t="s">
        <v>537</v>
      </c>
      <c r="W43" s="1" t="s">
        <v>407</v>
      </c>
      <c r="X43" s="1" t="s">
        <v>561</v>
      </c>
      <c r="Y43" s="1" t="s">
        <v>362</v>
      </c>
      <c r="AA43" s="1" t="s">
        <v>707</v>
      </c>
      <c r="AB43" s="1" t="s">
        <v>708</v>
      </c>
      <c r="AP43" s="2" t="s">
        <v>709</v>
      </c>
      <c r="AU43" s="13" t="s">
        <v>605</v>
      </c>
      <c r="AV43" s="13" t="s">
        <v>557</v>
      </c>
      <c r="AW43" s="14" t="s">
        <v>669</v>
      </c>
      <c r="AX43" s="14" t="s">
        <v>300</v>
      </c>
      <c r="AY43" s="13" t="s">
        <v>561</v>
      </c>
    </row>
    <row r="44" spans="12:51" x14ac:dyDescent="0.5">
      <c r="L44" s="1" t="s">
        <v>614</v>
      </c>
      <c r="P44" s="1" t="s">
        <v>636</v>
      </c>
      <c r="Q44" s="1" t="s">
        <v>710</v>
      </c>
      <c r="S44" s="1" t="s">
        <v>614</v>
      </c>
      <c r="W44" s="1" t="s">
        <v>636</v>
      </c>
      <c r="X44" s="1" t="s">
        <v>710</v>
      </c>
      <c r="Y44" s="1" t="s">
        <v>610</v>
      </c>
      <c r="AA44" s="1" t="s">
        <v>711</v>
      </c>
      <c r="AB44" s="1" t="s">
        <v>103</v>
      </c>
      <c r="AP44" s="2" t="s">
        <v>614</v>
      </c>
      <c r="AU44" s="13" t="s">
        <v>583</v>
      </c>
      <c r="AV44" s="14" t="s">
        <v>95</v>
      </c>
      <c r="AW44" s="13" t="s">
        <v>503</v>
      </c>
      <c r="AX44" s="14" t="s">
        <v>499</v>
      </c>
      <c r="AY44" s="13" t="s">
        <v>368</v>
      </c>
    </row>
    <row r="45" spans="12:51" x14ac:dyDescent="0.5">
      <c r="L45" s="1" t="s">
        <v>712</v>
      </c>
      <c r="P45" s="1" t="s">
        <v>646</v>
      </c>
      <c r="Q45" s="1" t="s">
        <v>710</v>
      </c>
      <c r="S45" s="1" t="s">
        <v>712</v>
      </c>
      <c r="W45" s="1" t="s">
        <v>646</v>
      </c>
      <c r="X45" s="1" t="s">
        <v>710</v>
      </c>
      <c r="Y45" s="1" t="s">
        <v>299</v>
      </c>
      <c r="AA45" s="1" t="s">
        <v>713</v>
      </c>
      <c r="AB45" s="1" t="s">
        <v>610</v>
      </c>
      <c r="AP45" s="2" t="s">
        <v>576</v>
      </c>
      <c r="AU45" s="13" t="s">
        <v>668</v>
      </c>
      <c r="AV45" s="12" t="s">
        <v>477</v>
      </c>
      <c r="AW45" s="14" t="s">
        <v>681</v>
      </c>
      <c r="AX45" s="13" t="s">
        <v>475</v>
      </c>
      <c r="AY45" s="13" t="s">
        <v>392</v>
      </c>
    </row>
    <row r="46" spans="12:51" x14ac:dyDescent="0.5">
      <c r="P46" s="1" t="s">
        <v>514</v>
      </c>
      <c r="Q46" s="1" t="s">
        <v>570</v>
      </c>
      <c r="W46" s="1" t="s">
        <v>514</v>
      </c>
      <c r="X46" s="1" t="s">
        <v>570</v>
      </c>
      <c r="Y46" s="1" t="s">
        <v>714</v>
      </c>
      <c r="AA46" s="1" t="s">
        <v>478</v>
      </c>
      <c r="AB46" s="1" t="s">
        <v>302</v>
      </c>
      <c r="AP46" s="2" t="s">
        <v>537</v>
      </c>
      <c r="AU46" s="13" t="s">
        <v>615</v>
      </c>
      <c r="AV46" s="11" t="s">
        <v>575</v>
      </c>
      <c r="AW46" s="11" t="s">
        <v>314</v>
      </c>
      <c r="AX46" s="13" t="s">
        <v>539</v>
      </c>
      <c r="AY46" s="13" t="s">
        <v>313</v>
      </c>
    </row>
    <row r="47" spans="12:51" x14ac:dyDescent="0.5">
      <c r="P47" s="1" t="s">
        <v>503</v>
      </c>
      <c r="Q47" s="1" t="s">
        <v>407</v>
      </c>
      <c r="W47" s="1" t="s">
        <v>503</v>
      </c>
      <c r="X47" s="1" t="s">
        <v>407</v>
      </c>
      <c r="Y47" s="1" t="s">
        <v>715</v>
      </c>
      <c r="AA47" s="1" t="s">
        <v>310</v>
      </c>
      <c r="AB47" s="1" t="s">
        <v>716</v>
      </c>
      <c r="AP47" s="2"/>
      <c r="AU47" s="13" t="s">
        <v>633</v>
      </c>
      <c r="AV47" s="13" t="s">
        <v>483</v>
      </c>
      <c r="AW47" s="13" t="s">
        <v>616</v>
      </c>
      <c r="AX47" s="14" t="s">
        <v>500</v>
      </c>
      <c r="AY47" s="13" t="s">
        <v>551</v>
      </c>
    </row>
    <row r="48" spans="12:51" x14ac:dyDescent="0.5">
      <c r="P48" s="1" t="s">
        <v>503</v>
      </c>
      <c r="Q48" s="1" t="s">
        <v>636</v>
      </c>
      <c r="W48" s="1" t="s">
        <v>503</v>
      </c>
      <c r="X48" s="1" t="s">
        <v>636</v>
      </c>
      <c r="Y48" s="1" t="s">
        <v>717</v>
      </c>
      <c r="AA48" s="1" t="s">
        <v>581</v>
      </c>
      <c r="AB48" s="1" t="s">
        <v>322</v>
      </c>
      <c r="AU48" s="13" t="s">
        <v>680</v>
      </c>
      <c r="AV48" s="12" t="s">
        <v>304</v>
      </c>
      <c r="AW48" s="14" t="s">
        <v>690</v>
      </c>
      <c r="AX48" s="13" t="s">
        <v>529</v>
      </c>
      <c r="AY48" s="13" t="s">
        <v>583</v>
      </c>
    </row>
    <row r="49" spans="16:51" x14ac:dyDescent="0.5">
      <c r="P49" s="1" t="s">
        <v>718</v>
      </c>
      <c r="Q49" s="1" t="s">
        <v>719</v>
      </c>
      <c r="W49" s="1" t="s">
        <v>718</v>
      </c>
      <c r="X49" s="1" t="s">
        <v>719</v>
      </c>
      <c r="Y49" s="1" t="s">
        <v>411</v>
      </c>
      <c r="AA49" s="1" t="s">
        <v>603</v>
      </c>
      <c r="AB49" s="1" t="s">
        <v>321</v>
      </c>
      <c r="AU49" s="13" t="s">
        <v>391</v>
      </c>
      <c r="AV49" s="14" t="s">
        <v>491</v>
      </c>
      <c r="AW49" s="13" t="s">
        <v>615</v>
      </c>
      <c r="AX49" s="14" t="s">
        <v>609</v>
      </c>
      <c r="AY49" s="13" t="s">
        <v>412</v>
      </c>
    </row>
    <row r="50" spans="16:51" x14ac:dyDescent="0.5">
      <c r="P50" s="1" t="s">
        <v>314</v>
      </c>
      <c r="Q50" s="1" t="s">
        <v>605</v>
      </c>
      <c r="W50" s="1" t="s">
        <v>314</v>
      </c>
      <c r="X50" s="1" t="s">
        <v>605</v>
      </c>
      <c r="Y50" s="1" t="s">
        <v>533</v>
      </c>
      <c r="AA50" s="1" t="s">
        <v>395</v>
      </c>
      <c r="AB50" s="1" t="s">
        <v>635</v>
      </c>
      <c r="AU50" s="13" t="s">
        <v>635</v>
      </c>
      <c r="AV50" s="13" t="s">
        <v>597</v>
      </c>
      <c r="AW50" s="14" t="s">
        <v>680</v>
      </c>
      <c r="AX50" s="14" t="s">
        <v>494</v>
      </c>
      <c r="AY50" s="13" t="s">
        <v>467</v>
      </c>
    </row>
    <row r="51" spans="16:51" x14ac:dyDescent="0.5">
      <c r="P51" s="1" t="s">
        <v>720</v>
      </c>
      <c r="Q51" s="1" t="s">
        <v>721</v>
      </c>
      <c r="W51" s="1" t="s">
        <v>720</v>
      </c>
      <c r="X51" s="1" t="s">
        <v>721</v>
      </c>
      <c r="Y51" s="1" t="s">
        <v>722</v>
      </c>
      <c r="AA51" s="1" t="s">
        <v>609</v>
      </c>
      <c r="AB51" s="1" t="s">
        <v>657</v>
      </c>
      <c r="AU51" s="13" t="s">
        <v>614</v>
      </c>
      <c r="AV51" s="13" t="s">
        <v>305</v>
      </c>
      <c r="AW51" s="13" t="s">
        <v>317</v>
      </c>
      <c r="AX51" s="14" t="s">
        <v>569</v>
      </c>
      <c r="AY51" s="13" t="s">
        <v>665</v>
      </c>
    </row>
    <row r="52" spans="16:51" x14ac:dyDescent="0.5">
      <c r="P52" s="1" t="s">
        <v>688</v>
      </c>
      <c r="Q52" s="1" t="s">
        <v>709</v>
      </c>
      <c r="W52" s="1" t="s">
        <v>688</v>
      </c>
      <c r="X52" s="1" t="s">
        <v>709</v>
      </c>
      <c r="Y52" s="1" t="s">
        <v>657</v>
      </c>
      <c r="AA52" s="1" t="s">
        <v>563</v>
      </c>
      <c r="AB52" s="1" t="s">
        <v>723</v>
      </c>
      <c r="AU52" s="13" t="s">
        <v>678</v>
      </c>
      <c r="AV52" s="11" t="s">
        <v>556</v>
      </c>
      <c r="AW52" s="12" t="s">
        <v>391</v>
      </c>
      <c r="AX52" s="13" t="s">
        <v>516</v>
      </c>
      <c r="AY52" s="13" t="s">
        <v>686</v>
      </c>
    </row>
    <row r="53" spans="16:51" x14ac:dyDescent="0.5">
      <c r="P53" s="1" t="s">
        <v>605</v>
      </c>
      <c r="Q53" s="1" t="s">
        <v>607</v>
      </c>
      <c r="W53" s="1" t="s">
        <v>605</v>
      </c>
      <c r="X53" s="1" t="s">
        <v>607</v>
      </c>
      <c r="AA53" s="1" t="s">
        <v>724</v>
      </c>
      <c r="AB53" s="1" t="s">
        <v>725</v>
      </c>
      <c r="AU53" s="13" t="s">
        <v>505</v>
      </c>
      <c r="AV53" s="13" t="s">
        <v>612</v>
      </c>
      <c r="AW53" s="11" t="s">
        <v>614</v>
      </c>
      <c r="AX53" s="14" t="s">
        <v>626</v>
      </c>
      <c r="AY53" s="13" t="s">
        <v>103</v>
      </c>
    </row>
    <row r="54" spans="16:51" x14ac:dyDescent="0.5">
      <c r="P54" s="1" t="s">
        <v>622</v>
      </c>
      <c r="Q54" s="1" t="s">
        <v>317</v>
      </c>
      <c r="W54" s="1" t="s">
        <v>622</v>
      </c>
      <c r="X54" s="1" t="s">
        <v>317</v>
      </c>
      <c r="AA54" s="1" t="s">
        <v>726</v>
      </c>
      <c r="AB54" s="1" t="s">
        <v>317</v>
      </c>
      <c r="AU54" s="13" t="s">
        <v>320</v>
      </c>
      <c r="AV54" s="13" t="s">
        <v>528</v>
      </c>
      <c r="AW54" s="12" t="s">
        <v>645</v>
      </c>
      <c r="AX54" s="13" t="s">
        <v>491</v>
      </c>
      <c r="AY54" s="13" t="s">
        <v>615</v>
      </c>
    </row>
    <row r="55" spans="16:51" x14ac:dyDescent="0.5">
      <c r="P55" s="1" t="s">
        <v>316</v>
      </c>
      <c r="Q55" s="1" t="s">
        <v>580</v>
      </c>
      <c r="W55" s="1" t="s">
        <v>316</v>
      </c>
      <c r="X55" s="1" t="s">
        <v>580</v>
      </c>
      <c r="AA55" s="1" t="s">
        <v>616</v>
      </c>
      <c r="AB55" s="1" t="s">
        <v>727</v>
      </c>
      <c r="AU55" s="13" t="s">
        <v>463</v>
      </c>
      <c r="AV55" s="14" t="s">
        <v>629</v>
      </c>
      <c r="AW55" s="14" t="s">
        <v>652</v>
      </c>
      <c r="AX55" s="14" t="s">
        <v>437</v>
      </c>
      <c r="AY55" s="13" t="s">
        <v>391</v>
      </c>
    </row>
    <row r="56" spans="16:51" x14ac:dyDescent="0.5">
      <c r="P56" s="1" t="s">
        <v>467</v>
      </c>
      <c r="Q56" s="1" t="s">
        <v>635</v>
      </c>
      <c r="W56" s="1" t="s">
        <v>467</v>
      </c>
      <c r="X56" s="1" t="s">
        <v>635</v>
      </c>
      <c r="AA56" s="1" t="s">
        <v>728</v>
      </c>
      <c r="AB56" s="1" t="s">
        <v>660</v>
      </c>
      <c r="AU56" s="15"/>
      <c r="AV56" s="12" t="s">
        <v>540</v>
      </c>
      <c r="AW56" s="12" t="s">
        <v>643</v>
      </c>
      <c r="AX56" s="13" t="s">
        <v>644</v>
      </c>
      <c r="AY56" s="13" t="s">
        <v>614</v>
      </c>
    </row>
    <row r="57" spans="16:51" x14ac:dyDescent="0.5">
      <c r="P57" s="1" t="s">
        <v>729</v>
      </c>
      <c r="Q57" s="1" t="s">
        <v>614</v>
      </c>
      <c r="W57" s="1" t="s">
        <v>729</v>
      </c>
      <c r="X57" s="1" t="s">
        <v>614</v>
      </c>
      <c r="AA57" s="1" t="s">
        <v>577</v>
      </c>
      <c r="AB57" s="1" t="s">
        <v>95</v>
      </c>
      <c r="AV57" s="14" t="s">
        <v>610</v>
      </c>
      <c r="AW57" s="13" t="s">
        <v>660</v>
      </c>
      <c r="AX57" s="13" t="s">
        <v>367</v>
      </c>
      <c r="AY57" s="13" t="s">
        <v>560</v>
      </c>
    </row>
    <row r="58" spans="16:51" x14ac:dyDescent="0.5">
      <c r="P58" s="1" t="s">
        <v>317</v>
      </c>
      <c r="Q58" s="1" t="s">
        <v>318</v>
      </c>
      <c r="W58" s="1" t="s">
        <v>317</v>
      </c>
      <c r="X58" s="1" t="s">
        <v>318</v>
      </c>
      <c r="AA58" s="1" t="s">
        <v>730</v>
      </c>
      <c r="AB58" s="1" t="s">
        <v>731</v>
      </c>
      <c r="AV58" s="13" t="s">
        <v>563</v>
      </c>
      <c r="AW58" s="11"/>
      <c r="AX58" s="13" t="s">
        <v>440</v>
      </c>
      <c r="AY58" s="13" t="s">
        <v>643</v>
      </c>
    </row>
    <row r="59" spans="16:51" x14ac:dyDescent="0.5">
      <c r="P59" s="1" t="s">
        <v>580</v>
      </c>
      <c r="Q59" s="1" t="s">
        <v>732</v>
      </c>
      <c r="W59" s="1" t="s">
        <v>580</v>
      </c>
      <c r="X59" s="1" t="s">
        <v>732</v>
      </c>
      <c r="AA59" s="1" t="s">
        <v>733</v>
      </c>
      <c r="AB59" s="1" t="s">
        <v>734</v>
      </c>
      <c r="AU59" s="2"/>
      <c r="AV59" s="13" t="s">
        <v>630</v>
      </c>
      <c r="AW59" s="11"/>
      <c r="AX59" s="13" t="s">
        <v>307</v>
      </c>
      <c r="AY59" s="13" t="s">
        <v>537</v>
      </c>
    </row>
    <row r="60" spans="16:51" x14ac:dyDescent="0.5">
      <c r="P60" s="1" t="s">
        <v>722</v>
      </c>
      <c r="Q60" s="1" t="s">
        <v>507</v>
      </c>
      <c r="W60" s="1" t="s">
        <v>722</v>
      </c>
      <c r="X60" s="1" t="s">
        <v>507</v>
      </c>
      <c r="AA60" s="1" t="s">
        <v>735</v>
      </c>
      <c r="AB60" s="1" t="s">
        <v>736</v>
      </c>
      <c r="AV60" s="14" t="s">
        <v>617</v>
      </c>
      <c r="AW60" s="11"/>
      <c r="AX60" s="13" t="s">
        <v>90</v>
      </c>
      <c r="AY60" s="13"/>
    </row>
    <row r="61" spans="16:51" x14ac:dyDescent="0.5">
      <c r="P61" s="1" t="s">
        <v>531</v>
      </c>
      <c r="Q61" s="1" t="s">
        <v>481</v>
      </c>
      <c r="W61" s="1" t="s">
        <v>531</v>
      </c>
      <c r="X61" s="1" t="s">
        <v>481</v>
      </c>
      <c r="AA61" s="1" t="s">
        <v>367</v>
      </c>
      <c r="AB61" s="1" t="s">
        <v>737</v>
      </c>
      <c r="AV61" s="13" t="s">
        <v>527</v>
      </c>
      <c r="AW61" s="11"/>
      <c r="AX61" s="13" t="s">
        <v>561</v>
      </c>
      <c r="AY61" s="13"/>
    </row>
    <row r="62" spans="16:51" x14ac:dyDescent="0.5">
      <c r="P62" s="1" t="s">
        <v>687</v>
      </c>
      <c r="Q62" s="1" t="s">
        <v>643</v>
      </c>
      <c r="W62" s="1" t="s">
        <v>687</v>
      </c>
      <c r="X62" s="1" t="s">
        <v>643</v>
      </c>
      <c r="AA62" s="1" t="s">
        <v>316</v>
      </c>
      <c r="AB62" s="1" t="s">
        <v>738</v>
      </c>
      <c r="AV62" s="14" t="s">
        <v>547</v>
      </c>
      <c r="AW62" s="11"/>
      <c r="AX62" s="13" t="s">
        <v>368</v>
      </c>
      <c r="AY62" s="13"/>
    </row>
    <row r="63" spans="16:51" x14ac:dyDescent="0.5">
      <c r="P63" s="1" t="s">
        <v>542</v>
      </c>
      <c r="Q63" s="1" t="s">
        <v>321</v>
      </c>
      <c r="W63" s="1" t="s">
        <v>542</v>
      </c>
      <c r="X63" s="1" t="s">
        <v>321</v>
      </c>
      <c r="AA63" s="1" t="s">
        <v>739</v>
      </c>
      <c r="AU63" s="2"/>
      <c r="AV63" s="14" t="s">
        <v>570</v>
      </c>
      <c r="AW63" s="11"/>
      <c r="AX63" s="14" t="s">
        <v>392</v>
      </c>
      <c r="AY63" s="13"/>
    </row>
    <row r="64" spans="16:51" x14ac:dyDescent="0.5">
      <c r="Q64" s="1" t="s">
        <v>537</v>
      </c>
      <c r="X64" s="1" t="s">
        <v>537</v>
      </c>
      <c r="AA64" s="1" t="s">
        <v>668</v>
      </c>
      <c r="AV64" s="13" t="s">
        <v>312</v>
      </c>
      <c r="AW64" s="11"/>
      <c r="AX64" s="13" t="s">
        <v>313</v>
      </c>
      <c r="AY64" s="13"/>
    </row>
    <row r="65" spans="17:51" x14ac:dyDescent="0.5">
      <c r="Q65" s="1" t="s">
        <v>322</v>
      </c>
      <c r="X65" s="1" t="s">
        <v>322</v>
      </c>
      <c r="AA65" s="1" t="s">
        <v>714</v>
      </c>
      <c r="AV65" s="11" t="s">
        <v>627</v>
      </c>
      <c r="AW65" s="11"/>
      <c r="AX65" s="14" t="s">
        <v>551</v>
      </c>
      <c r="AY65" s="13"/>
    </row>
    <row r="66" spans="17:51" x14ac:dyDescent="0.5">
      <c r="Q66" s="1" t="s">
        <v>740</v>
      </c>
      <c r="X66" s="1" t="s">
        <v>740</v>
      </c>
      <c r="AA66" s="1" t="s">
        <v>741</v>
      </c>
      <c r="AV66" s="12" t="s">
        <v>585</v>
      </c>
      <c r="AW66" s="11"/>
      <c r="AX66" s="13" t="s">
        <v>583</v>
      </c>
      <c r="AY66" s="13"/>
    </row>
    <row r="67" spans="17:51" x14ac:dyDescent="0.5">
      <c r="AA67" s="1" t="s">
        <v>742</v>
      </c>
      <c r="AV67" s="14" t="s">
        <v>669</v>
      </c>
      <c r="AW67" s="11"/>
      <c r="AX67" s="13" t="s">
        <v>602</v>
      </c>
      <c r="AY67" s="13"/>
    </row>
    <row r="68" spans="17:51" x14ac:dyDescent="0.5">
      <c r="AA68" s="1" t="s">
        <v>663</v>
      </c>
      <c r="AV68" s="11" t="s">
        <v>514</v>
      </c>
      <c r="AW68" s="11"/>
      <c r="AX68" s="13" t="s">
        <v>412</v>
      </c>
      <c r="AY68" s="13"/>
    </row>
    <row r="69" spans="17:51" x14ac:dyDescent="0.5">
      <c r="AV69" s="13" t="s">
        <v>503</v>
      </c>
      <c r="AW69" s="11"/>
      <c r="AX69" s="13" t="s">
        <v>467</v>
      </c>
      <c r="AY69" s="13"/>
    </row>
    <row r="70" spans="17:51" x14ac:dyDescent="0.5">
      <c r="AV70" s="14" t="s">
        <v>681</v>
      </c>
      <c r="AW70" s="16"/>
      <c r="AX70" s="13" t="s">
        <v>665</v>
      </c>
      <c r="AY70" s="13"/>
    </row>
    <row r="71" spans="17:51" x14ac:dyDescent="0.5">
      <c r="AV71" s="13" t="s">
        <v>314</v>
      </c>
      <c r="AX71" s="13" t="s">
        <v>492</v>
      </c>
      <c r="AY71" s="13"/>
    </row>
    <row r="72" spans="17:51" x14ac:dyDescent="0.5">
      <c r="AV72" s="13" t="s">
        <v>616</v>
      </c>
      <c r="AX72" s="14" t="s">
        <v>686</v>
      </c>
      <c r="AY72" s="13"/>
    </row>
    <row r="73" spans="17:51" x14ac:dyDescent="0.5">
      <c r="AV73" s="14" t="s">
        <v>583</v>
      </c>
      <c r="AX73" s="13" t="s">
        <v>439</v>
      </c>
      <c r="AY73" s="13"/>
    </row>
    <row r="74" spans="17:51" x14ac:dyDescent="0.5">
      <c r="AV74" s="11" t="s">
        <v>653</v>
      </c>
      <c r="AX74" s="14" t="s">
        <v>103</v>
      </c>
      <c r="AY74" s="13"/>
    </row>
    <row r="75" spans="17:51" x14ac:dyDescent="0.5">
      <c r="AV75" s="12" t="s">
        <v>657</v>
      </c>
      <c r="AX75" s="13" t="s">
        <v>615</v>
      </c>
      <c r="AY75" s="13"/>
    </row>
    <row r="76" spans="17:51" x14ac:dyDescent="0.5">
      <c r="AV76" s="11" t="s">
        <v>661</v>
      </c>
      <c r="AX76" s="13" t="s">
        <v>633</v>
      </c>
      <c r="AY76" s="13"/>
    </row>
    <row r="77" spans="17:51" x14ac:dyDescent="0.5">
      <c r="AV77" s="14" t="s">
        <v>690</v>
      </c>
      <c r="AX77" s="14" t="s">
        <v>391</v>
      </c>
      <c r="AY77" s="13"/>
    </row>
    <row r="78" spans="17:51" x14ac:dyDescent="0.5">
      <c r="AV78" s="14" t="s">
        <v>103</v>
      </c>
      <c r="AX78" s="14" t="s">
        <v>638</v>
      </c>
      <c r="AY78" s="13"/>
    </row>
    <row r="79" spans="17:51" x14ac:dyDescent="0.5">
      <c r="AV79" s="13" t="s">
        <v>615</v>
      </c>
      <c r="AX79" s="13" t="s">
        <v>614</v>
      </c>
      <c r="AY79" s="13"/>
    </row>
    <row r="80" spans="17:51" x14ac:dyDescent="0.5">
      <c r="AV80" s="12" t="s">
        <v>666</v>
      </c>
      <c r="AX80" s="13" t="s">
        <v>560</v>
      </c>
      <c r="AY80" s="13"/>
    </row>
    <row r="81" spans="48:51" x14ac:dyDescent="0.5">
      <c r="AV81" s="14" t="s">
        <v>680</v>
      </c>
      <c r="AX81" s="14" t="s">
        <v>592</v>
      </c>
      <c r="AY81" s="14"/>
    </row>
    <row r="82" spans="48:51" x14ac:dyDescent="0.5">
      <c r="AV82" s="11" t="s">
        <v>672</v>
      </c>
      <c r="AX82" s="13" t="s">
        <v>634</v>
      </c>
      <c r="AY82" s="13"/>
    </row>
    <row r="83" spans="48:51" x14ac:dyDescent="0.5">
      <c r="AV83" s="13" t="s">
        <v>317</v>
      </c>
      <c r="AX83" s="14" t="s">
        <v>507</v>
      </c>
      <c r="AY83" s="14"/>
    </row>
    <row r="84" spans="48:51" x14ac:dyDescent="0.5">
      <c r="AV84" s="14" t="s">
        <v>678</v>
      </c>
      <c r="AX84" s="14" t="s">
        <v>481</v>
      </c>
      <c r="AY84" s="13"/>
    </row>
    <row r="85" spans="48:51" x14ac:dyDescent="0.5">
      <c r="AV85" s="11" t="s">
        <v>531</v>
      </c>
      <c r="AX85" s="13" t="s">
        <v>643</v>
      </c>
      <c r="AY85" s="13"/>
    </row>
    <row r="86" spans="48:51" x14ac:dyDescent="0.5">
      <c r="AV86" s="13" t="s">
        <v>687</v>
      </c>
      <c r="AX86" s="17" t="s">
        <v>537</v>
      </c>
      <c r="AY86" s="13"/>
    </row>
    <row r="87" spans="48:51" x14ac:dyDescent="0.5">
      <c r="AV87" s="14" t="s">
        <v>652</v>
      </c>
      <c r="AX87" s="14" t="s">
        <v>322</v>
      </c>
      <c r="AY87" s="17"/>
    </row>
    <row r="88" spans="48:51" x14ac:dyDescent="0.5">
      <c r="AV88" s="13" t="s">
        <v>660</v>
      </c>
      <c r="AX88" s="14"/>
    </row>
    <row r="89" spans="48:51" x14ac:dyDescent="0.5">
      <c r="AV89" s="14"/>
      <c r="AX89" s="14"/>
    </row>
    <row r="90" spans="48:51" x14ac:dyDescent="0.5">
      <c r="AV90" s="14"/>
      <c r="AX90" s="14"/>
    </row>
    <row r="91" spans="48:51" x14ac:dyDescent="0.5">
      <c r="AV91" s="13"/>
      <c r="AX91" s="14"/>
    </row>
    <row r="92" spans="48:51" x14ac:dyDescent="0.5">
      <c r="AV92" s="14"/>
      <c r="AX92" s="17"/>
    </row>
    <row r="93" spans="48:51" x14ac:dyDescent="0.5">
      <c r="AV93" s="14"/>
    </row>
    <row r="94" spans="48:51" x14ac:dyDescent="0.5">
      <c r="AV94" s="14"/>
    </row>
    <row r="95" spans="48:51" x14ac:dyDescent="0.5">
      <c r="AV95" s="14"/>
    </row>
    <row r="96" spans="48:51" x14ac:dyDescent="0.5">
      <c r="AV96" s="14"/>
    </row>
    <row r="97" spans="48:48" x14ac:dyDescent="0.5">
      <c r="AV97" s="13"/>
    </row>
    <row r="98" spans="48:48" x14ac:dyDescent="0.5">
      <c r="AV98" s="14"/>
    </row>
    <row r="99" spans="48:48" x14ac:dyDescent="0.5">
      <c r="AV99" s="14"/>
    </row>
    <row r="100" spans="48:48" x14ac:dyDescent="0.5">
      <c r="AV100" s="14"/>
    </row>
    <row r="101" spans="48:48" x14ac:dyDescent="0.5">
      <c r="AV101" s="14"/>
    </row>
    <row r="102" spans="48:48" x14ac:dyDescent="0.5">
      <c r="AV102" s="14"/>
    </row>
    <row r="103" spans="48:48" x14ac:dyDescent="0.5">
      <c r="AV103" s="12"/>
    </row>
    <row r="104" spans="48:48" x14ac:dyDescent="0.5">
      <c r="AV104" s="14"/>
    </row>
    <row r="105" spans="48:48" x14ac:dyDescent="0.5">
      <c r="AV105" s="14"/>
    </row>
    <row r="106" spans="48:48" x14ac:dyDescent="0.5">
      <c r="AV106" s="14"/>
    </row>
    <row r="107" spans="48:48" x14ac:dyDescent="0.5">
      <c r="AV107" s="14"/>
    </row>
    <row r="108" spans="48:48" x14ac:dyDescent="0.5">
      <c r="AV108" s="17"/>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0D679C-2D34-4992-AE3C-F11776CF8500}">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33967762-15D7-47B0-9400-E3B8B851DF04}">
  <ds:schemaRefs>
    <ds:schemaRef ds:uri="http://schemas.microsoft.com/sharepoint/v3/contenttype/forms"/>
  </ds:schemaRefs>
</ds:datastoreItem>
</file>

<file path=customXml/itemProps3.xml><?xml version="1.0" encoding="utf-8"?>
<ds:datastoreItem xmlns:ds="http://schemas.openxmlformats.org/officeDocument/2006/customXml" ds:itemID="{A7BC9D80-CDCB-470D-AD39-BD778C1C3A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ActitudinalBAK</vt:lpstr>
      <vt:lpstr>Bloom</vt:lpstr>
      <vt:lpstr>CognitivoBAK</vt:lpstr>
      <vt:lpstr>'Paso1 Analisis perfil egreso'!ComponentesCompetencias</vt:lpstr>
      <vt:lpstr>ComprenderLK</vt:lpstr>
      <vt:lpstr>EvaluarLK</vt:lpstr>
      <vt:lpstr>PercepciónBAK</vt:lpstr>
      <vt:lpstr>PrecisiónBAK</vt:lpstr>
      <vt:lpstr>ProcedimentalB</vt:lpstr>
      <vt:lpstr>ProcedimentalBAK</vt:lpstr>
      <vt:lpstr>ProcedimientosLK</vt:lpstr>
      <vt:lpstr>ProcesosAK</vt:lpstr>
      <vt:lpstr>RecordarLK</vt:lpstr>
      <vt:lpstr>RecuperaciónAK</vt:lpstr>
      <vt:lpstr>SíntesisB</vt:lpstr>
      <vt:lpstr>SíntesisBAK</vt:lpstr>
      <vt:lpstr>taxonomiasra</vt:lpstr>
      <vt:lpstr>UsoConocimientoAK</vt:lpstr>
      <vt:lpstr>ValorarBAK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