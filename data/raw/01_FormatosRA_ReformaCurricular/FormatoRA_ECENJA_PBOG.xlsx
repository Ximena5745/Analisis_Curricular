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420" documentId="8_{4A0F5AF3-8D72-6746-8BDD-E47DE49BEC91}" xr6:coauthVersionLast="47" xr6:coauthVersionMax="47" xr10:uidLastSave="{8A52EB88-8661-4ABB-BDBF-BEF874ABB9E8}"/>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'!$A$1:$C$11</definedName>
    <definedName name="_xlnm._FilterDatabase" localSheetId="3" hidden="1">'Paso 4 Estrategias mesocurricu'!$A$1:$F$12</definedName>
    <definedName name="_xlnm._FilterDatabase" localSheetId="4" hidden="1">'Paso 5 Estrategias micro'!$A$2:$P$43</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Saber[Saber]</definedName>
    <definedName name="CognitivoAK">'Taxonomias para RA'!$AL$4:$AQ$4</definedName>
    <definedName name="cognitivoB">Tabla5583[CognitivoB]</definedName>
    <definedName name="CognitivoBAK">'Taxonomias para RA'!$S$3:$X$3</definedName>
    <definedName name="competencias">Tabla31[Redacción competencia]</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Saber[Saber]</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hacer">Tabla2[Saberhacer]</definedName>
    <definedName name="saberser">Tabla24[Saberser]</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 l="1"/>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 i="7"/>
  <c r="A3" i="7"/>
  <c r="K38" i="7"/>
  <c r="J38" i="7"/>
  <c r="K25" i="7"/>
  <c r="J25" i="7"/>
  <c r="K6" i="7"/>
  <c r="J6" i="7"/>
  <c r="D41" i="7"/>
  <c r="I41" i="7"/>
  <c r="K28" i="7"/>
  <c r="J28" i="7"/>
  <c r="L28" i="7" s="1"/>
  <c r="K34" i="7"/>
  <c r="J34" i="7"/>
  <c r="K21" i="7"/>
  <c r="J21" i="7"/>
  <c r="K16" i="7"/>
  <c r="J16" i="7"/>
  <c r="K9" i="7"/>
  <c r="J9" i="7"/>
  <c r="K3" i="7"/>
  <c r="J3" i="7"/>
  <c r="L16" i="7" l="1"/>
  <c r="L25" i="7"/>
  <c r="L3" i="7"/>
  <c r="L21" i="7"/>
  <c r="L9" i="7"/>
  <c r="L6" i="7"/>
  <c r="L34" i="7"/>
  <c r="L3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8D7FF334-D9AF-4948-B560-7FEA4214649F}">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H2" authorId="0" shapeId="0" xr:uid="{A72039D4-C98C-4595-8C98-360D0A6F259A}">
      <text>
        <r>
          <rPr>
            <b/>
            <sz val="9"/>
            <color indexed="81"/>
            <rFont val="Tahoma"/>
            <family val="2"/>
          </rPr>
          <t>Dir. Currículo:</t>
        </r>
        <r>
          <rPr>
            <sz val="9"/>
            <color indexed="81"/>
            <rFont val="Tahoma"/>
            <family val="2"/>
          </rPr>
          <t xml:space="preserve">
Áreas en las que podrá laborar el profesional.</t>
        </r>
      </text>
    </comment>
    <comment ref="I2" authorId="0" shapeId="0" xr:uid="{390007B1-9331-43A4-A6A2-BB67EFB4D8E6}">
      <text>
        <r>
          <rPr>
            <b/>
            <sz val="9"/>
            <color rgb="FF000000"/>
            <rFont val="Tahoma"/>
            <family val="2"/>
          </rPr>
          <t>Dir. Currículo:</t>
        </r>
        <r>
          <rPr>
            <sz val="9"/>
            <color rgb="FF000000"/>
            <rFont val="Tahoma"/>
            <family val="2"/>
          </rPr>
          <t xml:space="preserve">
</t>
        </r>
        <r>
          <rPr>
            <sz val="9"/>
            <color rgb="FF000000"/>
            <rFont val="Tahoma"/>
            <family val="2"/>
          </rPr>
          <t>Tareas potenciales que hará el profesional.</t>
        </r>
      </text>
    </comment>
    <comment ref="J2" authorId="0" shapeId="0" xr:uid="{89051E15-F356-4E64-9195-C826DAC9053D}">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394A016F-8CD1-43E2-8BCB-5EF0656F6809}">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F6B0A857-FBB2-4ABE-95B7-A368C24DE8ED}">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50D705EE-2B6A-4019-B871-B518250CF68F}">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1FC04C21-CBC6-4A33-9E7A-88EC0F93B210}">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7D970F26-B007-48E0-ACD0-C84350028F2C}">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168517B9-AC29-4981-9F26-B0691C8082B8}">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5BB895F0-852C-48B3-BD57-BFA0445961D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73A22962-F68C-4773-926F-9A5E5C980868}">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32A9A02E-631B-40FD-B6EE-636D1D6B6EDC}">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8F5894BA-BBB4-4A64-8ADC-3DFC56B39824}">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9981A410-45EA-4A7F-84B5-723725E2C613}">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359C056-E35A-44F2-A050-0046C8F09FD5}">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FDD7885B-0C54-4F79-A580-CEF117E2DD2F}">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C9A82C1D-1369-4B73-82CD-05E9CC20A41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0F023BB9-750A-4481-897D-40C76ACB3030}">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18034296-7728-4C11-B043-CA73619E8D27}">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57BDA4E0-F530-4B5C-AC2F-004CE41482E6}">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C4A51654-C7ED-489B-A880-6BDA77DB091A}">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45D1EC3E-E4AC-4145-B120-422E6F69DBEB}">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<sst xmlns="http://schemas.openxmlformats.org/spreadsheetml/2006/main" count="2316" uniqueCount="651">
  <si>
    <t>Programa</t>
  </si>
  <si>
    <t>Modalidad</t>
  </si>
  <si>
    <t>Saber</t>
  </si>
  <si>
    <t>Saberhacer</t>
  </si>
  <si>
    <t>Saberser</t>
  </si>
  <si>
    <t>ÁreasProfesionales</t>
  </si>
  <si>
    <t>TareasProfesionales</t>
  </si>
  <si>
    <t>PoblacionesActuación</t>
  </si>
  <si>
    <t>ValorAgregado</t>
  </si>
  <si>
    <t>Desarrollar y gestionar la actividad contractual de la Administración Pública, en el cumplimiento de los fines del Estado</t>
  </si>
  <si>
    <t>Responsabilidad contractual pública</t>
  </si>
  <si>
    <t>Resolver y gestionar los diversos tipos de responsabilidad que se derivan de la actividad y controles de la contratación estatal</t>
  </si>
  <si>
    <t>Elementos para redactar las competencias que desarrollará el programa</t>
  </si>
  <si>
    <t>Sistematizar</t>
  </si>
  <si>
    <t>Implementar</t>
  </si>
  <si>
    <t>Aplicar</t>
  </si>
  <si>
    <t xml:space="preserve">Aplicar la responsabilidad contractual pública para resolver y gestionar los diversos tipos de responsabilidad que se derivan de la actividad y controles de la contratación estatal, a partir del marco normativo, jurisprudencial y doctrinal de la contratación estatal en Colombia. </t>
  </si>
  <si>
    <t>Bloom</t>
  </si>
  <si>
    <t>CognitivoB</t>
  </si>
  <si>
    <t>ConocimientoB</t>
  </si>
  <si>
    <t>Reconocer</t>
  </si>
  <si>
    <t xml:space="preserve">Reconoce los fundamentos de la actividad contractual del Estado para emitir conceptos y desarrollar actuaciones jurídicas. </t>
  </si>
  <si>
    <t>ProcedimentalB</t>
  </si>
  <si>
    <t>AplicaciónB</t>
  </si>
  <si>
    <t xml:space="preserve">Aplica los aspectos generales de la Contratación Estatal, desde el constitucionalismo,  pasando por los conceptos genéricos sobre  negocios jurídicos, las partes en un contrato  y su capacidad, las normas de orden reglamentario, así como los  intervinientes en las actuaciones relacionadas con la  actividad contractual de la Administración para incorporarlos de manera correspondiente en las etapas pre, contra y poscontractual. </t>
  </si>
  <si>
    <t>ActitudinalB</t>
  </si>
  <si>
    <t>EvaluaciónB</t>
  </si>
  <si>
    <t>Revisar</t>
  </si>
  <si>
    <t xml:space="preserve">Revisa los fundamentos jurídicos de la actividad contractual del estado para determinar la legalidad y ética de las actuaciones desplegadas en el marco de la contratación estatal. </t>
  </si>
  <si>
    <t>Estructurar</t>
  </si>
  <si>
    <t>Estructura el desarrollo del procedimiento contractual público observando el marco normativo, jurisprudencial y doctrinal de la contratación estatal colombiana para gestionar la actividad contractual de la Administración Pública.</t>
  </si>
  <si>
    <t>AnálisisB</t>
  </si>
  <si>
    <t>Reconoce las causales y los aspectos que diferencian los diferentes procedimientos contractuales públicos requeridos para desarrollar la gestión de la actividad contractual de la Administración Pública en el cumplimiento de sus fines, observando y aplicando el marco normativo, jurisprudencial y doctrinal pertinente.</t>
  </si>
  <si>
    <t>Calificar</t>
  </si>
  <si>
    <t>Analizar</t>
  </si>
  <si>
    <t xml:space="preserve">Analiza los elementos y reglas que configuran la responsabilidad derivada de la gestión contractual pública para identificar los riesgos que afectan el patrimonio público así como el cumplimiento de los fines del Estado, a partir de los marcos normativos y teóricos pertinentes. </t>
  </si>
  <si>
    <t>Comparar</t>
  </si>
  <si>
    <t>Compara las diferentes tipologías de responsabilidad derivadas de la actividad contractual del Estado y con ocasión de los controles aplicados a aquellas, para formular acciones judiciales y escritos jurídicos.</t>
  </si>
  <si>
    <t>Clasificar</t>
  </si>
  <si>
    <t>Clasifica los elementos que determinan la configuración de la responsabilidad contractual pública derivada de su ejercicio y control, a partir del marco normativo, jurisprudencial y doctrinal de la contratación estatal en Colombia, para identificar acciones de prevención y mitigación del daño antijurídico.</t>
  </si>
  <si>
    <t xml:space="preserve">Semillero de Investigación </t>
  </si>
  <si>
    <t xml:space="preserve">El semillero de investigación es un espacio determinado para generar no solamente conciencia en los estudiantes sobre la investigación como herramienta para la generación de nuevo conocimiento útil para la sociedad y la formulación de soluciones prácticas en contexto para las problemáticas del objeto de estudio del programa, generalmente a partir del estudio de casos o situaciones en contexto. </t>
  </si>
  <si>
    <t>Número de proyectos que se desarrollan o en los cuales hacen parte los estudiantes.</t>
  </si>
  <si>
    <t>Informe</t>
  </si>
  <si>
    <t>Número de estudiantes que participan durante los periodos académicos que determine le programa.</t>
  </si>
  <si>
    <t>Listado de participación</t>
  </si>
  <si>
    <t>Valoración de los estudiantes respecto a la contribución de la estrategia a los resultados de aprendizaje.</t>
  </si>
  <si>
    <t>Encuesta</t>
  </si>
  <si>
    <t xml:space="preserve">Eventos Académicos Nacionales o Internacionales </t>
  </si>
  <si>
    <t>Número de eventos realizados.</t>
  </si>
  <si>
    <t>Número de estudiantes que participan en las clases espejo durante un año.</t>
  </si>
  <si>
    <t>Tipo de Saber</t>
  </si>
  <si>
    <t>Créditos</t>
  </si>
  <si>
    <t>Total de horas</t>
  </si>
  <si>
    <t>Profundización</t>
  </si>
  <si>
    <t xml:space="preserve">Introducción a la Contratación Estatal y el Negocio Jurídico Público </t>
  </si>
  <si>
    <t>T</t>
  </si>
  <si>
    <t>X</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</si>
  <si>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t>
  </si>
  <si>
    <t>Evaluación Formativa:
Se desarrollan acciones orientadas a: formar creando las condiciones para que los estudiantes adquieran conocimientos, habilidades, actitudes, aptitudes y destrezas. Además, debe promover su desarrollo integral y debe acompañarlos en las situaciones académicas que enfrenten durante el desarrollo de un módulo, informa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o ayudar a decidir orientando a los estudiantes para que tomen la mejor decisión ante una situación concreta. El objetivo es que el estudiante fortalezca su autonomía y la toma de decisiones responsable. 
Evaluación Sumativa:
Con las valoraciones y observaciones generadas en las actividades que impliquen entregas como: recursos, quices, evaluaciones parciales, evaluación final, trabajos o documentos, según sea el caso.</t>
  </si>
  <si>
    <t xml:space="preserve">La Planeación en la Contratación Estatal </t>
  </si>
  <si>
    <t xml:space="preserve">Tipologías, Contenido y Ejecución de los Contratos Estatales </t>
  </si>
  <si>
    <t xml:space="preserve">Procesos de Selección </t>
  </si>
  <si>
    <t>TP</t>
  </si>
  <si>
    <t xml:space="preserve">Regímenes de Responsabilidad y Controles a la Contratación Estatal </t>
  </si>
  <si>
    <t xml:space="preserve">Potestades Unilaterales de la Administración </t>
  </si>
  <si>
    <t xml:space="preserve">Liquidación y Fenecimiento del Contrato Estatal </t>
  </si>
  <si>
    <t xml:space="preserve">Controversias Contractuales y Procesos Jurisdiccionales entorno a la Contratación Estatal </t>
  </si>
  <si>
    <t xml:space="preserve">Seminario Taller de Simulación </t>
  </si>
  <si>
    <t>Número de módulos del plan de estudios</t>
  </si>
  <si>
    <t>Número de créditos del plan de estudios</t>
  </si>
  <si>
    <t>Número de créditos del componente de fundamentación</t>
  </si>
  <si>
    <t>Número de créditos del componente de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</si>
  <si>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</si>
  <si>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</si>
  <si>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</si>
  <si>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</si>
  <si>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</si>
  <si>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</si>
  <si>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</si>
  <si>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</si>
  <si>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</si>
  <si>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</si>
  <si>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</si>
  <si>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</si>
  <si>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</si>
  <si>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</si>
  <si>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</si>
  <si>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</si>
  <si>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</si>
  <si>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</si>
  <si>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</si>
  <si>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</si>
  <si>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</si>
  <si>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</si>
  <si>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</si>
  <si>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</si>
  <si>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</si>
  <si>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</si>
  <si>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</si>
  <si>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</si>
  <si>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</si>
  <si>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</si>
  <si>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</si>
  <si>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</si>
  <si>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</si>
  <si>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</si>
  <si>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</si>
  <si>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</si>
  <si>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</si>
  <si>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</si>
  <si>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</si>
  <si>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</si>
  <si>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</si>
  <si>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</si>
  <si>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</si>
  <si>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</si>
  <si>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</si>
  <si>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</si>
  <si>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</si>
  <si>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</si>
  <si>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</si>
  <si>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</si>
  <si>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</si>
  <si>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</si>
  <si>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</si>
  <si>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</si>
  <si>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</si>
  <si>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</si>
  <si>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</si>
  <si>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</si>
  <si>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</si>
  <si>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</si>
  <si>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</si>
  <si>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</si>
  <si>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</si>
  <si>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</si>
  <si>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</si>
  <si>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</si>
  <si>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</si>
  <si>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</si>
  <si>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</si>
  <si>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</si>
  <si>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</si>
  <si>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</si>
  <si>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</si>
  <si>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</si>
  <si>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</si>
  <si>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</si>
  <si>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</si>
  <si>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</si>
  <si>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</si>
  <si>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</si>
  <si>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</si>
  <si>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</si>
  <si>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</si>
  <si>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</si>
  <si>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</si>
  <si>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</si>
  <si>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</si>
  <si>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</si>
  <si>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</si>
  <si>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</si>
  <si>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</si>
  <si>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</si>
  <si>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</si>
  <si>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</si>
  <si>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</si>
  <si>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</si>
  <si>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</si>
  <si>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</si>
  <si>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</si>
  <si>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</si>
  <si>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</si>
  <si>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</si>
  <si>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</si>
  <si>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</si>
  <si>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</si>
  <si>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</si>
  <si>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</si>
  <si>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</si>
  <si>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</si>
  <si>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</si>
  <si>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</si>
  <si>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</si>
  <si>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</si>
  <si>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</si>
  <si>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</si>
  <si>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</si>
  <si>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</si>
  <si>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</si>
  <si>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</si>
  <si>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</si>
  <si>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</si>
  <si>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</si>
  <si>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</si>
  <si>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</si>
  <si>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</si>
  <si>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</si>
  <si>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</si>
  <si>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</si>
  <si>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</si>
  <si>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</si>
  <si>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</si>
  <si>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</si>
  <si>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</si>
  <si>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</si>
  <si>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</si>
  <si>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</si>
  <si>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</si>
  <si>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</si>
  <si>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</si>
  <si>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</si>
  <si>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</si>
  <si>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</si>
  <si>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</si>
  <si>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</si>
  <si>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</si>
  <si>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</si>
  <si>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</si>
  <si>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</si>
  <si>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</si>
  <si>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</si>
  <si>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</si>
  <si>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</si>
  <si>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</si>
  <si>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</si>
  <si>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</si>
  <si>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</si>
  <si>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</si>
  <si>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</si>
  <si>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</si>
  <si>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</si>
  <si>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</si>
  <si>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</si>
  <si>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</si>
  <si>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</si>
  <si>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</si>
  <si>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</si>
  <si>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</si>
  <si>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</si>
  <si>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</si>
  <si>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</si>
  <si>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</si>
  <si>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</si>
  <si>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</si>
  <si>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</si>
  <si>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</si>
  <si>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</si>
  <si>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</si>
  <si>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</si>
  <si>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</si>
  <si>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</si>
  <si>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</si>
  <si>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</si>
  <si>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</si>
  <si>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</si>
  <si>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</si>
  <si>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</si>
  <si>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</si>
  <si>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</si>
  <si>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</si>
  <si>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</si>
  <si>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</si>
  <si>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</si>
  <si>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</si>
  <si>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</si>
  <si>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</si>
  <si>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</si>
  <si>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</si>
  <si>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</si>
  <si>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</si>
  <si>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</si>
  <si>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</si>
  <si>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</si>
  <si>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</si>
  <si>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</si>
  <si>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</si>
  <si>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</si>
  <si>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</si>
  <si>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</si>
  <si>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</si>
  <si>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</si>
  <si>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</si>
  <si>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</si>
  <si>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</si>
  <si>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</si>
  <si>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</si>
  <si>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</si>
  <si>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</si>
  <si>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</si>
  <si>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</si>
  <si>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</si>
  <si>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</si>
  <si>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</si>
  <si>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</si>
  <si>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</si>
  <si>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</si>
  <si>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</si>
  <si>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</si>
  <si>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</si>
  <si>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</si>
  <si>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</si>
  <si>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</si>
  <si>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</si>
  <si>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</si>
  <si>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</si>
  <si>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</si>
  <si>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</si>
  <si>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</si>
  <si>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</si>
  <si>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</si>
  <si>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</si>
  <si>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</si>
  <si>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</si>
  <si>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</si>
  <si>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</si>
  <si>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</si>
  <si>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</si>
  <si>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</si>
  <si>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</si>
  <si>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</si>
  <si>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</si>
  <si>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</si>
  <si>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</si>
  <si>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</si>
  <si>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</si>
  <si>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</si>
  <si>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</si>
  <si>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</si>
  <si>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</si>
  <si>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</si>
  <si>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</si>
  <si>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</si>
  <si>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</si>
  <si>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</si>
  <si>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</si>
  <si>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</si>
  <si>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</si>
  <si>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</si>
  <si>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</si>
  <si>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</si>
  <si>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</si>
  <si>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</si>
  <si>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</si>
  <si>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</si>
  <si>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</si>
  <si>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</si>
  <si>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</si>
  <si>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</si>
  <si>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</si>
  <si>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</si>
  <si>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</si>
  <si>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</si>
  <si>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</si>
  <si>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</si>
  <si>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</si>
  <si>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</si>
  <si>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</si>
  <si>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</si>
  <si>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</si>
  <si>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</si>
  <si>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</si>
  <si>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</si>
  <si>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</si>
  <si>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</si>
  <si>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</si>
  <si>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</si>
  <si>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</si>
  <si>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</si>
  <si>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</si>
  <si>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</si>
  <si>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</si>
  <si>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</si>
  <si>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</si>
  <si>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</si>
  <si>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</si>
  <si>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</si>
  <si>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</si>
  <si>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</si>
  <si>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</si>
  <si>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</si>
  <si>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</si>
  <si>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</si>
  <si>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</si>
  <si>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</si>
  <si>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</si>
  <si>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</si>
  <si>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</si>
  <si>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</si>
  <si>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</si>
  <si>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</si>
  <si>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</si>
  <si>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</si>
  <si>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</si>
  <si>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</si>
  <si>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</si>
  <si>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</si>
  <si>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</si>
  <si>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</si>
  <si>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</si>
  <si>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</si>
  <si>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</si>
  <si>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</si>
  <si>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</si>
  <si>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</si>
  <si>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</si>
  <si>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</si>
  <si>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</si>
  <si>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</si>
  <si>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</si>
  <si>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</si>
  <si>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</si>
  <si>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</si>
  <si>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</si>
  <si>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</si>
  <si>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</si>
  <si>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</si>
  <si>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</si>
  <si>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</si>
  <si>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</si>
  <si>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</si>
  <si>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</si>
  <si>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</si>
  <si>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</si>
  <si>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</si>
  <si>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</si>
  <si>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</si>
  <si>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</si>
  <si>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</si>
  <si>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</si>
  <si>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</si>
  <si>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</si>
  <si>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</si>
  <si>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</si>
  <si>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</si>
  <si>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</si>
  <si>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</si>
  <si>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</si>
  <si>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</si>
  <si>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</si>
  <si>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</si>
  <si>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</si>
  <si>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</si>
  <si>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</si>
  <si>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</si>
  <si>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</si>
  <si>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</si>
  <si>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</si>
  <si>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</si>
  <si>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</si>
  <si>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</si>
  <si>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</si>
  <si>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</si>
  <si>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</si>
  <si>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</si>
  <si>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</si>
  <si>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</si>
  <si>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</si>
  <si>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</si>
  <si>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</si>
  <si>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</si>
  <si>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</si>
  <si>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</si>
  <si>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</si>
  <si>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</si>
  <si>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</si>
  <si>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</si>
  <si>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</si>
  <si>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</si>
  <si>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</si>
  <si>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</si>
  <si>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</si>
  <si>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</si>
  <si>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</si>
  <si>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</si>
  <si>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</si>
  <si>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</si>
  <si>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</si>
  <si>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</si>
  <si>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</si>
  <si>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</si>
  <si>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</si>
  <si>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</si>
  <si>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</si>
  <si>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</si>
  <si>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</si>
  <si>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</si>
  <si>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</si>
  <si>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</si>
  <si>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</si>
  <si>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</si>
  <si>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</si>
  <si>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</si>
  <si>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</si>
  <si>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</si>
  <si>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</si>
  <si>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</si>
  <si>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</si>
  <si>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</si>
  <si>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</si>
  <si>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</si>
  <si>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</si>
  <si>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</si>
  <si>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</si>
  <si>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</si>
  <si>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</si>
  <si>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</si>
  <si>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</si>
  <si>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</si>
  <si>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</si>
  <si>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</si>
  <si>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</si>
  <si>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</si>
  <si>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</si>
  <si>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</si>
  <si>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</si>
  <si>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</si>
  <si>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</si>
  <si>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</si>
  <si>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</si>
  <si>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</si>
  <si>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</si>
  <si>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</si>
  <si>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</si>
  <si>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</si>
  <si>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</si>
  <si>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</si>
  <si>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</si>
  <si>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</si>
  <si>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</si>
  <si>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</si>
  <si>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 xml:space="preserve">Especialización en Contratación Estatal y Negocios Jurídicos de la Administración </t>
  </si>
  <si>
    <t xml:space="preserve">Presencial </t>
  </si>
  <si>
    <t xml:space="preserve">El Especialista en Contratación Estatal y Negocios Jurídicos de la Administración podrá desempeñarse como:
• Ordenador del gasto en entidades públicas que adelanten procesos de contratación estatal. 
• Asesor externo o interno de instituciones públicas o privadas involucradas en los trámites de la contratación administrativa. 
• Consultores de organizaciones y personas que participen en procesos de selección y, eventualmente, sean contratistas del Estado. 
• Miembro del equipo interdisciplinario que diseña los procesos de contratación estatal al interior de las entidades públicas competentes. 
• Funcionario de las entidades de control que ejerzan funciones en la materia. 
• Gerente de entidades de derecho privado cuyo objeto social se desarrolle como proponente y/o contratista en procesos de contratación pública. 
• Miembro de equipos técnicos (profesional de cualquier área o disciplina) vinculado a los procesos de contratación estatal. </t>
  </si>
  <si>
    <t>El egresado de la Especialización en Contratación Estatal y Negocios Jurídicos de la Administración dará cuenta conocimientos específicos y perfeccionados en el ámbito contratación estatal, a partir de su formación ética y orientada al manejo eficiente y transparente de los recursos públicos, desde el dominio de los aspectos sustantivos y procedimentales de la actuación contractual y negocial del estado; comprendiendo a aquellas como herramientas para la gerencia pública en pro de los fines del Estado, siendo crítico y analítico en la gestión de la misma y las responsabilidades que entorno a estas se derivan.</t>
  </si>
  <si>
    <t>[Escribir el nombre del programa]</t>
  </si>
  <si>
    <t>[Escribir la modalidad: presencial o virtual]</t>
  </si>
  <si>
    <t>[Escribir el perfil profesional del egresado.]</t>
  </si>
  <si>
    <t>[Escribir el perfil ocupacional del egresado.]</t>
  </si>
  <si>
    <t>Perfil profesional</t>
  </si>
  <si>
    <t>Perfil ocupacional</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</si>
  <si>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</si>
  <si>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</si>
  <si>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</si>
  <si>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</si>
  <si>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</si>
  <si>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</si>
  <si>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</si>
  <si>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</si>
  <si>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</si>
  <si>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</si>
  <si>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</si>
  <si>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</si>
  <si>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</si>
  <si>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</si>
  <si>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</si>
  <si>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</si>
  <si>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</si>
  <si>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</si>
  <si>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</si>
  <si>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</si>
  <si>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</si>
  <si>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</si>
  <si>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</si>
  <si>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</si>
  <si>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</si>
  <si>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</si>
  <si>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</si>
  <si>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</si>
  <si>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</si>
  <si>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</si>
  <si>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</si>
  <si>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</si>
  <si>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</si>
  <si>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</si>
  <si>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</si>
  <si>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</si>
  <si>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</si>
  <si>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</si>
  <si>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</si>
  <si>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</si>
  <si>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</si>
  <si>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</si>
  <si>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</si>
  <si>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</si>
  <si>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</si>
  <si>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</si>
  <si>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</si>
  <si>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</si>
  <si>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</si>
  <si>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</si>
  <si>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</si>
  <si>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</si>
  <si>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</si>
  <si>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</si>
  <si>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</si>
  <si>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</si>
  <si>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</si>
  <si>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</si>
  <si>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</si>
  <si>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</si>
  <si>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</si>
  <si>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</si>
  <si>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Semestre</t>
  </si>
  <si>
    <t>Nombre asignatura o módulo</t>
  </si>
  <si>
    <t>Indicadores de logro asignatura o módulo</t>
  </si>
  <si>
    <t>Tipología</t>
  </si>
  <si>
    <t>Fudamentación</t>
  </si>
  <si>
    <t>Número de horas trabajo directo</t>
  </si>
  <si>
    <t>Número de horas trabajo independiente</t>
  </si>
  <si>
    <t>Núcleos temáticos</t>
  </si>
  <si>
    <t>Actividades de aprendizaje</t>
  </si>
  <si>
    <t>Actividades de evaluación</t>
  </si>
  <si>
    <t>Acciones de retroalimentación</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</si>
  <si>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</si>
  <si>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1. Introducción y generalidades de la Contratación Estatal.
2. Principios de la Contratación Estatal y de los negocios jurídicos de la Administración Pública. 
3. Macro Jurídico de la Contratación Pública. 
4. Agentes y sujetos de la contratación estatal y las relaciones negociales de la Administración Pública</t>
  </si>
  <si>
    <t xml:space="preserve">
1. Ubicación normativa y conceptual de la planeación. 
2. Herramientas para la planeación contractual. 
3. Evolución jurisprudencial de la planeación contractual. 
4. Consecuencias y responsabilidades de la planeación contractual. 
</t>
  </si>
  <si>
    <t xml:space="preserve">1. Elementos de existencia y requisitos de validez del contrato estatal. 
2. Requisitos o presupuestos de perfeccionamiento y ejecución del contrato estatal. 
3. Modificaciones, suspensiones, adiciones y otros remedios contractuales. 
4. Tipologías contractuales públicas. </t>
  </si>
  <si>
    <t xml:space="preserve">1. Responsabilidad y control disciplinario en el ámbito de la contratación estatal. 
2. Responsabilidad y control fiscal en el ámbito de la contratación estatal. 
3. Nociones relacionadas con la comisión de delitos y corrupción en la contratación estatal. 
4. Controles judiciales, social y político en el ámbito de la contratación estatal. </t>
  </si>
  <si>
    <t xml:space="preserve">1. La etapa precontractual.
2. La etapa contractual. 
3. La etapa pos contractual.
4. La gestión de la controversia contractual. </t>
  </si>
  <si>
    <t xml:space="preserve">1. Deber de selección objetiva.
2. Documentos tipo y estructura general de los Procesos de Selección.
3. Licitación Pública y Selección Abreviada.
4. Concurso de Méritos, Mínima Cuantía y Contratación Directa. </t>
  </si>
  <si>
    <t xml:space="preserve">1. La excepcionalidad y la unilateralidad en la contratación estatal.
2. Cláusulas excepcionales al derechos común
3. Multas y cláusula penal en los contratos estatales. 
4. Debido proceso en el ejercicio de la excepcionalidad y la unilateralidad. </t>
  </si>
  <si>
    <t xml:space="preserve">1. La terminación del contrato estatal.
2. El deber de liquidación de los contratos estatales.
3. Procedimiento de liquidación del contrato estatal.
4. Responsabilidades en la terminación y liquidación del contrato estatal. </t>
  </si>
  <si>
    <t xml:space="preserve">1. La noción de controversia contractual y los medios de control para su gestión. 
2. El proceso contencioso administrativo, aspectos sustantivos.
3. El proceso contencioso administrativo, aspectos instrumentales. 
4. Mecanismos alternativos de gestión y solución de controversias. </t>
  </si>
  <si>
    <t>Fundamentos de la actividad contractual del estado a partir de la compresión de los principios, etapas, agentes de la contratación</t>
  </si>
  <si>
    <t>Formular actos administrativos y acciones judiciales</t>
  </si>
  <si>
    <t>Procedimiento contractual público</t>
  </si>
  <si>
    <t>De conformidad con el marco normativo vigente, y el respeto por el principio de legalidad y la ética de lo público</t>
  </si>
  <si>
    <t>En el cumplimiento de los fines del Estado, a partir del marco normativo, jurisprudencial y doctrinal de la contratación estatal en Colombia</t>
  </si>
  <si>
    <t>A partir del marco normativo, jurisprudencial y doctrinal de la contratación estatal en Colombia</t>
  </si>
  <si>
    <t xml:space="preserve">Compresión holística de la contratación estatal, de la debida planeación de la actuación contractual pública, como punto de partida para el adecuado desarrollo de la gestión pública, y las necesidades sociales con la solución de sus problemáticas sustantivas e instrumentales; a partir de una gestión y visión interdisciplinaria y funcional de la compra pública. </t>
  </si>
  <si>
    <t>Entidades estatales en los niveles nacional, departamental, distrital, municipal y territorial/Organismos y entidades de control y vigilancia del Estado/La Rama Judicial y usuarios de la Administración de Justicia/Particulares, personas naturales o jurídicas, que requieran asesoría o representación en materia de contratación estatal/Empresas del sector privado que participen en procesos de contratación con el Estado/Firmas de consultoría jurídica y despachos especializados en derecho administrativo y contratación pública/Instituciones de educación superior y centros de formación jurídica/Organizaciones internacionales, agencias de cooperación y organismos multilaterales vinculados con la gestión pública y contractual</t>
  </si>
  <si>
    <t>Específica</t>
  </si>
  <si>
    <t xml:space="preserve">Implementar el procedimiento contractual público para el desarrollo y gestión de la actividad contractual de la Administración Pública, en el cumplimiento de los fines del Estado, a partir del marco normativo, jurisprudencial y doctrinal de la contratación estatal en Colombia. </t>
  </si>
  <si>
    <t xml:space="preserve">Sistematizar los fundamentos de la actividad contractual del estado partir de la compresión de los principios, etapas, agentes de la contratación para formular actos administrativos y acciones judiciales, de conformidad con el marco normativo vigente, y el respeto por el principio de legalidad y la ética de lo público. </t>
  </si>
  <si>
    <t xml:space="preserve">Califica la legalidad de los actos que se despliegan en el marco de los procedimientos contractuales públicos emitidos por la Administración Pública para determinar su exigibilidad y aplicación, en observancia del marco normativo, jurisprudencial, y doctrinal pertinente. </t>
  </si>
  <si>
    <t>Formar a los estudiantes en la profundización de temáticas específicas, enseñándoles herramientas investigativas y guiándolos en proyectos de investigación con orientación formativa.</t>
  </si>
  <si>
    <t>Informar a los estudiantes sobre avances y tendencias en normatividad y jurisprudencia de la contratación estatal, generando espacios de diálogo con expertos.</t>
  </si>
  <si>
    <t xml:space="preserve">Constituyen espacios académicos para la formulación de intercambios no solo de conocimientos académicos directamente relacionados con el programa, sino también, promover interacciones intradisciplinares con relación al objeto de estudio de la maestría, que les permite advertir nuevas perspectivas, analizar nuevos elementos, y considerar nuevos enfoques en la gestión y estudio de la contratación estatal  </t>
  </si>
  <si>
    <t>Actividades de dirección, asesoría y ejecución relacionadas con la gestión contractual del Estado, que comprenden la planeación y proyección de los planes anuales de adquisiciones, la estructuración y trámite de los procesos de contratación, la elaboración de actos administrativos precontractuales y contractuales, y la gestión y seguimiento de las etapas contractual y poscontractual. / Actividades de gestión judicial derivadas de la contratación estatal, mediante la elaboración y presentación de demandas, recursos, conceptos y demás escritos requeridos en el ejercicio del control contencioso de la administración pública. / Actividades de consultoría y asesoría jurídica orientadas a la formulación de conceptos y estrategias que respondan a las necesidades jurídicas de entidades públicas y particulares en el ámbito de la contratación estatal.</t>
  </si>
  <si>
    <t>Formula estrategias para la gestión y el desarrollo de la actividad contractual del Estado en sus etapas pre, contra y pos contractual, para aplicarlas en la solución de casos simulados, según el marco normativo y regulatorio correspondiente.</t>
  </si>
  <si>
    <t xml:space="preserve">Determina la diferencia entre el concepto de acción y medio de control en la jurisdicción de lo Contencioso Administrativo, para seleccionar el medio de control pertinente de aplicar sobre las actuaciones de la administración en sede judicial. 
Determina estrategias para gestionar asertivamente las controversias, derivadas de la actividad contractual del estado, bien sea en sede judicial o mediante la aplicación de los mecanismos alternativos de solución de conflictos. </t>
  </si>
  <si>
    <t xml:space="preserve">Identifica los elementos y marcos regulatorios de la liquidación de los contratos estatales, como herramienta para la extinsión total del negocio jurídico público, con el fin de elaborar cierres de cuenta de la ejecución de la actividad contractual.
Aplica las reglas de procedimiento especial de la compra pública para elaborar liquidaciones de contratos estatales, en sus diferentes modalidades y conforme al marco jurídico correspondiente. </t>
  </si>
  <si>
    <t xml:space="preserve">Aplica las potestades unilaterales de la Administración en el ámbito de los contratos estatales como herramientas para plantear procesos de gestión contractual que permitan asegurar el cumplimiento de los fines estatales perseguidos con ocasión de la celebración de aquellos.
Diseña clausulados contractuales para la aplicación y ejecución de potestades excepcionales en observancia del marco legal y regulatorio pertinente. </t>
  </si>
  <si>
    <t xml:space="preserve">Determina los elementos que configuran las diferentes expresiones de responsabilidad que son generadas en el ámbito de la contratación estatal, para evaluar la actividad contractual pública a partir de los estándares definidos por los diferentes controles que sobre aquella han sido establecidos por el legislador. </t>
  </si>
  <si>
    <t xml:space="preserve">Identifica los elementos distintivos de cada unos de los procesos de selección de contratitas, para elaborar documentos que expongan las condiciones que garantizan la selección objetiva y el principio de favorabilidad de oferta.
Determina cada una de las etapas en las que se desarrollan los procesos de selección en la contratación estatal a partir de los marcos regulatorios pertinentes, para documentarlas garantizando la selección objetiva y el principio de favorabilidad de oferta. </t>
  </si>
  <si>
    <t xml:space="preserve">Selecciona la tipología contractual para identificar con cual o cuales se atiende la regulación contractual pública en función del objeto y las necesidades de las partes que motivó la celebración del contrato.
Aplica las reglas y principios que regulan el contenido de los contratos estatales, entendiendo que los mismos son garantía del principio de legalidad en la configuración del negocio jurídico público, para redactar las clausulas contractuales junto con otros instrumentos, propios de la actividad contractual pública.
Evalúa la aplicación de los lineamientos doctrinales, normativos y jurisprudenciales para proponer estrategias de ejecución en los contratos estatales, asegurando la observancia del principio de legalidad y el cumplimiento de las obligaciones pactadas en los contratos. </t>
  </si>
  <si>
    <t xml:space="preserve">Determina la planeación contractual como una herramienta transversal para identificar su aplicabilidad en las etapa pre, contra y pos contractual, garantizando el cumplimiento de los fines del Estado.
Evalúa las consecuencias e implicaciones en la gestión contractual pública, derivadas de una indebida planeación, para proponer estrategias o herramientas que la reduzcan. </t>
  </si>
  <si>
    <t>Reconoce la noción de la contratación estatal para caracterizar los factores que permiten dar cumplimiento a los fines del Estado en la solución de casos de la actividad contractual.
Analiza el marco normativo y los principios de la contratación estatal para determinar su aplicabilidad en la solución de casos o el abordaje de contextos propios de la actividad contractual pública.
Interpreta las nociones de capacidad, competencia y del sistema de inhabilidades en la actividad contractual del Estado para identificar los agentes que participan en ella en los procesos de materialización del cumplimiento de los fines de la administración pública.</t>
  </si>
  <si>
    <t>Especialista o asesor jurídico en contratación estatal e institucional/Coordinador de gestión contractual/Consultor en procesos de contratación pública/Especialista en planeación y evaluación contractual/Auditor, interventor o supervisor jurídico de contratos/Coordinador de control y cumplimiento contractual/Consultor en estructuración de negocios jurídicos públicos/Coordinador de convenios y proyectos interinstitucionales/Especialista en gestión de asociaciones y contratos interadministrativos/Asesor jurídico externo en contratación y responsabilidad contractual pública/Especialista en análisis normativo y regulación contractual/Investigador o consultor en políticas de contratación estatal/Formador o capacitador en gestión y normatividad contractual/Redactor o desarrollador de manuales y guías de buenas prácticas contractuales/Especialista en gestión documental y transparencia contractual/Lider en procesos de información y trazabilidad contractual (SECOP)/Asesor en políticas de transparencia y rendición de cuentas.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</si>
</sst>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9"/>
      <color rgb="FF000000"/>
      <name val="Tahoma"/>
      <family val="2"/>
    </font>
    <font>
      <sz val="9"/>
      <color rgb="FF000000"/>
      <name val="Tahoma"/>
      <family val="2"/>
    </font>
    <font>
      <sz val="11"/>
      <color theme="5" tint="-0.249977111117893"/>
      <name val="Gill Sans MT"/>
      <family val="2"/>
    </font>
    <font>
      <sz val="10"/>
      <color rgb="FF000000"/>
      <name val="Gill Sans MT"/>
      <family val="2"/>
    </font>
    <font>
      <b/>
      <sz val="9"/>
      <color rgb="FFFFFFFF"/>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b/>
      <sz val="11"/>
      <color rgb="FF000000"/>
      <name val="Gill Sans MT"/>
      <family val="2"/>
    </font>
    <font>
      <sz val="8"/>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2"/>
        <bgColor indexed="64"/>
      </patternFill>
    </fill>
  </fills>
  <borders count="30">
    <border>
      <left/>
      <right/>
      <top/>
      <bottom/>
      <diagonal/>
    </border>
    <border>
      <left/>
      <right/>
      <top style="thin">
        <color rgb="FF1FB2DE"/>
      </top>
      <bottom/>
      <diagonal/>
    </border>
    <border>
      <left style="thin">
        <color auto="1"/>
      </left>
      <right style="thin">
        <color auto="1"/>
      </right>
      <top style="thin">
        <color auto="1"/>
      </top>
      <bottom style="thin">
        <color auto="1"/>
      </bottom>
      <diagonal/>
    </border>
    <border>
      <left style="thin">
        <color theme="0"/>
      </left>
      <right/>
      <top/>
      <bottom style="thin">
        <color theme="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thin">
        <color theme="0"/>
      </bottom>
      <diagonal/>
    </border>
    <border>
      <left/>
      <right/>
      <top/>
      <bottom style="medium">
        <color rgb="FF000000"/>
      </bottom>
      <diagonal/>
    </border>
    <border>
      <left/>
      <right/>
      <top style="thin">
        <color theme="0"/>
      </top>
      <bottom/>
      <diagonal/>
    </border>
    <border>
      <left style="thin">
        <color auto="1"/>
      </left>
      <right style="thin">
        <color auto="1"/>
      </right>
      <top style="thin">
        <color auto="1"/>
      </top>
      <bottom style="thin">
        <color theme="0"/>
      </bottom>
      <diagonal/>
    </border>
    <border>
      <left style="thin">
        <color rgb="FF1FB2DE"/>
      </left>
      <right style="thin">
        <color auto="1"/>
      </right>
      <top style="thin">
        <color auto="1"/>
      </top>
      <bottom style="thin">
        <color theme="0"/>
      </bottom>
      <diagonal/>
    </border>
    <border>
      <left style="thin">
        <color rgb="FF1FB2DE"/>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auto="1"/>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thin">
        <color auto="1"/>
      </left>
      <right style="thin">
        <color indexed="64"/>
      </right>
      <top style="thin">
        <color rgb="FF0F385A"/>
      </top>
      <bottom/>
      <diagonal/>
    </border>
    <border>
      <left style="thin">
        <color auto="1"/>
      </left>
      <right/>
      <top style="thin">
        <color rgb="FF0F385A"/>
      </top>
      <bottom/>
      <diagonal/>
    </border>
    <border>
      <left style="thin">
        <color rgb="FF1FB2DE"/>
      </left>
      <right/>
      <top style="medium">
        <color indexed="64"/>
      </top>
      <bottom/>
      <diagonal/>
    </border>
    <border>
      <left style="thin">
        <color rgb="FF1FB2DE"/>
      </left>
      <right/>
      <top/>
      <bottom/>
      <diagonal/>
    </border>
    <border>
      <left style="thin">
        <color rgb="FF1FB2DE"/>
      </left>
      <right style="thin">
        <color auto="1"/>
      </right>
      <top style="thin">
        <color auto="1"/>
      </top>
      <bottom/>
      <diagonal/>
    </border>
    <border>
      <left style="thin">
        <color rgb="FF1FB2DE"/>
      </left>
      <right/>
      <top/>
      <bottom style="medium">
        <color indexed="64"/>
      </bottom>
      <diagonal/>
    </border>
    <border>
      <left style="thin">
        <color auto="1"/>
      </left>
      <right style="thin">
        <color auto="1"/>
      </right>
      <top style="thin">
        <color auto="1"/>
      </top>
      <bottom/>
      <diagonal/>
    </border>
  </borders>
  <cellStyleXfs count="1">
    <xf numFmtId="0" fontId="0" fillId="0" borderId="0"/>
  </cellStyleXfs>
  <cellXfs count="132">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7" fillId="3" borderId="3" xfId="0" applyFont="1" applyFill="1" applyBorder="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4" xfId="0" applyFont="1" applyFill="1" applyBorder="1" applyAlignment="1">
      <alignment vertical="center"/>
    </xf>
    <xf numFmtId="0" fontId="4" fillId="0" borderId="4" xfId="0" applyFont="1" applyBorder="1" applyAlignment="1">
      <alignment vertical="center"/>
    </xf>
    <xf numFmtId="0" fontId="3" fillId="5" borderId="4" xfId="0" applyFont="1" applyFill="1" applyBorder="1"/>
    <xf numFmtId="0" fontId="3" fillId="0" borderId="4" xfId="0" applyFont="1" applyBorder="1"/>
    <xf numFmtId="0" fontId="3" fillId="5" borderId="5" xfId="0" applyFont="1" applyFill="1" applyBorder="1"/>
    <xf numFmtId="0" fontId="4" fillId="5" borderId="5" xfId="0" applyFont="1" applyFill="1" applyBorder="1" applyAlignment="1">
      <alignment vertical="center"/>
    </xf>
    <xf numFmtId="0" fontId="3" fillId="0" borderId="5" xfId="0" applyFont="1" applyBorder="1"/>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0" xfId="0" applyFont="1" applyAlignment="1">
      <alignment horizontal="left"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8" fillId="3" borderId="3"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13" fillId="2" borderId="0" xfId="0" applyFont="1" applyFill="1" applyAlignment="1">
      <alignment wrapText="1"/>
    </xf>
    <xf numFmtId="0" fontId="16" fillId="0" borderId="0" xfId="0" applyFont="1" applyAlignment="1">
      <alignment horizontal="left" vertical="center" wrapText="1"/>
    </xf>
    <xf numFmtId="0" fontId="3" fillId="0" borderId="0" xfId="0" applyFont="1" applyAlignment="1">
      <alignment vertical="center"/>
    </xf>
    <xf numFmtId="0" fontId="3" fillId="0" borderId="9" xfId="0" applyFont="1" applyBorder="1" applyAlignment="1">
      <alignment vertical="center" wrapText="1"/>
    </xf>
    <xf numFmtId="0" fontId="3" fillId="0" borderId="9"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10" fillId="0" borderId="1" xfId="0" applyFont="1" applyBorder="1" applyAlignment="1">
      <alignment vertical="center" wrapText="1"/>
    </xf>
    <xf numFmtId="0" fontId="3" fillId="0" borderId="0" xfId="0" applyFont="1" applyAlignment="1">
      <alignment horizontal="left"/>
    </xf>
    <xf numFmtId="0" fontId="17" fillId="0" borderId="0" xfId="0" applyFont="1" applyAlignment="1">
      <alignment horizontal="center" vertical="center"/>
    </xf>
    <xf numFmtId="0" fontId="3" fillId="0" borderId="12" xfId="0" applyFont="1" applyBorder="1" applyAlignment="1">
      <alignment vertical="center" wrapText="1"/>
    </xf>
    <xf numFmtId="0" fontId="10" fillId="0" borderId="0" xfId="0" applyFont="1" applyAlignment="1">
      <alignment horizontal="left" vertical="center" wrapText="1"/>
    </xf>
    <xf numFmtId="0" fontId="3" fillId="0" borderId="1" xfId="0" applyFont="1" applyBorder="1" applyAlignment="1">
      <alignment wrapText="1"/>
    </xf>
    <xf numFmtId="0" fontId="3" fillId="0" borderId="1" xfId="0" applyFont="1" applyBorder="1" applyAlignment="1">
      <alignment vertical="center"/>
    </xf>
    <xf numFmtId="0" fontId="3" fillId="0" borderId="10" xfId="0" applyFont="1" applyBorder="1" applyAlignment="1">
      <alignment wrapText="1"/>
    </xf>
    <xf numFmtId="0" fontId="10" fillId="0" borderId="10" xfId="0" applyFont="1" applyBorder="1" applyAlignment="1">
      <alignment horizontal="left" vertical="center" wrapText="1"/>
    </xf>
    <xf numFmtId="0" fontId="3" fillId="0" borderId="9" xfId="0" applyFont="1" applyBorder="1" applyAlignment="1">
      <alignment wrapText="1"/>
    </xf>
    <xf numFmtId="0" fontId="10" fillId="0" borderId="9" xfId="0" applyFont="1" applyBorder="1" applyAlignment="1">
      <alignment vertical="center" wrapText="1"/>
    </xf>
    <xf numFmtId="0" fontId="10" fillId="0" borderId="0" xfId="0" applyFont="1" applyAlignment="1">
      <alignment vertical="center" wrapText="1"/>
    </xf>
    <xf numFmtId="0" fontId="10" fillId="0" borderId="10" xfId="0" applyFont="1" applyBorder="1" applyAlignment="1">
      <alignment vertical="center" wrapText="1"/>
    </xf>
    <xf numFmtId="0" fontId="19" fillId="6"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2" fillId="7" borderId="18" xfId="0" applyFont="1" applyFill="1" applyBorder="1" applyAlignment="1">
      <alignment horizontal="center" vertical="center" wrapText="1"/>
    </xf>
    <xf numFmtId="0" fontId="22" fillId="8" borderId="19" xfId="0" applyFont="1" applyFill="1" applyBorder="1" applyAlignment="1">
      <alignment horizontal="center" vertical="center" wrapText="1"/>
    </xf>
    <xf numFmtId="0" fontId="19" fillId="6" borderId="19" xfId="0" applyFont="1" applyFill="1" applyBorder="1" applyAlignment="1">
      <alignment horizontal="center" vertical="center" wrapText="1"/>
    </xf>
    <xf numFmtId="0" fontId="23" fillId="7" borderId="18" xfId="0" applyFont="1" applyFill="1" applyBorder="1" applyAlignment="1">
      <alignment horizontal="center" vertical="center" wrapText="1"/>
    </xf>
    <xf numFmtId="0" fontId="21" fillId="6" borderId="19"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 fillId="0" borderId="20" xfId="0" applyFont="1" applyBorder="1" applyAlignment="1">
      <alignment horizontal="left" vertical="center" wrapText="1"/>
    </xf>
    <xf numFmtId="0" fontId="21" fillId="6" borderId="8" xfId="0" applyFont="1" applyFill="1" applyBorder="1" applyAlignment="1">
      <alignment horizontal="center" vertical="center" wrapText="1"/>
    </xf>
    <xf numFmtId="0" fontId="18" fillId="6"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8" fillId="9" borderId="0" xfId="0" applyFont="1" applyFill="1" applyAlignment="1">
      <alignment horizontal="center" vertical="center" wrapText="1"/>
    </xf>
    <xf numFmtId="0" fontId="18" fillId="6" borderId="21" xfId="0" applyFont="1" applyFill="1" applyBorder="1" applyAlignment="1">
      <alignment horizontal="center" vertical="center" wrapText="1"/>
    </xf>
    <xf numFmtId="0" fontId="8" fillId="9" borderId="21" xfId="0" applyFont="1" applyFill="1" applyBorder="1" applyAlignment="1">
      <alignment horizontal="center" vertical="center"/>
    </xf>
    <xf numFmtId="0" fontId="18" fillId="6" borderId="22" xfId="0" applyFont="1" applyFill="1" applyBorder="1" applyAlignment="1">
      <alignment horizontal="center" vertical="center" wrapText="1"/>
    </xf>
    <xf numFmtId="0" fontId="8" fillId="9" borderId="22" xfId="0" applyFont="1" applyFill="1" applyBorder="1" applyAlignment="1">
      <alignment horizontal="center" vertical="center"/>
    </xf>
    <xf numFmtId="0" fontId="8"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3" fillId="0" borderId="20" xfId="0" applyFont="1" applyBorder="1" applyAlignment="1">
      <alignment horizontal="left" vertical="center"/>
    </xf>
    <xf numFmtId="0" fontId="23" fillId="8" borderId="24"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3" fillId="0" borderId="25" xfId="0" applyFont="1" applyBorder="1" applyAlignment="1">
      <alignment vertical="center" wrapText="1"/>
    </xf>
    <xf numFmtId="0" fontId="3" fillId="0" borderId="26" xfId="0" applyFont="1" applyBorder="1" applyAlignment="1">
      <alignment vertical="center" wrapText="1"/>
    </xf>
    <xf numFmtId="0" fontId="3" fillId="0" borderId="28" xfId="0" applyFont="1" applyBorder="1" applyAlignment="1">
      <alignment vertical="center" wrapText="1"/>
    </xf>
    <xf numFmtId="0" fontId="23" fillId="8" borderId="29" xfId="0" applyFont="1" applyFill="1" applyBorder="1" applyAlignment="1">
      <alignment horizontal="center" vertical="center" wrapText="1"/>
    </xf>
    <xf numFmtId="0" fontId="10" fillId="0" borderId="13" xfId="0" applyFont="1" applyBorder="1" applyAlignment="1">
      <alignment horizontal="left" vertical="center" wrapText="1"/>
    </xf>
    <xf numFmtId="0" fontId="10"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20" fillId="2" borderId="2" xfId="0" applyFont="1" applyFill="1" applyBorder="1" applyAlignment="1">
      <alignment horizontal="center" vertical="center" wrapText="1"/>
    </xf>
    <xf numFmtId="0" fontId="21" fillId="6" borderId="16" xfId="0" applyFont="1" applyFill="1" applyBorder="1" applyAlignment="1">
      <alignment horizontal="center" vertical="center" wrapText="1"/>
    </xf>
    <xf numFmtId="0" fontId="21" fillId="6" borderId="17"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center" vertical="center" wrapText="1"/>
    </xf>
    <xf numFmtId="0" fontId="10" fillId="0" borderId="0" xfId="0" applyFont="1" applyAlignment="1">
      <alignment horizontal="center" vertical="center"/>
    </xf>
    <xf numFmtId="0" fontId="10" fillId="0" borderId="10" xfId="0" applyFont="1" applyBorder="1" applyAlignment="1">
      <alignment horizontal="center" vertical="center"/>
    </xf>
    <xf numFmtId="0" fontId="4" fillId="0" borderId="1" xfId="0" applyFont="1" applyBorder="1" applyAlignment="1">
      <alignment horizontal="center" vertical="center" wrapText="1"/>
    </xf>
    <xf numFmtId="0" fontId="10" fillId="0" borderId="1" xfId="0" applyFont="1" applyBorder="1" applyAlignment="1">
      <alignment horizontal="left" vertical="center" wrapText="1"/>
    </xf>
    <xf numFmtId="0" fontId="3" fillId="0" borderId="20" xfId="0" applyFont="1" applyBorder="1" applyAlignment="1">
      <alignment horizontal="left" vertical="center" wrapText="1"/>
    </xf>
    <xf numFmtId="0" fontId="3" fillId="0" borderId="0" xfId="0" applyFont="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left"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4" fillId="0" borderId="0" xfId="0" applyFont="1" applyAlignment="1">
      <alignment horizontal="center" vertical="center"/>
    </xf>
    <xf numFmtId="0" fontId="4" fillId="0" borderId="12" xfId="0" applyFont="1" applyBorder="1" applyAlignment="1">
      <alignment horizontal="center" vertical="center"/>
    </xf>
    <xf numFmtId="0" fontId="3" fillId="0" borderId="0" xfId="0" applyFont="1" applyAlignment="1">
      <alignment vertical="center" wrapText="1"/>
    </xf>
    <xf numFmtId="0" fontId="3" fillId="0" borderId="12" xfId="0" applyFont="1" applyBorder="1" applyAlignment="1">
      <alignment vertical="center" wrapText="1"/>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19" fillId="6" borderId="6"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12" xfId="0" applyFont="1" applyBorder="1" applyAlignment="1">
      <alignment horizontal="left" vertical="center" wrapText="1"/>
    </xf>
    <xf numFmtId="0" fontId="3" fillId="0" borderId="0" xfId="0" applyFont="1" applyAlignment="1">
      <alignment horizontal="center"/>
    </xf>
    <xf numFmtId="0" fontId="5" fillId="4" borderId="2"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xf>
  </cellXfs>
  <cellStyles count="1">
    <cellStyle name="Normal" xfId="0" builtinId="0"/>
  </cellStyles>
  <dxfs count="216">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name val="Gill Sans MT"/>
        <family val="2"/>
        <scheme val="none"/>
      </font>
    </dxf>
    <dxf>
      <font>
        <strike val="0"/>
        <outline val="0"/>
        <shadow val="0"/>
        <u val="none"/>
        <vertAlign val="baseline"/>
        <name val="Gill Sans MT"/>
        <family val="2"/>
        <scheme val="none"/>
      </font>
    </dxf>
    <dxf>
      <border outline="0">
        <bottom style="thin">
          <color auto="1"/>
        </bottom>
      </border>
    </dxf>
    <dxf>
      <font>
        <b/>
        <i val="0"/>
        <strike val="0"/>
        <condense val="0"/>
        <extend val="0"/>
        <outline val="0"/>
        <shadow val="0"/>
        <u val="none"/>
        <vertAlign val="baseline"/>
        <sz val="11"/>
        <color rgb="FF000000"/>
        <name val="Gill Sans MT"/>
        <family val="2"/>
        <scheme val="none"/>
      </font>
      <fill>
        <patternFill patternType="solid">
          <fgColor rgb="FF000000"/>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Gill Sans MT"/>
        <family val="2"/>
        <scheme val="none"/>
      </font>
      <fill>
        <patternFill patternType="solid">
          <fgColor rgb="FF000000"/>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Gill Sans MT"/>
        <family val="2"/>
        <scheme val="none"/>
      </font>
      <fill>
        <patternFill patternType="solid">
          <fgColor rgb="FF000000"/>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dxf>
    <dxf>
      <font>
        <strike val="0"/>
        <outline val="0"/>
        <shadow val="0"/>
        <u val="none"/>
        <vertAlign val="baseline"/>
        <name val="Gill Sans MT"/>
        <family val="2"/>
        <scheme val="none"/>
      </font>
    </dxf>
    <dxf>
      <border outline="0">
        <bottom style="thin">
          <color auto="1"/>
        </bottom>
      </border>
    </dxf>
    <dxf>
      <font>
        <b/>
        <i val="0"/>
        <strike val="0"/>
        <condense val="0"/>
        <extend val="0"/>
        <outline val="0"/>
        <shadow val="0"/>
        <u val="none"/>
        <vertAlign val="baseline"/>
        <sz val="11"/>
        <color rgb="FF000000"/>
        <name val="Gill Sans MT"/>
        <family val="2"/>
        <scheme val="none"/>
      </font>
      <fill>
        <patternFill patternType="solid">
          <fgColor rgb="FF000000"/>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textRotation="0" wrapText="1" indent="0" justifyLastLine="0" shrinkToFit="0" readingOrder="0"/>
    </dxf>
    <dxf>
      <font>
        <strike val="0"/>
        <outline val="0"/>
        <shadow val="0"/>
        <u val="none"/>
        <vertAlign val="baseline"/>
        <name val="Gill Sans MT"/>
        <family val="2"/>
        <scheme val="none"/>
      </font>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rgb="FF000000"/>
        <name val="Gill Sans MT"/>
        <family val="2"/>
        <scheme val="none"/>
      </font>
      <fill>
        <patternFill patternType="solid">
          <fgColor rgb="FF000000"/>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horizontal="general" vertical="center" textRotation="0" wrapText="1" indent="0" justifyLastLine="0" shrinkToFit="0" readingOrder="0"/>
    </dxf>
    <dxf>
      <border outline="0">
        <top style="thin">
          <color rgb="FF0F385A"/>
        </top>
      </border>
    </dxf>
    <dxf>
      <font>
        <strike val="0"/>
        <outline val="0"/>
        <shadow val="0"/>
        <u val="none"/>
        <vertAlign val="baseline"/>
        <name val="Gill Sans MT"/>
        <family val="2"/>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Gill Sans MT"/>
        <family val="2"/>
        <scheme val="none"/>
      </font>
      <fill>
        <patternFill patternType="solid">
          <fgColor rgb="FF000000"/>
          <bgColor rgb="FF0F385A"/>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vertical="center" textRotation="0" wrapText="1" indent="0" justifyLastLine="0" shrinkToFit="0" readingOrder="0"/>
    </dxf>
    <dxf>
      <font>
        <strike val="0"/>
        <outline val="0"/>
        <shadow val="0"/>
        <u val="none"/>
        <vertAlign val="baseline"/>
        <name val="Gill Sans MT"/>
        <family val="2"/>
        <scheme val="none"/>
      </font>
      <alignment vertical="center" textRotation="0" wrapText="1" indent="0" justifyLastLine="0" shrinkToFit="0" readingOrder="0"/>
    </dxf>
    <dxf>
      <border outline="0">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Gill Sans MT"/>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Gill Sans MT"/>
        <family val="2"/>
        <scheme val="none"/>
      </font>
      <alignment horizontal="left" vertical="center" textRotation="0" wrapText="1" indent="0" justifyLastLine="0" shrinkToFit="0" readingOrder="0"/>
    </dxf>
    <dxf>
      <border outline="0">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border>
        <bottom style="thin">
          <color theme="0"/>
        </bottom>
      </border>
    </dxf>
    <dxf>
      <font>
        <b/>
        <i val="0"/>
        <strike val="0"/>
        <condense val="0"/>
        <extend val="0"/>
        <outline val="0"/>
        <shadow val="0"/>
        <u val="none"/>
        <vertAlign val="baseline"/>
        <sz val="11"/>
        <color auto="1"/>
        <name val="Gill Sans MT"/>
        <family val="2"/>
        <scheme val="none"/>
      </font>
      <fill>
        <patternFill patternType="solid">
          <fgColor indexed="64"/>
          <bgColor rgb="FF1FB2DE"/>
        </patternFill>
      </fill>
      <alignment horizontal="center" vertical="center" textRotation="0" wrapText="1" indent="0" justifyLastLine="0" shrinkToFit="0" readingOrder="0"/>
      <border diagonalUp="0" diagonalDown="0" outline="0">
        <left/>
        <right/>
        <top/>
        <bottom/>
      </border>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215"/>
    </tableStyle>
    <tableStyle name="Estilo de tabla 2" pivot="0" count="1" xr9:uid="{C6F8D6C6-DD7E-42E8-8328-19C722F9F97F}">
      <tableStyleElement type="wholeTable" dxfId="214"/>
    </tableStyle>
    <tableStyle name="Estilo de tabla 3" pivot="0" count="1" xr9:uid="{BD8219D8-F95E-4ADD-BD98-5883EDA7E91C}">
      <tableStyleElement type="headerRow" dxfId="213"/>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8BC46B-3A43-42AC-9787-438361BDC8C5}" name="Saber" displayName="Saber" ref="E2:E5" totalsRowShown="0" headerRowDxfId="212" dataDxfId="210" headerRowBorderDxfId="211">
  <autoFilter ref="E2:E5" xr:uid="{1C358E07-48FC-4632-90AA-6E70BBEBE8C0}"/>
  <tableColumns count="1">
    <tableColumn id="1" xr3:uid="{9C09249F-091C-4346-920B-1CAE81394AAE}" name="Saber" dataDxfId="209"/>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E9F7FB-94E3-462E-BF28-9C2D09AA5DE0}" name="Tabla2" displayName="Tabla2" ref="F2:F5" totalsRowShown="0" headerRowDxfId="208" dataDxfId="206" headerRowBorderDxfId="207">
  <autoFilter ref="F2:F5" xr:uid="{3AE9F7FB-94E3-462E-BF28-9C2D09AA5DE0}"/>
  <tableColumns count="1">
    <tableColumn id="1" xr3:uid="{C9208A24-68CD-40C0-AAF3-E194C9E06F7D}" name="Saberhacer" dataDxfId="205"/>
  </tableColumns>
  <tableStyleInfo name="Estilo de tabla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B381471-E8E6-47AB-8BDB-B8845D8D3462}" name="Tabla24" displayName="Tabla24" ref="G2:G5" totalsRowShown="0" headerRowDxfId="204" dataDxfId="202" headerRowBorderDxfId="203">
  <autoFilter ref="G2:G5" xr:uid="{6B381471-E8E6-47AB-8BDB-B8845D8D3462}"/>
  <tableColumns count="1">
    <tableColumn id="1" xr3:uid="{0A6C777B-EC78-4665-8C83-A6C84C55365E}" name="Saberser" dataDxfId="201"/>
  </tableColumns>
  <tableStyleInfo name="Estilo de tabla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4870C7D-9987-4E58-8756-C8941C536958}" name="Tabla31" displayName="Tabla31" ref="F3:F6" totalsRowShown="0" headerRowDxfId="200" dataDxfId="198" headerRowBorderDxfId="199" tableBorderDxfId="197">
  <autoFilter ref="F3:F6" xr:uid="{5FFB9AAE-E639-41EB-8CD5-1F372E9A3DB5}"/>
  <tableColumns count="1">
    <tableColumn id="1" xr3:uid="{0AB08DA8-0C76-463C-82A7-B756CEDDB219}" name="Redacción competencia" dataDxfId="196"/>
  </tableColumns>
  <tableStyleInfo name="Estilo de tab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B5A09AE-6E0A-4423-97CC-BCC9323C6106}" name="SaberAsociado" displayName="SaberAsociado" ref="F2:F120" totalsRowShown="0" headerRowDxfId="195" dataDxfId="193" headerRowBorderDxfId="194">
  <autoFilter ref="F2:F120" xr:uid="{6B33C6A0-281A-4523-9649-F45582F44E0C}"/>
  <tableColumns count="1">
    <tableColumn id="3" xr3:uid="{B7FC7E80-C7B1-4229-BEAF-800B454B3882}" name="Dominio Asociado" dataDxfId="192"/>
  </tableColumns>
  <tableStyleInfo name="Estilo de tab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98305F-8A4D-4BE0-A8B1-478669C9DCB9}" name="Tabla12" displayName="Tabla12" ref="H2:H114" totalsRowShown="0" headerRowDxfId="191" dataDxfId="189" headerRowBorderDxfId="190">
  <autoFilter ref="H2:H114" xr:uid="{7C50D4E7-0DFF-4894-9E61-F39A34DAFD72}"/>
  <tableColumns count="1">
    <tableColumn id="1" xr3:uid="{F7D209E5-9AF4-408D-8167-9707EA0697F8}" name="Verbo RA" dataDxfId="188"/>
  </tableColumns>
  <tableStyleInfo name="Estilo de tab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563B45-CE29-48EF-9D3B-31E724AE7765}" name="Tabla9" displayName="Tabla9" ref="D2:D90" totalsRowShown="0" headerRowDxfId="187" dataDxfId="185" headerRowBorderDxfId="186">
  <autoFilter ref="D2:D90" xr:uid="{E001AE7B-5064-4EB7-83F0-1C544267599C}"/>
  <tableColumns count="1">
    <tableColumn id="1" xr3:uid="{48705DDE-8493-49D5-A3A1-1B7D4B085126}" name="SaberAsociado" dataDxfId="184"/>
  </tableColumns>
  <tableStyleInfo name="Estilo de tabla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9C44B81-8C70-44B8-A2BE-7F8C288A1AC3}" name="Tabla16" displayName="Tabla16" ref="E2:E122" totalsRowShown="0" headerRowDxfId="183" dataDxfId="181" headerRowBorderDxfId="182">
  <autoFilter ref="E2:E122" xr:uid="{A3898B0A-1279-465E-8035-7106AF2AC148}"/>
  <tableColumns count="1">
    <tableColumn id="1" xr3:uid="{FD585748-2261-4744-ADA8-357C741929BD}" name="Taxonomía" dataDxfId="180"/>
  </tableColumns>
  <tableStyleInfo name="Estilo de tabla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7717B72-A629-4F09-A351-BFDC9826E9B5}" name="Tabla61" displayName="Tabla61" ref="G2:G124" totalsRowShown="0" headerRowDxfId="179" dataDxfId="177" headerRowBorderDxfId="178">
  <autoFilter ref="G2:G124" xr:uid="{3D91F508-9088-4259-AFFC-438B7E0623C9}"/>
  <tableColumns count="1">
    <tableColumn id="1" xr3:uid="{2BEB68A7-F832-4685-B57B-954AA13A51B3}" name="Nivel Dominio" dataDxfId="176"/>
  </tableColumns>
  <tableStyleInfo name="Estilo de tabla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22.xml"/><Relationship Id="rId18" Type="http://schemas.openxmlformats.org/officeDocument/2006/relationships/table" Target="../tables/table27.xml"/><Relationship Id="rId26" Type="http://schemas.openxmlformats.org/officeDocument/2006/relationships/table" Target="../tables/table35.xml"/><Relationship Id="rId39" Type="http://schemas.openxmlformats.org/officeDocument/2006/relationships/table" Target="../tables/table48.xml"/><Relationship Id="rId21" Type="http://schemas.openxmlformats.org/officeDocument/2006/relationships/table" Target="../tables/table30.xml"/><Relationship Id="rId34" Type="http://schemas.openxmlformats.org/officeDocument/2006/relationships/table" Target="../tables/table43.xml"/><Relationship Id="rId42" Type="http://schemas.openxmlformats.org/officeDocument/2006/relationships/table" Target="../tables/table51.xml"/><Relationship Id="rId47" Type="http://schemas.openxmlformats.org/officeDocument/2006/relationships/table" Target="../tables/table56.xml"/><Relationship Id="rId50" Type="http://schemas.openxmlformats.org/officeDocument/2006/relationships/table" Target="../tables/table59.xml"/><Relationship Id="rId55" Type="http://schemas.openxmlformats.org/officeDocument/2006/relationships/table" Target="../tables/table64.xml"/><Relationship Id="rId7" Type="http://schemas.openxmlformats.org/officeDocument/2006/relationships/table" Target="../tables/table16.xml"/><Relationship Id="rId2" Type="http://schemas.openxmlformats.org/officeDocument/2006/relationships/table" Target="../tables/table11.xml"/><Relationship Id="rId16" Type="http://schemas.openxmlformats.org/officeDocument/2006/relationships/table" Target="../tables/table25.xml"/><Relationship Id="rId29" Type="http://schemas.openxmlformats.org/officeDocument/2006/relationships/table" Target="../tables/table38.xml"/><Relationship Id="rId11" Type="http://schemas.openxmlformats.org/officeDocument/2006/relationships/table" Target="../tables/table20.xml"/><Relationship Id="rId24" Type="http://schemas.openxmlformats.org/officeDocument/2006/relationships/table" Target="../tables/table33.xml"/><Relationship Id="rId32" Type="http://schemas.openxmlformats.org/officeDocument/2006/relationships/table" Target="../tables/table41.xml"/><Relationship Id="rId37" Type="http://schemas.openxmlformats.org/officeDocument/2006/relationships/table" Target="../tables/table46.xml"/><Relationship Id="rId40" Type="http://schemas.openxmlformats.org/officeDocument/2006/relationships/table" Target="../tables/table49.xml"/><Relationship Id="rId45" Type="http://schemas.openxmlformats.org/officeDocument/2006/relationships/table" Target="../tables/table54.xml"/><Relationship Id="rId53" Type="http://schemas.openxmlformats.org/officeDocument/2006/relationships/table" Target="../tables/table62.xml"/><Relationship Id="rId58" Type="http://schemas.openxmlformats.org/officeDocument/2006/relationships/comments" Target="../comments6.xml"/><Relationship Id="rId5" Type="http://schemas.openxmlformats.org/officeDocument/2006/relationships/table" Target="../tables/table14.xml"/><Relationship Id="rId19" Type="http://schemas.openxmlformats.org/officeDocument/2006/relationships/table" Target="../tables/table28.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 Id="rId22" Type="http://schemas.openxmlformats.org/officeDocument/2006/relationships/table" Target="../tables/table31.xml"/><Relationship Id="rId27" Type="http://schemas.openxmlformats.org/officeDocument/2006/relationships/table" Target="../tables/table36.xml"/><Relationship Id="rId30" Type="http://schemas.openxmlformats.org/officeDocument/2006/relationships/table" Target="../tables/table39.xml"/><Relationship Id="rId35" Type="http://schemas.openxmlformats.org/officeDocument/2006/relationships/table" Target="../tables/table44.xml"/><Relationship Id="rId43" Type="http://schemas.openxmlformats.org/officeDocument/2006/relationships/table" Target="../tables/table52.xml"/><Relationship Id="rId48" Type="http://schemas.openxmlformats.org/officeDocument/2006/relationships/table" Target="../tables/table57.xml"/><Relationship Id="rId56" Type="http://schemas.openxmlformats.org/officeDocument/2006/relationships/table" Target="../tables/table65.xml"/><Relationship Id="rId8" Type="http://schemas.openxmlformats.org/officeDocument/2006/relationships/table" Target="../tables/table17.xml"/><Relationship Id="rId51" Type="http://schemas.openxmlformats.org/officeDocument/2006/relationships/table" Target="../tables/table60.xml"/><Relationship Id="rId3" Type="http://schemas.openxmlformats.org/officeDocument/2006/relationships/table" Target="../tables/table12.xml"/><Relationship Id="rId12" Type="http://schemas.openxmlformats.org/officeDocument/2006/relationships/table" Target="../tables/table21.xml"/><Relationship Id="rId17" Type="http://schemas.openxmlformats.org/officeDocument/2006/relationships/table" Target="../tables/table26.xml"/><Relationship Id="rId25" Type="http://schemas.openxmlformats.org/officeDocument/2006/relationships/table" Target="../tables/table34.xml"/><Relationship Id="rId33" Type="http://schemas.openxmlformats.org/officeDocument/2006/relationships/table" Target="../tables/table42.xml"/><Relationship Id="rId38" Type="http://schemas.openxmlformats.org/officeDocument/2006/relationships/table" Target="../tables/table47.xml"/><Relationship Id="rId46" Type="http://schemas.openxmlformats.org/officeDocument/2006/relationships/table" Target="../tables/table55.xml"/><Relationship Id="rId20" Type="http://schemas.openxmlformats.org/officeDocument/2006/relationships/table" Target="../tables/table29.xml"/><Relationship Id="rId41" Type="http://schemas.openxmlformats.org/officeDocument/2006/relationships/table" Target="../tables/table50.xml"/><Relationship Id="rId54" Type="http://schemas.openxmlformats.org/officeDocument/2006/relationships/table" Target="../tables/table63.xml"/><Relationship Id="rId1" Type="http://schemas.openxmlformats.org/officeDocument/2006/relationships/vmlDrawing" Target="../drawings/vmlDrawing6.vml"/><Relationship Id="rId6" Type="http://schemas.openxmlformats.org/officeDocument/2006/relationships/table" Target="../tables/table15.xml"/><Relationship Id="rId15" Type="http://schemas.openxmlformats.org/officeDocument/2006/relationships/table" Target="../tables/table24.xml"/><Relationship Id="rId23" Type="http://schemas.openxmlformats.org/officeDocument/2006/relationships/table" Target="../tables/table32.xml"/><Relationship Id="rId28" Type="http://schemas.openxmlformats.org/officeDocument/2006/relationships/table" Target="../tables/table37.xml"/><Relationship Id="rId36" Type="http://schemas.openxmlformats.org/officeDocument/2006/relationships/table" Target="../tables/table45.xml"/><Relationship Id="rId49" Type="http://schemas.openxmlformats.org/officeDocument/2006/relationships/table" Target="../tables/table58.xml"/><Relationship Id="rId57" Type="http://schemas.openxmlformats.org/officeDocument/2006/relationships/table" Target="../tables/table66.xml"/><Relationship Id="rId10" Type="http://schemas.openxmlformats.org/officeDocument/2006/relationships/table" Target="../tables/table19.xml"/><Relationship Id="rId31" Type="http://schemas.openxmlformats.org/officeDocument/2006/relationships/table" Target="../tables/table40.xml"/><Relationship Id="rId44" Type="http://schemas.openxmlformats.org/officeDocument/2006/relationships/table" Target="../tables/table53.xml"/><Relationship Id="rId52" Type="http://schemas.openxmlformats.org/officeDocument/2006/relationships/table" Target="../tables/table6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1"/>
  <sheetViews>
    <sheetView zoomScaleNormal="100" workbookViewId="0">
      <selection activeCell="H3" sqref="H3:H5"/>
    </sheetView>
  </sheetViews>
  <sheetFormatPr baseColWidth="10" defaultColWidth="76.36328125" defaultRowHeight="16.5" x14ac:dyDescent="0.35"/>
  <cols>
    <col min="1" max="1" width="23.08984375" style="4" customWidth="1"/>
    <col min="2" max="2" width="19.6328125" style="4" customWidth="1"/>
    <col min="3" max="3" width="62.6328125" style="4" customWidth="1"/>
    <col min="4" max="4" width="97.26953125" style="4" customWidth="1"/>
    <col min="5" max="5" width="41.453125" style="4" customWidth="1"/>
    <col min="6" max="6" width="43.81640625" style="4" customWidth="1"/>
    <col min="7" max="7" width="50.54296875" style="4" customWidth="1"/>
    <col min="8" max="8" width="76.81640625" style="4" customWidth="1"/>
    <col min="9" max="9" width="64" style="4" customWidth="1"/>
    <col min="10" max="10" width="63.90625" style="4" customWidth="1"/>
    <col min="11" max="11" width="75.6328125" style="4" customWidth="1"/>
    <col min="12" max="16384" width="76.36328125" style="4"/>
  </cols>
  <sheetData>
    <row r="1" spans="1:11" ht="51" customHeight="1" x14ac:dyDescent="0.35">
      <c r="A1" s="47" t="s">
        <v>536</v>
      </c>
      <c r="B1" s="47" t="s">
        <v>537</v>
      </c>
      <c r="C1" s="47" t="s">
        <v>538</v>
      </c>
      <c r="D1" s="47" t="s">
        <v>539</v>
      </c>
      <c r="E1" s="83" t="s">
        <v>542</v>
      </c>
      <c r="F1" s="83"/>
      <c r="G1" s="83"/>
      <c r="H1" s="83" t="s">
        <v>543</v>
      </c>
      <c r="I1" s="83"/>
      <c r="J1" s="83"/>
      <c r="K1" s="49" t="s">
        <v>544</v>
      </c>
    </row>
    <row r="2" spans="1:11" s="5" customFormat="1" ht="23.25" customHeight="1" x14ac:dyDescent="0.35">
      <c r="A2" s="48" t="s">
        <v>0</v>
      </c>
      <c r="B2" s="48" t="s">
        <v>1</v>
      </c>
      <c r="C2" s="48" t="s">
        <v>540</v>
      </c>
      <c r="D2" s="48" t="s">
        <v>541</v>
      </c>
      <c r="E2" s="8" t="s">
        <v>2</v>
      </c>
      <c r="F2" s="8" t="s">
        <v>3</v>
      </c>
      <c r="G2" s="8" t="s">
        <v>4</v>
      </c>
      <c r="H2" s="25" t="s">
        <v>5</v>
      </c>
      <c r="I2" s="26" t="s">
        <v>6</v>
      </c>
      <c r="J2" s="69" t="s">
        <v>7</v>
      </c>
      <c r="K2" s="70" t="s">
        <v>8</v>
      </c>
    </row>
    <row r="3" spans="1:11" ht="81.5" customHeight="1" x14ac:dyDescent="0.35">
      <c r="A3" s="82" t="s">
        <v>532</v>
      </c>
      <c r="B3" s="82" t="s">
        <v>533</v>
      </c>
      <c r="C3" s="81" t="s">
        <v>535</v>
      </c>
      <c r="D3" s="81" t="s">
        <v>534</v>
      </c>
      <c r="E3" s="38" t="s">
        <v>625</v>
      </c>
      <c r="F3" s="38" t="s">
        <v>626</v>
      </c>
      <c r="G3" s="5" t="s">
        <v>628</v>
      </c>
      <c r="H3" s="79" t="s">
        <v>650</v>
      </c>
      <c r="I3" s="79" t="s">
        <v>640</v>
      </c>
      <c r="J3" s="79" t="s">
        <v>632</v>
      </c>
      <c r="K3" s="79" t="s">
        <v>631</v>
      </c>
    </row>
    <row r="4" spans="1:11" ht="81.5" customHeight="1" x14ac:dyDescent="0.35">
      <c r="A4" s="82"/>
      <c r="B4" s="82"/>
      <c r="C4" s="81"/>
      <c r="D4" s="81"/>
      <c r="E4" s="38" t="s">
        <v>627</v>
      </c>
      <c r="F4" s="5" t="s">
        <v>9</v>
      </c>
      <c r="G4" s="5" t="s">
        <v>629</v>
      </c>
      <c r="H4" s="80"/>
      <c r="I4" s="80"/>
      <c r="J4" s="80"/>
      <c r="K4" s="80"/>
    </row>
    <row r="5" spans="1:11" ht="81.5" customHeight="1" x14ac:dyDescent="0.35">
      <c r="A5" s="82"/>
      <c r="B5" s="82"/>
      <c r="C5" s="81"/>
      <c r="D5" s="81"/>
      <c r="E5" s="5" t="s">
        <v>10</v>
      </c>
      <c r="F5" s="5" t="s">
        <v>11</v>
      </c>
      <c r="G5" s="5" t="s">
        <v>630</v>
      </c>
      <c r="H5" s="80"/>
      <c r="I5" s="80"/>
      <c r="J5" s="80"/>
      <c r="K5" s="80"/>
    </row>
    <row r="6" spans="1:11" x14ac:dyDescent="0.35">
      <c r="E6" s="5"/>
      <c r="F6" s="5"/>
    </row>
    <row r="7" spans="1:11" x14ac:dyDescent="0.35">
      <c r="E7" s="5"/>
      <c r="F7" s="5"/>
    </row>
    <row r="8" spans="1:11" ht="18" customHeight="1" x14ac:dyDescent="0.35">
      <c r="E8" s="5"/>
      <c r="F8" s="5"/>
    </row>
    <row r="9" spans="1:11" ht="18" customHeight="1" x14ac:dyDescent="0.35">
      <c r="E9" s="5"/>
      <c r="F9" s="5"/>
    </row>
    <row r="10" spans="1:11" ht="17.25" customHeight="1" x14ac:dyDescent="0.35">
      <c r="E10" s="5"/>
      <c r="F10" s="5"/>
    </row>
    <row r="11" spans="1:11" x14ac:dyDescent="0.35">
      <c r="E11" s="5"/>
      <c r="F11" s="5"/>
    </row>
  </sheetData>
  <mergeCells count="10">
    <mergeCell ref="H1:J1"/>
    <mergeCell ref="E1:G1"/>
    <mergeCell ref="H3:H5"/>
    <mergeCell ref="I3:I5"/>
    <mergeCell ref="J3:J5"/>
    <mergeCell ref="K3:K5"/>
    <mergeCell ref="D3:D5"/>
    <mergeCell ref="C3:C5"/>
    <mergeCell ref="B3:B5"/>
    <mergeCell ref="A3:A5"/>
  </mergeCells>
  <pageMargins left="0.7" right="0.7" top="0.75" bottom="0.75" header="0.3" footer="0.3"/>
  <pageSetup orientation="portrait"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topLeftCell="C1" zoomScaleNormal="100" workbookViewId="0">
      <selection activeCell="F6" sqref="F6"/>
    </sheetView>
  </sheetViews>
  <sheetFormatPr baseColWidth="10" defaultColWidth="11.453125" defaultRowHeight="16.5" x14ac:dyDescent="0.35"/>
  <cols>
    <col min="1" max="1" width="19" style="4" customWidth="1"/>
    <col min="2" max="2" width="24.26953125" style="4" customWidth="1"/>
    <col min="3" max="3" width="41.453125" style="4" customWidth="1"/>
    <col min="4" max="4" width="48.81640625" style="4" customWidth="1"/>
    <col min="5" max="5" width="52.08984375" style="4" customWidth="1"/>
    <col min="6" max="6" width="105.36328125" style="4" customWidth="1"/>
    <col min="7" max="7" width="34.54296875" style="4" customWidth="1"/>
    <col min="8" max="16384" width="11.453125" style="4"/>
  </cols>
  <sheetData>
    <row r="1" spans="1:7" s="3" customFormat="1" ht="15" customHeight="1" x14ac:dyDescent="0.5">
      <c r="A1" s="84" t="s">
        <v>12</v>
      </c>
      <c r="B1" s="85"/>
      <c r="C1" s="85"/>
      <c r="D1" s="85"/>
      <c r="E1" s="85"/>
      <c r="F1" s="85"/>
      <c r="G1" s="85"/>
    </row>
    <row r="2" spans="1:7" s="3" customFormat="1" ht="52" x14ac:dyDescent="0.5">
      <c r="A2" s="50" t="s">
        <v>545</v>
      </c>
      <c r="B2" s="51" t="s">
        <v>546</v>
      </c>
      <c r="C2" s="51" t="s">
        <v>547</v>
      </c>
      <c r="D2" s="51" t="s">
        <v>548</v>
      </c>
      <c r="E2" s="51" t="s">
        <v>549</v>
      </c>
      <c r="F2" s="52" t="s">
        <v>550</v>
      </c>
      <c r="G2" s="52" t="s">
        <v>551</v>
      </c>
    </row>
    <row r="3" spans="1:7" x14ac:dyDescent="0.35">
      <c r="A3" s="53" t="s">
        <v>552</v>
      </c>
      <c r="B3" s="71" t="s">
        <v>553</v>
      </c>
      <c r="C3" s="73" t="s">
        <v>554</v>
      </c>
      <c r="D3" s="71" t="s">
        <v>555</v>
      </c>
      <c r="E3" s="71" t="s">
        <v>556</v>
      </c>
      <c r="F3" s="54" t="s">
        <v>557</v>
      </c>
      <c r="G3" s="54" t="s">
        <v>558</v>
      </c>
    </row>
    <row r="4" spans="1:7" ht="49.5" x14ac:dyDescent="0.35">
      <c r="A4" s="6">
        <v>1</v>
      </c>
      <c r="B4" s="72" t="s">
        <v>13</v>
      </c>
      <c r="C4" s="60" t="s">
        <v>625</v>
      </c>
      <c r="D4" s="60" t="s">
        <v>626</v>
      </c>
      <c r="E4" s="60" t="s">
        <v>628</v>
      </c>
      <c r="F4" s="4" t="s">
        <v>635</v>
      </c>
      <c r="G4" s="4" t="s">
        <v>633</v>
      </c>
    </row>
    <row r="5" spans="1:7" ht="49.5" x14ac:dyDescent="0.35">
      <c r="A5" s="6">
        <v>2</v>
      </c>
      <c r="B5" s="22" t="s">
        <v>14</v>
      </c>
      <c r="C5" s="5" t="s">
        <v>627</v>
      </c>
      <c r="D5" s="5" t="s">
        <v>9</v>
      </c>
      <c r="E5" s="5" t="s">
        <v>629</v>
      </c>
      <c r="F5" s="4" t="s">
        <v>634</v>
      </c>
      <c r="G5" s="4" t="s">
        <v>633</v>
      </c>
    </row>
    <row r="6" spans="1:7" ht="49.5" x14ac:dyDescent="0.35">
      <c r="A6" s="6">
        <v>3</v>
      </c>
      <c r="B6" s="22" t="s">
        <v>15</v>
      </c>
      <c r="C6" s="5" t="s">
        <v>10</v>
      </c>
      <c r="D6" s="5" t="s">
        <v>11</v>
      </c>
      <c r="E6" s="5" t="s">
        <v>630</v>
      </c>
      <c r="F6" s="4" t="s">
        <v>16</v>
      </c>
      <c r="G6" s="4" t="s">
        <v>633</v>
      </c>
    </row>
    <row r="7" spans="1:7" x14ac:dyDescent="0.35">
      <c r="B7" s="29"/>
      <c r="D7" s="5"/>
    </row>
    <row r="8" spans="1:7" x14ac:dyDescent="0.35">
      <c r="B8" s="29"/>
    </row>
  </sheetData>
  <mergeCells count="1">
    <mergeCell ref="A1:G1"/>
  </mergeCells>
  <dataValidations count="2">
    <dataValidation type="list" allowBlank="1" showInputMessage="1" showErrorMessage="1" sqref="C4:C6" xr:uid="{296160A6-FB03-49EA-93B2-DD1CAF2E1EB2}">
      <formula1>Conocimientos</formula1>
    </dataValidation>
    <dataValidation type="list" allowBlank="1" showInputMessage="1" showErrorMessage="1" sqref="B4:B6" xr:uid="{7FF6EE86-2F70-4AF5-821E-634C08680A10}">
      <formula1>Verboscompetencias</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4F52E062-3DB9-4F2A-9BE7-C36DB9246248}">
          <x14:formula1>
            <xm:f>'Paso1 Analisis perfil egreso'!$F$3:$F$5</xm:f>
          </x14:formula1>
          <xm:sqref>D4:D6</xm:sqref>
        </x14:dataValidation>
        <x14:dataValidation type="list" allowBlank="1" showInputMessage="1" showErrorMessage="1" xr:uid="{3294CBC8-C856-42C0-8E7E-FF2BBC9178AA}">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124"/>
  <sheetViews>
    <sheetView topLeftCell="A7" zoomScaleNormal="100" workbookViewId="0">
      <selection activeCell="B2" sqref="B2"/>
    </sheetView>
  </sheetViews>
  <sheetFormatPr baseColWidth="10" defaultColWidth="11.453125" defaultRowHeight="16.5" x14ac:dyDescent="0.5"/>
  <cols>
    <col min="1" max="1" width="93.36328125" style="5" customWidth="1"/>
    <col min="2" max="2" width="16.6328125" style="6" customWidth="1"/>
    <col min="3" max="3" width="19.1796875" style="5" customWidth="1"/>
    <col min="4" max="4" width="34.08984375" style="5" customWidth="1"/>
    <col min="5" max="5" width="17.453125" style="5" customWidth="1"/>
    <col min="6" max="6" width="17.81640625" style="5" customWidth="1"/>
    <col min="7" max="7" width="20.1796875" style="7" customWidth="1"/>
    <col min="8" max="8" width="18.36328125" style="1" customWidth="1"/>
    <col min="9" max="9" width="82.6328125" style="1" customWidth="1"/>
    <col min="10" max="10" width="43.36328125" style="5" customWidth="1"/>
    <col min="11" max="16384" width="11.453125" style="5"/>
  </cols>
  <sheetData>
    <row r="1" spans="1:10" ht="78" x14ac:dyDescent="0.35">
      <c r="A1" s="47" t="s">
        <v>559</v>
      </c>
      <c r="B1" s="47" t="s">
        <v>560</v>
      </c>
      <c r="C1" s="55" t="s">
        <v>561</v>
      </c>
      <c r="D1" s="58" t="s">
        <v>562</v>
      </c>
      <c r="E1" s="58" t="s">
        <v>563</v>
      </c>
      <c r="F1" s="55" t="s">
        <v>564</v>
      </c>
      <c r="G1" s="55" t="s">
        <v>565</v>
      </c>
      <c r="H1" s="55" t="s">
        <v>566</v>
      </c>
      <c r="I1" s="47" t="s">
        <v>567</v>
      </c>
    </row>
    <row r="2" spans="1:10" ht="33.5" thickBot="1" x14ac:dyDescent="0.4">
      <c r="A2" s="74" t="s">
        <v>568</v>
      </c>
      <c r="B2" s="61" t="s">
        <v>569</v>
      </c>
      <c r="C2" s="78" t="s">
        <v>570</v>
      </c>
      <c r="D2" s="59" t="s">
        <v>571</v>
      </c>
      <c r="E2" s="59" t="s">
        <v>572</v>
      </c>
      <c r="F2" s="56" t="s">
        <v>573</v>
      </c>
      <c r="G2" s="56" t="s">
        <v>574</v>
      </c>
      <c r="H2" s="56" t="s">
        <v>575</v>
      </c>
      <c r="I2" s="57" t="s">
        <v>576</v>
      </c>
    </row>
    <row r="3" spans="1:10" ht="66" x14ac:dyDescent="0.35">
      <c r="A3" s="75" t="s">
        <v>635</v>
      </c>
      <c r="B3" s="23">
        <v>1</v>
      </c>
      <c r="C3" s="20" t="s">
        <v>2</v>
      </c>
      <c r="D3" s="20" t="s">
        <v>625</v>
      </c>
      <c r="E3" s="20" t="s">
        <v>17</v>
      </c>
      <c r="F3" s="30" t="s">
        <v>18</v>
      </c>
      <c r="G3" s="31" t="s">
        <v>19</v>
      </c>
      <c r="H3" s="31" t="s">
        <v>20</v>
      </c>
      <c r="I3" s="60" t="s">
        <v>21</v>
      </c>
      <c r="J3" s="28"/>
    </row>
    <row r="4" spans="1:10" ht="82.5" x14ac:dyDescent="0.35">
      <c r="A4" s="76" t="s">
        <v>635</v>
      </c>
      <c r="B4" s="6">
        <v>2</v>
      </c>
      <c r="C4" s="5" t="s">
        <v>3</v>
      </c>
      <c r="D4" s="5" t="s">
        <v>626</v>
      </c>
      <c r="E4" s="5" t="s">
        <v>17</v>
      </c>
      <c r="F4" s="4" t="s">
        <v>22</v>
      </c>
      <c r="G4" s="29" t="s">
        <v>23</v>
      </c>
      <c r="H4" s="29" t="s">
        <v>15</v>
      </c>
      <c r="I4" s="5" t="s">
        <v>24</v>
      </c>
      <c r="J4" s="28"/>
    </row>
    <row r="5" spans="1:10" ht="66.5" thickBot="1" x14ac:dyDescent="0.4">
      <c r="A5" s="76" t="s">
        <v>635</v>
      </c>
      <c r="B5" s="6">
        <v>3</v>
      </c>
      <c r="C5" s="5" t="s">
        <v>4</v>
      </c>
      <c r="D5" s="5" t="s">
        <v>628</v>
      </c>
      <c r="E5" s="5" t="s">
        <v>17</v>
      </c>
      <c r="F5" s="4" t="s">
        <v>25</v>
      </c>
      <c r="G5" s="29" t="s">
        <v>26</v>
      </c>
      <c r="H5" s="29" t="s">
        <v>27</v>
      </c>
      <c r="I5" s="5" t="s">
        <v>28</v>
      </c>
      <c r="J5" s="28"/>
    </row>
    <row r="6" spans="1:10" ht="49.5" x14ac:dyDescent="0.35">
      <c r="A6" s="75" t="s">
        <v>634</v>
      </c>
      <c r="B6" s="23">
        <v>4</v>
      </c>
      <c r="C6" s="20" t="s">
        <v>2</v>
      </c>
      <c r="D6" s="20" t="s">
        <v>627</v>
      </c>
      <c r="E6" s="20" t="s">
        <v>17</v>
      </c>
      <c r="F6" s="30" t="s">
        <v>22</v>
      </c>
      <c r="G6" s="31" t="s">
        <v>23</v>
      </c>
      <c r="H6" s="31" t="s">
        <v>29</v>
      </c>
      <c r="I6" s="20" t="s">
        <v>30</v>
      </c>
      <c r="J6" s="28"/>
    </row>
    <row r="7" spans="1:10" ht="66" x14ac:dyDescent="0.35">
      <c r="A7" s="76" t="s">
        <v>634</v>
      </c>
      <c r="B7" s="6">
        <v>5</v>
      </c>
      <c r="C7" s="5" t="s">
        <v>3</v>
      </c>
      <c r="D7" s="5" t="s">
        <v>9</v>
      </c>
      <c r="E7" s="5" t="s">
        <v>17</v>
      </c>
      <c r="F7" s="4" t="s">
        <v>22</v>
      </c>
      <c r="G7" s="29" t="s">
        <v>31</v>
      </c>
      <c r="H7" s="29" t="s">
        <v>20</v>
      </c>
      <c r="I7" s="5" t="s">
        <v>32</v>
      </c>
    </row>
    <row r="8" spans="1:10" ht="66.5" thickBot="1" x14ac:dyDescent="0.4">
      <c r="A8" s="76" t="s">
        <v>634</v>
      </c>
      <c r="B8" s="6">
        <v>6</v>
      </c>
      <c r="C8" s="5" t="s">
        <v>4</v>
      </c>
      <c r="D8" s="5" t="s">
        <v>629</v>
      </c>
      <c r="E8" s="5" t="s">
        <v>17</v>
      </c>
      <c r="F8" s="4" t="s">
        <v>25</v>
      </c>
      <c r="G8" s="29" t="s">
        <v>26</v>
      </c>
      <c r="H8" s="29" t="s">
        <v>33</v>
      </c>
      <c r="I8" s="5" t="s">
        <v>636</v>
      </c>
    </row>
    <row r="9" spans="1:10" ht="49.5" x14ac:dyDescent="0.35">
      <c r="A9" s="75" t="s">
        <v>16</v>
      </c>
      <c r="B9" s="23">
        <v>7</v>
      </c>
      <c r="C9" s="20" t="s">
        <v>2</v>
      </c>
      <c r="D9" s="20" t="s">
        <v>10</v>
      </c>
      <c r="E9" s="20" t="s">
        <v>17</v>
      </c>
      <c r="F9" s="30" t="s">
        <v>18</v>
      </c>
      <c r="G9" s="31" t="s">
        <v>31</v>
      </c>
      <c r="H9" s="31" t="s">
        <v>34</v>
      </c>
      <c r="I9" s="20" t="s">
        <v>35</v>
      </c>
    </row>
    <row r="10" spans="1:10" ht="66" x14ac:dyDescent="0.35">
      <c r="A10" s="76" t="s">
        <v>16</v>
      </c>
      <c r="B10" s="6">
        <v>8</v>
      </c>
      <c r="C10" s="5" t="s">
        <v>3</v>
      </c>
      <c r="D10" s="5" t="s">
        <v>11</v>
      </c>
      <c r="E10" s="5" t="s">
        <v>17</v>
      </c>
      <c r="F10" s="4" t="s">
        <v>18</v>
      </c>
      <c r="G10" s="29" t="s">
        <v>31</v>
      </c>
      <c r="H10" s="29" t="s">
        <v>36</v>
      </c>
      <c r="I10" s="5" t="s">
        <v>37</v>
      </c>
    </row>
    <row r="11" spans="1:10" ht="66.5" thickBot="1" x14ac:dyDescent="0.4">
      <c r="A11" s="77" t="s">
        <v>16</v>
      </c>
      <c r="B11" s="24">
        <v>9</v>
      </c>
      <c r="C11" s="21" t="s">
        <v>4</v>
      </c>
      <c r="D11" s="21" t="s">
        <v>630</v>
      </c>
      <c r="E11" s="21" t="s">
        <v>17</v>
      </c>
      <c r="F11" s="32" t="s">
        <v>25</v>
      </c>
      <c r="G11" s="33" t="s">
        <v>26</v>
      </c>
      <c r="H11" s="33" t="s">
        <v>38</v>
      </c>
      <c r="I11" s="21" t="s">
        <v>39</v>
      </c>
    </row>
    <row r="12" spans="1:10" x14ac:dyDescent="0.35">
      <c r="A12" s="4"/>
      <c r="E12" s="6"/>
      <c r="F12" s="6"/>
      <c r="H12" s="7"/>
      <c r="I12" s="5"/>
    </row>
    <row r="13" spans="1:10" x14ac:dyDescent="0.5">
      <c r="A13" s="4"/>
      <c r="F13" s="3"/>
      <c r="G13" s="1"/>
    </row>
    <row r="14" spans="1:10" x14ac:dyDescent="0.5">
      <c r="A14" s="4"/>
      <c r="F14" s="3"/>
      <c r="G14" s="1"/>
    </row>
    <row r="15" spans="1:10" x14ac:dyDescent="0.5">
      <c r="A15" s="4"/>
      <c r="F15" s="3"/>
      <c r="G15" s="1"/>
    </row>
    <row r="16" spans="1:10" x14ac:dyDescent="0.5">
      <c r="A16" s="4"/>
      <c r="F16" s="3"/>
      <c r="G16" s="1"/>
      <c r="J16" s="28"/>
    </row>
    <row r="17" spans="1:7" x14ac:dyDescent="0.5">
      <c r="A17" s="4"/>
      <c r="F17" s="3"/>
      <c r="G17" s="1"/>
    </row>
    <row r="18" spans="1:7" x14ac:dyDescent="0.5">
      <c r="A18" s="4"/>
      <c r="F18" s="3"/>
      <c r="G18" s="1"/>
    </row>
    <row r="19" spans="1:7" x14ac:dyDescent="0.5">
      <c r="F19" s="3"/>
      <c r="G19" s="1"/>
    </row>
    <row r="20" spans="1:7" x14ac:dyDescent="0.5">
      <c r="F20" s="3"/>
      <c r="G20" s="1"/>
    </row>
    <row r="21" spans="1:7" x14ac:dyDescent="0.5">
      <c r="F21" s="3"/>
      <c r="G21" s="1"/>
    </row>
    <row r="22" spans="1:7" x14ac:dyDescent="0.5">
      <c r="F22" s="3"/>
      <c r="G22" s="1"/>
    </row>
    <row r="23" spans="1:7" x14ac:dyDescent="0.5">
      <c r="F23" s="3"/>
      <c r="G23" s="1"/>
    </row>
    <row r="24" spans="1:7" x14ac:dyDescent="0.5">
      <c r="F24" s="3"/>
      <c r="G24" s="1"/>
    </row>
    <row r="25" spans="1:7" x14ac:dyDescent="0.5">
      <c r="F25" s="3"/>
      <c r="G25" s="1"/>
    </row>
    <row r="26" spans="1:7" x14ac:dyDescent="0.5">
      <c r="F26" s="3"/>
      <c r="G26" s="1"/>
    </row>
    <row r="27" spans="1:7" x14ac:dyDescent="0.5">
      <c r="F27" s="3"/>
      <c r="G27" s="1"/>
    </row>
    <row r="28" spans="1:7" x14ac:dyDescent="0.5">
      <c r="F28" s="3"/>
      <c r="G28" s="1"/>
    </row>
    <row r="29" spans="1:7" x14ac:dyDescent="0.5">
      <c r="F29" s="3"/>
      <c r="G29" s="1"/>
    </row>
    <row r="30" spans="1:7" x14ac:dyDescent="0.5">
      <c r="F30" s="3"/>
      <c r="G30" s="1"/>
    </row>
    <row r="31" spans="1:7" x14ac:dyDescent="0.5">
      <c r="F31" s="3"/>
      <c r="G31" s="1"/>
    </row>
    <row r="32" spans="1:7" x14ac:dyDescent="0.5">
      <c r="F32" s="3"/>
      <c r="G32" s="1"/>
    </row>
    <row r="33" spans="6:7" x14ac:dyDescent="0.5">
      <c r="F33" s="3"/>
      <c r="G33" s="1"/>
    </row>
    <row r="34" spans="6:7" x14ac:dyDescent="0.5">
      <c r="F34" s="3"/>
      <c r="G34" s="1"/>
    </row>
    <row r="35" spans="6:7" x14ac:dyDescent="0.5">
      <c r="F35" s="3"/>
      <c r="G35" s="1"/>
    </row>
    <row r="36" spans="6:7" x14ac:dyDescent="0.5">
      <c r="F36" s="3"/>
      <c r="G36" s="1"/>
    </row>
    <row r="37" spans="6:7" x14ac:dyDescent="0.5">
      <c r="F37" s="3"/>
      <c r="G37" s="1"/>
    </row>
    <row r="38" spans="6:7" x14ac:dyDescent="0.5">
      <c r="F38" s="3"/>
      <c r="G38" s="1"/>
    </row>
    <row r="39" spans="6:7" x14ac:dyDescent="0.5">
      <c r="F39" s="3"/>
      <c r="G39" s="1"/>
    </row>
    <row r="40" spans="6:7" x14ac:dyDescent="0.5">
      <c r="F40" s="3"/>
      <c r="G40" s="1"/>
    </row>
    <row r="41" spans="6:7" x14ac:dyDescent="0.5">
      <c r="F41" s="3"/>
      <c r="G41" s="1"/>
    </row>
    <row r="42" spans="6:7" x14ac:dyDescent="0.5">
      <c r="F42" s="3"/>
      <c r="G42" s="1"/>
    </row>
    <row r="43" spans="6:7" x14ac:dyDescent="0.5">
      <c r="F43" s="3"/>
      <c r="G43" s="1"/>
    </row>
    <row r="44" spans="6:7" x14ac:dyDescent="0.5">
      <c r="F44" s="3"/>
      <c r="G44" s="1"/>
    </row>
    <row r="45" spans="6:7" x14ac:dyDescent="0.5">
      <c r="F45" s="3"/>
      <c r="G45" s="1"/>
    </row>
    <row r="46" spans="6:7" x14ac:dyDescent="0.5">
      <c r="F46" s="3"/>
      <c r="G46" s="1"/>
    </row>
    <row r="47" spans="6:7" x14ac:dyDescent="0.5">
      <c r="F47" s="3"/>
      <c r="G47" s="1"/>
    </row>
    <row r="48" spans="6:7" x14ac:dyDescent="0.5">
      <c r="F48" s="3"/>
      <c r="G48" s="1"/>
    </row>
    <row r="49" spans="6:7" x14ac:dyDescent="0.5">
      <c r="F49" s="3"/>
      <c r="G49" s="1"/>
    </row>
    <row r="50" spans="6:7" x14ac:dyDescent="0.5">
      <c r="F50" s="3"/>
      <c r="G50" s="1"/>
    </row>
    <row r="51" spans="6:7" x14ac:dyDescent="0.5">
      <c r="F51" s="3"/>
      <c r="G51" s="1"/>
    </row>
    <row r="52" spans="6:7" x14ac:dyDescent="0.5">
      <c r="F52" s="3"/>
      <c r="G52" s="1"/>
    </row>
    <row r="53" spans="6:7" x14ac:dyDescent="0.5">
      <c r="F53" s="3"/>
      <c r="G53" s="1"/>
    </row>
    <row r="54" spans="6:7" x14ac:dyDescent="0.5">
      <c r="F54" s="3"/>
      <c r="G54" s="1"/>
    </row>
    <row r="55" spans="6:7" x14ac:dyDescent="0.5">
      <c r="F55" s="3"/>
      <c r="G55" s="1"/>
    </row>
    <row r="56" spans="6:7" x14ac:dyDescent="0.5">
      <c r="F56" s="3"/>
      <c r="G56" s="1"/>
    </row>
    <row r="57" spans="6:7" x14ac:dyDescent="0.5">
      <c r="F57" s="3"/>
      <c r="G57" s="1"/>
    </row>
    <row r="58" spans="6:7" x14ac:dyDescent="0.5">
      <c r="F58" s="3"/>
      <c r="G58" s="1"/>
    </row>
    <row r="59" spans="6:7" x14ac:dyDescent="0.5">
      <c r="F59" s="3"/>
      <c r="G59" s="1"/>
    </row>
    <row r="60" spans="6:7" x14ac:dyDescent="0.5">
      <c r="F60" s="3"/>
      <c r="G60" s="1"/>
    </row>
    <row r="61" spans="6:7" x14ac:dyDescent="0.5">
      <c r="F61" s="3"/>
      <c r="G61" s="1"/>
    </row>
    <row r="62" spans="6:7" x14ac:dyDescent="0.5">
      <c r="F62" s="3"/>
      <c r="G62" s="1"/>
    </row>
    <row r="63" spans="6:7" x14ac:dyDescent="0.5">
      <c r="F63" s="3"/>
      <c r="G63" s="1"/>
    </row>
    <row r="64" spans="6:7" x14ac:dyDescent="0.5">
      <c r="F64" s="3"/>
      <c r="G64" s="1"/>
    </row>
    <row r="65" spans="6:7" x14ac:dyDescent="0.5">
      <c r="F65" s="3"/>
      <c r="G65" s="1"/>
    </row>
    <row r="66" spans="6:7" x14ac:dyDescent="0.5">
      <c r="F66" s="3"/>
      <c r="G66" s="1"/>
    </row>
    <row r="67" spans="6:7" x14ac:dyDescent="0.5">
      <c r="F67" s="3"/>
      <c r="G67" s="1"/>
    </row>
    <row r="68" spans="6:7" x14ac:dyDescent="0.5">
      <c r="F68" s="3"/>
      <c r="G68" s="1"/>
    </row>
    <row r="69" spans="6:7" x14ac:dyDescent="0.5">
      <c r="F69" s="3"/>
      <c r="G69" s="1"/>
    </row>
    <row r="70" spans="6:7" x14ac:dyDescent="0.5">
      <c r="F70" s="3"/>
      <c r="G70" s="1"/>
    </row>
    <row r="71" spans="6:7" x14ac:dyDescent="0.5">
      <c r="F71" s="3"/>
      <c r="G71" s="1"/>
    </row>
    <row r="72" spans="6:7" x14ac:dyDescent="0.5">
      <c r="F72" s="3"/>
      <c r="G72" s="1"/>
    </row>
    <row r="73" spans="6:7" x14ac:dyDescent="0.5">
      <c r="F73" s="3"/>
      <c r="G73" s="1"/>
    </row>
    <row r="74" spans="6:7" x14ac:dyDescent="0.5">
      <c r="F74" s="3"/>
      <c r="G74" s="1"/>
    </row>
    <row r="75" spans="6:7" x14ac:dyDescent="0.5">
      <c r="F75" s="3"/>
      <c r="G75" s="1"/>
    </row>
    <row r="76" spans="6:7" x14ac:dyDescent="0.5">
      <c r="F76" s="3"/>
      <c r="G76" s="1"/>
    </row>
    <row r="77" spans="6:7" x14ac:dyDescent="0.5">
      <c r="F77" s="3"/>
      <c r="G77" s="1"/>
    </row>
    <row r="78" spans="6:7" x14ac:dyDescent="0.5">
      <c r="F78" s="3"/>
      <c r="G78" s="1"/>
    </row>
    <row r="79" spans="6:7" x14ac:dyDescent="0.5">
      <c r="F79" s="3"/>
      <c r="G79" s="1"/>
    </row>
    <row r="80" spans="6:7" x14ac:dyDescent="0.5">
      <c r="F80" s="3"/>
      <c r="G80" s="1"/>
    </row>
    <row r="81" spans="6:7" x14ac:dyDescent="0.5">
      <c r="F81" s="3"/>
      <c r="G81" s="1"/>
    </row>
    <row r="82" spans="6:7" x14ac:dyDescent="0.5">
      <c r="F82" s="3"/>
      <c r="G82" s="1"/>
    </row>
    <row r="83" spans="6:7" x14ac:dyDescent="0.5">
      <c r="F83" s="3"/>
      <c r="G83" s="1"/>
    </row>
    <row r="84" spans="6:7" x14ac:dyDescent="0.5">
      <c r="F84" s="3"/>
      <c r="G84" s="1"/>
    </row>
    <row r="85" spans="6:7" x14ac:dyDescent="0.5">
      <c r="F85" s="3"/>
      <c r="G85" s="1"/>
    </row>
    <row r="86" spans="6:7" x14ac:dyDescent="0.5">
      <c r="F86" s="3"/>
      <c r="G86" s="1"/>
    </row>
    <row r="87" spans="6:7" x14ac:dyDescent="0.5">
      <c r="F87" s="3"/>
      <c r="G87" s="1"/>
    </row>
    <row r="88" spans="6:7" x14ac:dyDescent="0.5">
      <c r="F88" s="3"/>
      <c r="G88" s="1"/>
    </row>
    <row r="89" spans="6:7" x14ac:dyDescent="0.5">
      <c r="F89" s="3"/>
      <c r="G89" s="1"/>
    </row>
    <row r="90" spans="6:7" x14ac:dyDescent="0.5">
      <c r="F90" s="3"/>
      <c r="G90" s="1"/>
    </row>
    <row r="91" spans="6:7" x14ac:dyDescent="0.5">
      <c r="F91" s="3"/>
      <c r="G91" s="1"/>
    </row>
    <row r="92" spans="6:7" x14ac:dyDescent="0.5">
      <c r="F92" s="3"/>
      <c r="G92" s="1"/>
    </row>
    <row r="93" spans="6:7" x14ac:dyDescent="0.5">
      <c r="F93" s="3"/>
      <c r="G93" s="1"/>
    </row>
    <row r="94" spans="6:7" x14ac:dyDescent="0.5">
      <c r="F94" s="3"/>
      <c r="G94" s="1"/>
    </row>
    <row r="95" spans="6:7" x14ac:dyDescent="0.5">
      <c r="F95" s="3"/>
      <c r="G95" s="1"/>
    </row>
    <row r="96" spans="6:7" x14ac:dyDescent="0.5">
      <c r="F96" s="3"/>
      <c r="G96" s="1"/>
    </row>
    <row r="97" spans="6:7" x14ac:dyDescent="0.5">
      <c r="F97" s="3"/>
      <c r="G97" s="1"/>
    </row>
    <row r="98" spans="6:7" x14ac:dyDescent="0.5">
      <c r="F98" s="3"/>
      <c r="G98" s="1"/>
    </row>
    <row r="99" spans="6:7" x14ac:dyDescent="0.5">
      <c r="F99" s="3"/>
      <c r="G99" s="1"/>
    </row>
    <row r="100" spans="6:7" x14ac:dyDescent="0.5">
      <c r="F100" s="3"/>
      <c r="G100" s="1"/>
    </row>
    <row r="101" spans="6:7" x14ac:dyDescent="0.5">
      <c r="F101" s="3"/>
      <c r="G101" s="1"/>
    </row>
    <row r="102" spans="6:7" x14ac:dyDescent="0.5">
      <c r="F102" s="3"/>
      <c r="G102" s="1"/>
    </row>
    <row r="103" spans="6:7" x14ac:dyDescent="0.5">
      <c r="F103" s="3"/>
      <c r="G103" s="1"/>
    </row>
    <row r="104" spans="6:7" x14ac:dyDescent="0.5">
      <c r="F104" s="3"/>
      <c r="G104" s="1"/>
    </row>
    <row r="105" spans="6:7" x14ac:dyDescent="0.5">
      <c r="F105" s="3"/>
      <c r="G105" s="1"/>
    </row>
    <row r="106" spans="6:7" x14ac:dyDescent="0.5">
      <c r="F106" s="3"/>
      <c r="G106" s="1"/>
    </row>
    <row r="107" spans="6:7" x14ac:dyDescent="0.5">
      <c r="F107" s="3"/>
      <c r="G107" s="1"/>
    </row>
    <row r="108" spans="6:7" x14ac:dyDescent="0.5">
      <c r="F108" s="3"/>
      <c r="G108" s="1"/>
    </row>
    <row r="109" spans="6:7" x14ac:dyDescent="0.5">
      <c r="F109" s="3"/>
      <c r="G109" s="1"/>
    </row>
    <row r="110" spans="6:7" x14ac:dyDescent="0.5">
      <c r="F110" s="3"/>
      <c r="G110" s="1"/>
    </row>
    <row r="111" spans="6:7" x14ac:dyDescent="0.5">
      <c r="F111" s="3"/>
      <c r="G111" s="1"/>
    </row>
    <row r="112" spans="6:7" x14ac:dyDescent="0.5">
      <c r="F112" s="3"/>
      <c r="G112" s="1"/>
    </row>
    <row r="113" spans="6:7" x14ac:dyDescent="0.5">
      <c r="F113" s="3"/>
      <c r="G113" s="1"/>
    </row>
    <row r="114" spans="6:7" x14ac:dyDescent="0.5">
      <c r="F114" s="3"/>
      <c r="G114" s="1"/>
    </row>
    <row r="115" spans="6:7" x14ac:dyDescent="0.5">
      <c r="F115" s="3"/>
      <c r="G115" s="1"/>
    </row>
    <row r="116" spans="6:7" x14ac:dyDescent="0.5">
      <c r="F116" s="3"/>
      <c r="G116" s="1"/>
    </row>
    <row r="117" spans="6:7" x14ac:dyDescent="0.5">
      <c r="F117" s="3"/>
      <c r="G117" s="1"/>
    </row>
    <row r="118" spans="6:7" x14ac:dyDescent="0.5">
      <c r="F118" s="3"/>
      <c r="G118" s="1"/>
    </row>
    <row r="119" spans="6:7" x14ac:dyDescent="0.5">
      <c r="F119" s="3"/>
      <c r="G119" s="1"/>
    </row>
    <row r="120" spans="6:7" x14ac:dyDescent="0.5">
      <c r="F120" s="3"/>
      <c r="G120" s="1"/>
    </row>
    <row r="121" spans="6:7" x14ac:dyDescent="0.5">
      <c r="G121" s="1"/>
    </row>
    <row r="122" spans="6:7" x14ac:dyDescent="0.5">
      <c r="G122" s="1"/>
    </row>
    <row r="123" spans="6:7" x14ac:dyDescent="0.5">
      <c r="G123" s="1"/>
    </row>
    <row r="124" spans="6:7" x14ac:dyDescent="0.5">
      <c r="G124" s="1"/>
    </row>
  </sheetData>
  <autoFilter ref="A1:C11" xr:uid="{94AAF649-42F4-466A-BE11-44357078F961}"/>
  <dataValidations count="9">
    <dataValidation type="list" allowBlank="1" showInputMessage="1" showErrorMessage="1" sqref="C3:C11" xr:uid="{3B0FAE21-4414-4928-BE47-40DBF73D85A6}">
      <formula1>dominios</formula1>
    </dataValidation>
    <dataValidation type="list" allowBlank="1" showInputMessage="1" showErrorMessage="1" sqref="A3:A11" xr:uid="{1BC8411C-0029-4475-BC4D-F429B66D863D}">
      <formula1>competencias</formula1>
    </dataValidation>
    <dataValidation type="list" allowBlank="1" showInputMessage="1" showErrorMessage="1" sqref="F3:F120" xr:uid="{EDC32C5E-443E-464B-B420-6F6CD6A8E099}">
      <formula1>INDIRECT($E3)</formula1>
    </dataValidation>
    <dataValidation type="list" allowBlank="1" showInputMessage="1" showErrorMessage="1" sqref="D3:D90" xr:uid="{D2786A4C-D4BE-47D1-BDF5-271CFB539CAE}">
      <formula1>INDIRECT($C3)</formula1>
    </dataValidation>
    <dataValidation type="list" allowBlank="1" showInputMessage="1" showErrorMessage="1" sqref="H3:H114" xr:uid="{5DC517A5-FC6B-4375-B3E1-04A2C1D437C5}">
      <formula1>INDIRECT($G3)</formula1>
    </dataValidation>
    <dataValidation type="list" allowBlank="1" showInputMessage="1" showErrorMessage="1" sqref="G3:G124" xr:uid="{DF3498F9-E1A3-4395-90A6-D9BF5E92F1D0}">
      <formula1>INDIRECT($F3)</formula1>
    </dataValidation>
    <dataValidation type="list" allowBlank="1" showInputMessage="1" showErrorMessage="1" sqref="G125"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91AF69DB-29AC-4636-A60A-F864E6B2F972}">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20" xr:uid="{FDDA669C-34EE-4294-9725-E19E2D0ED109}">
      <formula1>taxonomiasra</formula1>
    </dataValidation>
  </dataValidations>
  <pageMargins left="0.7" right="0.7" top="0.75" bottom="0.75" header="0.3" footer="0.3"/>
  <pageSetup orientation="portrait" r:id="rId1"/>
  <ignoredErrors>
    <ignoredError sqref="A3:A11" listDataValidation="1"/>
  </ignoredErrors>
  <legacy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7"/>
  <sheetViews>
    <sheetView zoomScaleNormal="100" workbookViewId="0">
      <selection activeCell="F7" sqref="F7"/>
    </sheetView>
  </sheetViews>
  <sheetFormatPr baseColWidth="10" defaultColWidth="11.453125" defaultRowHeight="16.5" x14ac:dyDescent="0.5"/>
  <cols>
    <col min="1" max="1" width="82.1796875" style="1" customWidth="1"/>
    <col min="2" max="2" width="48.6328125" style="1" customWidth="1"/>
    <col min="3" max="3" width="58.453125" style="35" customWidth="1"/>
    <col min="4" max="4" width="61.453125" style="1" customWidth="1"/>
    <col min="5" max="5" width="39.1796875" style="1" customWidth="1"/>
    <col min="6" max="6" width="43.1796875" style="29" customWidth="1"/>
    <col min="7" max="16384" width="11.453125" style="1"/>
  </cols>
  <sheetData>
    <row r="1" spans="1:6" s="29" customFormat="1" ht="65" x14ac:dyDescent="0.35">
      <c r="A1" s="47" t="s">
        <v>577</v>
      </c>
      <c r="B1" s="47" t="s">
        <v>578</v>
      </c>
      <c r="C1" s="47" t="s">
        <v>579</v>
      </c>
      <c r="D1" s="47" t="s">
        <v>580</v>
      </c>
      <c r="E1" s="47" t="s">
        <v>581</v>
      </c>
      <c r="F1" s="47" t="s">
        <v>582</v>
      </c>
    </row>
    <row r="2" spans="1:6" s="29" customFormat="1" ht="33" x14ac:dyDescent="0.35">
      <c r="A2" s="57" t="s">
        <v>583</v>
      </c>
      <c r="B2" s="57" t="s">
        <v>584</v>
      </c>
      <c r="C2" s="57" t="s">
        <v>585</v>
      </c>
      <c r="D2" s="57" t="s">
        <v>586</v>
      </c>
      <c r="E2" s="57" t="s">
        <v>587</v>
      </c>
      <c r="F2" s="57" t="s">
        <v>588</v>
      </c>
    </row>
    <row r="3" spans="1:6" ht="33" x14ac:dyDescent="0.5">
      <c r="A3" s="39" t="s">
        <v>28</v>
      </c>
      <c r="B3" s="97" t="s">
        <v>40</v>
      </c>
      <c r="C3" s="98" t="s">
        <v>41</v>
      </c>
      <c r="D3" s="34" t="s">
        <v>42</v>
      </c>
      <c r="E3" s="86" t="s">
        <v>637</v>
      </c>
      <c r="F3" s="40" t="s">
        <v>43</v>
      </c>
    </row>
    <row r="4" spans="1:6" ht="49.5" x14ac:dyDescent="0.5">
      <c r="A4" s="3" t="s">
        <v>30</v>
      </c>
      <c r="B4" s="90"/>
      <c r="C4" s="80"/>
      <c r="D4" s="38" t="s">
        <v>44</v>
      </c>
      <c r="E4" s="87"/>
      <c r="F4" s="29" t="s">
        <v>45</v>
      </c>
    </row>
    <row r="5" spans="1:6" ht="50" thickBot="1" x14ac:dyDescent="0.55000000000000004">
      <c r="A5" s="41" t="s">
        <v>35</v>
      </c>
      <c r="B5" s="91"/>
      <c r="C5" s="93"/>
      <c r="D5" s="42" t="s">
        <v>46</v>
      </c>
      <c r="E5" s="88"/>
      <c r="F5" s="33" t="s">
        <v>47</v>
      </c>
    </row>
    <row r="6" spans="1:6" ht="33" x14ac:dyDescent="0.5">
      <c r="A6" s="43" t="s">
        <v>21</v>
      </c>
      <c r="B6" s="89" t="s">
        <v>48</v>
      </c>
      <c r="C6" s="92" t="s">
        <v>639</v>
      </c>
      <c r="D6" s="44" t="s">
        <v>49</v>
      </c>
      <c r="E6" s="94" t="s">
        <v>638</v>
      </c>
      <c r="F6" s="31" t="s">
        <v>43</v>
      </c>
    </row>
    <row r="7" spans="1:6" ht="82.5" x14ac:dyDescent="0.5">
      <c r="A7" s="3" t="s">
        <v>24</v>
      </c>
      <c r="B7" s="90"/>
      <c r="C7" s="80"/>
      <c r="D7" s="38" t="s">
        <v>50</v>
      </c>
      <c r="E7" s="95"/>
      <c r="F7" s="29" t="s">
        <v>45</v>
      </c>
    </row>
    <row r="8" spans="1:6" ht="33" x14ac:dyDescent="0.5">
      <c r="A8" s="3" t="s">
        <v>28</v>
      </c>
      <c r="B8" s="90"/>
      <c r="C8" s="80"/>
      <c r="D8" s="38" t="s">
        <v>46</v>
      </c>
      <c r="E8" s="95"/>
      <c r="F8" s="29" t="s">
        <v>47</v>
      </c>
    </row>
    <row r="9" spans="1:6" ht="49.5" x14ac:dyDescent="0.5">
      <c r="A9" s="3" t="s">
        <v>30</v>
      </c>
      <c r="B9" s="90"/>
      <c r="C9" s="80"/>
      <c r="D9" s="45"/>
      <c r="E9" s="95"/>
    </row>
    <row r="10" spans="1:6" ht="66" x14ac:dyDescent="0.5">
      <c r="A10" s="3" t="s">
        <v>32</v>
      </c>
      <c r="B10" s="90"/>
      <c r="C10" s="80"/>
      <c r="D10" s="45"/>
      <c r="E10" s="95"/>
    </row>
    <row r="11" spans="1:6" ht="49.5" x14ac:dyDescent="0.5">
      <c r="A11" s="3" t="s">
        <v>636</v>
      </c>
      <c r="B11" s="90"/>
      <c r="C11" s="80"/>
      <c r="D11" s="45"/>
      <c r="E11" s="95"/>
    </row>
    <row r="12" spans="1:6" ht="50" thickBot="1" x14ac:dyDescent="0.55000000000000004">
      <c r="A12" s="41" t="s">
        <v>37</v>
      </c>
      <c r="B12" s="91"/>
      <c r="C12" s="93"/>
      <c r="D12" s="46"/>
      <c r="E12" s="96"/>
      <c r="F12" s="33"/>
    </row>
    <row r="13" spans="1:6" x14ac:dyDescent="0.5">
      <c r="A13" s="3"/>
    </row>
    <row r="14" spans="1:6" x14ac:dyDescent="0.5">
      <c r="A14" s="3"/>
    </row>
    <row r="15" spans="1:6" x14ac:dyDescent="0.5">
      <c r="A15" s="3"/>
    </row>
    <row r="16" spans="1:6" x14ac:dyDescent="0.5">
      <c r="A16" s="3"/>
    </row>
    <row r="17" spans="1:1" x14ac:dyDescent="0.5">
      <c r="A17" s="3"/>
    </row>
  </sheetData>
  <mergeCells count="6">
    <mergeCell ref="E3:E5"/>
    <mergeCell ref="B6:B12"/>
    <mergeCell ref="C6:C12"/>
    <mergeCell ref="E6:E12"/>
    <mergeCell ref="B3:B5"/>
    <mergeCell ref="C3:C5"/>
  </mergeCells>
  <dataValidations count="1">
    <dataValidation type="list" allowBlank="1" showInputMessage="1" showErrorMessage="1" sqref="A3:A1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P45"/>
  <sheetViews>
    <sheetView tabSelected="1" zoomScaleNormal="100" workbookViewId="0">
      <selection activeCell="D3" sqref="D3:D5"/>
    </sheetView>
  </sheetViews>
  <sheetFormatPr baseColWidth="10" defaultColWidth="11.453125" defaultRowHeight="16.5" x14ac:dyDescent="0.5"/>
  <cols>
    <col min="1" max="1" width="11.453125" style="1"/>
    <col min="2" max="2" width="65.7265625" style="29" customWidth="1"/>
    <col min="3" max="3" width="17.36328125" style="7" customWidth="1"/>
    <col min="4" max="4" width="41.6328125" style="6" customWidth="1"/>
    <col min="5" max="5" width="72.7265625" style="1" customWidth="1"/>
    <col min="6" max="6" width="23.453125" style="1" customWidth="1"/>
    <col min="7" max="8" width="16.7265625" style="7" customWidth="1"/>
    <col min="9" max="9" width="13.453125" style="7" customWidth="1"/>
    <col min="10" max="10" width="20.54296875" style="7" customWidth="1"/>
    <col min="11" max="11" width="24.453125" style="7" customWidth="1"/>
    <col min="12" max="12" width="17.6328125" style="7" customWidth="1"/>
    <col min="13" max="13" width="53" style="22" customWidth="1"/>
    <col min="14" max="14" width="70.6328125" style="1" customWidth="1"/>
    <col min="15" max="15" width="77.1796875" style="1" customWidth="1"/>
    <col min="16" max="16" width="73.1796875" style="1" customWidth="1"/>
    <col min="17" max="16384" width="11.453125" style="1"/>
  </cols>
  <sheetData>
    <row r="1" spans="1:16" s="6" customFormat="1" ht="65" customHeight="1" x14ac:dyDescent="0.35">
      <c r="A1" s="47" t="s">
        <v>589</v>
      </c>
      <c r="B1" s="47" t="s">
        <v>590</v>
      </c>
      <c r="C1" s="47" t="s">
        <v>591</v>
      </c>
      <c r="D1" s="47" t="s">
        <v>592</v>
      </c>
      <c r="E1" s="47" t="s">
        <v>593</v>
      </c>
      <c r="F1" s="47" t="s">
        <v>594</v>
      </c>
      <c r="G1" s="123" t="s">
        <v>595</v>
      </c>
      <c r="H1" s="124"/>
      <c r="I1" s="47" t="s">
        <v>596</v>
      </c>
      <c r="J1" s="47" t="s">
        <v>597</v>
      </c>
      <c r="K1" s="47" t="s">
        <v>598</v>
      </c>
      <c r="L1" s="47" t="s">
        <v>599</v>
      </c>
      <c r="M1" s="47" t="s">
        <v>600</v>
      </c>
      <c r="N1" s="47" t="s">
        <v>601</v>
      </c>
      <c r="O1" s="47" t="s">
        <v>602</v>
      </c>
      <c r="P1" s="47" t="s">
        <v>603</v>
      </c>
    </row>
    <row r="2" spans="1:16" s="6" customFormat="1" ht="33" x14ac:dyDescent="0.35">
      <c r="A2" s="57" t="s">
        <v>51</v>
      </c>
      <c r="B2" s="57" t="s">
        <v>583</v>
      </c>
      <c r="C2" s="57" t="s">
        <v>604</v>
      </c>
      <c r="D2" s="57" t="s">
        <v>605</v>
      </c>
      <c r="E2" s="57" t="s">
        <v>606</v>
      </c>
      <c r="F2" s="57" t="s">
        <v>607</v>
      </c>
      <c r="G2" s="63" t="s">
        <v>608</v>
      </c>
      <c r="H2" s="63" t="s">
        <v>54</v>
      </c>
      <c r="I2" s="57" t="s">
        <v>52</v>
      </c>
      <c r="J2" s="57" t="s">
        <v>609</v>
      </c>
      <c r="K2" s="57" t="s">
        <v>610</v>
      </c>
      <c r="L2" s="57" t="s">
        <v>53</v>
      </c>
      <c r="M2" s="57" t="s">
        <v>611</v>
      </c>
      <c r="N2" s="57" t="s">
        <v>612</v>
      </c>
      <c r="O2" s="57" t="s">
        <v>613</v>
      </c>
      <c r="P2" s="57" t="s">
        <v>614</v>
      </c>
    </row>
    <row r="3" spans="1:16" ht="58" customHeight="1" x14ac:dyDescent="0.5">
      <c r="A3" s="29" t="str">
        <f>_xlfn.XLOOKUP(B3,'Paso 3 Redacción RA '!I$3:I$11,'Paso 3 Redacción RA '!C$3:C$11,,0,1)</f>
        <v>Saber</v>
      </c>
      <c r="B3" s="4" t="s">
        <v>21</v>
      </c>
      <c r="C3" s="118">
        <v>1</v>
      </c>
      <c r="D3" s="103" t="s">
        <v>55</v>
      </c>
      <c r="E3" s="121" t="s">
        <v>649</v>
      </c>
      <c r="F3" s="118" t="s">
        <v>56</v>
      </c>
      <c r="G3" s="82" t="s">
        <v>57</v>
      </c>
      <c r="H3" s="82"/>
      <c r="I3" s="103">
        <v>3</v>
      </c>
      <c r="J3" s="82">
        <f>12*I3</f>
        <v>36</v>
      </c>
      <c r="K3" s="82">
        <f>36*I3</f>
        <v>108</v>
      </c>
      <c r="L3" s="82">
        <f>SUM(J3:K5)</f>
        <v>144</v>
      </c>
      <c r="M3" s="122" t="s">
        <v>616</v>
      </c>
      <c r="N3" s="125" t="s">
        <v>58</v>
      </c>
      <c r="O3" s="98" t="s">
        <v>59</v>
      </c>
      <c r="P3" s="99" t="s">
        <v>615</v>
      </c>
    </row>
    <row r="4" spans="1:16" ht="49.5" x14ac:dyDescent="0.5">
      <c r="A4" s="29" t="str">
        <f>_xlfn.XLOOKUP(B4,'Paso 3 Redacción RA '!I$3:I$11,'Paso 3 Redacción RA '!C$3:C$11,,0,1)</f>
        <v>Saberser</v>
      </c>
      <c r="B4" s="4" t="s">
        <v>28</v>
      </c>
      <c r="C4" s="111"/>
      <c r="D4" s="82"/>
      <c r="E4" s="108"/>
      <c r="F4" s="111"/>
      <c r="G4" s="82"/>
      <c r="H4" s="82"/>
      <c r="I4" s="82"/>
      <c r="J4" s="82"/>
      <c r="K4" s="82"/>
      <c r="L4" s="82"/>
      <c r="M4" s="81"/>
      <c r="N4" s="81"/>
      <c r="O4" s="80"/>
      <c r="P4" s="100"/>
    </row>
    <row r="5" spans="1:16" ht="99.5" thickBot="1" x14ac:dyDescent="0.55000000000000004">
      <c r="A5" s="33" t="str">
        <f>_xlfn.XLOOKUP(B5,'Paso 3 Redacción RA '!I$3:I$11,'Paso 3 Redacción RA '!C$3:C$11,,0,1)</f>
        <v>Saberhacer</v>
      </c>
      <c r="B5" s="32" t="s">
        <v>24</v>
      </c>
      <c r="C5" s="112"/>
      <c r="D5" s="104"/>
      <c r="E5" s="117"/>
      <c r="F5" s="112"/>
      <c r="G5" s="104"/>
      <c r="H5" s="104"/>
      <c r="I5" s="104"/>
      <c r="J5" s="104"/>
      <c r="K5" s="104"/>
      <c r="L5" s="104"/>
      <c r="M5" s="120"/>
      <c r="N5" s="120"/>
      <c r="O5" s="93"/>
      <c r="P5" s="101"/>
    </row>
    <row r="6" spans="1:16" ht="33" x14ac:dyDescent="0.5">
      <c r="A6" s="31" t="str">
        <f>_xlfn.XLOOKUP(B6,'Paso 3 Redacción RA '!I$3:I$11,'Paso 3 Redacción RA '!C$3:C$11,,0,1)</f>
        <v>Saber</v>
      </c>
      <c r="B6" s="30" t="s">
        <v>21</v>
      </c>
      <c r="C6" s="110">
        <v>1</v>
      </c>
      <c r="D6" s="113" t="s">
        <v>60</v>
      </c>
      <c r="E6" s="116" t="s">
        <v>648</v>
      </c>
      <c r="F6" s="110" t="s">
        <v>63</v>
      </c>
      <c r="G6" s="113" t="s">
        <v>57</v>
      </c>
      <c r="H6" s="113"/>
      <c r="I6" s="113">
        <v>3</v>
      </c>
      <c r="J6" s="113">
        <f>12*I6</f>
        <v>36</v>
      </c>
      <c r="K6" s="113">
        <f>36*I6</f>
        <v>108</v>
      </c>
      <c r="L6" s="113">
        <f>SUM(J6:K8)</f>
        <v>144</v>
      </c>
      <c r="M6" s="102" t="s">
        <v>617</v>
      </c>
      <c r="N6" s="102" t="s">
        <v>58</v>
      </c>
      <c r="O6" s="92" t="s">
        <v>59</v>
      </c>
      <c r="P6" s="102" t="s">
        <v>615</v>
      </c>
    </row>
    <row r="7" spans="1:16" ht="49.5" x14ac:dyDescent="0.5">
      <c r="A7" s="29" t="str">
        <f>_xlfn.XLOOKUP(B7,'Paso 3 Redacción RA '!I$3:I$11,'Paso 3 Redacción RA '!C$3:C$11,,0,1)</f>
        <v>Saber</v>
      </c>
      <c r="B7" s="4" t="s">
        <v>30</v>
      </c>
      <c r="C7" s="111"/>
      <c r="D7" s="82"/>
      <c r="E7" s="108"/>
      <c r="F7" s="111"/>
      <c r="G7" s="82"/>
      <c r="H7" s="82"/>
      <c r="I7" s="82"/>
      <c r="J7" s="82"/>
      <c r="K7" s="82"/>
      <c r="L7" s="82"/>
      <c r="M7" s="81"/>
      <c r="N7" s="81"/>
      <c r="O7" s="80"/>
      <c r="P7" s="100"/>
    </row>
    <row r="8" spans="1:16" ht="66.5" thickBot="1" x14ac:dyDescent="0.55000000000000004">
      <c r="A8" s="33" t="str">
        <f>_xlfn.XLOOKUP(B8,'Paso 3 Redacción RA '!I$3:I$11,'Paso 3 Redacción RA '!C$3:C$11,,0,1)</f>
        <v>Saber</v>
      </c>
      <c r="B8" s="32" t="s">
        <v>35</v>
      </c>
      <c r="C8" s="112"/>
      <c r="D8" s="104"/>
      <c r="E8" s="117"/>
      <c r="F8" s="112"/>
      <c r="G8" s="104"/>
      <c r="H8" s="104"/>
      <c r="I8" s="104"/>
      <c r="J8" s="104"/>
      <c r="K8" s="104"/>
      <c r="L8" s="104"/>
      <c r="M8" s="120"/>
      <c r="N8" s="120"/>
      <c r="O8" s="93"/>
      <c r="P8" s="101"/>
    </row>
    <row r="9" spans="1:16" ht="33" x14ac:dyDescent="0.5">
      <c r="A9" s="31" t="str">
        <f>_xlfn.XLOOKUP(B9,'Paso 3 Redacción RA '!I$3:I$11,'Paso 3 Redacción RA '!C$3:C$11,,0,1)</f>
        <v>Saber</v>
      </c>
      <c r="B9" s="30" t="s">
        <v>21</v>
      </c>
      <c r="C9" s="110">
        <v>1</v>
      </c>
      <c r="D9" s="113" t="s">
        <v>61</v>
      </c>
      <c r="E9" s="116" t="s">
        <v>647</v>
      </c>
      <c r="F9" s="110" t="s">
        <v>63</v>
      </c>
      <c r="G9" s="113" t="s">
        <v>57</v>
      </c>
      <c r="H9" s="113"/>
      <c r="I9" s="113">
        <v>3</v>
      </c>
      <c r="J9" s="113">
        <f>12*I9</f>
        <v>36</v>
      </c>
      <c r="K9" s="113">
        <f>36*I9</f>
        <v>108</v>
      </c>
      <c r="L9" s="113">
        <f>SUM(J9:K15)</f>
        <v>144</v>
      </c>
      <c r="M9" s="102" t="s">
        <v>618</v>
      </c>
      <c r="N9" s="102" t="s">
        <v>58</v>
      </c>
      <c r="O9" s="102" t="s">
        <v>59</v>
      </c>
      <c r="P9" s="102" t="s">
        <v>615</v>
      </c>
    </row>
    <row r="10" spans="1:16" ht="49.5" x14ac:dyDescent="0.5">
      <c r="A10" s="29" t="str">
        <f>_xlfn.XLOOKUP(B10,'Paso 3 Redacción RA '!I$3:I$11,'Paso 3 Redacción RA '!C$3:C$11,,0,1)</f>
        <v>Saberser</v>
      </c>
      <c r="B10" s="4" t="s">
        <v>28</v>
      </c>
      <c r="C10" s="111"/>
      <c r="D10" s="82"/>
      <c r="E10" s="108"/>
      <c r="F10" s="111"/>
      <c r="G10" s="82"/>
      <c r="H10" s="82"/>
      <c r="I10" s="82"/>
      <c r="J10" s="82"/>
      <c r="K10" s="82"/>
      <c r="L10" s="82"/>
      <c r="M10" s="81"/>
      <c r="N10" s="81"/>
      <c r="O10" s="81"/>
      <c r="P10" s="100"/>
    </row>
    <row r="11" spans="1:16" ht="99" x14ac:dyDescent="0.5">
      <c r="A11" s="29" t="str">
        <f>_xlfn.XLOOKUP(B11,'Paso 3 Redacción RA '!I$3:I$11,'Paso 3 Redacción RA '!C$3:C$11,,0,1)</f>
        <v>Saberhacer</v>
      </c>
      <c r="B11" s="4" t="s">
        <v>24</v>
      </c>
      <c r="C11" s="111"/>
      <c r="D11" s="82"/>
      <c r="E11" s="108"/>
      <c r="F11" s="111"/>
      <c r="G11" s="82"/>
      <c r="H11" s="82"/>
      <c r="I11" s="82"/>
      <c r="J11" s="82"/>
      <c r="K11" s="82"/>
      <c r="L11" s="82"/>
      <c r="M11" s="81"/>
      <c r="N11" s="81"/>
      <c r="O11" s="81"/>
      <c r="P11" s="100"/>
    </row>
    <row r="12" spans="1:16" ht="49.5" x14ac:dyDescent="0.5">
      <c r="A12" s="29" t="str">
        <f>_xlfn.XLOOKUP(B12,'Paso 3 Redacción RA '!I$3:I$11,'Paso 3 Redacción RA '!C$3:C$11,,0,1)</f>
        <v>Saber</v>
      </c>
      <c r="B12" s="4" t="s">
        <v>30</v>
      </c>
      <c r="C12" s="111"/>
      <c r="D12" s="82"/>
      <c r="E12" s="108"/>
      <c r="F12" s="111"/>
      <c r="G12" s="82"/>
      <c r="H12" s="82"/>
      <c r="I12" s="82"/>
      <c r="J12" s="82"/>
      <c r="K12" s="82"/>
      <c r="L12" s="82"/>
      <c r="M12" s="81"/>
      <c r="N12" s="81"/>
      <c r="O12" s="81"/>
      <c r="P12" s="100"/>
    </row>
    <row r="13" spans="1:16" ht="66" x14ac:dyDescent="0.5">
      <c r="A13" s="29" t="str">
        <f>_xlfn.XLOOKUP(B13,'Paso 3 Redacción RA '!I$3:I$11,'Paso 3 Redacción RA '!C$3:C$11,,0,1)</f>
        <v>Saber</v>
      </c>
      <c r="B13" s="4" t="s">
        <v>35</v>
      </c>
      <c r="C13" s="111"/>
      <c r="D13" s="82"/>
      <c r="E13" s="108"/>
      <c r="F13" s="111"/>
      <c r="G13" s="82"/>
      <c r="H13" s="82"/>
      <c r="I13" s="82"/>
      <c r="J13" s="82"/>
      <c r="K13" s="82"/>
      <c r="L13" s="82"/>
      <c r="M13" s="81"/>
      <c r="N13" s="81"/>
      <c r="O13" s="81"/>
      <c r="P13" s="100"/>
    </row>
    <row r="14" spans="1:16" ht="66" x14ac:dyDescent="0.5">
      <c r="A14" s="29" t="str">
        <f>_xlfn.XLOOKUP(B14,'Paso 3 Redacción RA '!I$3:I$11,'Paso 3 Redacción RA '!C$3:C$11,,0,1)</f>
        <v>Saberser</v>
      </c>
      <c r="B14" s="4" t="s">
        <v>39</v>
      </c>
      <c r="C14" s="111"/>
      <c r="D14" s="82"/>
      <c r="E14" s="108"/>
      <c r="F14" s="111"/>
      <c r="G14" s="82"/>
      <c r="H14" s="82"/>
      <c r="I14" s="82"/>
      <c r="J14" s="82"/>
      <c r="K14" s="82"/>
      <c r="L14" s="82"/>
      <c r="M14" s="81"/>
      <c r="N14" s="81"/>
      <c r="O14" s="81"/>
      <c r="P14" s="100"/>
    </row>
    <row r="15" spans="1:16" ht="50" thickBot="1" x14ac:dyDescent="0.55000000000000004">
      <c r="A15" s="33" t="str">
        <f>_xlfn.XLOOKUP(B15,'Paso 3 Redacción RA '!I$3:I$11,'Paso 3 Redacción RA '!C$3:C$11,,0,1)</f>
        <v>Saberhacer</v>
      </c>
      <c r="B15" s="32" t="s">
        <v>37</v>
      </c>
      <c r="C15" s="112"/>
      <c r="D15" s="104"/>
      <c r="E15" s="117"/>
      <c r="F15" s="112"/>
      <c r="G15" s="104"/>
      <c r="H15" s="104"/>
      <c r="I15" s="104"/>
      <c r="J15" s="104"/>
      <c r="K15" s="104"/>
      <c r="L15" s="104"/>
      <c r="M15" s="120"/>
      <c r="N15" s="120"/>
      <c r="O15" s="120"/>
      <c r="P15" s="101"/>
    </row>
    <row r="16" spans="1:16" ht="33" x14ac:dyDescent="0.5">
      <c r="A16" s="31" t="str">
        <f>_xlfn.XLOOKUP(B16,'Paso 3 Redacción RA '!I$3:I$11,'Paso 3 Redacción RA '!C$3:C$11,,0,1)</f>
        <v>Saber</v>
      </c>
      <c r="B16" s="30" t="s">
        <v>21</v>
      </c>
      <c r="C16" s="110">
        <v>1</v>
      </c>
      <c r="D16" s="113" t="s">
        <v>62</v>
      </c>
      <c r="E16" s="116" t="s">
        <v>646</v>
      </c>
      <c r="F16" s="114" t="s">
        <v>63</v>
      </c>
      <c r="G16" s="113" t="s">
        <v>57</v>
      </c>
      <c r="H16" s="113"/>
      <c r="I16" s="113">
        <v>3</v>
      </c>
      <c r="J16" s="113">
        <f>12*I16</f>
        <v>36</v>
      </c>
      <c r="K16" s="113">
        <f>36*I16</f>
        <v>108</v>
      </c>
      <c r="L16" s="113">
        <f>SUM(J16:K20)</f>
        <v>144</v>
      </c>
      <c r="M16" s="102" t="s">
        <v>621</v>
      </c>
      <c r="N16" s="102" t="s">
        <v>58</v>
      </c>
      <c r="O16" s="102" t="s">
        <v>59</v>
      </c>
      <c r="P16" s="102" t="s">
        <v>615</v>
      </c>
    </row>
    <row r="17" spans="1:16" ht="49.5" x14ac:dyDescent="0.5">
      <c r="A17" s="29" t="str">
        <f>_xlfn.XLOOKUP(B17,'Paso 3 Redacción RA '!I$3:I$11,'Paso 3 Redacción RA '!C$3:C$11,,0,1)</f>
        <v>Saber</v>
      </c>
      <c r="B17" s="4" t="s">
        <v>30</v>
      </c>
      <c r="C17" s="111"/>
      <c r="D17" s="82"/>
      <c r="E17" s="108"/>
      <c r="F17" s="106"/>
      <c r="G17" s="82"/>
      <c r="H17" s="82"/>
      <c r="I17" s="82"/>
      <c r="J17" s="82"/>
      <c r="K17" s="82"/>
      <c r="L17" s="82"/>
      <c r="M17" s="81"/>
      <c r="N17" s="81"/>
      <c r="O17" s="81"/>
      <c r="P17" s="100"/>
    </row>
    <row r="18" spans="1:16" ht="99" x14ac:dyDescent="0.5">
      <c r="A18" s="29" t="str">
        <f>_xlfn.XLOOKUP(B18,'Paso 3 Redacción RA '!I$3:I$11,'Paso 3 Redacción RA '!C$3:C$11,,0,1)</f>
        <v>Saberhacer</v>
      </c>
      <c r="B18" s="4" t="s">
        <v>24</v>
      </c>
      <c r="C18" s="111"/>
      <c r="D18" s="82"/>
      <c r="E18" s="108"/>
      <c r="F18" s="106"/>
      <c r="G18" s="82"/>
      <c r="H18" s="82"/>
      <c r="I18" s="82"/>
      <c r="J18" s="82"/>
      <c r="K18" s="82"/>
      <c r="L18" s="82"/>
      <c r="M18" s="81"/>
      <c r="N18" s="100"/>
      <c r="O18" s="100"/>
      <c r="P18" s="100"/>
    </row>
    <row r="19" spans="1:16" ht="82.5" x14ac:dyDescent="0.5">
      <c r="A19" s="29" t="str">
        <f>_xlfn.XLOOKUP(B19,'Paso 3 Redacción RA '!I$3:I$11,'Paso 3 Redacción RA '!C$3:C$11,,0,1)</f>
        <v>Saberhacer</v>
      </c>
      <c r="B19" s="4" t="s">
        <v>32</v>
      </c>
      <c r="C19" s="111"/>
      <c r="D19" s="82"/>
      <c r="E19" s="108"/>
      <c r="F19" s="106"/>
      <c r="G19" s="82"/>
      <c r="H19" s="82"/>
      <c r="I19" s="82"/>
      <c r="J19" s="82"/>
      <c r="K19" s="82"/>
      <c r="L19" s="82"/>
      <c r="M19" s="81"/>
      <c r="N19" s="100"/>
      <c r="O19" s="100"/>
      <c r="P19" s="100"/>
    </row>
    <row r="20" spans="1:16" ht="66.5" thickBot="1" x14ac:dyDescent="0.55000000000000004">
      <c r="A20" s="33" t="str">
        <f>_xlfn.XLOOKUP(B20,'Paso 3 Redacción RA '!I$3:I$11,'Paso 3 Redacción RA '!C$3:C$11,,0,1)</f>
        <v>Saberser</v>
      </c>
      <c r="B20" s="32" t="s">
        <v>39</v>
      </c>
      <c r="C20" s="112"/>
      <c r="D20" s="104"/>
      <c r="E20" s="117"/>
      <c r="F20" s="115"/>
      <c r="G20" s="104"/>
      <c r="H20" s="104"/>
      <c r="I20" s="104"/>
      <c r="J20" s="104"/>
      <c r="K20" s="104"/>
      <c r="L20" s="104"/>
      <c r="M20" s="120"/>
      <c r="N20" s="101"/>
      <c r="O20" s="101"/>
      <c r="P20" s="101"/>
    </row>
    <row r="21" spans="1:16" ht="33" x14ac:dyDescent="0.5">
      <c r="A21" s="29" t="str">
        <f>_xlfn.XLOOKUP(B21,'Paso 3 Redacción RA '!I$3:I$11,'Paso 3 Redacción RA '!C$3:C$11,,0,1)</f>
        <v>Saber</v>
      </c>
      <c r="B21" s="4" t="s">
        <v>21</v>
      </c>
      <c r="C21" s="111">
        <v>1</v>
      </c>
      <c r="D21" s="82" t="s">
        <v>64</v>
      </c>
      <c r="E21" s="108" t="s">
        <v>645</v>
      </c>
      <c r="F21" s="106" t="s">
        <v>63</v>
      </c>
      <c r="G21" s="82" t="s">
        <v>57</v>
      </c>
      <c r="H21" s="82"/>
      <c r="I21" s="82">
        <v>3</v>
      </c>
      <c r="J21" s="82">
        <f>12*I21</f>
        <v>36</v>
      </c>
      <c r="K21" s="82">
        <f>36*I21</f>
        <v>108</v>
      </c>
      <c r="L21" s="82">
        <f>SUM(J21:K24)</f>
        <v>144</v>
      </c>
      <c r="M21" s="81" t="s">
        <v>619</v>
      </c>
      <c r="N21" s="81" t="s">
        <v>58</v>
      </c>
      <c r="O21" s="81" t="s">
        <v>59</v>
      </c>
      <c r="P21" s="102" t="s">
        <v>615</v>
      </c>
    </row>
    <row r="22" spans="1:16" ht="66" x14ac:dyDescent="0.5">
      <c r="A22" s="29" t="str">
        <f>_xlfn.XLOOKUP(B22,'Paso 3 Redacción RA '!I$3:I$11,'Paso 3 Redacción RA '!C$3:C$11,,0,1)</f>
        <v>Saber</v>
      </c>
      <c r="B22" s="4" t="s">
        <v>35</v>
      </c>
      <c r="C22" s="111"/>
      <c r="D22" s="82"/>
      <c r="E22" s="108"/>
      <c r="F22" s="106"/>
      <c r="G22" s="82"/>
      <c r="H22" s="82"/>
      <c r="I22" s="82"/>
      <c r="J22" s="82"/>
      <c r="K22" s="82"/>
      <c r="L22" s="82"/>
      <c r="M22" s="81"/>
      <c r="N22" s="81"/>
      <c r="O22" s="81"/>
      <c r="P22" s="100"/>
    </row>
    <row r="23" spans="1:16" ht="49.5" x14ac:dyDescent="0.5">
      <c r="A23" s="29" t="str">
        <f>_xlfn.XLOOKUP(B23,'Paso 3 Redacción RA '!I$3:I$11,'Paso 3 Redacción RA '!C$3:C$11,,0,1)</f>
        <v>Saberhacer</v>
      </c>
      <c r="B23" s="4" t="s">
        <v>37</v>
      </c>
      <c r="C23" s="111"/>
      <c r="D23" s="82"/>
      <c r="E23" s="108"/>
      <c r="F23" s="106"/>
      <c r="G23" s="82"/>
      <c r="H23" s="82"/>
      <c r="I23" s="82"/>
      <c r="J23" s="82"/>
      <c r="K23" s="82"/>
      <c r="L23" s="82"/>
      <c r="M23" s="81"/>
      <c r="N23" s="81"/>
      <c r="O23" s="81"/>
      <c r="P23" s="100"/>
    </row>
    <row r="24" spans="1:16" ht="66.5" thickBot="1" x14ac:dyDescent="0.55000000000000004">
      <c r="A24" s="33" t="str">
        <f>_xlfn.XLOOKUP(B24,'Paso 3 Redacción RA '!I$3:I$11,'Paso 3 Redacción RA '!C$3:C$11,,0,1)</f>
        <v>Saberser</v>
      </c>
      <c r="B24" s="37" t="s">
        <v>39</v>
      </c>
      <c r="C24" s="119"/>
      <c r="D24" s="105"/>
      <c r="E24" s="109"/>
      <c r="F24" s="107"/>
      <c r="G24" s="105"/>
      <c r="H24" s="105"/>
      <c r="I24" s="105"/>
      <c r="J24" s="105"/>
      <c r="K24" s="105"/>
      <c r="L24" s="105"/>
      <c r="M24" s="126"/>
      <c r="N24" s="126"/>
      <c r="O24" s="126"/>
      <c r="P24" s="101"/>
    </row>
    <row r="25" spans="1:16" ht="33" x14ac:dyDescent="0.5">
      <c r="A25" s="29" t="str">
        <f>_xlfn.XLOOKUP(B25,'Paso 3 Redacción RA '!I$3:I$11,'Paso 3 Redacción RA '!C$3:C$11,,0,1)</f>
        <v>Saber</v>
      </c>
      <c r="B25" s="4" t="s">
        <v>21</v>
      </c>
      <c r="C25" s="111">
        <v>2</v>
      </c>
      <c r="D25" s="82" t="s">
        <v>65</v>
      </c>
      <c r="E25" s="108" t="s">
        <v>644</v>
      </c>
      <c r="F25" s="106" t="s">
        <v>63</v>
      </c>
      <c r="G25" s="111"/>
      <c r="H25" s="111" t="s">
        <v>57</v>
      </c>
      <c r="I25" s="111">
        <v>2</v>
      </c>
      <c r="J25" s="82">
        <f>12*I25</f>
        <v>24</v>
      </c>
      <c r="K25" s="82">
        <f>36*I25</f>
        <v>72</v>
      </c>
      <c r="L25" s="82">
        <f>SUM(J25:K27)</f>
        <v>96</v>
      </c>
      <c r="M25" s="81" t="s">
        <v>622</v>
      </c>
      <c r="N25" s="81" t="s">
        <v>58</v>
      </c>
      <c r="O25" s="81" t="s">
        <v>59</v>
      </c>
      <c r="P25" s="102" t="s">
        <v>615</v>
      </c>
    </row>
    <row r="26" spans="1:16" ht="99" x14ac:dyDescent="0.5">
      <c r="A26" s="29" t="str">
        <f>_xlfn.XLOOKUP(B26,'Paso 3 Redacción RA '!I$3:I$11,'Paso 3 Redacción RA '!C$3:C$11,,0,1)</f>
        <v>Saberhacer</v>
      </c>
      <c r="B26" s="4" t="s">
        <v>24</v>
      </c>
      <c r="C26" s="111"/>
      <c r="D26" s="82"/>
      <c r="E26" s="108"/>
      <c r="F26" s="106"/>
      <c r="G26" s="111"/>
      <c r="H26" s="111"/>
      <c r="I26" s="111"/>
      <c r="J26" s="82"/>
      <c r="K26" s="82"/>
      <c r="L26" s="82"/>
      <c r="M26" s="81"/>
      <c r="N26" s="81"/>
      <c r="O26" s="81"/>
      <c r="P26" s="100"/>
    </row>
    <row r="27" spans="1:16" ht="50" thickBot="1" x14ac:dyDescent="0.55000000000000004">
      <c r="A27" s="33" t="str">
        <f>_xlfn.XLOOKUP(B27,'Paso 3 Redacción RA '!I$3:I$11,'Paso 3 Redacción RA '!C$3:C$11,,0,1)</f>
        <v>Saber</v>
      </c>
      <c r="B27" s="32" t="s">
        <v>30</v>
      </c>
      <c r="C27" s="112"/>
      <c r="D27" s="104"/>
      <c r="E27" s="117"/>
      <c r="F27" s="115"/>
      <c r="G27" s="112"/>
      <c r="H27" s="112"/>
      <c r="I27" s="112"/>
      <c r="J27" s="104"/>
      <c r="K27" s="104"/>
      <c r="L27" s="104"/>
      <c r="M27" s="120"/>
      <c r="N27" s="120"/>
      <c r="O27" s="101"/>
      <c r="P27" s="101"/>
    </row>
    <row r="28" spans="1:16" ht="33" x14ac:dyDescent="0.5">
      <c r="A28" s="31" t="str">
        <f>_xlfn.XLOOKUP(B28,'Paso 3 Redacción RA '!I$3:I$11,'Paso 3 Redacción RA '!C$3:C$11,,0,1)</f>
        <v>Saber</v>
      </c>
      <c r="B28" s="30" t="s">
        <v>21</v>
      </c>
      <c r="C28" s="110">
        <v>2</v>
      </c>
      <c r="D28" s="113" t="s">
        <v>66</v>
      </c>
      <c r="E28" s="116" t="s">
        <v>643</v>
      </c>
      <c r="F28" s="114" t="s">
        <v>63</v>
      </c>
      <c r="G28" s="113"/>
      <c r="H28" s="113" t="s">
        <v>57</v>
      </c>
      <c r="I28" s="113">
        <v>2</v>
      </c>
      <c r="J28" s="113">
        <f>12*I28</f>
        <v>24</v>
      </c>
      <c r="K28" s="113">
        <f>36*I28</f>
        <v>72</v>
      </c>
      <c r="L28" s="113">
        <f>SUM(J28:K33)</f>
        <v>96</v>
      </c>
      <c r="M28" s="102" t="s">
        <v>623</v>
      </c>
      <c r="N28" s="102" t="s">
        <v>58</v>
      </c>
      <c r="O28" s="102" t="s">
        <v>59</v>
      </c>
      <c r="P28" s="102" t="s">
        <v>615</v>
      </c>
    </row>
    <row r="29" spans="1:16" ht="49.5" x14ac:dyDescent="0.5">
      <c r="A29" s="29" t="str">
        <f>_xlfn.XLOOKUP(B29,'Paso 3 Redacción RA '!I$3:I$11,'Paso 3 Redacción RA '!C$3:C$11,,0,1)</f>
        <v>Saberser</v>
      </c>
      <c r="B29" s="4" t="s">
        <v>28</v>
      </c>
      <c r="C29" s="111"/>
      <c r="D29" s="82"/>
      <c r="E29" s="108"/>
      <c r="F29" s="106"/>
      <c r="G29" s="82"/>
      <c r="H29" s="82"/>
      <c r="I29" s="82"/>
      <c r="J29" s="82"/>
      <c r="K29" s="82"/>
      <c r="L29" s="82"/>
      <c r="M29" s="81"/>
      <c r="N29" s="81"/>
      <c r="O29" s="81"/>
      <c r="P29" s="100"/>
    </row>
    <row r="30" spans="1:16" ht="49.5" x14ac:dyDescent="0.5">
      <c r="A30" s="29" t="str">
        <f>_xlfn.XLOOKUP(B30,'Paso 3 Redacción RA '!I$3:I$11,'Paso 3 Redacción RA '!C$3:C$11,,0,1)</f>
        <v>Saber</v>
      </c>
      <c r="B30" s="4" t="s">
        <v>30</v>
      </c>
      <c r="C30" s="111"/>
      <c r="D30" s="82"/>
      <c r="E30" s="108"/>
      <c r="F30" s="106"/>
      <c r="G30" s="82"/>
      <c r="H30" s="82"/>
      <c r="I30" s="82"/>
      <c r="J30" s="82"/>
      <c r="K30" s="82"/>
      <c r="L30" s="82"/>
      <c r="M30" s="81"/>
      <c r="N30" s="81"/>
      <c r="O30" s="81"/>
      <c r="P30" s="100"/>
    </row>
    <row r="31" spans="1:16" ht="66" x14ac:dyDescent="0.5">
      <c r="A31" s="29" t="str">
        <f>_xlfn.XLOOKUP(B31,'Paso 3 Redacción RA '!I$3:I$11,'Paso 3 Redacción RA '!C$3:C$11,,0,1)</f>
        <v>Saber</v>
      </c>
      <c r="B31" s="4" t="s">
        <v>35</v>
      </c>
      <c r="C31" s="111"/>
      <c r="D31" s="82"/>
      <c r="E31" s="108"/>
      <c r="F31" s="106"/>
      <c r="G31" s="82"/>
      <c r="H31" s="82"/>
      <c r="I31" s="82"/>
      <c r="J31" s="82"/>
      <c r="K31" s="82"/>
      <c r="L31" s="82"/>
      <c r="M31" s="81"/>
      <c r="N31" s="81"/>
      <c r="O31" s="81"/>
      <c r="P31" s="100"/>
    </row>
    <row r="32" spans="1:16" ht="49.5" x14ac:dyDescent="0.5">
      <c r="A32" s="29" t="str">
        <f>_xlfn.XLOOKUP(B32,'Paso 3 Redacción RA '!I$3:I$11,'Paso 3 Redacción RA '!C$3:C$11,,0,1)</f>
        <v>Saberhacer</v>
      </c>
      <c r="B32" s="4" t="s">
        <v>37</v>
      </c>
      <c r="C32" s="111"/>
      <c r="D32" s="82"/>
      <c r="E32" s="108"/>
      <c r="F32" s="106"/>
      <c r="G32" s="82"/>
      <c r="H32" s="82"/>
      <c r="I32" s="82"/>
      <c r="J32" s="82"/>
      <c r="K32" s="82"/>
      <c r="L32" s="82"/>
      <c r="M32" s="81"/>
      <c r="N32" s="81"/>
      <c r="O32" s="81"/>
      <c r="P32" s="100"/>
    </row>
    <row r="33" spans="1:16" ht="66.5" thickBot="1" x14ac:dyDescent="0.55000000000000004">
      <c r="A33" s="33" t="str">
        <f>_xlfn.XLOOKUP(B33,'Paso 3 Redacción RA '!I$3:I$11,'Paso 3 Redacción RA '!C$3:C$11,,0,1)</f>
        <v>Saberser</v>
      </c>
      <c r="B33" s="32" t="s">
        <v>39</v>
      </c>
      <c r="C33" s="112"/>
      <c r="D33" s="104"/>
      <c r="E33" s="117"/>
      <c r="F33" s="115"/>
      <c r="G33" s="104"/>
      <c r="H33" s="104"/>
      <c r="I33" s="104"/>
      <c r="J33" s="104"/>
      <c r="K33" s="104"/>
      <c r="L33" s="104"/>
      <c r="M33" s="120"/>
      <c r="N33" s="120"/>
      <c r="O33" s="120"/>
      <c r="P33" s="101"/>
    </row>
    <row r="34" spans="1:16" ht="82.5" x14ac:dyDescent="0.5">
      <c r="A34" s="31" t="str">
        <f>_xlfn.XLOOKUP(B34,'Paso 3 Redacción RA '!I$3:I$11,'Paso 3 Redacción RA '!C$3:C$11,,0,1)</f>
        <v>Saberhacer</v>
      </c>
      <c r="B34" s="30" t="s">
        <v>32</v>
      </c>
      <c r="C34" s="110">
        <v>2</v>
      </c>
      <c r="D34" s="113" t="s">
        <v>67</v>
      </c>
      <c r="E34" s="116" t="s">
        <v>642</v>
      </c>
      <c r="F34" s="114" t="s">
        <v>63</v>
      </c>
      <c r="G34" s="113"/>
      <c r="H34" s="113" t="s">
        <v>57</v>
      </c>
      <c r="I34" s="113">
        <v>3</v>
      </c>
      <c r="J34" s="113">
        <f>12*I34</f>
        <v>36</v>
      </c>
      <c r="K34" s="113">
        <f>36*I34</f>
        <v>108</v>
      </c>
      <c r="L34" s="113">
        <f>SUM(J34:K37)</f>
        <v>144</v>
      </c>
      <c r="M34" s="102" t="s">
        <v>624</v>
      </c>
      <c r="N34" s="102" t="s">
        <v>58</v>
      </c>
      <c r="O34" s="102" t="s">
        <v>59</v>
      </c>
      <c r="P34" s="102" t="s">
        <v>615</v>
      </c>
    </row>
    <row r="35" spans="1:16" ht="66" x14ac:dyDescent="0.5">
      <c r="A35" s="29" t="str">
        <f>_xlfn.XLOOKUP(B35,'Paso 3 Redacción RA '!I$3:I$11,'Paso 3 Redacción RA '!C$3:C$11,,0,1)</f>
        <v>Saberser</v>
      </c>
      <c r="B35" s="4" t="s">
        <v>636</v>
      </c>
      <c r="C35" s="111"/>
      <c r="D35" s="82"/>
      <c r="E35" s="108"/>
      <c r="F35" s="106"/>
      <c r="G35" s="82"/>
      <c r="H35" s="82"/>
      <c r="I35" s="82"/>
      <c r="J35" s="82"/>
      <c r="K35" s="82"/>
      <c r="L35" s="82"/>
      <c r="M35" s="81"/>
      <c r="N35" s="81"/>
      <c r="O35" s="81"/>
      <c r="P35" s="100"/>
    </row>
    <row r="36" spans="1:16" ht="49.5" x14ac:dyDescent="0.5">
      <c r="A36" s="29" t="str">
        <f>_xlfn.XLOOKUP(B36,'Paso 3 Redacción RA '!I$3:I$11,'Paso 3 Redacción RA '!C$3:C$11,,0,1)</f>
        <v>Saberser</v>
      </c>
      <c r="B36" s="4" t="s">
        <v>28</v>
      </c>
      <c r="C36" s="111"/>
      <c r="D36" s="82"/>
      <c r="E36" s="108"/>
      <c r="F36" s="106"/>
      <c r="G36" s="82"/>
      <c r="H36" s="82"/>
      <c r="I36" s="82"/>
      <c r="J36" s="82"/>
      <c r="K36" s="82"/>
      <c r="L36" s="82"/>
      <c r="M36" s="81"/>
      <c r="N36" s="81"/>
      <c r="O36" s="81"/>
      <c r="P36" s="100"/>
    </row>
    <row r="37" spans="1:16" ht="66.5" thickBot="1" x14ac:dyDescent="0.55000000000000004">
      <c r="A37" s="33" t="str">
        <f>_xlfn.XLOOKUP(B37,'Paso 3 Redacción RA '!I$3:I$11,'Paso 3 Redacción RA '!C$3:C$11,,0,1)</f>
        <v>Saber</v>
      </c>
      <c r="B37" s="32" t="s">
        <v>35</v>
      </c>
      <c r="C37" s="112"/>
      <c r="D37" s="104"/>
      <c r="E37" s="117"/>
      <c r="F37" s="115"/>
      <c r="G37" s="104"/>
      <c r="H37" s="104"/>
      <c r="I37" s="104"/>
      <c r="J37" s="104"/>
      <c r="K37" s="104"/>
      <c r="L37" s="104"/>
      <c r="M37" s="120"/>
      <c r="N37" s="120"/>
      <c r="O37" s="120"/>
      <c r="P37" s="101"/>
    </row>
    <row r="38" spans="1:16" ht="49.5" x14ac:dyDescent="0.5">
      <c r="A38" s="31" t="str">
        <f>_xlfn.XLOOKUP(B38,'Paso 3 Redacción RA '!I$3:I$11,'Paso 3 Redacción RA '!C$3:C$11,,0,1)</f>
        <v>Saberser</v>
      </c>
      <c r="B38" s="20" t="s">
        <v>28</v>
      </c>
      <c r="C38" s="110">
        <v>2</v>
      </c>
      <c r="D38" s="113" t="s">
        <v>68</v>
      </c>
      <c r="E38" s="116" t="s">
        <v>641</v>
      </c>
      <c r="F38" s="114" t="s">
        <v>63</v>
      </c>
      <c r="G38" s="113"/>
      <c r="H38" s="113" t="s">
        <v>57</v>
      </c>
      <c r="I38" s="113">
        <v>3</v>
      </c>
      <c r="J38" s="113">
        <f>12*I38</f>
        <v>36</v>
      </c>
      <c r="K38" s="113">
        <f>36*I38</f>
        <v>108</v>
      </c>
      <c r="L38" s="113">
        <f>SUM(J38:K40)</f>
        <v>144</v>
      </c>
      <c r="M38" s="102" t="s">
        <v>620</v>
      </c>
      <c r="N38" s="102" t="s">
        <v>58</v>
      </c>
      <c r="O38" s="102" t="s">
        <v>59</v>
      </c>
      <c r="P38" s="102" t="s">
        <v>615</v>
      </c>
    </row>
    <row r="39" spans="1:16" ht="82.5" x14ac:dyDescent="0.5">
      <c r="A39" s="29" t="str">
        <f>_xlfn.XLOOKUP(B39,'Paso 3 Redacción RA '!I$3:I$11,'Paso 3 Redacción RA '!C$3:C$11,,0,1)</f>
        <v>Saberhacer</v>
      </c>
      <c r="B39" s="4" t="s">
        <v>32</v>
      </c>
      <c r="C39" s="111"/>
      <c r="D39" s="82"/>
      <c r="E39" s="108"/>
      <c r="F39" s="106"/>
      <c r="G39" s="82"/>
      <c r="H39" s="82"/>
      <c r="I39" s="82"/>
      <c r="J39" s="82"/>
      <c r="K39" s="82"/>
      <c r="L39" s="82"/>
      <c r="M39" s="81"/>
      <c r="N39" s="81"/>
      <c r="O39" s="81"/>
      <c r="P39" s="100"/>
    </row>
    <row r="40" spans="1:16" ht="50" thickBot="1" x14ac:dyDescent="0.55000000000000004">
      <c r="A40" s="33" t="str">
        <f>_xlfn.XLOOKUP(B40,'Paso 3 Redacción RA '!I$3:I$11,'Paso 3 Redacción RA '!C$3:C$11,,0,1)</f>
        <v>Saberhacer</v>
      </c>
      <c r="B40" s="32" t="s">
        <v>37</v>
      </c>
      <c r="C40" s="111"/>
      <c r="D40" s="104"/>
      <c r="E40" s="117"/>
      <c r="F40" s="115"/>
      <c r="G40" s="104"/>
      <c r="H40" s="104"/>
      <c r="I40" s="104"/>
      <c r="J40" s="104"/>
      <c r="K40" s="104"/>
      <c r="L40" s="104"/>
      <c r="M40" s="120"/>
      <c r="N40" s="120"/>
      <c r="O40" s="120"/>
      <c r="P40" s="101"/>
    </row>
    <row r="41" spans="1:16" ht="30" x14ac:dyDescent="0.5">
      <c r="B41" s="4"/>
      <c r="C41" s="62" t="s">
        <v>69</v>
      </c>
      <c r="D41" s="64">
        <f>COUNTA(D3:D40)</f>
        <v>9</v>
      </c>
      <c r="F41" s="7"/>
      <c r="H41" s="67" t="s">
        <v>70</v>
      </c>
      <c r="I41" s="68">
        <f>SUM(I3:I40)</f>
        <v>25</v>
      </c>
      <c r="M41" s="5"/>
    </row>
    <row r="42" spans="1:16" ht="45" x14ac:dyDescent="0.5">
      <c r="C42" s="36"/>
      <c r="F42" s="7"/>
      <c r="H42" s="65" t="s">
        <v>71</v>
      </c>
      <c r="I42" s="66">
        <v>5</v>
      </c>
      <c r="M42" s="5"/>
    </row>
    <row r="43" spans="1:16" ht="45" x14ac:dyDescent="0.5">
      <c r="C43" s="36"/>
      <c r="F43" s="7"/>
      <c r="H43" s="65" t="s">
        <v>72</v>
      </c>
      <c r="I43" s="66">
        <v>4</v>
      </c>
      <c r="M43" s="5"/>
    </row>
    <row r="44" spans="1:16" x14ac:dyDescent="0.5">
      <c r="C44" s="36"/>
      <c r="F44" s="7"/>
      <c r="M44" s="5"/>
    </row>
    <row r="45" spans="1:16" x14ac:dyDescent="0.5">
      <c r="C45" s="36"/>
      <c r="F45" s="7"/>
    </row>
  </sheetData>
  <autoFilter ref="A2:P43" xr:uid="{1B248250-C92C-4D02-A0C3-2CB27C341894}"/>
  <mergeCells count="127">
    <mergeCell ref="C38:C40"/>
    <mergeCell ref="D38:D40"/>
    <mergeCell ref="F38:F40"/>
    <mergeCell ref="E38:E40"/>
    <mergeCell ref="G38:G40"/>
    <mergeCell ref="C34:C37"/>
    <mergeCell ref="D34:D37"/>
    <mergeCell ref="F34:F37"/>
    <mergeCell ref="E34:E37"/>
    <mergeCell ref="G34:G37"/>
    <mergeCell ref="M38:M40"/>
    <mergeCell ref="H38:H40"/>
    <mergeCell ref="N38:N40"/>
    <mergeCell ref="O38:O40"/>
    <mergeCell ref="I38:I40"/>
    <mergeCell ref="J38:J40"/>
    <mergeCell ref="K38:K40"/>
    <mergeCell ref="L38:L40"/>
    <mergeCell ref="O28:O33"/>
    <mergeCell ref="L34:L37"/>
    <mergeCell ref="M34:M37"/>
    <mergeCell ref="N34:N37"/>
    <mergeCell ref="O34:O37"/>
    <mergeCell ref="M28:M33"/>
    <mergeCell ref="N28:N33"/>
    <mergeCell ref="H34:H37"/>
    <mergeCell ref="I34:I37"/>
    <mergeCell ref="J34:J37"/>
    <mergeCell ref="K34:K37"/>
    <mergeCell ref="O21:O24"/>
    <mergeCell ref="M25:M27"/>
    <mergeCell ref="N25:N27"/>
    <mergeCell ref="O25:O27"/>
    <mergeCell ref="M21:M24"/>
    <mergeCell ref="N21:N24"/>
    <mergeCell ref="I28:I33"/>
    <mergeCell ref="J28:J33"/>
    <mergeCell ref="G25:G27"/>
    <mergeCell ref="H21:H24"/>
    <mergeCell ref="I21:I24"/>
    <mergeCell ref="F3:F5"/>
    <mergeCell ref="E3:E5"/>
    <mergeCell ref="M3:M5"/>
    <mergeCell ref="G1:H1"/>
    <mergeCell ref="G3:G5"/>
    <mergeCell ref="K3:K5"/>
    <mergeCell ref="N16:N20"/>
    <mergeCell ref="J21:J24"/>
    <mergeCell ref="K28:K33"/>
    <mergeCell ref="L28:L33"/>
    <mergeCell ref="K21:K24"/>
    <mergeCell ref="L21:L24"/>
    <mergeCell ref="M16:M20"/>
    <mergeCell ref="L25:L27"/>
    <mergeCell ref="H28:H33"/>
    <mergeCell ref="H25:H27"/>
    <mergeCell ref="I25:I27"/>
    <mergeCell ref="J25:J27"/>
    <mergeCell ref="K25:K27"/>
    <mergeCell ref="G28:G33"/>
    <mergeCell ref="G16:G20"/>
    <mergeCell ref="N3:N5"/>
    <mergeCell ref="F6:F8"/>
    <mergeCell ref="E6:E8"/>
    <mergeCell ref="O3:O5"/>
    <mergeCell ref="L9:L15"/>
    <mergeCell ref="N9:N15"/>
    <mergeCell ref="O9:O15"/>
    <mergeCell ref="M9:M15"/>
    <mergeCell ref="L6:L8"/>
    <mergeCell ref="J6:J8"/>
    <mergeCell ref="K6:K8"/>
    <mergeCell ref="J3:J5"/>
    <mergeCell ref="L3:L5"/>
    <mergeCell ref="M6:M8"/>
    <mergeCell ref="N6:N8"/>
    <mergeCell ref="O16:O20"/>
    <mergeCell ref="J9:J15"/>
    <mergeCell ref="K9:K15"/>
    <mergeCell ref="K16:K20"/>
    <mergeCell ref="L16:L20"/>
    <mergeCell ref="O6:O8"/>
    <mergeCell ref="H16:H20"/>
    <mergeCell ref="I16:I20"/>
    <mergeCell ref="J16:J20"/>
    <mergeCell ref="G6:G8"/>
    <mergeCell ref="H6:H8"/>
    <mergeCell ref="I6:I8"/>
    <mergeCell ref="C9:C15"/>
    <mergeCell ref="D9:D15"/>
    <mergeCell ref="F9:F15"/>
    <mergeCell ref="G9:G15"/>
    <mergeCell ref="H9:H15"/>
    <mergeCell ref="I9:I15"/>
    <mergeCell ref="D3:D5"/>
    <mergeCell ref="H3:H5"/>
    <mergeCell ref="I3:I5"/>
    <mergeCell ref="D21:D24"/>
    <mergeCell ref="F21:F24"/>
    <mergeCell ref="E21:E24"/>
    <mergeCell ref="G21:G24"/>
    <mergeCell ref="C28:C33"/>
    <mergeCell ref="D28:D33"/>
    <mergeCell ref="F28:F33"/>
    <mergeCell ref="E28:E33"/>
    <mergeCell ref="C16:C20"/>
    <mergeCell ref="D16:D20"/>
    <mergeCell ref="F16:F20"/>
    <mergeCell ref="E16:E20"/>
    <mergeCell ref="C25:C27"/>
    <mergeCell ref="D25:D27"/>
    <mergeCell ref="F25:F27"/>
    <mergeCell ref="E25:E27"/>
    <mergeCell ref="C3:C5"/>
    <mergeCell ref="C21:C24"/>
    <mergeCell ref="E9:E15"/>
    <mergeCell ref="D6:D8"/>
    <mergeCell ref="C6:C8"/>
    <mergeCell ref="P3:P5"/>
    <mergeCell ref="P6:P8"/>
    <mergeCell ref="P9:P15"/>
    <mergeCell ref="P16:P20"/>
    <mergeCell ref="P21:P24"/>
    <mergeCell ref="P25:P27"/>
    <mergeCell ref="P28:P33"/>
    <mergeCell ref="P34:P37"/>
    <mergeCell ref="P38:P40"/>
  </mergeCells>
  <dataValidations count="1">
    <dataValidation type="list" allowBlank="1" showInputMessage="1" showErrorMessage="1" sqref="B42:B46 B3:B40"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topLeftCell="D1" workbookViewId="0">
      <selection activeCell="D16" sqref="D16"/>
    </sheetView>
  </sheetViews>
  <sheetFormatPr baseColWidth="10" defaultColWidth="11.453125" defaultRowHeight="14.5" x14ac:dyDescent="0.35"/>
  <cols>
    <col min="2" max="2" width="27.1796875" customWidth="1"/>
    <col min="4" max="4" width="99.36328125" customWidth="1"/>
  </cols>
  <sheetData>
    <row r="1" spans="2:4" ht="30.5" x14ac:dyDescent="0.5">
      <c r="B1" s="1" t="s">
        <v>73</v>
      </c>
      <c r="D1" s="27" t="s">
        <v>74</v>
      </c>
    </row>
    <row r="2" spans="2:4" ht="16.5" x14ac:dyDescent="0.5">
      <c r="B2" s="1" t="s">
        <v>75</v>
      </c>
    </row>
    <row r="3" spans="2:4" ht="16.5" x14ac:dyDescent="0.5">
      <c r="B3" s="1" t="s">
        <v>76</v>
      </c>
    </row>
    <row r="4" spans="2:4" ht="16.5" x14ac:dyDescent="0.5">
      <c r="B4" s="1" t="s">
        <v>15</v>
      </c>
    </row>
    <row r="5" spans="2:4" ht="16.5" x14ac:dyDescent="0.5">
      <c r="B5" s="1" t="s">
        <v>77</v>
      </c>
    </row>
    <row r="6" spans="2:4" ht="16.5" x14ac:dyDescent="0.5">
      <c r="B6" s="1" t="s">
        <v>78</v>
      </c>
    </row>
    <row r="7" spans="2:4" ht="16.5" x14ac:dyDescent="0.5">
      <c r="B7" s="1" t="s">
        <v>79</v>
      </c>
    </row>
    <row r="8" spans="2:4" ht="16.5" x14ac:dyDescent="0.5">
      <c r="B8" s="1" t="s">
        <v>80</v>
      </c>
    </row>
    <row r="9" spans="2:4" ht="16.5" x14ac:dyDescent="0.5">
      <c r="B9" s="1" t="s">
        <v>81</v>
      </c>
    </row>
    <row r="10" spans="2:4" ht="16.5" x14ac:dyDescent="0.5">
      <c r="B10" s="1" t="s">
        <v>82</v>
      </c>
    </row>
    <row r="11" spans="2:4" ht="16.5" x14ac:dyDescent="0.5">
      <c r="B11" s="1" t="s">
        <v>83</v>
      </c>
    </row>
    <row r="12" spans="2:4" ht="16.5" x14ac:dyDescent="0.5">
      <c r="B12" s="1" t="s">
        <v>84</v>
      </c>
    </row>
    <row r="13" spans="2:4" ht="16.5" x14ac:dyDescent="0.5">
      <c r="B13" s="1" t="s">
        <v>85</v>
      </c>
    </row>
    <row r="14" spans="2:4" ht="16.5" x14ac:dyDescent="0.5">
      <c r="B14" s="1" t="s">
        <v>86</v>
      </c>
    </row>
    <row r="15" spans="2:4" ht="16.5" x14ac:dyDescent="0.5">
      <c r="B15" s="1" t="s">
        <v>87</v>
      </c>
    </row>
    <row r="16" spans="2:4" ht="16.5" x14ac:dyDescent="0.5">
      <c r="B16" s="1" t="s">
        <v>88</v>
      </c>
    </row>
    <row r="17" spans="2:2" ht="16.5" x14ac:dyDescent="0.5">
      <c r="B17" s="1" t="s">
        <v>89</v>
      </c>
    </row>
    <row r="18" spans="2:2" ht="16.5" x14ac:dyDescent="0.5">
      <c r="B18" s="1" t="s">
        <v>90</v>
      </c>
    </row>
    <row r="19" spans="2:2" ht="16.5" x14ac:dyDescent="0.5">
      <c r="B19" s="1" t="s">
        <v>91</v>
      </c>
    </row>
    <row r="20" spans="2:2" ht="16.5" x14ac:dyDescent="0.5">
      <c r="B20" s="1" t="s">
        <v>92</v>
      </c>
    </row>
    <row r="21" spans="2:2" ht="16.5" x14ac:dyDescent="0.5">
      <c r="B21" s="1" t="s">
        <v>93</v>
      </c>
    </row>
    <row r="22" spans="2:2" ht="16.5" x14ac:dyDescent="0.5">
      <c r="B22" s="1" t="s">
        <v>94</v>
      </c>
    </row>
    <row r="23" spans="2:2" ht="16.5" x14ac:dyDescent="0.5">
      <c r="B23" s="1" t="s">
        <v>95</v>
      </c>
    </row>
    <row r="24" spans="2:2" ht="16.5" x14ac:dyDescent="0.5">
      <c r="B24" s="1" t="s">
        <v>14</v>
      </c>
    </row>
    <row r="25" spans="2:2" ht="16.5" x14ac:dyDescent="0.5">
      <c r="B25" s="1" t="s">
        <v>96</v>
      </c>
    </row>
    <row r="26" spans="2:2" ht="16.5" x14ac:dyDescent="0.5">
      <c r="B26" s="1" t="s">
        <v>97</v>
      </c>
    </row>
    <row r="27" spans="2:2" ht="16.5" x14ac:dyDescent="0.5">
      <c r="B27" s="1" t="s">
        <v>98</v>
      </c>
    </row>
    <row r="28" spans="2:2" ht="16.5" x14ac:dyDescent="0.5">
      <c r="B28" s="1" t="s">
        <v>99</v>
      </c>
    </row>
    <row r="29" spans="2:2" ht="16.5" x14ac:dyDescent="0.5">
      <c r="B29" s="1" t="s">
        <v>100</v>
      </c>
    </row>
    <row r="30" spans="2:2" ht="16.5" x14ac:dyDescent="0.5">
      <c r="B30" s="1" t="s">
        <v>101</v>
      </c>
    </row>
    <row r="31" spans="2:2" ht="16.5" x14ac:dyDescent="0.5">
      <c r="B31" s="1" t="s">
        <v>102</v>
      </c>
    </row>
    <row r="32" spans="2:2" ht="16.5" x14ac:dyDescent="0.5">
      <c r="B32" s="1" t="s">
        <v>13</v>
      </c>
    </row>
    <row r="33" spans="2:2" ht="16.5" x14ac:dyDescent="0.5">
      <c r="B33" s="1" t="s">
        <v>103</v>
      </c>
    </row>
    <row r="34" spans="2:2" ht="16.5" x14ac:dyDescent="0.5">
      <c r="B34" s="1" t="s">
        <v>104</v>
      </c>
    </row>
    <row r="35" spans="2:2" ht="16.5" x14ac:dyDescent="0.5">
      <c r="B35" s="1" t="s">
        <v>105</v>
      </c>
    </row>
    <row r="36" spans="2:2" ht="16.5" x14ac:dyDescent="0.5">
      <c r="B36" s="1" t="s">
        <v>106</v>
      </c>
    </row>
    <row r="37" spans="2:2" ht="16.5" x14ac:dyDescent="0.5">
      <c r="B37" s="1" t="s">
        <v>107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J13" zoomScaleNormal="100" workbookViewId="0">
      <selection activeCell="M1" sqref="M1"/>
    </sheetView>
  </sheetViews>
  <sheetFormatPr baseColWidth="10" defaultColWidth="11.453125" defaultRowHeight="16.5" x14ac:dyDescent="0.5"/>
  <cols>
    <col min="1" max="1" width="20.453125" style="1" customWidth="1"/>
    <col min="2" max="2" width="14.36328125" style="1" customWidth="1"/>
    <col min="3" max="3" width="22.1796875" style="1" customWidth="1"/>
    <col min="4" max="4" width="21.453125" style="1" customWidth="1"/>
    <col min="5" max="5" width="22.81640625" style="1" customWidth="1"/>
    <col min="6" max="6" width="16.81640625" style="1" customWidth="1"/>
    <col min="7" max="7" width="21.81640625" style="1" customWidth="1"/>
    <col min="8" max="8" width="26.1796875" style="1" customWidth="1"/>
    <col min="9" max="9" width="25.36328125" style="1" customWidth="1"/>
    <col min="10" max="10" width="24.453125" style="1" customWidth="1"/>
    <col min="11" max="11" width="15.36328125" style="1" customWidth="1"/>
    <col min="12" max="17" width="17.6328125" style="1" customWidth="1"/>
    <col min="18" max="18" width="22.453125" style="1" customWidth="1"/>
    <col min="19" max="33" width="17.453125" style="1" customWidth="1"/>
    <col min="34" max="36" width="13.1796875" style="1" customWidth="1"/>
    <col min="37" max="37" width="14.453125" style="1" customWidth="1"/>
    <col min="38" max="38" width="23.1796875" style="1" bestFit="1" customWidth="1"/>
    <col min="39" max="39" width="26.453125" style="1" bestFit="1" customWidth="1"/>
    <col min="40" max="40" width="20.453125" style="1" bestFit="1" customWidth="1"/>
    <col min="41" max="41" width="21.81640625" style="1" bestFit="1" customWidth="1"/>
    <col min="42" max="42" width="17.453125" style="1" bestFit="1" customWidth="1"/>
    <col min="43" max="43" width="18.453125" style="1" bestFit="1" customWidth="1"/>
    <col min="44" max="44" width="16.6328125" style="1" customWidth="1"/>
    <col min="45" max="45" width="26.453125" style="1" bestFit="1" customWidth="1"/>
    <col min="46" max="46" width="21.45312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36328125" style="1" bestFit="1" customWidth="1"/>
    <col min="52" max="52" width="32.1796875" style="1" bestFit="1" customWidth="1"/>
    <col min="53" max="53" width="13.36328125" style="1" customWidth="1"/>
    <col min="54" max="54" width="23.81640625" style="1" customWidth="1"/>
    <col min="55" max="55" width="22.453125" style="1" customWidth="1"/>
    <col min="56" max="56" width="24.1796875" style="1" customWidth="1"/>
    <col min="57" max="57" width="27.81640625" style="1" customWidth="1"/>
    <col min="58" max="58" width="24.6328125" style="1" customWidth="1"/>
    <col min="59" max="59" width="22.6328125" style="1" customWidth="1"/>
    <col min="60" max="63" width="13.36328125" style="1" customWidth="1"/>
    <col min="64" max="16384" width="11.453125" style="1"/>
  </cols>
  <sheetData>
    <row r="1" spans="1:63" x14ac:dyDescent="0.5">
      <c r="S1" s="127" t="s">
        <v>108</v>
      </c>
      <c r="T1" s="127"/>
      <c r="U1" s="127"/>
      <c r="V1" s="127"/>
      <c r="W1" s="127"/>
      <c r="X1" s="127"/>
      <c r="Y1" s="127"/>
      <c r="Z1" s="127"/>
      <c r="AA1" s="127"/>
      <c r="AB1" s="127"/>
      <c r="AC1" s="127"/>
      <c r="AD1" s="127"/>
      <c r="AE1" s="127"/>
      <c r="AF1" s="127"/>
      <c r="AG1" s="127"/>
      <c r="AH1" s="9"/>
      <c r="AI1" s="9"/>
      <c r="AJ1" s="9"/>
      <c r="AL1" s="127" t="s">
        <v>109</v>
      </c>
      <c r="AM1" s="127"/>
      <c r="AN1" s="127"/>
      <c r="AO1" s="127"/>
      <c r="AP1" s="127"/>
      <c r="AQ1" s="127"/>
      <c r="AR1" s="127"/>
      <c r="AS1" s="127"/>
      <c r="AT1" s="127"/>
      <c r="AU1" s="127"/>
      <c r="AV1" s="127"/>
      <c r="AW1" s="127"/>
      <c r="AX1" s="127"/>
      <c r="AY1" s="127"/>
      <c r="AZ1" s="127"/>
      <c r="BA1" s="9"/>
      <c r="BB1" s="127" t="s">
        <v>110</v>
      </c>
      <c r="BC1" s="127"/>
      <c r="BD1" s="127"/>
      <c r="BE1" s="127"/>
      <c r="BF1" s="127"/>
      <c r="BG1" s="127"/>
      <c r="BH1" s="9"/>
      <c r="BK1" s="9"/>
    </row>
    <row r="2" spans="1:63" x14ac:dyDescent="0.5">
      <c r="L2" s="127" t="s">
        <v>111</v>
      </c>
      <c r="M2" s="127"/>
      <c r="N2" s="127"/>
      <c r="O2" s="127"/>
      <c r="P2" s="127"/>
      <c r="Q2" s="127"/>
      <c r="S2" s="128" t="s">
        <v>112</v>
      </c>
      <c r="T2" s="128"/>
      <c r="U2" s="128"/>
      <c r="V2" s="128"/>
      <c r="W2" s="128"/>
      <c r="X2" s="128"/>
      <c r="Y2" s="128" t="s">
        <v>113</v>
      </c>
      <c r="Z2" s="128"/>
      <c r="AA2" s="128"/>
      <c r="AB2" s="128"/>
      <c r="AC2" s="128" t="s">
        <v>114</v>
      </c>
      <c r="AD2" s="128"/>
      <c r="AE2" s="128"/>
      <c r="AF2" s="128"/>
      <c r="AG2" s="128"/>
      <c r="AH2" s="9"/>
      <c r="AI2" s="9"/>
      <c r="AJ2" s="9"/>
      <c r="AL2" s="127"/>
      <c r="AM2" s="127"/>
      <c r="AN2" s="127"/>
      <c r="AO2" s="127"/>
      <c r="AP2" s="127"/>
      <c r="AQ2" s="127"/>
      <c r="AR2" s="9"/>
      <c r="AS2" s="9"/>
      <c r="AT2" s="9"/>
      <c r="AU2" s="9"/>
      <c r="AV2" s="9"/>
      <c r="AW2" s="9"/>
      <c r="AX2" s="9"/>
      <c r="AY2" s="9"/>
      <c r="AZ2" s="9"/>
      <c r="BA2" s="9"/>
      <c r="BB2" s="9"/>
      <c r="BC2" s="9"/>
      <c r="BD2" s="9"/>
      <c r="BE2" s="9"/>
      <c r="BF2" s="9"/>
      <c r="BG2" s="9"/>
      <c r="BH2" s="9"/>
      <c r="BK2" s="9"/>
    </row>
    <row r="3" spans="1:63" x14ac:dyDescent="0.5">
      <c r="A3" s="1" t="s">
        <v>115</v>
      </c>
      <c r="C3" s="1" t="s">
        <v>116</v>
      </c>
      <c r="D3" s="1" t="s">
        <v>117</v>
      </c>
      <c r="E3" s="1" t="s">
        <v>118</v>
      </c>
      <c r="G3" s="1" t="s">
        <v>18</v>
      </c>
      <c r="H3" s="1" t="s">
        <v>22</v>
      </c>
      <c r="I3" s="1" t="s">
        <v>25</v>
      </c>
      <c r="L3" s="1" t="s">
        <v>19</v>
      </c>
      <c r="M3" s="1" t="s">
        <v>119</v>
      </c>
      <c r="N3" s="1" t="s">
        <v>23</v>
      </c>
      <c r="O3" s="1" t="s">
        <v>31</v>
      </c>
      <c r="P3" s="1" t="s">
        <v>120</v>
      </c>
      <c r="Q3" s="1" t="s">
        <v>26</v>
      </c>
      <c r="S3" s="1" t="s">
        <v>121</v>
      </c>
      <c r="T3" s="1" t="s">
        <v>122</v>
      </c>
      <c r="U3" s="1" t="s">
        <v>123</v>
      </c>
      <c r="V3" s="1" t="s">
        <v>124</v>
      </c>
      <c r="W3" s="1" t="s">
        <v>125</v>
      </c>
      <c r="X3" s="1" t="s">
        <v>126</v>
      </c>
      <c r="Y3" s="1" t="s">
        <v>127</v>
      </c>
      <c r="Z3" s="1" t="s">
        <v>128</v>
      </c>
      <c r="AA3" s="1" t="s">
        <v>129</v>
      </c>
      <c r="AB3" s="1" t="s">
        <v>130</v>
      </c>
      <c r="AC3" s="1" t="s">
        <v>131</v>
      </c>
      <c r="AD3" s="1" t="s">
        <v>132</v>
      </c>
      <c r="AE3" s="1" t="s">
        <v>133</v>
      </c>
      <c r="AF3" s="1" t="s">
        <v>134</v>
      </c>
      <c r="AG3" s="1" t="s">
        <v>135</v>
      </c>
      <c r="AL3" s="129" t="s">
        <v>136</v>
      </c>
      <c r="AM3" s="130"/>
      <c r="AN3" s="130"/>
      <c r="AO3" s="129" t="s">
        <v>137</v>
      </c>
      <c r="AP3" s="130"/>
      <c r="AQ3" s="130"/>
      <c r="AR3" s="129" t="s">
        <v>138</v>
      </c>
      <c r="AS3" s="130"/>
      <c r="AT3" s="130"/>
      <c r="AU3" s="131"/>
      <c r="AV3" s="129" t="s">
        <v>139</v>
      </c>
      <c r="AW3" s="130"/>
      <c r="AX3" s="130"/>
      <c r="AY3" s="130"/>
      <c r="AZ3" s="131"/>
      <c r="BA3" s="10"/>
      <c r="BB3" s="10"/>
      <c r="BC3" s="10"/>
      <c r="BD3" s="10"/>
      <c r="BE3" s="10"/>
      <c r="BF3" s="10"/>
      <c r="BG3" s="10"/>
      <c r="BH3" s="10"/>
      <c r="BK3" s="10"/>
    </row>
    <row r="4" spans="1:63" x14ac:dyDescent="0.5">
      <c r="A4" s="1" t="s">
        <v>17</v>
      </c>
      <c r="C4" s="1" t="s">
        <v>140</v>
      </c>
      <c r="D4" s="1" t="s">
        <v>141</v>
      </c>
      <c r="E4" s="1" t="s">
        <v>142</v>
      </c>
      <c r="G4" s="1" t="s">
        <v>19</v>
      </c>
      <c r="H4" s="1" t="s">
        <v>19</v>
      </c>
      <c r="I4" s="1" t="s">
        <v>19</v>
      </c>
      <c r="L4" s="1" t="s">
        <v>143</v>
      </c>
      <c r="M4" s="1" t="s">
        <v>79</v>
      </c>
      <c r="N4" s="1" t="s">
        <v>15</v>
      </c>
      <c r="O4" s="1" t="s">
        <v>144</v>
      </c>
      <c r="P4" s="1" t="s">
        <v>145</v>
      </c>
      <c r="Q4" s="1" t="s">
        <v>146</v>
      </c>
      <c r="S4" s="1" t="s">
        <v>143</v>
      </c>
      <c r="T4" s="1" t="s">
        <v>79</v>
      </c>
      <c r="U4" s="1" t="s">
        <v>15</v>
      </c>
      <c r="V4" s="1" t="s">
        <v>144</v>
      </c>
      <c r="W4" s="1" t="s">
        <v>145</v>
      </c>
      <c r="X4" s="1" t="s">
        <v>146</v>
      </c>
      <c r="Y4" s="1" t="s">
        <v>147</v>
      </c>
      <c r="Z4" s="1" t="s">
        <v>148</v>
      </c>
      <c r="AA4" s="1" t="s">
        <v>149</v>
      </c>
      <c r="AB4" s="1" t="s">
        <v>150</v>
      </c>
      <c r="AC4" s="1" t="s">
        <v>95</v>
      </c>
      <c r="AD4" s="1" t="s">
        <v>151</v>
      </c>
      <c r="AE4" s="1" t="s">
        <v>152</v>
      </c>
      <c r="AF4" s="1" t="s">
        <v>153</v>
      </c>
      <c r="AG4" s="1" t="s">
        <v>154</v>
      </c>
      <c r="AL4" s="11" t="s">
        <v>155</v>
      </c>
      <c r="AM4" s="11" t="s">
        <v>156</v>
      </c>
      <c r="AN4" s="11" t="s">
        <v>157</v>
      </c>
      <c r="AO4" s="11" t="s">
        <v>158</v>
      </c>
      <c r="AP4" s="12" t="s">
        <v>159</v>
      </c>
      <c r="AQ4" s="11" t="s">
        <v>160</v>
      </c>
      <c r="AR4" s="1" t="s">
        <v>127</v>
      </c>
      <c r="AS4" s="1" t="s">
        <v>128</v>
      </c>
      <c r="AT4" s="1" t="s">
        <v>129</v>
      </c>
      <c r="AU4" s="1" t="s">
        <v>130</v>
      </c>
      <c r="AV4" s="1" t="s">
        <v>131</v>
      </c>
      <c r="AW4" s="1" t="s">
        <v>132</v>
      </c>
      <c r="AX4" s="1" t="s">
        <v>133</v>
      </c>
      <c r="AY4" s="1" t="s">
        <v>134</v>
      </c>
      <c r="AZ4" s="1" t="s">
        <v>135</v>
      </c>
      <c r="BA4" s="10"/>
      <c r="BB4" s="1" t="s">
        <v>161</v>
      </c>
      <c r="BC4" s="1" t="s">
        <v>162</v>
      </c>
      <c r="BD4" s="1" t="s">
        <v>163</v>
      </c>
      <c r="BE4" s="1" t="s">
        <v>164</v>
      </c>
      <c r="BF4" s="1" t="s">
        <v>165</v>
      </c>
      <c r="BG4" s="1" t="s">
        <v>166</v>
      </c>
      <c r="BH4" s="10"/>
      <c r="BK4" s="10"/>
    </row>
    <row r="5" spans="1:63" x14ac:dyDescent="0.5">
      <c r="A5" s="1" t="s">
        <v>116</v>
      </c>
      <c r="C5" s="1" t="s">
        <v>167</v>
      </c>
      <c r="D5" s="1" t="s">
        <v>168</v>
      </c>
      <c r="E5" s="1" t="s">
        <v>169</v>
      </c>
      <c r="G5" s="1" t="s">
        <v>119</v>
      </c>
      <c r="H5" s="1" t="s">
        <v>119</v>
      </c>
      <c r="I5" s="1" t="s">
        <v>119</v>
      </c>
      <c r="L5" s="1" t="s">
        <v>170</v>
      </c>
      <c r="M5" s="1" t="s">
        <v>171</v>
      </c>
      <c r="N5" s="1" t="s">
        <v>172</v>
      </c>
      <c r="O5" s="1" t="s">
        <v>34</v>
      </c>
      <c r="P5" s="1" t="s">
        <v>76</v>
      </c>
      <c r="Q5" s="1" t="s">
        <v>173</v>
      </c>
      <c r="S5" s="1" t="s">
        <v>170</v>
      </c>
      <c r="T5" s="1" t="s">
        <v>171</v>
      </c>
      <c r="U5" s="1" t="s">
        <v>172</v>
      </c>
      <c r="V5" s="1" t="s">
        <v>34</v>
      </c>
      <c r="W5" s="1" t="s">
        <v>76</v>
      </c>
      <c r="X5" s="1" t="s">
        <v>173</v>
      </c>
      <c r="Y5" s="1" t="s">
        <v>145</v>
      </c>
      <c r="Z5" s="1" t="s">
        <v>174</v>
      </c>
      <c r="AA5" s="1" t="s">
        <v>99</v>
      </c>
      <c r="AB5" s="1" t="s">
        <v>175</v>
      </c>
      <c r="AC5" s="1" t="s">
        <v>81</v>
      </c>
      <c r="AD5" s="1" t="s">
        <v>176</v>
      </c>
      <c r="AE5" s="1" t="s">
        <v>151</v>
      </c>
      <c r="AF5" s="1" t="s">
        <v>177</v>
      </c>
      <c r="AG5" s="1" t="s">
        <v>178</v>
      </c>
      <c r="AL5" s="2" t="s">
        <v>179</v>
      </c>
      <c r="AM5" s="2" t="s">
        <v>38</v>
      </c>
      <c r="AN5" s="2" t="s">
        <v>180</v>
      </c>
      <c r="AO5" s="2" t="s">
        <v>181</v>
      </c>
      <c r="AP5" s="2" t="s">
        <v>145</v>
      </c>
      <c r="AQ5" s="2" t="s">
        <v>85</v>
      </c>
      <c r="AR5" s="1" t="s">
        <v>147</v>
      </c>
      <c r="AS5" s="1" t="s">
        <v>148</v>
      </c>
      <c r="AT5" s="1" t="s">
        <v>149</v>
      </c>
      <c r="AU5" s="1" t="s">
        <v>150</v>
      </c>
      <c r="AV5" s="1" t="s">
        <v>95</v>
      </c>
      <c r="AW5" s="1" t="s">
        <v>151</v>
      </c>
      <c r="AX5" s="1" t="s">
        <v>152</v>
      </c>
      <c r="AY5" s="1" t="s">
        <v>153</v>
      </c>
      <c r="AZ5" s="1" t="s">
        <v>154</v>
      </c>
      <c r="BA5" s="2"/>
      <c r="BB5" s="13" t="s">
        <v>179</v>
      </c>
      <c r="BC5" s="15" t="s">
        <v>79</v>
      </c>
      <c r="BD5" s="13" t="s">
        <v>181</v>
      </c>
      <c r="BE5" s="13" t="s">
        <v>180</v>
      </c>
      <c r="BF5" s="15" t="s">
        <v>182</v>
      </c>
      <c r="BG5" s="15" t="s">
        <v>182</v>
      </c>
      <c r="BH5" s="2"/>
      <c r="BK5" s="2"/>
    </row>
    <row r="6" spans="1:63" x14ac:dyDescent="0.5">
      <c r="A6" s="1" t="s">
        <v>117</v>
      </c>
      <c r="C6" s="1" t="s">
        <v>183</v>
      </c>
      <c r="D6" s="1" t="s">
        <v>184</v>
      </c>
      <c r="E6" s="1" t="s">
        <v>185</v>
      </c>
      <c r="G6" s="1" t="s">
        <v>23</v>
      </c>
      <c r="H6" s="1" t="s">
        <v>23</v>
      </c>
      <c r="I6" s="1" t="s">
        <v>23</v>
      </c>
      <c r="L6" s="1" t="s">
        <v>186</v>
      </c>
      <c r="M6" s="1" t="s">
        <v>187</v>
      </c>
      <c r="N6" s="1" t="s">
        <v>188</v>
      </c>
      <c r="O6" s="1" t="s">
        <v>189</v>
      </c>
      <c r="P6" s="1" t="s">
        <v>190</v>
      </c>
      <c r="Q6" s="1" t="s">
        <v>191</v>
      </c>
      <c r="S6" s="1" t="s">
        <v>186</v>
      </c>
      <c r="T6" s="1" t="s">
        <v>187</v>
      </c>
      <c r="U6" s="1" t="s">
        <v>188</v>
      </c>
      <c r="V6" s="1" t="s">
        <v>189</v>
      </c>
      <c r="W6" s="1" t="s">
        <v>190</v>
      </c>
      <c r="X6" s="1" t="s">
        <v>191</v>
      </c>
      <c r="Y6" s="1" t="s">
        <v>192</v>
      </c>
      <c r="Z6" s="1" t="s">
        <v>193</v>
      </c>
      <c r="AA6" s="1" t="s">
        <v>194</v>
      </c>
      <c r="AB6" s="1" t="s">
        <v>195</v>
      </c>
      <c r="AC6" s="1" t="s">
        <v>86</v>
      </c>
      <c r="AD6" s="1" t="s">
        <v>196</v>
      </c>
      <c r="AE6" s="1" t="s">
        <v>182</v>
      </c>
      <c r="AF6" s="1" t="s">
        <v>197</v>
      </c>
      <c r="AG6" s="1" t="s">
        <v>81</v>
      </c>
      <c r="AL6" s="2" t="s">
        <v>186</v>
      </c>
      <c r="AM6" s="2" t="s">
        <v>36</v>
      </c>
      <c r="AN6" s="2" t="s">
        <v>181</v>
      </c>
      <c r="AO6" s="2" t="s">
        <v>144</v>
      </c>
      <c r="AP6" s="2" t="s">
        <v>198</v>
      </c>
      <c r="AQ6" s="2" t="s">
        <v>199</v>
      </c>
      <c r="AR6" s="1" t="s">
        <v>145</v>
      </c>
      <c r="AS6" s="1" t="s">
        <v>174</v>
      </c>
      <c r="AT6" s="1" t="s">
        <v>99</v>
      </c>
      <c r="AU6" s="1" t="s">
        <v>175</v>
      </c>
      <c r="AV6" s="1" t="s">
        <v>81</v>
      </c>
      <c r="AW6" s="1" t="s">
        <v>176</v>
      </c>
      <c r="AX6" s="1" t="s">
        <v>151</v>
      </c>
      <c r="AY6" s="1" t="s">
        <v>177</v>
      </c>
      <c r="AZ6" s="1" t="s">
        <v>178</v>
      </c>
      <c r="BA6" s="2"/>
      <c r="BB6" s="14" t="s">
        <v>186</v>
      </c>
      <c r="BC6" s="16" t="s">
        <v>171</v>
      </c>
      <c r="BD6" s="15" t="s">
        <v>144</v>
      </c>
      <c r="BE6" s="14" t="s">
        <v>181</v>
      </c>
      <c r="BF6" s="16" t="s">
        <v>200</v>
      </c>
      <c r="BG6" s="15" t="s">
        <v>152</v>
      </c>
      <c r="BH6" s="2"/>
      <c r="BK6" s="2"/>
    </row>
    <row r="7" spans="1:63" x14ac:dyDescent="0.5">
      <c r="A7" s="1" t="s">
        <v>118</v>
      </c>
      <c r="D7" s="1" t="s">
        <v>201</v>
      </c>
      <c r="G7" s="1" t="s">
        <v>31</v>
      </c>
      <c r="H7" s="1" t="s">
        <v>31</v>
      </c>
      <c r="I7" s="1" t="s">
        <v>31</v>
      </c>
      <c r="L7" s="1" t="s">
        <v>202</v>
      </c>
      <c r="M7" s="1" t="s">
        <v>80</v>
      </c>
      <c r="N7" s="1" t="s">
        <v>203</v>
      </c>
      <c r="O7" s="1" t="s">
        <v>204</v>
      </c>
      <c r="P7" s="1" t="s">
        <v>190</v>
      </c>
      <c r="Q7" s="1" t="s">
        <v>205</v>
      </c>
      <c r="S7" s="1" t="s">
        <v>202</v>
      </c>
      <c r="T7" s="1" t="s">
        <v>80</v>
      </c>
      <c r="U7" s="1" t="s">
        <v>203</v>
      </c>
      <c r="V7" s="1" t="s">
        <v>204</v>
      </c>
      <c r="W7" s="1" t="s">
        <v>190</v>
      </c>
      <c r="X7" s="1" t="s">
        <v>205</v>
      </c>
      <c r="Y7" s="1" t="s">
        <v>206</v>
      </c>
      <c r="Z7" s="1" t="s">
        <v>207</v>
      </c>
      <c r="AA7" s="1" t="s">
        <v>208</v>
      </c>
      <c r="AB7" s="1" t="s">
        <v>209</v>
      </c>
      <c r="AC7" s="1" t="s">
        <v>148</v>
      </c>
      <c r="AD7" s="1" t="s">
        <v>179</v>
      </c>
      <c r="AE7" s="1" t="s">
        <v>179</v>
      </c>
      <c r="AF7" s="1" t="s">
        <v>200</v>
      </c>
      <c r="AG7" s="1" t="s">
        <v>210</v>
      </c>
      <c r="AL7" s="2" t="s">
        <v>211</v>
      </c>
      <c r="AM7" s="2" t="s">
        <v>212</v>
      </c>
      <c r="AN7" s="2" t="s">
        <v>189</v>
      </c>
      <c r="AO7" s="2" t="s">
        <v>213</v>
      </c>
      <c r="AP7" s="2" t="s">
        <v>214</v>
      </c>
      <c r="AQ7" s="2" t="s">
        <v>215</v>
      </c>
      <c r="AR7" s="1" t="s">
        <v>192</v>
      </c>
      <c r="AS7" s="1" t="s">
        <v>193</v>
      </c>
      <c r="AT7" s="1" t="s">
        <v>194</v>
      </c>
      <c r="AU7" s="1" t="s">
        <v>195</v>
      </c>
      <c r="AV7" s="1" t="s">
        <v>86</v>
      </c>
      <c r="AW7" s="1" t="s">
        <v>196</v>
      </c>
      <c r="AX7" s="1" t="s">
        <v>182</v>
      </c>
      <c r="AY7" s="1" t="s">
        <v>197</v>
      </c>
      <c r="AZ7" s="1" t="s">
        <v>81</v>
      </c>
      <c r="BA7" s="2"/>
      <c r="BB7" s="13" t="s">
        <v>211</v>
      </c>
      <c r="BC7" s="1" t="s">
        <v>38</v>
      </c>
      <c r="BD7" s="16" t="s">
        <v>34</v>
      </c>
      <c r="BE7" s="15" t="s">
        <v>15</v>
      </c>
      <c r="BF7" s="15" t="s">
        <v>152</v>
      </c>
      <c r="BG7" s="15" t="s">
        <v>216</v>
      </c>
      <c r="BH7" s="2"/>
      <c r="BK7" s="2"/>
    </row>
    <row r="8" spans="1:63" x14ac:dyDescent="0.5">
      <c r="G8" s="1" t="s">
        <v>120</v>
      </c>
      <c r="H8" s="1" t="s">
        <v>120</v>
      </c>
      <c r="I8" s="1" t="s">
        <v>120</v>
      </c>
      <c r="L8" s="1" t="s">
        <v>217</v>
      </c>
      <c r="M8" s="1" t="s">
        <v>218</v>
      </c>
      <c r="N8" s="1" t="s">
        <v>81</v>
      </c>
      <c r="O8" s="1" t="s">
        <v>36</v>
      </c>
      <c r="P8" s="1" t="s">
        <v>219</v>
      </c>
      <c r="Q8" s="1" t="s">
        <v>220</v>
      </c>
      <c r="S8" s="1" t="s">
        <v>217</v>
      </c>
      <c r="T8" s="1" t="s">
        <v>218</v>
      </c>
      <c r="U8" s="1" t="s">
        <v>81</v>
      </c>
      <c r="V8" s="1" t="s">
        <v>36</v>
      </c>
      <c r="W8" s="1" t="s">
        <v>219</v>
      </c>
      <c r="X8" s="1" t="s">
        <v>220</v>
      </c>
      <c r="Y8" s="1" t="s">
        <v>77</v>
      </c>
      <c r="Z8" s="1" t="s">
        <v>221</v>
      </c>
      <c r="AA8" s="1" t="s">
        <v>222</v>
      </c>
      <c r="AB8" s="1" t="s">
        <v>223</v>
      </c>
      <c r="AC8" s="1" t="s">
        <v>15</v>
      </c>
      <c r="AD8" s="1" t="s">
        <v>77</v>
      </c>
      <c r="AE8" s="1" t="s">
        <v>224</v>
      </c>
      <c r="AF8" s="1" t="s">
        <v>225</v>
      </c>
      <c r="AG8" s="1" t="s">
        <v>226</v>
      </c>
      <c r="AL8" s="2" t="s">
        <v>217</v>
      </c>
      <c r="AM8" s="2" t="s">
        <v>196</v>
      </c>
      <c r="AN8" s="2" t="s">
        <v>204</v>
      </c>
      <c r="AO8" s="2" t="s">
        <v>227</v>
      </c>
      <c r="AP8" s="2" t="s">
        <v>228</v>
      </c>
      <c r="AQ8" s="2" t="s">
        <v>229</v>
      </c>
      <c r="AR8" s="1" t="s">
        <v>206</v>
      </c>
      <c r="AS8" s="1" t="s">
        <v>207</v>
      </c>
      <c r="AT8" s="1" t="s">
        <v>208</v>
      </c>
      <c r="AU8" s="1" t="s">
        <v>209</v>
      </c>
      <c r="AV8" s="1" t="s">
        <v>148</v>
      </c>
      <c r="AW8" s="1" t="s">
        <v>179</v>
      </c>
      <c r="AX8" s="1" t="s">
        <v>179</v>
      </c>
      <c r="AY8" s="1" t="s">
        <v>200</v>
      </c>
      <c r="AZ8" s="1" t="s">
        <v>210</v>
      </c>
      <c r="BA8" s="2"/>
      <c r="BB8" s="14" t="s">
        <v>217</v>
      </c>
      <c r="BC8" s="15" t="s">
        <v>187</v>
      </c>
      <c r="BD8" s="15" t="s">
        <v>15</v>
      </c>
      <c r="BE8" s="13" t="s">
        <v>189</v>
      </c>
      <c r="BF8" s="16" t="s">
        <v>216</v>
      </c>
      <c r="BG8" s="15" t="s">
        <v>230</v>
      </c>
      <c r="BH8" s="2"/>
      <c r="BK8" s="2"/>
    </row>
    <row r="9" spans="1:63" x14ac:dyDescent="0.5">
      <c r="G9" s="1" t="s">
        <v>26</v>
      </c>
      <c r="H9" s="1" t="s">
        <v>26</v>
      </c>
      <c r="I9" s="1" t="s">
        <v>26</v>
      </c>
      <c r="L9" s="1" t="s">
        <v>84</v>
      </c>
      <c r="M9" s="1" t="s">
        <v>231</v>
      </c>
      <c r="N9" s="1" t="s">
        <v>232</v>
      </c>
      <c r="O9" s="1" t="s">
        <v>233</v>
      </c>
      <c r="P9" s="1" t="s">
        <v>234</v>
      </c>
      <c r="Q9" s="1" t="s">
        <v>77</v>
      </c>
      <c r="S9" s="1" t="s">
        <v>84</v>
      </c>
      <c r="T9" s="1" t="s">
        <v>231</v>
      </c>
      <c r="U9" s="1" t="s">
        <v>232</v>
      </c>
      <c r="V9" s="1" t="s">
        <v>233</v>
      </c>
      <c r="W9" s="1" t="s">
        <v>234</v>
      </c>
      <c r="X9" s="1" t="s">
        <v>77</v>
      </c>
      <c r="Y9" s="1" t="s">
        <v>205</v>
      </c>
      <c r="Z9" s="1" t="s">
        <v>235</v>
      </c>
      <c r="AA9" s="1" t="s">
        <v>236</v>
      </c>
      <c r="AB9" s="1" t="s">
        <v>237</v>
      </c>
      <c r="AC9" s="1" t="s">
        <v>238</v>
      </c>
      <c r="AD9" s="1" t="s">
        <v>95</v>
      </c>
      <c r="AE9" s="1" t="s">
        <v>239</v>
      </c>
      <c r="AF9" s="1" t="s">
        <v>240</v>
      </c>
      <c r="AG9" s="1" t="s">
        <v>216</v>
      </c>
      <c r="AL9" s="2" t="s">
        <v>84</v>
      </c>
      <c r="AM9" s="2" t="s">
        <v>241</v>
      </c>
      <c r="AN9" s="2" t="s">
        <v>242</v>
      </c>
      <c r="AO9" s="2" t="s">
        <v>204</v>
      </c>
      <c r="AP9" s="2" t="s">
        <v>243</v>
      </c>
      <c r="AQ9" s="2" t="s">
        <v>244</v>
      </c>
      <c r="AR9" s="1" t="s">
        <v>77</v>
      </c>
      <c r="AS9" s="1" t="s">
        <v>221</v>
      </c>
      <c r="AT9" s="1" t="s">
        <v>222</v>
      </c>
      <c r="AU9" s="1" t="s">
        <v>223</v>
      </c>
      <c r="AV9" s="1" t="s">
        <v>15</v>
      </c>
      <c r="AW9" s="1" t="s">
        <v>77</v>
      </c>
      <c r="AX9" s="1" t="s">
        <v>224</v>
      </c>
      <c r="AY9" s="1" t="s">
        <v>225</v>
      </c>
      <c r="AZ9" s="1" t="s">
        <v>226</v>
      </c>
      <c r="BA9" s="2"/>
      <c r="BB9" s="13" t="s">
        <v>84</v>
      </c>
      <c r="BC9" s="14" t="s">
        <v>36</v>
      </c>
      <c r="BD9" s="15" t="s">
        <v>213</v>
      </c>
      <c r="BE9" s="16" t="s">
        <v>172</v>
      </c>
      <c r="BF9" s="16" t="s">
        <v>179</v>
      </c>
      <c r="BG9" s="16" t="s">
        <v>245</v>
      </c>
      <c r="BH9" s="2"/>
      <c r="BK9" s="2"/>
    </row>
    <row r="10" spans="1:63" x14ac:dyDescent="0.5">
      <c r="L10" s="1" t="s">
        <v>246</v>
      </c>
      <c r="M10" s="1" t="s">
        <v>247</v>
      </c>
      <c r="N10" s="1" t="s">
        <v>196</v>
      </c>
      <c r="O10" s="1" t="s">
        <v>212</v>
      </c>
      <c r="P10" s="1" t="s">
        <v>189</v>
      </c>
      <c r="Q10" s="1" t="s">
        <v>78</v>
      </c>
      <c r="S10" s="1" t="s">
        <v>246</v>
      </c>
      <c r="T10" s="1" t="s">
        <v>247</v>
      </c>
      <c r="U10" s="1" t="s">
        <v>196</v>
      </c>
      <c r="V10" s="1" t="s">
        <v>212</v>
      </c>
      <c r="W10" s="1" t="s">
        <v>189</v>
      </c>
      <c r="X10" s="1" t="s">
        <v>78</v>
      </c>
      <c r="Y10" s="1" t="s">
        <v>34</v>
      </c>
      <c r="Z10" s="1" t="s">
        <v>95</v>
      </c>
      <c r="AA10" s="1" t="s">
        <v>248</v>
      </c>
      <c r="AB10" s="1" t="s">
        <v>249</v>
      </c>
      <c r="AC10" s="1" t="s">
        <v>250</v>
      </c>
      <c r="AD10" s="1" t="s">
        <v>80</v>
      </c>
      <c r="AE10" s="1" t="s">
        <v>251</v>
      </c>
      <c r="AF10" s="1" t="s">
        <v>252</v>
      </c>
      <c r="AG10" s="1" t="s">
        <v>253</v>
      </c>
      <c r="AL10" s="2" t="s">
        <v>246</v>
      </c>
      <c r="AM10" s="2" t="s">
        <v>254</v>
      </c>
      <c r="AN10" s="2" t="s">
        <v>255</v>
      </c>
      <c r="AO10" s="2" t="s">
        <v>256</v>
      </c>
      <c r="AP10" s="2" t="s">
        <v>188</v>
      </c>
      <c r="AQ10" s="2" t="s">
        <v>97</v>
      </c>
      <c r="AR10" s="1" t="s">
        <v>205</v>
      </c>
      <c r="AS10" s="1" t="s">
        <v>235</v>
      </c>
      <c r="AT10" s="1" t="s">
        <v>236</v>
      </c>
      <c r="AU10" s="1" t="s">
        <v>237</v>
      </c>
      <c r="AV10" s="1" t="s">
        <v>238</v>
      </c>
      <c r="AW10" s="1" t="s">
        <v>95</v>
      </c>
      <c r="AX10" s="1" t="s">
        <v>239</v>
      </c>
      <c r="AY10" s="1" t="s">
        <v>240</v>
      </c>
      <c r="AZ10" s="1" t="s">
        <v>216</v>
      </c>
      <c r="BA10" s="2"/>
      <c r="BB10" s="14" t="s">
        <v>246</v>
      </c>
      <c r="BC10" s="16" t="s">
        <v>80</v>
      </c>
      <c r="BD10" s="16" t="s">
        <v>227</v>
      </c>
      <c r="BE10" s="14" t="s">
        <v>204</v>
      </c>
      <c r="BF10" s="16" t="s">
        <v>230</v>
      </c>
      <c r="BG10" s="15" t="s">
        <v>257</v>
      </c>
      <c r="BH10" s="2"/>
      <c r="BK10" s="2"/>
    </row>
    <row r="11" spans="1:63" x14ac:dyDescent="0.5">
      <c r="G11" s="1" t="s">
        <v>258</v>
      </c>
      <c r="H11" s="1" t="s">
        <v>168</v>
      </c>
      <c r="I11" s="1" t="s">
        <v>259</v>
      </c>
      <c r="J11" s="1" t="s">
        <v>201</v>
      </c>
      <c r="L11" s="1" t="s">
        <v>196</v>
      </c>
      <c r="M11" s="1" t="s">
        <v>260</v>
      </c>
      <c r="N11" s="1" t="s">
        <v>261</v>
      </c>
      <c r="O11" s="1" t="s">
        <v>231</v>
      </c>
      <c r="P11" s="1" t="s">
        <v>203</v>
      </c>
      <c r="Q11" s="1" t="s">
        <v>262</v>
      </c>
      <c r="S11" s="1" t="s">
        <v>196</v>
      </c>
      <c r="T11" s="1" t="s">
        <v>260</v>
      </c>
      <c r="U11" s="1" t="s">
        <v>261</v>
      </c>
      <c r="V11" s="1" t="s">
        <v>231</v>
      </c>
      <c r="W11" s="1" t="s">
        <v>203</v>
      </c>
      <c r="X11" s="1" t="s">
        <v>262</v>
      </c>
      <c r="Y11" s="1" t="s">
        <v>15</v>
      </c>
      <c r="Z11" s="1" t="s">
        <v>153</v>
      </c>
      <c r="AA11" s="1" t="s">
        <v>263</v>
      </c>
      <c r="AB11" s="1" t="s">
        <v>95</v>
      </c>
      <c r="AC11" s="1" t="s">
        <v>264</v>
      </c>
      <c r="AD11" s="1" t="s">
        <v>265</v>
      </c>
      <c r="AE11" s="1" t="s">
        <v>230</v>
      </c>
      <c r="AF11" s="1" t="s">
        <v>266</v>
      </c>
      <c r="AG11" s="1" t="s">
        <v>267</v>
      </c>
      <c r="AL11" s="2" t="s">
        <v>268</v>
      </c>
      <c r="AM11" s="2" t="s">
        <v>269</v>
      </c>
      <c r="AN11" s="2" t="s">
        <v>196</v>
      </c>
      <c r="AO11" s="2" t="s">
        <v>36</v>
      </c>
      <c r="AP11" s="2" t="s">
        <v>36</v>
      </c>
      <c r="AQ11" s="2" t="s">
        <v>270</v>
      </c>
      <c r="AR11" s="1" t="s">
        <v>34</v>
      </c>
      <c r="AS11" s="1" t="s">
        <v>95</v>
      </c>
      <c r="AT11" s="1" t="s">
        <v>248</v>
      </c>
      <c r="AU11" s="1" t="s">
        <v>249</v>
      </c>
      <c r="AV11" s="1" t="s">
        <v>250</v>
      </c>
      <c r="AW11" s="1" t="s">
        <v>80</v>
      </c>
      <c r="AX11" s="1" t="s">
        <v>251</v>
      </c>
      <c r="AY11" s="1" t="s">
        <v>252</v>
      </c>
      <c r="AZ11" s="1" t="s">
        <v>253</v>
      </c>
      <c r="BA11" s="2"/>
      <c r="BB11" s="13" t="s">
        <v>268</v>
      </c>
      <c r="BC11" s="13" t="s">
        <v>212</v>
      </c>
      <c r="BD11" s="15" t="s">
        <v>189</v>
      </c>
      <c r="BE11" s="15" t="s">
        <v>188</v>
      </c>
      <c r="BF11" s="16" t="s">
        <v>245</v>
      </c>
      <c r="BG11" s="15" t="s">
        <v>240</v>
      </c>
      <c r="BH11" s="2"/>
      <c r="BK11" s="2"/>
    </row>
    <row r="12" spans="1:63" x14ac:dyDescent="0.5">
      <c r="G12" s="1" t="s">
        <v>271</v>
      </c>
      <c r="H12" s="1" t="s">
        <v>271</v>
      </c>
      <c r="I12" s="1" t="s">
        <v>271</v>
      </c>
      <c r="J12" s="1" t="s">
        <v>271</v>
      </c>
      <c r="L12" s="1" t="s">
        <v>272</v>
      </c>
      <c r="M12" s="1" t="s">
        <v>272</v>
      </c>
      <c r="N12" s="1" t="s">
        <v>221</v>
      </c>
      <c r="O12" s="1" t="s">
        <v>273</v>
      </c>
      <c r="P12" s="1" t="s">
        <v>274</v>
      </c>
      <c r="Q12" s="1" t="s">
        <v>189</v>
      </c>
      <c r="S12" s="1" t="s">
        <v>272</v>
      </c>
      <c r="T12" s="1" t="s">
        <v>272</v>
      </c>
      <c r="U12" s="1" t="s">
        <v>221</v>
      </c>
      <c r="V12" s="1" t="s">
        <v>273</v>
      </c>
      <c r="W12" s="1" t="s">
        <v>274</v>
      </c>
      <c r="X12" s="1" t="s">
        <v>189</v>
      </c>
      <c r="Y12" s="1" t="s">
        <v>190</v>
      </c>
      <c r="Z12" s="1" t="s">
        <v>275</v>
      </c>
      <c r="AA12" s="1" t="s">
        <v>276</v>
      </c>
      <c r="AB12" s="1" t="s">
        <v>277</v>
      </c>
      <c r="AC12" s="1" t="s">
        <v>278</v>
      </c>
      <c r="AD12" s="1" t="s">
        <v>241</v>
      </c>
      <c r="AE12" s="1" t="s">
        <v>279</v>
      </c>
      <c r="AF12" s="1" t="s">
        <v>280</v>
      </c>
      <c r="AG12" s="1" t="s">
        <v>281</v>
      </c>
      <c r="AL12" s="2" t="s">
        <v>282</v>
      </c>
      <c r="AM12" s="2" t="s">
        <v>283</v>
      </c>
      <c r="AN12" s="2" t="s">
        <v>85</v>
      </c>
      <c r="AO12" s="2" t="s">
        <v>284</v>
      </c>
      <c r="AP12" s="2" t="s">
        <v>285</v>
      </c>
      <c r="AQ12" s="2" t="s">
        <v>286</v>
      </c>
      <c r="AR12" s="1" t="s">
        <v>15</v>
      </c>
      <c r="AS12" s="1" t="s">
        <v>153</v>
      </c>
      <c r="AT12" s="1" t="s">
        <v>263</v>
      </c>
      <c r="AU12" s="1" t="s">
        <v>95</v>
      </c>
      <c r="AV12" s="1" t="s">
        <v>264</v>
      </c>
      <c r="AW12" s="1" t="s">
        <v>265</v>
      </c>
      <c r="AX12" s="1" t="s">
        <v>230</v>
      </c>
      <c r="AY12" s="1" t="s">
        <v>266</v>
      </c>
      <c r="AZ12" s="1" t="s">
        <v>267</v>
      </c>
      <c r="BA12" s="2"/>
      <c r="BB12" s="14" t="s">
        <v>282</v>
      </c>
      <c r="BC12" s="15" t="s">
        <v>218</v>
      </c>
      <c r="BD12" s="16" t="s">
        <v>172</v>
      </c>
      <c r="BE12" s="16" t="s">
        <v>203</v>
      </c>
      <c r="BF12" s="15" t="s">
        <v>257</v>
      </c>
      <c r="BG12" s="16" t="s">
        <v>239</v>
      </c>
      <c r="BH12" s="2"/>
      <c r="BK12" s="2"/>
    </row>
    <row r="13" spans="1:63" x14ac:dyDescent="0.5">
      <c r="G13" s="1" t="s">
        <v>287</v>
      </c>
      <c r="H13" s="1" t="s">
        <v>287</v>
      </c>
      <c r="I13" s="1" t="s">
        <v>287</v>
      </c>
      <c r="J13" s="1" t="s">
        <v>288</v>
      </c>
      <c r="L13" s="1" t="s">
        <v>282</v>
      </c>
      <c r="M13" s="1" t="s">
        <v>289</v>
      </c>
      <c r="N13" s="1" t="s">
        <v>290</v>
      </c>
      <c r="O13" s="1" t="s">
        <v>260</v>
      </c>
      <c r="P13" s="1" t="s">
        <v>291</v>
      </c>
      <c r="Q13" s="1" t="s">
        <v>33</v>
      </c>
      <c r="S13" s="1" t="s">
        <v>282</v>
      </c>
      <c r="T13" s="1" t="s">
        <v>289</v>
      </c>
      <c r="U13" s="1" t="s">
        <v>290</v>
      </c>
      <c r="V13" s="1" t="s">
        <v>260</v>
      </c>
      <c r="W13" s="1" t="s">
        <v>291</v>
      </c>
      <c r="X13" s="1" t="s">
        <v>33</v>
      </c>
      <c r="Y13" s="1" t="s">
        <v>292</v>
      </c>
      <c r="Z13" s="1" t="s">
        <v>293</v>
      </c>
      <c r="AA13" s="1" t="s">
        <v>89</v>
      </c>
      <c r="AB13" s="1" t="s">
        <v>294</v>
      </c>
      <c r="AC13" s="1" t="s">
        <v>182</v>
      </c>
      <c r="AD13" s="1" t="s">
        <v>295</v>
      </c>
      <c r="AE13" s="1" t="s">
        <v>296</v>
      </c>
      <c r="AF13" s="1" t="s">
        <v>84</v>
      </c>
      <c r="AG13" s="1" t="s">
        <v>295</v>
      </c>
      <c r="AL13" s="2" t="s">
        <v>297</v>
      </c>
      <c r="AM13" s="2" t="s">
        <v>298</v>
      </c>
      <c r="AN13" s="2" t="s">
        <v>193</v>
      </c>
      <c r="AO13" s="2" t="s">
        <v>299</v>
      </c>
      <c r="AP13" s="2" t="s">
        <v>203</v>
      </c>
      <c r="AQ13" s="2" t="s">
        <v>252</v>
      </c>
      <c r="AR13" s="1" t="s">
        <v>190</v>
      </c>
      <c r="AS13" s="1" t="s">
        <v>275</v>
      </c>
      <c r="AT13" s="1" t="s">
        <v>276</v>
      </c>
      <c r="AU13" s="1" t="s">
        <v>277</v>
      </c>
      <c r="AV13" s="1" t="s">
        <v>278</v>
      </c>
      <c r="AW13" s="1" t="s">
        <v>241</v>
      </c>
      <c r="AX13" s="1" t="s">
        <v>279</v>
      </c>
      <c r="AY13" s="1" t="s">
        <v>280</v>
      </c>
      <c r="AZ13" s="1" t="s">
        <v>281</v>
      </c>
      <c r="BA13" s="2"/>
      <c r="BB13" s="13" t="s">
        <v>297</v>
      </c>
      <c r="BC13" s="16" t="s">
        <v>231</v>
      </c>
      <c r="BD13" s="16" t="s">
        <v>204</v>
      </c>
      <c r="BE13" s="15" t="s">
        <v>81</v>
      </c>
      <c r="BF13" s="16" t="s">
        <v>240</v>
      </c>
      <c r="BG13" s="15" t="s">
        <v>151</v>
      </c>
      <c r="BH13" s="2"/>
      <c r="BK13" s="2"/>
    </row>
    <row r="14" spans="1:63" x14ac:dyDescent="0.5">
      <c r="G14" s="1" t="s">
        <v>300</v>
      </c>
      <c r="H14" s="1" t="s">
        <v>300</v>
      </c>
      <c r="I14" s="1" t="s">
        <v>300</v>
      </c>
      <c r="J14" s="1" t="s">
        <v>300</v>
      </c>
      <c r="L14" s="1" t="s">
        <v>301</v>
      </c>
      <c r="M14" s="1" t="s">
        <v>221</v>
      </c>
      <c r="N14" s="1" t="s">
        <v>87</v>
      </c>
      <c r="O14" s="1" t="s">
        <v>302</v>
      </c>
      <c r="P14" s="1" t="s">
        <v>242</v>
      </c>
      <c r="Q14" s="1" t="s">
        <v>303</v>
      </c>
      <c r="S14" s="1" t="s">
        <v>301</v>
      </c>
      <c r="T14" s="1" t="s">
        <v>221</v>
      </c>
      <c r="U14" s="1" t="s">
        <v>87</v>
      </c>
      <c r="V14" s="1" t="s">
        <v>302</v>
      </c>
      <c r="W14" s="1" t="s">
        <v>242</v>
      </c>
      <c r="X14" s="1" t="s">
        <v>303</v>
      </c>
      <c r="Y14" s="1" t="s">
        <v>304</v>
      </c>
      <c r="Z14" s="1" t="s">
        <v>301</v>
      </c>
      <c r="AA14" s="1" t="s">
        <v>305</v>
      </c>
      <c r="AB14" s="1" t="s">
        <v>306</v>
      </c>
      <c r="AC14" s="1" t="s">
        <v>307</v>
      </c>
      <c r="AD14" s="1" t="s">
        <v>308</v>
      </c>
      <c r="AE14" s="1" t="s">
        <v>309</v>
      </c>
      <c r="AF14" s="1" t="s">
        <v>261</v>
      </c>
      <c r="AG14" s="1" t="s">
        <v>308</v>
      </c>
      <c r="AL14" s="2" t="s">
        <v>310</v>
      </c>
      <c r="AM14" s="2" t="s">
        <v>311</v>
      </c>
      <c r="AN14" s="2" t="s">
        <v>282</v>
      </c>
      <c r="AO14" s="2" t="s">
        <v>312</v>
      </c>
      <c r="AP14" s="2" t="s">
        <v>232</v>
      </c>
      <c r="AQ14" s="2" t="s">
        <v>313</v>
      </c>
      <c r="AR14" s="1" t="s">
        <v>292</v>
      </c>
      <c r="AS14" s="1" t="s">
        <v>293</v>
      </c>
      <c r="AT14" s="1" t="s">
        <v>89</v>
      </c>
      <c r="AU14" s="1" t="s">
        <v>294</v>
      </c>
      <c r="AV14" s="1" t="s">
        <v>182</v>
      </c>
      <c r="AW14" s="1" t="s">
        <v>295</v>
      </c>
      <c r="AX14" s="1" t="s">
        <v>296</v>
      </c>
      <c r="AY14" s="1" t="s">
        <v>84</v>
      </c>
      <c r="AZ14" s="1" t="s">
        <v>295</v>
      </c>
      <c r="BA14" s="2"/>
      <c r="BB14" s="14" t="s">
        <v>310</v>
      </c>
      <c r="BC14" s="15" t="s">
        <v>247</v>
      </c>
      <c r="BD14" s="14" t="s">
        <v>256</v>
      </c>
      <c r="BE14" s="13" t="s">
        <v>242</v>
      </c>
      <c r="BF14" s="16" t="s">
        <v>214</v>
      </c>
      <c r="BG14" s="15" t="s">
        <v>314</v>
      </c>
      <c r="BH14" s="2"/>
      <c r="BK14" s="2"/>
    </row>
    <row r="15" spans="1:63" x14ac:dyDescent="0.5">
      <c r="G15" s="1" t="s">
        <v>315</v>
      </c>
      <c r="H15" s="1" t="s">
        <v>315</v>
      </c>
      <c r="I15" s="1" t="s">
        <v>315</v>
      </c>
      <c r="J15" s="1" t="s">
        <v>315</v>
      </c>
      <c r="L15" s="1" t="s">
        <v>297</v>
      </c>
      <c r="M15" s="1" t="s">
        <v>241</v>
      </c>
      <c r="N15" s="1" t="s">
        <v>193</v>
      </c>
      <c r="O15" s="1" t="s">
        <v>85</v>
      </c>
      <c r="P15" s="1" t="s">
        <v>232</v>
      </c>
      <c r="Q15" s="1" t="s">
        <v>38</v>
      </c>
      <c r="S15" s="1" t="s">
        <v>297</v>
      </c>
      <c r="T15" s="1" t="s">
        <v>241</v>
      </c>
      <c r="U15" s="1" t="s">
        <v>193</v>
      </c>
      <c r="V15" s="1" t="s">
        <v>85</v>
      </c>
      <c r="W15" s="1" t="s">
        <v>232</v>
      </c>
      <c r="X15" s="1" t="s">
        <v>38</v>
      </c>
      <c r="Y15" s="1" t="s">
        <v>149</v>
      </c>
      <c r="Z15" s="1" t="s">
        <v>81</v>
      </c>
      <c r="AA15" s="1" t="s">
        <v>316</v>
      </c>
      <c r="AB15" s="1" t="s">
        <v>81</v>
      </c>
      <c r="AC15" s="1" t="s">
        <v>90</v>
      </c>
      <c r="AD15" s="1" t="s">
        <v>317</v>
      </c>
      <c r="AE15" s="1" t="s">
        <v>245</v>
      </c>
      <c r="AF15" s="1" t="s">
        <v>233</v>
      </c>
      <c r="AG15" s="1" t="s">
        <v>290</v>
      </c>
      <c r="AL15" s="2" t="s">
        <v>318</v>
      </c>
      <c r="AM15" s="2" t="s">
        <v>319</v>
      </c>
      <c r="AN15" s="2" t="s">
        <v>278</v>
      </c>
      <c r="AO15" s="2" t="s">
        <v>320</v>
      </c>
      <c r="AP15" s="2" t="s">
        <v>321</v>
      </c>
      <c r="AQ15" s="2" t="s">
        <v>322</v>
      </c>
      <c r="AR15" s="1" t="s">
        <v>304</v>
      </c>
      <c r="AS15" s="1" t="s">
        <v>301</v>
      </c>
      <c r="AT15" s="1" t="s">
        <v>305</v>
      </c>
      <c r="AU15" s="1" t="s">
        <v>306</v>
      </c>
      <c r="AV15" s="1" t="s">
        <v>307</v>
      </c>
      <c r="AW15" s="1" t="s">
        <v>308</v>
      </c>
      <c r="AX15" s="1" t="s">
        <v>309</v>
      </c>
      <c r="AY15" s="1" t="s">
        <v>261</v>
      </c>
      <c r="AZ15" s="1" t="s">
        <v>308</v>
      </c>
      <c r="BA15" s="2"/>
      <c r="BB15" s="13" t="s">
        <v>318</v>
      </c>
      <c r="BC15" s="16" t="s">
        <v>260</v>
      </c>
      <c r="BD15" s="15" t="s">
        <v>188</v>
      </c>
      <c r="BE15" s="16" t="s">
        <v>232</v>
      </c>
      <c r="BF15" s="16" t="s">
        <v>239</v>
      </c>
      <c r="BG15" s="15" t="s">
        <v>309</v>
      </c>
      <c r="BH15" s="2"/>
      <c r="BK15" s="2"/>
    </row>
    <row r="16" spans="1:63" x14ac:dyDescent="0.5">
      <c r="G16" s="1" t="s">
        <v>323</v>
      </c>
      <c r="H16" s="1" t="s">
        <v>323</v>
      </c>
      <c r="I16" s="1" t="s">
        <v>323</v>
      </c>
      <c r="J16" s="1" t="s">
        <v>323</v>
      </c>
      <c r="L16" s="1" t="s">
        <v>89</v>
      </c>
      <c r="M16" s="1" t="s">
        <v>87</v>
      </c>
      <c r="N16" s="1" t="s">
        <v>324</v>
      </c>
      <c r="O16" s="1" t="s">
        <v>325</v>
      </c>
      <c r="P16" s="1" t="s">
        <v>326</v>
      </c>
      <c r="Q16" s="1" t="s">
        <v>274</v>
      </c>
      <c r="S16" s="1" t="s">
        <v>89</v>
      </c>
      <c r="T16" s="1" t="s">
        <v>87</v>
      </c>
      <c r="U16" s="1" t="s">
        <v>324</v>
      </c>
      <c r="V16" s="1" t="s">
        <v>325</v>
      </c>
      <c r="W16" s="1" t="s">
        <v>326</v>
      </c>
      <c r="X16" s="1" t="s">
        <v>274</v>
      </c>
      <c r="Y16" s="1" t="s">
        <v>327</v>
      </c>
      <c r="Z16" s="1" t="s">
        <v>86</v>
      </c>
      <c r="AA16" s="1" t="s">
        <v>328</v>
      </c>
      <c r="AB16" s="1" t="s">
        <v>148</v>
      </c>
      <c r="AC16" s="1" t="s">
        <v>106</v>
      </c>
      <c r="AD16" s="1" t="s">
        <v>329</v>
      </c>
      <c r="AE16" s="1" t="s">
        <v>257</v>
      </c>
      <c r="AF16" s="1" t="s">
        <v>330</v>
      </c>
      <c r="AG16" s="1" t="s">
        <v>320</v>
      </c>
      <c r="AL16" s="2" t="s">
        <v>236</v>
      </c>
      <c r="AM16" s="2" t="s">
        <v>331</v>
      </c>
      <c r="AN16" s="2" t="s">
        <v>301</v>
      </c>
      <c r="AO16" s="2" t="s">
        <v>332</v>
      </c>
      <c r="AP16" s="2" t="s">
        <v>326</v>
      </c>
      <c r="AQ16" s="2" t="s">
        <v>333</v>
      </c>
      <c r="AR16" s="1" t="s">
        <v>149</v>
      </c>
      <c r="AS16" s="1" t="s">
        <v>81</v>
      </c>
      <c r="AT16" s="1" t="s">
        <v>316</v>
      </c>
      <c r="AU16" s="1" t="s">
        <v>81</v>
      </c>
      <c r="AV16" s="1" t="s">
        <v>90</v>
      </c>
      <c r="AW16" s="1" t="s">
        <v>317</v>
      </c>
      <c r="AX16" s="1" t="s">
        <v>245</v>
      </c>
      <c r="AY16" s="1" t="s">
        <v>233</v>
      </c>
      <c r="AZ16" s="1" t="s">
        <v>290</v>
      </c>
      <c r="BA16" s="2"/>
      <c r="BB16" s="14" t="s">
        <v>236</v>
      </c>
      <c r="BC16" s="14" t="s">
        <v>196</v>
      </c>
      <c r="BD16" s="15" t="s">
        <v>36</v>
      </c>
      <c r="BE16" s="13" t="s">
        <v>196</v>
      </c>
      <c r="BF16" s="16" t="s">
        <v>151</v>
      </c>
      <c r="BG16" s="15" t="s">
        <v>334</v>
      </c>
      <c r="BH16" s="2"/>
      <c r="BK16" s="2"/>
    </row>
    <row r="17" spans="7:63" x14ac:dyDescent="0.5">
      <c r="G17" s="1" t="s">
        <v>335</v>
      </c>
      <c r="H17" s="1" t="s">
        <v>335</v>
      </c>
      <c r="I17" s="1" t="s">
        <v>335</v>
      </c>
      <c r="J17" s="1" t="s">
        <v>335</v>
      </c>
      <c r="L17" s="1" t="s">
        <v>336</v>
      </c>
      <c r="M17" s="1" t="s">
        <v>89</v>
      </c>
      <c r="N17" s="1" t="s">
        <v>282</v>
      </c>
      <c r="O17" s="1" t="s">
        <v>337</v>
      </c>
      <c r="P17" s="1" t="s">
        <v>338</v>
      </c>
      <c r="Q17" s="1" t="s">
        <v>291</v>
      </c>
      <c r="S17" s="1" t="s">
        <v>336</v>
      </c>
      <c r="T17" s="1" t="s">
        <v>89</v>
      </c>
      <c r="U17" s="1" t="s">
        <v>282</v>
      </c>
      <c r="V17" s="1" t="s">
        <v>337</v>
      </c>
      <c r="W17" s="1" t="s">
        <v>338</v>
      </c>
      <c r="X17" s="1" t="s">
        <v>291</v>
      </c>
      <c r="Y17" s="1" t="s">
        <v>94</v>
      </c>
      <c r="Z17" s="1" t="s">
        <v>238</v>
      </c>
      <c r="AA17" s="1" t="s">
        <v>339</v>
      </c>
      <c r="AB17" s="1" t="s">
        <v>340</v>
      </c>
      <c r="AC17" s="1" t="s">
        <v>239</v>
      </c>
      <c r="AD17" s="1" t="s">
        <v>341</v>
      </c>
      <c r="AE17" s="1" t="s">
        <v>342</v>
      </c>
      <c r="AF17" s="1" t="s">
        <v>343</v>
      </c>
      <c r="AG17" s="1" t="s">
        <v>204</v>
      </c>
      <c r="AL17" s="2" t="s">
        <v>344</v>
      </c>
      <c r="AM17" s="2" t="s">
        <v>345</v>
      </c>
      <c r="AN17" s="2" t="s">
        <v>346</v>
      </c>
      <c r="AO17" s="2" t="s">
        <v>282</v>
      </c>
      <c r="AP17" s="2" t="s">
        <v>231</v>
      </c>
      <c r="AQ17" s="2" t="s">
        <v>347</v>
      </c>
      <c r="AR17" s="1" t="s">
        <v>327</v>
      </c>
      <c r="AS17" s="1" t="s">
        <v>86</v>
      </c>
      <c r="AT17" s="1" t="s">
        <v>328</v>
      </c>
      <c r="AU17" s="1" t="s">
        <v>148</v>
      </c>
      <c r="AV17" s="1" t="s">
        <v>106</v>
      </c>
      <c r="AW17" s="1" t="s">
        <v>329</v>
      </c>
      <c r="AX17" s="1" t="s">
        <v>257</v>
      </c>
      <c r="AY17" s="1" t="s">
        <v>330</v>
      </c>
      <c r="AZ17" s="1" t="s">
        <v>320</v>
      </c>
      <c r="BA17" s="2"/>
      <c r="BB17" s="13" t="s">
        <v>344</v>
      </c>
      <c r="BC17" s="15" t="s">
        <v>272</v>
      </c>
      <c r="BD17" s="16" t="s">
        <v>203</v>
      </c>
      <c r="BE17" s="14" t="s">
        <v>85</v>
      </c>
      <c r="BF17" s="16" t="s">
        <v>190</v>
      </c>
      <c r="BG17" s="15" t="s">
        <v>204</v>
      </c>
      <c r="BH17" s="2"/>
      <c r="BK17" s="2"/>
    </row>
    <row r="18" spans="7:63" x14ac:dyDescent="0.5">
      <c r="L18" s="1" t="s">
        <v>348</v>
      </c>
      <c r="M18" s="1" t="s">
        <v>348</v>
      </c>
      <c r="N18" s="1" t="s">
        <v>349</v>
      </c>
      <c r="O18" s="1" t="s">
        <v>312</v>
      </c>
      <c r="P18" s="1" t="s">
        <v>302</v>
      </c>
      <c r="Q18" s="1" t="s">
        <v>350</v>
      </c>
      <c r="S18" s="1" t="s">
        <v>348</v>
      </c>
      <c r="T18" s="1" t="s">
        <v>348</v>
      </c>
      <c r="U18" s="1" t="s">
        <v>349</v>
      </c>
      <c r="V18" s="1" t="s">
        <v>312</v>
      </c>
      <c r="W18" s="1" t="s">
        <v>302</v>
      </c>
      <c r="X18" s="1" t="s">
        <v>350</v>
      </c>
      <c r="Y18" s="1" t="s">
        <v>351</v>
      </c>
      <c r="Z18" s="1" t="s">
        <v>250</v>
      </c>
      <c r="AA18" s="1" t="s">
        <v>238</v>
      </c>
      <c r="AB18" s="1" t="s">
        <v>203</v>
      </c>
      <c r="AC18" s="1" t="s">
        <v>296</v>
      </c>
      <c r="AD18" s="1" t="s">
        <v>217</v>
      </c>
      <c r="AE18" s="1" t="s">
        <v>352</v>
      </c>
      <c r="AF18" s="1" t="s">
        <v>353</v>
      </c>
      <c r="AG18" s="1" t="s">
        <v>354</v>
      </c>
      <c r="AL18" s="2" t="s">
        <v>355</v>
      </c>
      <c r="AM18" s="2" t="s">
        <v>356</v>
      </c>
      <c r="AN18" s="2" t="s">
        <v>357</v>
      </c>
      <c r="AO18" s="2" t="s">
        <v>263</v>
      </c>
      <c r="AP18" s="2" t="s">
        <v>260</v>
      </c>
      <c r="AQ18" s="2" t="s">
        <v>358</v>
      </c>
      <c r="AR18" s="1" t="s">
        <v>94</v>
      </c>
      <c r="AS18" s="1" t="s">
        <v>238</v>
      </c>
      <c r="AT18" s="1" t="s">
        <v>339</v>
      </c>
      <c r="AU18" s="1" t="s">
        <v>340</v>
      </c>
      <c r="AV18" s="1" t="s">
        <v>239</v>
      </c>
      <c r="AW18" s="1" t="s">
        <v>341</v>
      </c>
      <c r="AX18" s="1" t="s">
        <v>342</v>
      </c>
      <c r="AY18" s="1" t="s">
        <v>343</v>
      </c>
      <c r="AZ18" s="1" t="s">
        <v>204</v>
      </c>
      <c r="BA18" s="2"/>
      <c r="BB18" s="14" t="s">
        <v>355</v>
      </c>
      <c r="BC18" s="16" t="s">
        <v>289</v>
      </c>
      <c r="BD18" s="15" t="s">
        <v>81</v>
      </c>
      <c r="BE18" s="13" t="s">
        <v>261</v>
      </c>
      <c r="BF18" s="16" t="s">
        <v>314</v>
      </c>
      <c r="BG18" s="15" t="s">
        <v>38</v>
      </c>
      <c r="BH18" s="2"/>
      <c r="BK18" s="2"/>
    </row>
    <row r="19" spans="7:63" x14ac:dyDescent="0.5">
      <c r="G19" s="1" t="s">
        <v>142</v>
      </c>
      <c r="H19" s="1" t="s">
        <v>169</v>
      </c>
      <c r="I19" s="1" t="s">
        <v>185</v>
      </c>
      <c r="L19" s="1" t="s">
        <v>348</v>
      </c>
      <c r="M19" s="1" t="s">
        <v>283</v>
      </c>
      <c r="N19" s="1" t="s">
        <v>278</v>
      </c>
      <c r="O19" s="1" t="s">
        <v>330</v>
      </c>
      <c r="P19" s="1" t="s">
        <v>359</v>
      </c>
      <c r="Q19" s="1" t="s">
        <v>360</v>
      </c>
      <c r="S19" s="1" t="s">
        <v>348</v>
      </c>
      <c r="T19" s="1" t="s">
        <v>283</v>
      </c>
      <c r="U19" s="1" t="s">
        <v>278</v>
      </c>
      <c r="V19" s="1" t="s">
        <v>330</v>
      </c>
      <c r="W19" s="1" t="s">
        <v>359</v>
      </c>
      <c r="X19" s="1" t="s">
        <v>360</v>
      </c>
      <c r="Y19" s="1" t="s">
        <v>361</v>
      </c>
      <c r="Z19" s="1" t="s">
        <v>348</v>
      </c>
      <c r="AA19" s="1" t="s">
        <v>362</v>
      </c>
      <c r="AB19" s="1" t="s">
        <v>363</v>
      </c>
      <c r="AC19" s="1" t="s">
        <v>279</v>
      </c>
      <c r="AD19" s="1" t="s">
        <v>364</v>
      </c>
      <c r="AE19" s="1" t="s">
        <v>365</v>
      </c>
      <c r="AF19" s="1" t="s">
        <v>20</v>
      </c>
      <c r="AG19" s="1" t="s">
        <v>98</v>
      </c>
      <c r="AL19" s="2" t="s">
        <v>366</v>
      </c>
      <c r="AM19" s="2" t="s">
        <v>355</v>
      </c>
      <c r="AN19" s="2" t="s">
        <v>353</v>
      </c>
      <c r="AO19" s="2" t="s">
        <v>367</v>
      </c>
      <c r="AP19" s="2" t="s">
        <v>338</v>
      </c>
      <c r="AQ19" s="2" t="s">
        <v>368</v>
      </c>
      <c r="AR19" s="1" t="s">
        <v>351</v>
      </c>
      <c r="AS19" s="1" t="s">
        <v>250</v>
      </c>
      <c r="AT19" s="1" t="s">
        <v>238</v>
      </c>
      <c r="AU19" s="1" t="s">
        <v>203</v>
      </c>
      <c r="AV19" s="1" t="s">
        <v>296</v>
      </c>
      <c r="AW19" s="1" t="s">
        <v>217</v>
      </c>
      <c r="AX19" s="1" t="s">
        <v>352</v>
      </c>
      <c r="AY19" s="1" t="s">
        <v>353</v>
      </c>
      <c r="AZ19" s="1" t="s">
        <v>354</v>
      </c>
      <c r="BA19" s="2"/>
      <c r="BB19" s="13" t="s">
        <v>366</v>
      </c>
      <c r="BC19" s="15" t="s">
        <v>221</v>
      </c>
      <c r="BD19" s="16" t="s">
        <v>233</v>
      </c>
      <c r="BE19" s="13" t="s">
        <v>221</v>
      </c>
      <c r="BF19" s="15" t="s">
        <v>309</v>
      </c>
      <c r="BG19" s="15" t="s">
        <v>226</v>
      </c>
      <c r="BH19" s="2"/>
      <c r="BK19" s="2"/>
    </row>
    <row r="20" spans="7:63" x14ac:dyDescent="0.5">
      <c r="G20" s="1" t="s">
        <v>161</v>
      </c>
      <c r="H20" s="1" t="s">
        <v>161</v>
      </c>
      <c r="I20" s="1" t="s">
        <v>161</v>
      </c>
      <c r="L20" s="1" t="s">
        <v>369</v>
      </c>
      <c r="M20" s="1" t="s">
        <v>370</v>
      </c>
      <c r="N20" s="1" t="s">
        <v>269</v>
      </c>
      <c r="O20" s="1" t="s">
        <v>290</v>
      </c>
      <c r="P20" s="1" t="s">
        <v>85</v>
      </c>
      <c r="Q20" s="1" t="s">
        <v>371</v>
      </c>
      <c r="S20" s="1" t="s">
        <v>369</v>
      </c>
      <c r="T20" s="1" t="s">
        <v>370</v>
      </c>
      <c r="U20" s="1" t="s">
        <v>269</v>
      </c>
      <c r="V20" s="1" t="s">
        <v>290</v>
      </c>
      <c r="W20" s="1" t="s">
        <v>85</v>
      </c>
      <c r="X20" s="1" t="s">
        <v>371</v>
      </c>
      <c r="Y20" s="1" t="s">
        <v>372</v>
      </c>
      <c r="Z20" s="1" t="s">
        <v>373</v>
      </c>
      <c r="AA20" s="1" t="s">
        <v>374</v>
      </c>
      <c r="AB20" s="1" t="s">
        <v>347</v>
      </c>
      <c r="AC20" s="1" t="s">
        <v>375</v>
      </c>
      <c r="AD20" s="1" t="s">
        <v>376</v>
      </c>
      <c r="AE20" s="1" t="s">
        <v>334</v>
      </c>
      <c r="AF20" s="1" t="s">
        <v>92</v>
      </c>
      <c r="AG20" s="1" t="s">
        <v>334</v>
      </c>
      <c r="AL20" s="2" t="s">
        <v>377</v>
      </c>
      <c r="AM20" s="2" t="s">
        <v>377</v>
      </c>
      <c r="AN20" s="2" t="s">
        <v>356</v>
      </c>
      <c r="AO20" s="2" t="s">
        <v>89</v>
      </c>
      <c r="AP20" s="2" t="s">
        <v>302</v>
      </c>
      <c r="AQ20" s="2" t="s">
        <v>104</v>
      </c>
      <c r="AR20" s="1" t="s">
        <v>361</v>
      </c>
      <c r="AS20" s="1" t="s">
        <v>348</v>
      </c>
      <c r="AT20" s="1" t="s">
        <v>362</v>
      </c>
      <c r="AU20" s="1" t="s">
        <v>363</v>
      </c>
      <c r="AV20" s="1" t="s">
        <v>279</v>
      </c>
      <c r="AW20" s="1" t="s">
        <v>364</v>
      </c>
      <c r="AX20" s="1" t="s">
        <v>365</v>
      </c>
      <c r="AY20" s="1" t="s">
        <v>20</v>
      </c>
      <c r="AZ20" s="1" t="s">
        <v>98</v>
      </c>
      <c r="BA20" s="2"/>
      <c r="BB20" s="14" t="s">
        <v>377</v>
      </c>
      <c r="BC20" s="13" t="s">
        <v>241</v>
      </c>
      <c r="BD20" s="16" t="s">
        <v>232</v>
      </c>
      <c r="BE20" s="13" t="s">
        <v>290</v>
      </c>
      <c r="BF20" s="15" t="s">
        <v>334</v>
      </c>
      <c r="BG20" s="15" t="s">
        <v>251</v>
      </c>
      <c r="BH20" s="2"/>
      <c r="BK20" s="2"/>
    </row>
    <row r="21" spans="7:63" x14ac:dyDescent="0.5">
      <c r="G21" s="1" t="s">
        <v>162</v>
      </c>
      <c r="H21" s="1" t="s">
        <v>162</v>
      </c>
      <c r="I21" s="1" t="s">
        <v>162</v>
      </c>
      <c r="L21" s="1" t="s">
        <v>95</v>
      </c>
      <c r="M21" s="1" t="s">
        <v>298</v>
      </c>
      <c r="N21" s="1" t="s">
        <v>279</v>
      </c>
      <c r="O21" s="1" t="s">
        <v>320</v>
      </c>
      <c r="P21" s="1" t="s">
        <v>272</v>
      </c>
      <c r="Q21" s="1" t="s">
        <v>378</v>
      </c>
      <c r="S21" s="1" t="s">
        <v>95</v>
      </c>
      <c r="T21" s="1" t="s">
        <v>298</v>
      </c>
      <c r="U21" s="1" t="s">
        <v>279</v>
      </c>
      <c r="V21" s="1" t="s">
        <v>320</v>
      </c>
      <c r="W21" s="1" t="s">
        <v>272</v>
      </c>
      <c r="X21" s="1" t="s">
        <v>378</v>
      </c>
      <c r="Y21" s="1" t="s">
        <v>232</v>
      </c>
      <c r="Z21" s="1" t="s">
        <v>379</v>
      </c>
      <c r="AA21" s="1" t="s">
        <v>380</v>
      </c>
      <c r="AB21" s="1" t="s">
        <v>381</v>
      </c>
      <c r="AC21" s="1" t="s">
        <v>382</v>
      </c>
      <c r="AD21" s="1" t="s">
        <v>383</v>
      </c>
      <c r="AE21" s="1" t="s">
        <v>314</v>
      </c>
      <c r="AF21" s="1" t="s">
        <v>190</v>
      </c>
      <c r="AG21" s="1" t="s">
        <v>384</v>
      </c>
      <c r="AL21" s="2" t="s">
        <v>385</v>
      </c>
      <c r="AM21" s="2" t="s">
        <v>386</v>
      </c>
      <c r="AN21" s="2" t="s">
        <v>339</v>
      </c>
      <c r="AO21" s="2" t="s">
        <v>348</v>
      </c>
      <c r="AP21" s="2" t="s">
        <v>266</v>
      </c>
      <c r="AQ21" s="2" t="s">
        <v>387</v>
      </c>
      <c r="AR21" s="1" t="s">
        <v>372</v>
      </c>
      <c r="AS21" s="1" t="s">
        <v>373</v>
      </c>
      <c r="AT21" s="1" t="s">
        <v>374</v>
      </c>
      <c r="AU21" s="1" t="s">
        <v>347</v>
      </c>
      <c r="AV21" s="1" t="s">
        <v>375</v>
      </c>
      <c r="AW21" s="1" t="s">
        <v>376</v>
      </c>
      <c r="AX21" s="1" t="s">
        <v>334</v>
      </c>
      <c r="AY21" s="1" t="s">
        <v>92</v>
      </c>
      <c r="AZ21" s="1" t="s">
        <v>334</v>
      </c>
      <c r="BA21" s="2"/>
      <c r="BB21" s="13" t="s">
        <v>385</v>
      </c>
      <c r="BC21" s="15" t="s">
        <v>87</v>
      </c>
      <c r="BD21" s="15" t="s">
        <v>212</v>
      </c>
      <c r="BE21" s="13" t="s">
        <v>87</v>
      </c>
      <c r="BF21" s="16" t="s">
        <v>388</v>
      </c>
      <c r="BG21" s="15" t="s">
        <v>81</v>
      </c>
      <c r="BH21" s="2"/>
      <c r="BK21" s="2"/>
    </row>
    <row r="22" spans="7:63" x14ac:dyDescent="0.5">
      <c r="G22" s="1" t="s">
        <v>163</v>
      </c>
      <c r="H22" s="1" t="s">
        <v>163</v>
      </c>
      <c r="I22" s="1" t="s">
        <v>163</v>
      </c>
      <c r="L22" s="1" t="s">
        <v>353</v>
      </c>
      <c r="M22" s="1" t="s">
        <v>153</v>
      </c>
      <c r="N22" s="1" t="s">
        <v>29</v>
      </c>
      <c r="O22" s="1" t="s">
        <v>29</v>
      </c>
      <c r="P22" s="1" t="s">
        <v>389</v>
      </c>
      <c r="Q22" s="1" t="s">
        <v>390</v>
      </c>
      <c r="S22" s="1" t="s">
        <v>353</v>
      </c>
      <c r="T22" s="1" t="s">
        <v>153</v>
      </c>
      <c r="U22" s="1" t="s">
        <v>29</v>
      </c>
      <c r="V22" s="1" t="s">
        <v>29</v>
      </c>
      <c r="W22" s="1" t="s">
        <v>389</v>
      </c>
      <c r="X22" s="1" t="s">
        <v>390</v>
      </c>
      <c r="Y22" s="1" t="s">
        <v>391</v>
      </c>
      <c r="Z22" s="1" t="s">
        <v>298</v>
      </c>
      <c r="AA22" s="1" t="s">
        <v>332</v>
      </c>
      <c r="AB22" s="1" t="s">
        <v>276</v>
      </c>
      <c r="AC22" s="1" t="s">
        <v>392</v>
      </c>
      <c r="AD22" s="1" t="s">
        <v>102</v>
      </c>
      <c r="AE22" s="1" t="s">
        <v>393</v>
      </c>
      <c r="AF22" s="1" t="s">
        <v>375</v>
      </c>
      <c r="AG22" s="1" t="s">
        <v>394</v>
      </c>
      <c r="AL22" s="2" t="s">
        <v>395</v>
      </c>
      <c r="AM22" s="2" t="s">
        <v>396</v>
      </c>
      <c r="AN22" s="2" t="s">
        <v>292</v>
      </c>
      <c r="AO22" s="2" t="s">
        <v>331</v>
      </c>
      <c r="AP22" s="2" t="s">
        <v>196</v>
      </c>
      <c r="AR22" s="1" t="s">
        <v>232</v>
      </c>
      <c r="AS22" s="1" t="s">
        <v>379</v>
      </c>
      <c r="AT22" s="1" t="s">
        <v>380</v>
      </c>
      <c r="AU22" s="1" t="s">
        <v>381</v>
      </c>
      <c r="AV22" s="1" t="s">
        <v>382</v>
      </c>
      <c r="AW22" s="1" t="s">
        <v>383</v>
      </c>
      <c r="AX22" s="1" t="s">
        <v>314</v>
      </c>
      <c r="AY22" s="1" t="s">
        <v>190</v>
      </c>
      <c r="AZ22" s="1" t="s">
        <v>384</v>
      </c>
      <c r="BB22" s="13" t="s">
        <v>386</v>
      </c>
      <c r="BC22" s="15" t="s">
        <v>254</v>
      </c>
      <c r="BD22" s="16" t="s">
        <v>284</v>
      </c>
      <c r="BE22" s="13" t="s">
        <v>193</v>
      </c>
      <c r="BF22" s="16" t="s">
        <v>204</v>
      </c>
      <c r="BG22" s="15" t="s">
        <v>242</v>
      </c>
    </row>
    <row r="23" spans="7:63" x14ac:dyDescent="0.5">
      <c r="G23" s="1" t="s">
        <v>164</v>
      </c>
      <c r="H23" s="1" t="s">
        <v>164</v>
      </c>
      <c r="I23" s="1" t="s">
        <v>164</v>
      </c>
      <c r="L23" s="1" t="s">
        <v>319</v>
      </c>
      <c r="M23" s="1" t="s">
        <v>311</v>
      </c>
      <c r="N23" s="1" t="s">
        <v>29</v>
      </c>
      <c r="O23" s="1" t="s">
        <v>348</v>
      </c>
      <c r="P23" s="1" t="s">
        <v>86</v>
      </c>
      <c r="Q23" s="1" t="s">
        <v>231</v>
      </c>
      <c r="S23" s="1" t="s">
        <v>319</v>
      </c>
      <c r="T23" s="1" t="s">
        <v>311</v>
      </c>
      <c r="U23" s="1" t="s">
        <v>29</v>
      </c>
      <c r="V23" s="1" t="s">
        <v>348</v>
      </c>
      <c r="W23" s="1" t="s">
        <v>86</v>
      </c>
      <c r="X23" s="1" t="s">
        <v>231</v>
      </c>
      <c r="Y23" s="1" t="s">
        <v>95</v>
      </c>
      <c r="Z23" s="1" t="s">
        <v>397</v>
      </c>
      <c r="AA23" s="1" t="s">
        <v>398</v>
      </c>
      <c r="AB23" s="1" t="s">
        <v>248</v>
      </c>
      <c r="AC23" s="1" t="s">
        <v>399</v>
      </c>
      <c r="AD23" s="1" t="s">
        <v>327</v>
      </c>
      <c r="AE23" s="1" t="s">
        <v>282</v>
      </c>
      <c r="AF23" s="1" t="s">
        <v>273</v>
      </c>
      <c r="AG23" s="1" t="s">
        <v>400</v>
      </c>
      <c r="AL23" s="2" t="s">
        <v>341</v>
      </c>
      <c r="AM23" s="2" t="s">
        <v>375</v>
      </c>
      <c r="AN23" s="2" t="s">
        <v>99</v>
      </c>
      <c r="AO23" s="2" t="s">
        <v>401</v>
      </c>
      <c r="AP23" s="2" t="s">
        <v>402</v>
      </c>
      <c r="AR23" s="1" t="s">
        <v>391</v>
      </c>
      <c r="AS23" s="1" t="s">
        <v>298</v>
      </c>
      <c r="AT23" s="1" t="s">
        <v>332</v>
      </c>
      <c r="AU23" s="1" t="s">
        <v>276</v>
      </c>
      <c r="AV23" s="1" t="s">
        <v>392</v>
      </c>
      <c r="AW23" s="1" t="s">
        <v>102</v>
      </c>
      <c r="AX23" s="1" t="s">
        <v>393</v>
      </c>
      <c r="AY23" s="1" t="s">
        <v>375</v>
      </c>
      <c r="AZ23" s="1" t="s">
        <v>394</v>
      </c>
      <c r="BB23" s="14" t="s">
        <v>395</v>
      </c>
      <c r="BC23" s="15" t="s">
        <v>269</v>
      </c>
      <c r="BD23" s="16" t="s">
        <v>231</v>
      </c>
      <c r="BE23" s="15" t="s">
        <v>324</v>
      </c>
      <c r="BF23" s="15" t="s">
        <v>38</v>
      </c>
      <c r="BG23" s="15" t="s">
        <v>233</v>
      </c>
    </row>
    <row r="24" spans="7:63" x14ac:dyDescent="0.5">
      <c r="G24" s="1" t="s">
        <v>165</v>
      </c>
      <c r="H24" s="1" t="s">
        <v>165</v>
      </c>
      <c r="I24" s="1" t="s">
        <v>165</v>
      </c>
      <c r="L24" s="1" t="s">
        <v>318</v>
      </c>
      <c r="M24" s="1" t="s">
        <v>95</v>
      </c>
      <c r="N24" s="1" t="s">
        <v>90</v>
      </c>
      <c r="O24" s="1" t="s">
        <v>403</v>
      </c>
      <c r="P24" s="1" t="s">
        <v>87</v>
      </c>
      <c r="Q24" s="1" t="s">
        <v>273</v>
      </c>
      <c r="S24" s="1" t="s">
        <v>318</v>
      </c>
      <c r="T24" s="1" t="s">
        <v>95</v>
      </c>
      <c r="U24" s="1" t="s">
        <v>90</v>
      </c>
      <c r="V24" s="1" t="s">
        <v>403</v>
      </c>
      <c r="W24" s="1" t="s">
        <v>87</v>
      </c>
      <c r="X24" s="1" t="s">
        <v>273</v>
      </c>
      <c r="Y24" s="1" t="s">
        <v>235</v>
      </c>
      <c r="Z24" s="1" t="s">
        <v>147</v>
      </c>
      <c r="AA24" s="1" t="s">
        <v>404</v>
      </c>
      <c r="AB24" s="1" t="s">
        <v>373</v>
      </c>
      <c r="AC24" s="1" t="s">
        <v>334</v>
      </c>
      <c r="AD24" s="1" t="s">
        <v>405</v>
      </c>
      <c r="AE24" s="1" t="s">
        <v>405</v>
      </c>
      <c r="AF24" s="1" t="s">
        <v>406</v>
      </c>
      <c r="AG24" s="1" t="s">
        <v>306</v>
      </c>
      <c r="AL24" s="2" t="s">
        <v>20</v>
      </c>
      <c r="AM24" s="2" t="s">
        <v>406</v>
      </c>
      <c r="AN24" s="2" t="s">
        <v>407</v>
      </c>
      <c r="AO24" s="2" t="s">
        <v>408</v>
      </c>
      <c r="AP24" s="2" t="s">
        <v>87</v>
      </c>
      <c r="AR24" s="1" t="s">
        <v>95</v>
      </c>
      <c r="AS24" s="1" t="s">
        <v>397</v>
      </c>
      <c r="AT24" s="1" t="s">
        <v>398</v>
      </c>
      <c r="AU24" s="1" t="s">
        <v>248</v>
      </c>
      <c r="AV24" s="1" t="s">
        <v>399</v>
      </c>
      <c r="AW24" s="1" t="s">
        <v>327</v>
      </c>
      <c r="AX24" s="1" t="s">
        <v>282</v>
      </c>
      <c r="AY24" s="1" t="s">
        <v>273</v>
      </c>
      <c r="AZ24" s="1" t="s">
        <v>400</v>
      </c>
      <c r="BB24" s="13" t="s">
        <v>341</v>
      </c>
      <c r="BC24" s="15" t="s">
        <v>89</v>
      </c>
      <c r="BD24" s="15" t="s">
        <v>273</v>
      </c>
      <c r="BE24" s="14" t="s">
        <v>282</v>
      </c>
      <c r="BF24" s="15" t="s">
        <v>308</v>
      </c>
      <c r="BG24" s="15" t="s">
        <v>409</v>
      </c>
    </row>
    <row r="25" spans="7:63" x14ac:dyDescent="0.5">
      <c r="G25" s="1" t="s">
        <v>166</v>
      </c>
      <c r="H25" s="1" t="s">
        <v>166</v>
      </c>
      <c r="I25" s="1" t="s">
        <v>166</v>
      </c>
      <c r="L25" s="1" t="s">
        <v>410</v>
      </c>
      <c r="M25" s="1" t="s">
        <v>353</v>
      </c>
      <c r="N25" s="1" t="s">
        <v>403</v>
      </c>
      <c r="O25" s="1" t="s">
        <v>401</v>
      </c>
      <c r="P25" s="1" t="s">
        <v>400</v>
      </c>
      <c r="Q25" s="1" t="s">
        <v>411</v>
      </c>
      <c r="S25" s="1" t="s">
        <v>410</v>
      </c>
      <c r="T25" s="1" t="s">
        <v>353</v>
      </c>
      <c r="U25" s="1" t="s">
        <v>403</v>
      </c>
      <c r="V25" s="1" t="s">
        <v>401</v>
      </c>
      <c r="W25" s="1" t="s">
        <v>400</v>
      </c>
      <c r="X25" s="1" t="s">
        <v>411</v>
      </c>
      <c r="Y25" s="1" t="s">
        <v>412</v>
      </c>
      <c r="Z25" s="1" t="s">
        <v>413</v>
      </c>
      <c r="AA25" s="1" t="s">
        <v>414</v>
      </c>
      <c r="AB25" s="1" t="s">
        <v>415</v>
      </c>
      <c r="AC25" s="1" t="s">
        <v>384</v>
      </c>
      <c r="AD25" s="1" t="s">
        <v>282</v>
      </c>
      <c r="AE25" s="1" t="s">
        <v>416</v>
      </c>
      <c r="AF25" s="1" t="s">
        <v>242</v>
      </c>
      <c r="AG25" s="1" t="s">
        <v>214</v>
      </c>
      <c r="AL25" s="2" t="s">
        <v>406</v>
      </c>
      <c r="AM25" s="2" t="s">
        <v>177</v>
      </c>
      <c r="AN25" s="2" t="s">
        <v>102</v>
      </c>
      <c r="AO25" s="2" t="s">
        <v>417</v>
      </c>
      <c r="AP25" s="2" t="s">
        <v>279</v>
      </c>
      <c r="AR25" s="1" t="s">
        <v>235</v>
      </c>
      <c r="AS25" s="1" t="s">
        <v>147</v>
      </c>
      <c r="AT25" s="1" t="s">
        <v>404</v>
      </c>
      <c r="AU25" s="1" t="s">
        <v>373</v>
      </c>
      <c r="AV25" s="1" t="s">
        <v>334</v>
      </c>
      <c r="AW25" s="1" t="s">
        <v>405</v>
      </c>
      <c r="AX25" s="1" t="s">
        <v>405</v>
      </c>
      <c r="AY25" s="1" t="s">
        <v>406</v>
      </c>
      <c r="AZ25" s="1" t="s">
        <v>306</v>
      </c>
      <c r="BB25" s="14" t="s">
        <v>20</v>
      </c>
      <c r="BC25" s="15" t="s">
        <v>348</v>
      </c>
      <c r="BD25" s="16" t="s">
        <v>260</v>
      </c>
      <c r="BE25" s="15" t="s">
        <v>349</v>
      </c>
      <c r="BF25" s="15" t="s">
        <v>418</v>
      </c>
      <c r="BG25" s="15" t="s">
        <v>281</v>
      </c>
    </row>
    <row r="26" spans="7:63" x14ac:dyDescent="0.5">
      <c r="L26" s="1" t="s">
        <v>366</v>
      </c>
      <c r="M26" s="1" t="s">
        <v>419</v>
      </c>
      <c r="N26" s="1" t="s">
        <v>319</v>
      </c>
      <c r="O26" s="1" t="s">
        <v>420</v>
      </c>
      <c r="P26" s="1" t="s">
        <v>361</v>
      </c>
      <c r="Q26" s="1" t="s">
        <v>260</v>
      </c>
      <c r="S26" s="1" t="s">
        <v>366</v>
      </c>
      <c r="T26" s="1" t="s">
        <v>419</v>
      </c>
      <c r="U26" s="1" t="s">
        <v>319</v>
      </c>
      <c r="V26" s="1" t="s">
        <v>420</v>
      </c>
      <c r="W26" s="1" t="s">
        <v>361</v>
      </c>
      <c r="X26" s="1" t="s">
        <v>260</v>
      </c>
      <c r="Y26" s="1" t="s">
        <v>243</v>
      </c>
      <c r="Z26" s="1" t="s">
        <v>190</v>
      </c>
      <c r="AA26" s="1" t="s">
        <v>192</v>
      </c>
      <c r="AB26" s="1" t="s">
        <v>421</v>
      </c>
      <c r="AC26" s="1" t="s">
        <v>422</v>
      </c>
      <c r="AD26" s="1" t="s">
        <v>416</v>
      </c>
      <c r="AE26" s="1" t="s">
        <v>38</v>
      </c>
      <c r="AF26" s="1" t="s">
        <v>423</v>
      </c>
      <c r="AG26" s="1" t="s">
        <v>424</v>
      </c>
      <c r="AL26" s="2" t="s">
        <v>406</v>
      </c>
      <c r="AM26" s="2" t="s">
        <v>27</v>
      </c>
      <c r="AN26" s="2" t="s">
        <v>177</v>
      </c>
      <c r="AO26" s="2" t="s">
        <v>377</v>
      </c>
      <c r="AP26" s="2" t="s">
        <v>90</v>
      </c>
      <c r="AR26" s="1" t="s">
        <v>412</v>
      </c>
      <c r="AS26" s="1" t="s">
        <v>413</v>
      </c>
      <c r="AT26" s="1" t="s">
        <v>414</v>
      </c>
      <c r="AU26" s="1" t="s">
        <v>415</v>
      </c>
      <c r="AV26" s="1" t="s">
        <v>384</v>
      </c>
      <c r="AW26" s="1" t="s">
        <v>282</v>
      </c>
      <c r="AX26" s="1" t="s">
        <v>416</v>
      </c>
      <c r="AY26" s="1" t="s">
        <v>242</v>
      </c>
      <c r="AZ26" s="1" t="s">
        <v>214</v>
      </c>
      <c r="BB26" s="13" t="s">
        <v>406</v>
      </c>
      <c r="BC26" s="15" t="s">
        <v>283</v>
      </c>
      <c r="BD26" s="15" t="s">
        <v>302</v>
      </c>
      <c r="BE26" s="16" t="s">
        <v>278</v>
      </c>
      <c r="BF26" s="15" t="s">
        <v>226</v>
      </c>
      <c r="BG26" s="15" t="s">
        <v>273</v>
      </c>
    </row>
    <row r="27" spans="7:63" x14ac:dyDescent="0.5">
      <c r="L27" s="1" t="s">
        <v>425</v>
      </c>
      <c r="M27" s="1" t="s">
        <v>331</v>
      </c>
      <c r="N27" s="1" t="s">
        <v>419</v>
      </c>
      <c r="O27" s="1" t="s">
        <v>408</v>
      </c>
      <c r="P27" s="1" t="s">
        <v>297</v>
      </c>
      <c r="Q27" s="1" t="s">
        <v>338</v>
      </c>
      <c r="S27" s="1" t="s">
        <v>425</v>
      </c>
      <c r="T27" s="1" t="s">
        <v>331</v>
      </c>
      <c r="U27" s="1" t="s">
        <v>419</v>
      </c>
      <c r="V27" s="1" t="s">
        <v>408</v>
      </c>
      <c r="W27" s="1" t="s">
        <v>297</v>
      </c>
      <c r="X27" s="1" t="s">
        <v>338</v>
      </c>
      <c r="Y27" s="1" t="s">
        <v>192</v>
      </c>
      <c r="Z27" s="1" t="s">
        <v>229</v>
      </c>
      <c r="AA27" s="1" t="s">
        <v>147</v>
      </c>
      <c r="AB27" s="1" t="s">
        <v>238</v>
      </c>
      <c r="AC27" s="1" t="s">
        <v>282</v>
      </c>
      <c r="AD27" s="1" t="s">
        <v>38</v>
      </c>
      <c r="AE27" s="1" t="s">
        <v>426</v>
      </c>
      <c r="AF27" s="1" t="s">
        <v>427</v>
      </c>
      <c r="AG27" s="1" t="s">
        <v>107</v>
      </c>
      <c r="AL27" s="2" t="s">
        <v>428</v>
      </c>
      <c r="AM27" s="2" t="s">
        <v>294</v>
      </c>
      <c r="AN27" s="2" t="s">
        <v>405</v>
      </c>
      <c r="AO27" s="2" t="s">
        <v>304</v>
      </c>
      <c r="AP27" s="2" t="s">
        <v>403</v>
      </c>
      <c r="AR27" s="1" t="s">
        <v>243</v>
      </c>
      <c r="AS27" s="1" t="s">
        <v>190</v>
      </c>
      <c r="AT27" s="1" t="s">
        <v>192</v>
      </c>
      <c r="AU27" s="1" t="s">
        <v>421</v>
      </c>
      <c r="AV27" s="1" t="s">
        <v>422</v>
      </c>
      <c r="AW27" s="1" t="s">
        <v>416</v>
      </c>
      <c r="AX27" s="1" t="s">
        <v>38</v>
      </c>
      <c r="AY27" s="1" t="s">
        <v>423</v>
      </c>
      <c r="AZ27" s="1" t="s">
        <v>424</v>
      </c>
      <c r="BB27" s="18" t="s">
        <v>428</v>
      </c>
      <c r="BC27" s="15" t="s">
        <v>370</v>
      </c>
      <c r="BD27" s="15" t="s">
        <v>196</v>
      </c>
      <c r="BE27" s="14" t="s">
        <v>301</v>
      </c>
      <c r="BF27" s="16" t="s">
        <v>210</v>
      </c>
      <c r="BG27" s="15" t="s">
        <v>365</v>
      </c>
    </row>
    <row r="28" spans="7:63" x14ac:dyDescent="0.5">
      <c r="L28" s="1" t="s">
        <v>377</v>
      </c>
      <c r="M28" s="1" t="s">
        <v>356</v>
      </c>
      <c r="N28" s="1" t="s">
        <v>356</v>
      </c>
      <c r="O28" s="1" t="s">
        <v>318</v>
      </c>
      <c r="P28" s="1" t="s">
        <v>89</v>
      </c>
      <c r="Q28" s="1" t="s">
        <v>302</v>
      </c>
      <c r="S28" s="1" t="s">
        <v>377</v>
      </c>
      <c r="T28" s="1" t="s">
        <v>356</v>
      </c>
      <c r="U28" s="1" t="s">
        <v>356</v>
      </c>
      <c r="V28" s="1" t="s">
        <v>318</v>
      </c>
      <c r="W28" s="1" t="s">
        <v>89</v>
      </c>
      <c r="X28" s="1" t="s">
        <v>302</v>
      </c>
      <c r="Y28" s="1" t="s">
        <v>104</v>
      </c>
      <c r="Z28" s="1" t="s">
        <v>339</v>
      </c>
      <c r="AA28" s="1" t="s">
        <v>429</v>
      </c>
      <c r="AB28" s="1" t="s">
        <v>430</v>
      </c>
      <c r="AC28" s="1" t="s">
        <v>416</v>
      </c>
      <c r="AD28" s="1" t="s">
        <v>431</v>
      </c>
      <c r="AE28" s="1" t="s">
        <v>432</v>
      </c>
      <c r="AF28" s="1" t="s">
        <v>433</v>
      </c>
      <c r="AG28" s="1" t="s">
        <v>409</v>
      </c>
      <c r="AL28" s="2"/>
      <c r="AM28" s="2"/>
      <c r="AN28" s="2" t="s">
        <v>434</v>
      </c>
      <c r="AO28" s="2" t="s">
        <v>375</v>
      </c>
      <c r="AP28" s="2" t="s">
        <v>283</v>
      </c>
      <c r="AR28" s="1" t="s">
        <v>192</v>
      </c>
      <c r="AS28" s="1" t="s">
        <v>229</v>
      </c>
      <c r="AT28" s="1" t="s">
        <v>147</v>
      </c>
      <c r="AU28" s="1" t="s">
        <v>238</v>
      </c>
      <c r="AV28" s="1" t="s">
        <v>282</v>
      </c>
      <c r="AW28" s="1" t="s">
        <v>38</v>
      </c>
      <c r="AX28" s="1" t="s">
        <v>426</v>
      </c>
      <c r="AY28" s="1" t="s">
        <v>427</v>
      </c>
      <c r="AZ28" s="1" t="s">
        <v>107</v>
      </c>
      <c r="BB28" s="18"/>
      <c r="BC28" s="15" t="s">
        <v>298</v>
      </c>
      <c r="BD28" s="16" t="s">
        <v>85</v>
      </c>
      <c r="BE28" s="13" t="s">
        <v>346</v>
      </c>
      <c r="BF28" s="15" t="s">
        <v>251</v>
      </c>
      <c r="BG28" s="15" t="s">
        <v>394</v>
      </c>
    </row>
    <row r="29" spans="7:63" x14ac:dyDescent="0.5">
      <c r="L29" s="1" t="s">
        <v>435</v>
      </c>
      <c r="M29" s="1" t="s">
        <v>420</v>
      </c>
      <c r="N29" s="1" t="s">
        <v>408</v>
      </c>
      <c r="O29" s="1" t="s">
        <v>362</v>
      </c>
      <c r="P29" s="1" t="s">
        <v>436</v>
      </c>
      <c r="Q29" s="1" t="s">
        <v>266</v>
      </c>
      <c r="S29" s="1" t="s">
        <v>435</v>
      </c>
      <c r="T29" s="1" t="s">
        <v>420</v>
      </c>
      <c r="U29" s="1" t="s">
        <v>408</v>
      </c>
      <c r="V29" s="1" t="s">
        <v>362</v>
      </c>
      <c r="W29" s="1" t="s">
        <v>436</v>
      </c>
      <c r="X29" s="1" t="s">
        <v>266</v>
      </c>
      <c r="Y29" s="1" t="s">
        <v>437</v>
      </c>
      <c r="Z29" s="1" t="s">
        <v>438</v>
      </c>
      <c r="AA29" s="1" t="s">
        <v>438</v>
      </c>
      <c r="AB29" s="1" t="s">
        <v>439</v>
      </c>
      <c r="AC29" s="1" t="s">
        <v>405</v>
      </c>
      <c r="AD29" s="1" t="s">
        <v>440</v>
      </c>
      <c r="AE29" s="1" t="s">
        <v>361</v>
      </c>
      <c r="AF29" s="1" t="s">
        <v>289</v>
      </c>
      <c r="AG29" s="1" t="s">
        <v>378</v>
      </c>
      <c r="AL29" s="2"/>
      <c r="AN29" s="2" t="s">
        <v>441</v>
      </c>
      <c r="AO29" s="2" t="s">
        <v>442</v>
      </c>
      <c r="AP29" s="2" t="s">
        <v>443</v>
      </c>
      <c r="AR29" s="1" t="s">
        <v>104</v>
      </c>
      <c r="AS29" s="1" t="s">
        <v>339</v>
      </c>
      <c r="AT29" s="1" t="s">
        <v>429</v>
      </c>
      <c r="AU29" s="1" t="s">
        <v>430</v>
      </c>
      <c r="AV29" s="1" t="s">
        <v>416</v>
      </c>
      <c r="AW29" s="1" t="s">
        <v>431</v>
      </c>
      <c r="AX29" s="1" t="s">
        <v>432</v>
      </c>
      <c r="AY29" s="1" t="s">
        <v>433</v>
      </c>
      <c r="AZ29" s="1" t="s">
        <v>409</v>
      </c>
      <c r="BC29" s="15" t="s">
        <v>153</v>
      </c>
      <c r="BD29" s="15" t="s">
        <v>299</v>
      </c>
      <c r="BE29" s="15" t="s">
        <v>269</v>
      </c>
      <c r="BF29" s="15" t="s">
        <v>81</v>
      </c>
      <c r="BG29" s="15" t="s">
        <v>266</v>
      </c>
    </row>
    <row r="30" spans="7:63" x14ac:dyDescent="0.5">
      <c r="L30" s="1" t="s">
        <v>304</v>
      </c>
      <c r="M30" s="1" t="s">
        <v>236</v>
      </c>
      <c r="N30" s="1" t="s">
        <v>318</v>
      </c>
      <c r="O30" s="1" t="s">
        <v>99</v>
      </c>
      <c r="P30" s="1" t="s">
        <v>444</v>
      </c>
      <c r="Q30" s="1" t="s">
        <v>266</v>
      </c>
      <c r="S30" s="1" t="s">
        <v>304</v>
      </c>
      <c r="T30" s="1" t="s">
        <v>236</v>
      </c>
      <c r="U30" s="1" t="s">
        <v>318</v>
      </c>
      <c r="V30" s="1" t="s">
        <v>99</v>
      </c>
      <c r="W30" s="1" t="s">
        <v>444</v>
      </c>
      <c r="X30" s="1" t="s">
        <v>266</v>
      </c>
      <c r="Y30" s="1" t="s">
        <v>107</v>
      </c>
      <c r="Z30" s="1" t="s">
        <v>353</v>
      </c>
      <c r="AA30" s="1" t="s">
        <v>94</v>
      </c>
      <c r="AB30" s="1" t="s">
        <v>14</v>
      </c>
      <c r="AC30" s="1" t="s">
        <v>445</v>
      </c>
      <c r="AD30" s="1" t="s">
        <v>419</v>
      </c>
      <c r="AE30" s="1" t="s">
        <v>98</v>
      </c>
      <c r="AL30" s="2"/>
      <c r="AN30" s="2" t="s">
        <v>432</v>
      </c>
      <c r="AO30" s="2" t="s">
        <v>446</v>
      </c>
      <c r="AP30" s="2" t="s">
        <v>92</v>
      </c>
      <c r="AR30" s="1" t="s">
        <v>437</v>
      </c>
      <c r="AS30" s="1" t="s">
        <v>438</v>
      </c>
      <c r="AT30" s="1" t="s">
        <v>438</v>
      </c>
      <c r="AU30" s="1" t="s">
        <v>439</v>
      </c>
      <c r="AV30" s="1" t="s">
        <v>405</v>
      </c>
      <c r="AW30" s="1" t="s">
        <v>440</v>
      </c>
      <c r="AX30" s="1" t="s">
        <v>361</v>
      </c>
      <c r="AY30" s="1" t="s">
        <v>289</v>
      </c>
      <c r="AZ30" s="1" t="s">
        <v>378</v>
      </c>
      <c r="BC30" s="15" t="s">
        <v>311</v>
      </c>
      <c r="BD30" s="15" t="s">
        <v>325</v>
      </c>
      <c r="BE30" s="16" t="s">
        <v>279</v>
      </c>
      <c r="BF30" s="16" t="s">
        <v>242</v>
      </c>
      <c r="BG30" s="15" t="s">
        <v>261</v>
      </c>
    </row>
    <row r="31" spans="7:63" x14ac:dyDescent="0.5">
      <c r="L31" s="1" t="s">
        <v>292</v>
      </c>
      <c r="M31" s="1" t="s">
        <v>376</v>
      </c>
      <c r="N31" s="1" t="s">
        <v>339</v>
      </c>
      <c r="O31" s="1" t="s">
        <v>375</v>
      </c>
      <c r="P31" s="1" t="s">
        <v>92</v>
      </c>
      <c r="Q31" s="1" t="s">
        <v>261</v>
      </c>
      <c r="S31" s="1" t="s">
        <v>292</v>
      </c>
      <c r="T31" s="1" t="s">
        <v>376</v>
      </c>
      <c r="U31" s="1" t="s">
        <v>339</v>
      </c>
      <c r="V31" s="1" t="s">
        <v>375</v>
      </c>
      <c r="W31" s="1" t="s">
        <v>92</v>
      </c>
      <c r="X31" s="1" t="s">
        <v>261</v>
      </c>
      <c r="Y31" s="1" t="s">
        <v>378</v>
      </c>
      <c r="Z31" s="1" t="s">
        <v>401</v>
      </c>
      <c r="AA31" s="1" t="s">
        <v>154</v>
      </c>
      <c r="AB31" s="1" t="s">
        <v>447</v>
      </c>
      <c r="AC31" s="1" t="s">
        <v>448</v>
      </c>
      <c r="AD31" s="1" t="s">
        <v>320</v>
      </c>
      <c r="AE31" s="1" t="s">
        <v>388</v>
      </c>
      <c r="AL31" s="2"/>
      <c r="AN31" s="2" t="s">
        <v>449</v>
      </c>
      <c r="AO31" s="2" t="s">
        <v>450</v>
      </c>
      <c r="AP31" s="2" t="s">
        <v>451</v>
      </c>
      <c r="AR31" s="1" t="s">
        <v>107</v>
      </c>
      <c r="AS31" s="1" t="s">
        <v>353</v>
      </c>
      <c r="AT31" s="1" t="s">
        <v>94</v>
      </c>
      <c r="AU31" s="1" t="s">
        <v>14</v>
      </c>
      <c r="AV31" s="1" t="s">
        <v>445</v>
      </c>
      <c r="AW31" s="1" t="s">
        <v>419</v>
      </c>
      <c r="AX31" s="1" t="s">
        <v>98</v>
      </c>
      <c r="BC31" s="15" t="s">
        <v>95</v>
      </c>
      <c r="BD31" s="16" t="s">
        <v>261</v>
      </c>
      <c r="BE31" s="15" t="s">
        <v>29</v>
      </c>
      <c r="BF31" s="16" t="s">
        <v>233</v>
      </c>
      <c r="BG31" s="15" t="s">
        <v>330</v>
      </c>
    </row>
    <row r="32" spans="7:63" x14ac:dyDescent="0.5">
      <c r="L32" s="1" t="s">
        <v>375</v>
      </c>
      <c r="M32" s="1" t="s">
        <v>386</v>
      </c>
      <c r="N32" s="1" t="s">
        <v>97</v>
      </c>
      <c r="O32" s="1" t="s">
        <v>446</v>
      </c>
      <c r="P32" s="1" t="s">
        <v>93</v>
      </c>
      <c r="Q32" s="1" t="s">
        <v>241</v>
      </c>
      <c r="S32" s="1" t="s">
        <v>375</v>
      </c>
      <c r="T32" s="1" t="s">
        <v>386</v>
      </c>
      <c r="U32" s="1" t="s">
        <v>97</v>
      </c>
      <c r="V32" s="1" t="s">
        <v>446</v>
      </c>
      <c r="W32" s="1" t="s">
        <v>93</v>
      </c>
      <c r="X32" s="1" t="s">
        <v>241</v>
      </c>
      <c r="Y32" s="1" t="s">
        <v>212</v>
      </c>
      <c r="Z32" s="1" t="s">
        <v>27</v>
      </c>
      <c r="AA32" s="1" t="s">
        <v>452</v>
      </c>
      <c r="AB32" s="1" t="s">
        <v>453</v>
      </c>
      <c r="AC32" s="1" t="s">
        <v>377</v>
      </c>
      <c r="AD32" s="1" t="s">
        <v>423</v>
      </c>
      <c r="AE32" s="1" t="s">
        <v>454</v>
      </c>
      <c r="AL32" s="2"/>
      <c r="AO32" s="2" t="s">
        <v>455</v>
      </c>
      <c r="AP32" s="2" t="s">
        <v>456</v>
      </c>
      <c r="AR32" s="1" t="s">
        <v>378</v>
      </c>
      <c r="AS32" s="1" t="s">
        <v>401</v>
      </c>
      <c r="AT32" s="1" t="s">
        <v>154</v>
      </c>
      <c r="AU32" s="1" t="s">
        <v>447</v>
      </c>
      <c r="AV32" s="1" t="s">
        <v>448</v>
      </c>
      <c r="AW32" s="1" t="s">
        <v>320</v>
      </c>
      <c r="AX32" s="1" t="s">
        <v>388</v>
      </c>
      <c r="BC32" s="15" t="s">
        <v>353</v>
      </c>
      <c r="BD32" s="16" t="s">
        <v>337</v>
      </c>
      <c r="BE32" s="15" t="s">
        <v>90</v>
      </c>
      <c r="BF32" s="15" t="s">
        <v>409</v>
      </c>
      <c r="BG32" s="15" t="s">
        <v>290</v>
      </c>
    </row>
    <row r="33" spans="12:59" x14ac:dyDescent="0.5">
      <c r="L33" s="1" t="s">
        <v>457</v>
      </c>
      <c r="M33" s="1" t="s">
        <v>457</v>
      </c>
      <c r="N33" s="1" t="s">
        <v>458</v>
      </c>
      <c r="O33" s="1" t="s">
        <v>20</v>
      </c>
      <c r="P33" s="1" t="s">
        <v>94</v>
      </c>
      <c r="Q33" s="1" t="s">
        <v>282</v>
      </c>
      <c r="S33" s="1" t="s">
        <v>457</v>
      </c>
      <c r="T33" s="1" t="s">
        <v>457</v>
      </c>
      <c r="U33" s="1" t="s">
        <v>458</v>
      </c>
      <c r="V33" s="1" t="s">
        <v>20</v>
      </c>
      <c r="W33" s="1" t="s">
        <v>94</v>
      </c>
      <c r="X33" s="1" t="s">
        <v>282</v>
      </c>
      <c r="Y33" s="1" t="s">
        <v>431</v>
      </c>
      <c r="Z33" s="1" t="s">
        <v>459</v>
      </c>
      <c r="AA33" s="1" t="s">
        <v>460</v>
      </c>
      <c r="AB33" s="1" t="s">
        <v>384</v>
      </c>
      <c r="AC33" s="1" t="s">
        <v>394</v>
      </c>
      <c r="AD33" s="1" t="s">
        <v>82</v>
      </c>
      <c r="AE33" s="1" t="s">
        <v>222</v>
      </c>
      <c r="AO33" s="2" t="s">
        <v>461</v>
      </c>
      <c r="AP33" s="2" t="s">
        <v>462</v>
      </c>
      <c r="AR33" s="1" t="s">
        <v>212</v>
      </c>
      <c r="AS33" s="1" t="s">
        <v>27</v>
      </c>
      <c r="AT33" s="1" t="s">
        <v>452</v>
      </c>
      <c r="AU33" s="1" t="s">
        <v>453</v>
      </c>
      <c r="AV33" s="1" t="s">
        <v>377</v>
      </c>
      <c r="AW33" s="1" t="s">
        <v>423</v>
      </c>
      <c r="AX33" s="1" t="s">
        <v>454</v>
      </c>
      <c r="BC33" s="15" t="s">
        <v>319</v>
      </c>
      <c r="BD33" s="15" t="s">
        <v>221</v>
      </c>
      <c r="BE33" s="16" t="s">
        <v>403</v>
      </c>
      <c r="BF33" s="15" t="s">
        <v>281</v>
      </c>
      <c r="BG33" s="15" t="s">
        <v>320</v>
      </c>
    </row>
    <row r="34" spans="12:59" x14ac:dyDescent="0.5">
      <c r="L34" s="1" t="s">
        <v>446</v>
      </c>
      <c r="M34" s="1" t="s">
        <v>423</v>
      </c>
      <c r="N34" s="1" t="s">
        <v>292</v>
      </c>
      <c r="O34" s="1" t="s">
        <v>406</v>
      </c>
      <c r="P34" s="1" t="s">
        <v>95</v>
      </c>
      <c r="Q34" s="1" t="s">
        <v>361</v>
      </c>
      <c r="S34" s="1" t="s">
        <v>446</v>
      </c>
      <c r="T34" s="1" t="s">
        <v>423</v>
      </c>
      <c r="U34" s="1" t="s">
        <v>292</v>
      </c>
      <c r="V34" s="1" t="s">
        <v>406</v>
      </c>
      <c r="W34" s="1" t="s">
        <v>95</v>
      </c>
      <c r="X34" s="1" t="s">
        <v>361</v>
      </c>
      <c r="Y34" s="1" t="s">
        <v>463</v>
      </c>
      <c r="Z34" s="1" t="s">
        <v>20</v>
      </c>
      <c r="AA34" s="1" t="s">
        <v>464</v>
      </c>
      <c r="AB34" s="1" t="s">
        <v>465</v>
      </c>
      <c r="AC34" s="1" t="s">
        <v>348</v>
      </c>
      <c r="AE34" s="1" t="s">
        <v>466</v>
      </c>
      <c r="AO34" s="2" t="s">
        <v>467</v>
      </c>
      <c r="AP34" s="2" t="s">
        <v>468</v>
      </c>
      <c r="AR34" s="1" t="s">
        <v>431</v>
      </c>
      <c r="AS34" s="1" t="s">
        <v>459</v>
      </c>
      <c r="AT34" s="1" t="s">
        <v>460</v>
      </c>
      <c r="AU34" s="1" t="s">
        <v>384</v>
      </c>
      <c r="AV34" s="1" t="s">
        <v>394</v>
      </c>
      <c r="AW34" s="1" t="s">
        <v>82</v>
      </c>
      <c r="AX34" s="1" t="s">
        <v>222</v>
      </c>
      <c r="BC34" s="15" t="s">
        <v>419</v>
      </c>
      <c r="BD34" s="15" t="s">
        <v>312</v>
      </c>
      <c r="BE34" s="14" t="s">
        <v>357</v>
      </c>
      <c r="BF34" s="15" t="s">
        <v>466</v>
      </c>
      <c r="BG34" s="15" t="s">
        <v>400</v>
      </c>
    </row>
    <row r="35" spans="12:59" x14ac:dyDescent="0.5">
      <c r="L35" s="1" t="s">
        <v>264</v>
      </c>
      <c r="M35" s="1" t="s">
        <v>469</v>
      </c>
      <c r="N35" s="1" t="s">
        <v>470</v>
      </c>
      <c r="O35" s="1" t="s">
        <v>467</v>
      </c>
      <c r="P35" s="1" t="s">
        <v>331</v>
      </c>
      <c r="Q35" s="1" t="s">
        <v>416</v>
      </c>
      <c r="S35" s="1" t="s">
        <v>264</v>
      </c>
      <c r="T35" s="1" t="s">
        <v>469</v>
      </c>
      <c r="U35" s="1" t="s">
        <v>470</v>
      </c>
      <c r="V35" s="1" t="s">
        <v>467</v>
      </c>
      <c r="W35" s="1" t="s">
        <v>331</v>
      </c>
      <c r="X35" s="1" t="s">
        <v>416</v>
      </c>
      <c r="Y35" s="1" t="s">
        <v>471</v>
      </c>
      <c r="Z35" s="1" t="s">
        <v>472</v>
      </c>
      <c r="AA35" s="1" t="s">
        <v>473</v>
      </c>
      <c r="AB35" s="1" t="s">
        <v>474</v>
      </c>
      <c r="AC35" s="1" t="s">
        <v>449</v>
      </c>
      <c r="AE35" s="1" t="s">
        <v>475</v>
      </c>
      <c r="AO35" s="2" t="s">
        <v>322</v>
      </c>
      <c r="AP35" s="2" t="s">
        <v>354</v>
      </c>
      <c r="AR35" s="1" t="s">
        <v>463</v>
      </c>
      <c r="AS35" s="1" t="s">
        <v>20</v>
      </c>
      <c r="AT35" s="1" t="s">
        <v>464</v>
      </c>
      <c r="AU35" s="1" t="s">
        <v>465</v>
      </c>
      <c r="AV35" s="1" t="s">
        <v>348</v>
      </c>
      <c r="AX35" s="1" t="s">
        <v>466</v>
      </c>
      <c r="BC35" s="15" t="s">
        <v>331</v>
      </c>
      <c r="BD35" s="16" t="s">
        <v>330</v>
      </c>
      <c r="BE35" s="13" t="s">
        <v>353</v>
      </c>
      <c r="BF35" s="16" t="s">
        <v>378</v>
      </c>
      <c r="BG35" s="15" t="s">
        <v>282</v>
      </c>
    </row>
    <row r="36" spans="12:59" x14ac:dyDescent="0.5">
      <c r="L36" s="1" t="s">
        <v>20</v>
      </c>
      <c r="M36" s="1" t="s">
        <v>177</v>
      </c>
      <c r="N36" s="1" t="s">
        <v>407</v>
      </c>
      <c r="O36" s="1" t="s">
        <v>476</v>
      </c>
      <c r="P36" s="1" t="s">
        <v>472</v>
      </c>
      <c r="Q36" s="1" t="s">
        <v>89</v>
      </c>
      <c r="S36" s="1" t="s">
        <v>20</v>
      </c>
      <c r="T36" s="1" t="s">
        <v>177</v>
      </c>
      <c r="U36" s="1" t="s">
        <v>407</v>
      </c>
      <c r="V36" s="1" t="s">
        <v>476</v>
      </c>
      <c r="W36" s="1" t="s">
        <v>472</v>
      </c>
      <c r="X36" s="1" t="s">
        <v>89</v>
      </c>
      <c r="Y36" s="1" t="s">
        <v>416</v>
      </c>
      <c r="Z36" s="1" t="s">
        <v>477</v>
      </c>
      <c r="AA36" s="1" t="s">
        <v>458</v>
      </c>
      <c r="AB36" s="1" t="s">
        <v>38</v>
      </c>
      <c r="AC36" s="1" t="s">
        <v>217</v>
      </c>
      <c r="AE36" s="1" t="s">
        <v>418</v>
      </c>
      <c r="AP36" s="2" t="s">
        <v>362</v>
      </c>
      <c r="AR36" s="1" t="s">
        <v>471</v>
      </c>
      <c r="AS36" s="1" t="s">
        <v>472</v>
      </c>
      <c r="AT36" s="1" t="s">
        <v>473</v>
      </c>
      <c r="AU36" s="1" t="s">
        <v>474</v>
      </c>
      <c r="AV36" s="1" t="s">
        <v>449</v>
      </c>
      <c r="AX36" s="1" t="s">
        <v>475</v>
      </c>
      <c r="BC36" s="15" t="s">
        <v>345</v>
      </c>
      <c r="BD36" s="15" t="s">
        <v>290</v>
      </c>
      <c r="BE36" s="15" t="s">
        <v>319</v>
      </c>
      <c r="BF36" s="16" t="s">
        <v>426</v>
      </c>
      <c r="BG36" s="15" t="s">
        <v>416</v>
      </c>
    </row>
    <row r="37" spans="12:59" x14ac:dyDescent="0.5">
      <c r="L37" s="1" t="s">
        <v>478</v>
      </c>
      <c r="M37" s="1" t="s">
        <v>27</v>
      </c>
      <c r="N37" s="1" t="s">
        <v>479</v>
      </c>
      <c r="P37" s="1" t="s">
        <v>356</v>
      </c>
      <c r="Q37" s="1" t="s">
        <v>279</v>
      </c>
      <c r="S37" s="1" t="s">
        <v>478</v>
      </c>
      <c r="T37" s="1" t="s">
        <v>27</v>
      </c>
      <c r="U37" s="1" t="s">
        <v>479</v>
      </c>
      <c r="W37" s="1" t="s">
        <v>356</v>
      </c>
      <c r="X37" s="1" t="s">
        <v>279</v>
      </c>
      <c r="Y37" s="1" t="s">
        <v>479</v>
      </c>
      <c r="Z37" s="1" t="s">
        <v>276</v>
      </c>
      <c r="AA37" s="1" t="s">
        <v>86</v>
      </c>
      <c r="AB37" s="1" t="s">
        <v>304</v>
      </c>
      <c r="AC37" s="1" t="s">
        <v>239</v>
      </c>
      <c r="AE37" s="1" t="s">
        <v>214</v>
      </c>
      <c r="AP37" s="2" t="s">
        <v>480</v>
      </c>
      <c r="AR37" s="1" t="s">
        <v>416</v>
      </c>
      <c r="AS37" s="1" t="s">
        <v>477</v>
      </c>
      <c r="AT37" s="1" t="s">
        <v>458</v>
      </c>
      <c r="AU37" s="1" t="s">
        <v>38</v>
      </c>
      <c r="AV37" s="1" t="s">
        <v>217</v>
      </c>
      <c r="AX37" s="1" t="s">
        <v>418</v>
      </c>
      <c r="BC37" s="15" t="s">
        <v>356</v>
      </c>
      <c r="BD37" s="15" t="s">
        <v>87</v>
      </c>
      <c r="BE37" s="16" t="s">
        <v>419</v>
      </c>
      <c r="BF37" s="16" t="s">
        <v>295</v>
      </c>
      <c r="BG37" s="15" t="s">
        <v>279</v>
      </c>
    </row>
    <row r="38" spans="12:59" x14ac:dyDescent="0.5">
      <c r="L38" s="1" t="s">
        <v>459</v>
      </c>
      <c r="M38" s="1" t="s">
        <v>405</v>
      </c>
      <c r="N38" s="1" t="s">
        <v>406</v>
      </c>
      <c r="P38" s="1" t="s">
        <v>481</v>
      </c>
      <c r="Q38" s="1" t="s">
        <v>90</v>
      </c>
      <c r="S38" s="1" t="s">
        <v>459</v>
      </c>
      <c r="T38" s="1" t="s">
        <v>405</v>
      </c>
      <c r="U38" s="1" t="s">
        <v>406</v>
      </c>
      <c r="W38" s="1" t="s">
        <v>481</v>
      </c>
      <c r="X38" s="1" t="s">
        <v>90</v>
      </c>
      <c r="Y38" s="1" t="s">
        <v>482</v>
      </c>
      <c r="Z38" s="1" t="s">
        <v>420</v>
      </c>
      <c r="AA38" s="1" t="s">
        <v>483</v>
      </c>
      <c r="AB38" s="1" t="s">
        <v>190</v>
      </c>
      <c r="AC38" s="1" t="s">
        <v>320</v>
      </c>
      <c r="AE38" s="1" t="s">
        <v>424</v>
      </c>
      <c r="AP38" s="2" t="s">
        <v>484</v>
      </c>
      <c r="AR38" s="1" t="s">
        <v>479</v>
      </c>
      <c r="AS38" s="1" t="s">
        <v>276</v>
      </c>
      <c r="AT38" s="1" t="s">
        <v>86</v>
      </c>
      <c r="AU38" s="1" t="s">
        <v>304</v>
      </c>
      <c r="AV38" s="1" t="s">
        <v>239</v>
      </c>
      <c r="AX38" s="1" t="s">
        <v>214</v>
      </c>
      <c r="BC38" s="15" t="s">
        <v>420</v>
      </c>
      <c r="BD38" s="13" t="s">
        <v>320</v>
      </c>
      <c r="BE38" s="13" t="s">
        <v>356</v>
      </c>
      <c r="BF38" s="16" t="s">
        <v>342</v>
      </c>
      <c r="BG38" s="15" t="s">
        <v>222</v>
      </c>
    </row>
    <row r="39" spans="12:59" x14ac:dyDescent="0.5">
      <c r="L39" s="1" t="s">
        <v>406</v>
      </c>
      <c r="M39" s="1" t="s">
        <v>467</v>
      </c>
      <c r="N39" s="1" t="s">
        <v>469</v>
      </c>
      <c r="P39" s="1" t="s">
        <v>485</v>
      </c>
      <c r="Q39" s="1" t="s">
        <v>90</v>
      </c>
      <c r="S39" s="1" t="s">
        <v>406</v>
      </c>
      <c r="T39" s="1" t="s">
        <v>467</v>
      </c>
      <c r="U39" s="1" t="s">
        <v>469</v>
      </c>
      <c r="W39" s="1" t="s">
        <v>485</v>
      </c>
      <c r="X39" s="1" t="s">
        <v>90</v>
      </c>
      <c r="Y39" s="1" t="s">
        <v>486</v>
      </c>
      <c r="Z39" s="1" t="s">
        <v>144</v>
      </c>
      <c r="AA39" s="1" t="s">
        <v>292</v>
      </c>
      <c r="AB39" s="1" t="s">
        <v>443</v>
      </c>
      <c r="AC39" s="1" t="s">
        <v>325</v>
      </c>
      <c r="AP39" s="2" t="s">
        <v>343</v>
      </c>
      <c r="AR39" s="1" t="s">
        <v>482</v>
      </c>
      <c r="AS39" s="1" t="s">
        <v>420</v>
      </c>
      <c r="AT39" s="1" t="s">
        <v>483</v>
      </c>
      <c r="AU39" s="1" t="s">
        <v>190</v>
      </c>
      <c r="AV39" s="1" t="s">
        <v>320</v>
      </c>
      <c r="AX39" s="1" t="s">
        <v>424</v>
      </c>
      <c r="BC39" s="15" t="s">
        <v>236</v>
      </c>
      <c r="BD39" s="14" t="s">
        <v>332</v>
      </c>
      <c r="BE39" s="16" t="s">
        <v>408</v>
      </c>
      <c r="BF39" s="16" t="s">
        <v>273</v>
      </c>
      <c r="BG39" s="15" t="s">
        <v>433</v>
      </c>
    </row>
    <row r="40" spans="12:59" x14ac:dyDescent="0.5">
      <c r="L40" s="1" t="s">
        <v>423</v>
      </c>
      <c r="M40" s="1" t="s">
        <v>294</v>
      </c>
      <c r="N40" s="1" t="s">
        <v>102</v>
      </c>
      <c r="P40" s="1" t="s">
        <v>486</v>
      </c>
      <c r="Q40" s="1" t="s">
        <v>487</v>
      </c>
      <c r="S40" s="1" t="s">
        <v>423</v>
      </c>
      <c r="T40" s="1" t="s">
        <v>294</v>
      </c>
      <c r="U40" s="1" t="s">
        <v>102</v>
      </c>
      <c r="W40" s="1" t="s">
        <v>486</v>
      </c>
      <c r="X40" s="1" t="s">
        <v>487</v>
      </c>
      <c r="Y40" s="1" t="s">
        <v>36</v>
      </c>
      <c r="Z40" s="1" t="s">
        <v>488</v>
      </c>
      <c r="AA40" s="1" t="s">
        <v>304</v>
      </c>
      <c r="AB40" s="1" t="s">
        <v>489</v>
      </c>
      <c r="AC40" s="1" t="s">
        <v>38</v>
      </c>
      <c r="AP40" s="2" t="s">
        <v>490</v>
      </c>
      <c r="AR40" s="1" t="s">
        <v>486</v>
      </c>
      <c r="AS40" s="1" t="s">
        <v>144</v>
      </c>
      <c r="AT40" s="1" t="s">
        <v>292</v>
      </c>
      <c r="AU40" s="1" t="s">
        <v>443</v>
      </c>
      <c r="AV40" s="1" t="s">
        <v>325</v>
      </c>
      <c r="BC40" s="15" t="s">
        <v>355</v>
      </c>
      <c r="BD40" s="16" t="s">
        <v>193</v>
      </c>
      <c r="BE40" s="15" t="s">
        <v>318</v>
      </c>
      <c r="BF40" s="16" t="s">
        <v>365</v>
      </c>
      <c r="BG40" s="15" t="s">
        <v>153</v>
      </c>
    </row>
    <row r="41" spans="12:59" x14ac:dyDescent="0.5">
      <c r="L41" s="1" t="s">
        <v>277</v>
      </c>
      <c r="M41" s="1" t="s">
        <v>104</v>
      </c>
      <c r="N41" s="1" t="s">
        <v>441</v>
      </c>
      <c r="P41" s="1" t="s">
        <v>339</v>
      </c>
      <c r="Q41" s="1" t="s">
        <v>491</v>
      </c>
      <c r="S41" s="1" t="s">
        <v>277</v>
      </c>
      <c r="T41" s="1" t="s">
        <v>104</v>
      </c>
      <c r="U41" s="1" t="s">
        <v>441</v>
      </c>
      <c r="W41" s="1" t="s">
        <v>339</v>
      </c>
      <c r="X41" s="1" t="s">
        <v>491</v>
      </c>
      <c r="Y41" s="1" t="s">
        <v>492</v>
      </c>
      <c r="AA41" s="1" t="s">
        <v>27</v>
      </c>
      <c r="AB41" s="1" t="s">
        <v>375</v>
      </c>
      <c r="AP41" s="2" t="s">
        <v>493</v>
      </c>
      <c r="AR41" s="1" t="s">
        <v>36</v>
      </c>
      <c r="AS41" s="1" t="s">
        <v>488</v>
      </c>
      <c r="AT41" s="1" t="s">
        <v>304</v>
      </c>
      <c r="AU41" s="1" t="s">
        <v>489</v>
      </c>
      <c r="AV41" s="1" t="s">
        <v>38</v>
      </c>
      <c r="BC41" s="15" t="s">
        <v>376</v>
      </c>
      <c r="BD41" s="15" t="s">
        <v>324</v>
      </c>
      <c r="BE41" s="16" t="s">
        <v>339</v>
      </c>
      <c r="BF41" s="15" t="s">
        <v>394</v>
      </c>
      <c r="BG41" s="15" t="s">
        <v>92</v>
      </c>
    </row>
    <row r="42" spans="12:59" x14ac:dyDescent="0.5">
      <c r="L42" s="1" t="s">
        <v>27</v>
      </c>
      <c r="M42" s="1" t="s">
        <v>248</v>
      </c>
      <c r="N42" s="1" t="s">
        <v>449</v>
      </c>
      <c r="P42" s="1" t="s">
        <v>229</v>
      </c>
      <c r="Q42" s="1" t="s">
        <v>468</v>
      </c>
      <c r="S42" s="1" t="s">
        <v>27</v>
      </c>
      <c r="T42" s="1" t="s">
        <v>248</v>
      </c>
      <c r="U42" s="1" t="s">
        <v>449</v>
      </c>
      <c r="W42" s="1" t="s">
        <v>229</v>
      </c>
      <c r="X42" s="1" t="s">
        <v>468</v>
      </c>
      <c r="Y42" s="1" t="s">
        <v>81</v>
      </c>
      <c r="AA42" s="1" t="s">
        <v>494</v>
      </c>
      <c r="AB42" s="1" t="s">
        <v>429</v>
      </c>
      <c r="AP42" s="2" t="s">
        <v>446</v>
      </c>
      <c r="AR42" s="1" t="s">
        <v>492</v>
      </c>
      <c r="AT42" s="1" t="s">
        <v>27</v>
      </c>
      <c r="AU42" s="1" t="s">
        <v>375</v>
      </c>
      <c r="BC42" s="15" t="s">
        <v>377</v>
      </c>
      <c r="BD42" s="13" t="s">
        <v>282</v>
      </c>
      <c r="BE42" s="15" t="s">
        <v>97</v>
      </c>
      <c r="BF42" s="16" t="s">
        <v>266</v>
      </c>
      <c r="BG42" s="15" t="s">
        <v>353</v>
      </c>
    </row>
    <row r="43" spans="12:59" x14ac:dyDescent="0.5">
      <c r="L43" s="1" t="s">
        <v>495</v>
      </c>
      <c r="N43" s="1" t="s">
        <v>106</v>
      </c>
      <c r="P43" s="1" t="s">
        <v>192</v>
      </c>
      <c r="Q43" s="1" t="s">
        <v>354</v>
      </c>
      <c r="S43" s="1" t="s">
        <v>495</v>
      </c>
      <c r="U43" s="1" t="s">
        <v>106</v>
      </c>
      <c r="W43" s="1" t="s">
        <v>192</v>
      </c>
      <c r="X43" s="1" t="s">
        <v>354</v>
      </c>
      <c r="Y43" s="1" t="s">
        <v>148</v>
      </c>
      <c r="AA43" s="1" t="s">
        <v>496</v>
      </c>
      <c r="AB43" s="1" t="s">
        <v>497</v>
      </c>
      <c r="AP43" s="2" t="s">
        <v>498</v>
      </c>
      <c r="AR43" s="1" t="s">
        <v>81</v>
      </c>
      <c r="AT43" s="1" t="s">
        <v>494</v>
      </c>
      <c r="AU43" s="1" t="s">
        <v>429</v>
      </c>
      <c r="BC43" s="15" t="s">
        <v>396</v>
      </c>
      <c r="BD43" s="15" t="s">
        <v>349</v>
      </c>
      <c r="BE43" s="16" t="s">
        <v>458</v>
      </c>
      <c r="BF43" s="16" t="s">
        <v>84</v>
      </c>
      <c r="BG43" s="15" t="s">
        <v>354</v>
      </c>
    </row>
    <row r="44" spans="12:59" x14ac:dyDescent="0.5">
      <c r="L44" s="1" t="s">
        <v>405</v>
      </c>
      <c r="P44" s="1" t="s">
        <v>425</v>
      </c>
      <c r="Q44" s="1" t="s">
        <v>499</v>
      </c>
      <c r="S44" s="1" t="s">
        <v>405</v>
      </c>
      <c r="W44" s="1" t="s">
        <v>425</v>
      </c>
      <c r="X44" s="1" t="s">
        <v>499</v>
      </c>
      <c r="Y44" s="1" t="s">
        <v>401</v>
      </c>
      <c r="AA44" s="1" t="s">
        <v>500</v>
      </c>
      <c r="AB44" s="1" t="s">
        <v>20</v>
      </c>
      <c r="AP44" s="2" t="s">
        <v>405</v>
      </c>
      <c r="AR44" s="1" t="s">
        <v>148</v>
      </c>
      <c r="AT44" s="1" t="s">
        <v>496</v>
      </c>
      <c r="AU44" s="1" t="s">
        <v>497</v>
      </c>
      <c r="BC44" s="15" t="s">
        <v>375</v>
      </c>
      <c r="BD44" s="16" t="s">
        <v>278</v>
      </c>
      <c r="BE44" s="15" t="s">
        <v>292</v>
      </c>
      <c r="BF44" s="16" t="s">
        <v>289</v>
      </c>
      <c r="BG44" s="15" t="s">
        <v>154</v>
      </c>
    </row>
    <row r="45" spans="12:59" x14ac:dyDescent="0.5">
      <c r="L45" s="1" t="s">
        <v>501</v>
      </c>
      <c r="P45" s="1" t="s">
        <v>435</v>
      </c>
      <c r="Q45" s="1" t="s">
        <v>499</v>
      </c>
      <c r="S45" s="1" t="s">
        <v>501</v>
      </c>
      <c r="W45" s="1" t="s">
        <v>435</v>
      </c>
      <c r="X45" s="1" t="s">
        <v>499</v>
      </c>
      <c r="Y45" s="1" t="s">
        <v>83</v>
      </c>
      <c r="AA45" s="1" t="s">
        <v>502</v>
      </c>
      <c r="AB45" s="1" t="s">
        <v>401</v>
      </c>
      <c r="AP45" s="2" t="s">
        <v>368</v>
      </c>
      <c r="AR45" s="1" t="s">
        <v>401</v>
      </c>
      <c r="AT45" s="1" t="s">
        <v>500</v>
      </c>
      <c r="AU45" s="1" t="s">
        <v>20</v>
      </c>
      <c r="BC45" s="15" t="s">
        <v>457</v>
      </c>
      <c r="BD45" s="14" t="s">
        <v>263</v>
      </c>
      <c r="BE45" s="16" t="s">
        <v>470</v>
      </c>
      <c r="BF45" s="15" t="s">
        <v>261</v>
      </c>
      <c r="BG45" s="15" t="s">
        <v>178</v>
      </c>
    </row>
    <row r="46" spans="12:59" x14ac:dyDescent="0.5">
      <c r="P46" s="1" t="s">
        <v>304</v>
      </c>
      <c r="Q46" s="1" t="s">
        <v>362</v>
      </c>
      <c r="W46" s="1" t="s">
        <v>304</v>
      </c>
      <c r="X46" s="1" t="s">
        <v>362</v>
      </c>
      <c r="Y46" s="1" t="s">
        <v>503</v>
      </c>
      <c r="AA46" s="1" t="s">
        <v>264</v>
      </c>
      <c r="AB46" s="1" t="s">
        <v>87</v>
      </c>
      <c r="AP46" s="2" t="s">
        <v>106</v>
      </c>
      <c r="AR46" s="1" t="s">
        <v>83</v>
      </c>
      <c r="AT46" s="1" t="s">
        <v>502</v>
      </c>
      <c r="AU46" s="1" t="s">
        <v>401</v>
      </c>
      <c r="BC46" s="15" t="s">
        <v>406</v>
      </c>
      <c r="BD46" s="13" t="s">
        <v>367</v>
      </c>
      <c r="BE46" s="13" t="s">
        <v>99</v>
      </c>
      <c r="BF46" s="15" t="s">
        <v>330</v>
      </c>
      <c r="BG46" s="15" t="s">
        <v>98</v>
      </c>
    </row>
    <row r="47" spans="12:59" x14ac:dyDescent="0.5">
      <c r="P47" s="1" t="s">
        <v>292</v>
      </c>
      <c r="Q47" s="1" t="s">
        <v>192</v>
      </c>
      <c r="W47" s="1" t="s">
        <v>292</v>
      </c>
      <c r="X47" s="1" t="s">
        <v>192</v>
      </c>
      <c r="Y47" s="1" t="s">
        <v>504</v>
      </c>
      <c r="AA47" s="1" t="s">
        <v>95</v>
      </c>
      <c r="AB47" s="1" t="s">
        <v>505</v>
      </c>
      <c r="AP47" s="2"/>
      <c r="AR47" s="1" t="s">
        <v>503</v>
      </c>
      <c r="AT47" s="1" t="s">
        <v>264</v>
      </c>
      <c r="AU47" s="1" t="s">
        <v>87</v>
      </c>
      <c r="BC47" s="15" t="s">
        <v>423</v>
      </c>
      <c r="BD47" s="15" t="s">
        <v>269</v>
      </c>
      <c r="BE47" s="15" t="s">
        <v>407</v>
      </c>
      <c r="BF47" s="16" t="s">
        <v>290</v>
      </c>
      <c r="BG47" s="15" t="s">
        <v>343</v>
      </c>
    </row>
    <row r="48" spans="12:59" x14ac:dyDescent="0.5">
      <c r="P48" s="1" t="s">
        <v>292</v>
      </c>
      <c r="Q48" s="1" t="s">
        <v>425</v>
      </c>
      <c r="W48" s="1" t="s">
        <v>292</v>
      </c>
      <c r="X48" s="1" t="s">
        <v>425</v>
      </c>
      <c r="Y48" s="1" t="s">
        <v>506</v>
      </c>
      <c r="AA48" s="1" t="s">
        <v>373</v>
      </c>
      <c r="AB48" s="1" t="s">
        <v>107</v>
      </c>
      <c r="AR48" s="1" t="s">
        <v>504</v>
      </c>
      <c r="AT48" s="1" t="s">
        <v>95</v>
      </c>
      <c r="AU48" s="1" t="s">
        <v>505</v>
      </c>
      <c r="BC48" s="15" t="s">
        <v>469</v>
      </c>
      <c r="BD48" s="14" t="s">
        <v>89</v>
      </c>
      <c r="BE48" s="16" t="s">
        <v>479</v>
      </c>
      <c r="BF48" s="15" t="s">
        <v>320</v>
      </c>
      <c r="BG48" s="15" t="s">
        <v>375</v>
      </c>
    </row>
    <row r="49" spans="16:59" x14ac:dyDescent="0.5">
      <c r="P49" s="1" t="s">
        <v>507</v>
      </c>
      <c r="Q49" s="1" t="s">
        <v>508</v>
      </c>
      <c r="W49" s="1" t="s">
        <v>507</v>
      </c>
      <c r="X49" s="1" t="s">
        <v>508</v>
      </c>
      <c r="Y49" s="1" t="s">
        <v>196</v>
      </c>
      <c r="AA49" s="1" t="s">
        <v>394</v>
      </c>
      <c r="AB49" s="1" t="s">
        <v>105</v>
      </c>
      <c r="AR49" s="1" t="s">
        <v>506</v>
      </c>
      <c r="AT49" s="1" t="s">
        <v>373</v>
      </c>
      <c r="AU49" s="1" t="s">
        <v>107</v>
      </c>
      <c r="BC49" s="15" t="s">
        <v>177</v>
      </c>
      <c r="BD49" s="16" t="s">
        <v>279</v>
      </c>
      <c r="BE49" s="15" t="s">
        <v>406</v>
      </c>
      <c r="BF49" s="16" t="s">
        <v>400</v>
      </c>
      <c r="BG49" s="15" t="s">
        <v>197</v>
      </c>
    </row>
    <row r="50" spans="16:59" x14ac:dyDescent="0.5">
      <c r="P50" s="1" t="s">
        <v>99</v>
      </c>
      <c r="Q50" s="1" t="s">
        <v>396</v>
      </c>
      <c r="W50" s="1" t="s">
        <v>99</v>
      </c>
      <c r="X50" s="1" t="s">
        <v>396</v>
      </c>
      <c r="Y50" s="1" t="s">
        <v>325</v>
      </c>
      <c r="AA50" s="1" t="s">
        <v>180</v>
      </c>
      <c r="AB50" s="1" t="s">
        <v>27</v>
      </c>
      <c r="AR50" s="1" t="s">
        <v>196</v>
      </c>
      <c r="AT50" s="1" t="s">
        <v>394</v>
      </c>
      <c r="AU50" s="1" t="s">
        <v>105</v>
      </c>
      <c r="BC50" s="15" t="s">
        <v>27</v>
      </c>
      <c r="BD50" s="15" t="s">
        <v>29</v>
      </c>
      <c r="BE50" s="16" t="s">
        <v>469</v>
      </c>
      <c r="BF50" s="16" t="s">
        <v>282</v>
      </c>
      <c r="BG50" s="15" t="s">
        <v>252</v>
      </c>
    </row>
    <row r="51" spans="16:59" x14ac:dyDescent="0.5">
      <c r="P51" s="1" t="s">
        <v>509</v>
      </c>
      <c r="Q51" s="1" t="s">
        <v>510</v>
      </c>
      <c r="W51" s="1" t="s">
        <v>509</v>
      </c>
      <c r="X51" s="1" t="s">
        <v>510</v>
      </c>
      <c r="Y51" s="1" t="s">
        <v>511</v>
      </c>
      <c r="AA51" s="1" t="s">
        <v>400</v>
      </c>
      <c r="AB51" s="1" t="s">
        <v>446</v>
      </c>
      <c r="AR51" s="1" t="s">
        <v>325</v>
      </c>
      <c r="AT51" s="1" t="s">
        <v>180</v>
      </c>
      <c r="AU51" s="1" t="s">
        <v>27</v>
      </c>
      <c r="BC51" s="15" t="s">
        <v>405</v>
      </c>
      <c r="BD51" s="15" t="s">
        <v>90</v>
      </c>
      <c r="BE51" s="15" t="s">
        <v>102</v>
      </c>
      <c r="BF51" s="16" t="s">
        <v>361</v>
      </c>
      <c r="BG51" s="15" t="s">
        <v>454</v>
      </c>
    </row>
    <row r="52" spans="16:59" x14ac:dyDescent="0.5">
      <c r="P52" s="1" t="s">
        <v>477</v>
      </c>
      <c r="Q52" s="1" t="s">
        <v>498</v>
      </c>
      <c r="W52" s="1" t="s">
        <v>477</v>
      </c>
      <c r="X52" s="1" t="s">
        <v>498</v>
      </c>
      <c r="Y52" s="1" t="s">
        <v>446</v>
      </c>
      <c r="AA52" s="1" t="s">
        <v>356</v>
      </c>
      <c r="AB52" s="1" t="s">
        <v>512</v>
      </c>
      <c r="AR52" s="1" t="s">
        <v>511</v>
      </c>
      <c r="AT52" s="1" t="s">
        <v>400</v>
      </c>
      <c r="AU52" s="1" t="s">
        <v>446</v>
      </c>
      <c r="BC52" s="15" t="s">
        <v>467</v>
      </c>
      <c r="BD52" s="13" t="s">
        <v>348</v>
      </c>
      <c r="BE52" s="14" t="s">
        <v>177</v>
      </c>
      <c r="BF52" s="15" t="s">
        <v>306</v>
      </c>
      <c r="BG52" s="15" t="s">
        <v>475</v>
      </c>
    </row>
    <row r="53" spans="16:59" x14ac:dyDescent="0.5">
      <c r="P53" s="1" t="s">
        <v>396</v>
      </c>
      <c r="Q53" s="1" t="s">
        <v>398</v>
      </c>
      <c r="W53" s="1" t="s">
        <v>396</v>
      </c>
      <c r="X53" s="1" t="s">
        <v>398</v>
      </c>
      <c r="AA53" s="1" t="s">
        <v>513</v>
      </c>
      <c r="AB53" s="1" t="s">
        <v>514</v>
      </c>
      <c r="AR53" s="1" t="s">
        <v>446</v>
      </c>
      <c r="AT53" s="1" t="s">
        <v>356</v>
      </c>
      <c r="AU53" s="1" t="s">
        <v>512</v>
      </c>
      <c r="BC53" s="15" t="s">
        <v>294</v>
      </c>
      <c r="BD53" s="15" t="s">
        <v>403</v>
      </c>
      <c r="BE53" s="13" t="s">
        <v>405</v>
      </c>
      <c r="BF53" s="16" t="s">
        <v>416</v>
      </c>
      <c r="BG53" s="15" t="s">
        <v>20</v>
      </c>
    </row>
    <row r="54" spans="16:59" x14ac:dyDescent="0.5">
      <c r="P54" s="1" t="s">
        <v>412</v>
      </c>
      <c r="Q54" s="1" t="s">
        <v>102</v>
      </c>
      <c r="W54" s="1" t="s">
        <v>412</v>
      </c>
      <c r="X54" s="1" t="s">
        <v>102</v>
      </c>
      <c r="AA54" s="1" t="s">
        <v>515</v>
      </c>
      <c r="AB54" s="1" t="s">
        <v>102</v>
      </c>
      <c r="AT54" s="1" t="s">
        <v>513</v>
      </c>
      <c r="AU54" s="1" t="s">
        <v>514</v>
      </c>
      <c r="BC54" s="15" t="s">
        <v>104</v>
      </c>
      <c r="BD54" s="15" t="s">
        <v>319</v>
      </c>
      <c r="BE54" s="14" t="s">
        <v>434</v>
      </c>
      <c r="BF54" s="15" t="s">
        <v>279</v>
      </c>
      <c r="BG54" s="15" t="s">
        <v>406</v>
      </c>
    </row>
    <row r="55" spans="16:59" x14ac:dyDescent="0.5">
      <c r="P55" s="1" t="s">
        <v>101</v>
      </c>
      <c r="Q55" s="1" t="s">
        <v>372</v>
      </c>
      <c r="W55" s="1" t="s">
        <v>101</v>
      </c>
      <c r="X55" s="1" t="s">
        <v>372</v>
      </c>
      <c r="AA55" s="1" t="s">
        <v>407</v>
      </c>
      <c r="AB55" s="1" t="s">
        <v>516</v>
      </c>
      <c r="AT55" s="1" t="s">
        <v>515</v>
      </c>
      <c r="AU55" s="1" t="s">
        <v>102</v>
      </c>
      <c r="BC55" s="15" t="s">
        <v>248</v>
      </c>
      <c r="BD55" s="16" t="s">
        <v>419</v>
      </c>
      <c r="BE55" s="16" t="s">
        <v>441</v>
      </c>
      <c r="BF55" s="16" t="s">
        <v>222</v>
      </c>
      <c r="BG55" s="15" t="s">
        <v>177</v>
      </c>
    </row>
    <row r="56" spans="16:59" x14ac:dyDescent="0.5">
      <c r="P56" s="1" t="s">
        <v>252</v>
      </c>
      <c r="Q56" s="1" t="s">
        <v>27</v>
      </c>
      <c r="W56" s="1" t="s">
        <v>252</v>
      </c>
      <c r="X56" s="1" t="s">
        <v>27</v>
      </c>
      <c r="AA56" s="1" t="s">
        <v>517</v>
      </c>
      <c r="AB56" s="1" t="s">
        <v>449</v>
      </c>
      <c r="AT56" s="1" t="s">
        <v>407</v>
      </c>
      <c r="AU56" s="1" t="s">
        <v>516</v>
      </c>
      <c r="BC56" s="17"/>
      <c r="BD56" s="14" t="s">
        <v>331</v>
      </c>
      <c r="BE56" s="14" t="s">
        <v>432</v>
      </c>
      <c r="BF56" s="15" t="s">
        <v>433</v>
      </c>
      <c r="BG56" s="15" t="s">
        <v>405</v>
      </c>
    </row>
    <row r="57" spans="16:59" x14ac:dyDescent="0.5">
      <c r="P57" s="1" t="s">
        <v>518</v>
      </c>
      <c r="Q57" s="1" t="s">
        <v>405</v>
      </c>
      <c r="W57" s="1" t="s">
        <v>518</v>
      </c>
      <c r="X57" s="1" t="s">
        <v>405</v>
      </c>
      <c r="AA57" s="1" t="s">
        <v>369</v>
      </c>
      <c r="AB57" s="1" t="s">
        <v>278</v>
      </c>
      <c r="AT57" s="1" t="s">
        <v>517</v>
      </c>
      <c r="AU57" s="1" t="s">
        <v>449</v>
      </c>
      <c r="BD57" s="16" t="s">
        <v>401</v>
      </c>
      <c r="BE57" s="15" t="s">
        <v>449</v>
      </c>
      <c r="BF57" s="15" t="s">
        <v>153</v>
      </c>
      <c r="BG57" s="15" t="s">
        <v>352</v>
      </c>
    </row>
    <row r="58" spans="16:59" x14ac:dyDescent="0.5">
      <c r="P58" s="1" t="s">
        <v>102</v>
      </c>
      <c r="Q58" s="1" t="s">
        <v>13</v>
      </c>
      <c r="W58" s="1" t="s">
        <v>102</v>
      </c>
      <c r="X58" s="1" t="s">
        <v>13</v>
      </c>
      <c r="AA58" s="1" t="s">
        <v>519</v>
      </c>
      <c r="AB58" s="1" t="s">
        <v>520</v>
      </c>
      <c r="AT58" s="1" t="s">
        <v>369</v>
      </c>
      <c r="AU58" s="1" t="s">
        <v>278</v>
      </c>
      <c r="BD58" s="15" t="s">
        <v>356</v>
      </c>
      <c r="BE58" s="13"/>
      <c r="BF58" s="15" t="s">
        <v>225</v>
      </c>
      <c r="BG58" s="15" t="s">
        <v>432</v>
      </c>
    </row>
    <row r="59" spans="16:59" x14ac:dyDescent="0.5">
      <c r="P59" s="1" t="s">
        <v>372</v>
      </c>
      <c r="Q59" s="1" t="s">
        <v>521</v>
      </c>
      <c r="W59" s="1" t="s">
        <v>372</v>
      </c>
      <c r="X59" s="1" t="s">
        <v>521</v>
      </c>
      <c r="AA59" s="1" t="s">
        <v>522</v>
      </c>
      <c r="AB59" s="1" t="s">
        <v>523</v>
      </c>
      <c r="AT59" s="1" t="s">
        <v>519</v>
      </c>
      <c r="AU59" s="1" t="s">
        <v>520</v>
      </c>
      <c r="BC59" s="2"/>
      <c r="BD59" s="15" t="s">
        <v>420</v>
      </c>
      <c r="BE59" s="13"/>
      <c r="BF59" s="15" t="s">
        <v>92</v>
      </c>
      <c r="BG59" s="15" t="s">
        <v>106</v>
      </c>
    </row>
    <row r="60" spans="16:59" x14ac:dyDescent="0.5">
      <c r="P60" s="1" t="s">
        <v>511</v>
      </c>
      <c r="Q60" s="1" t="s">
        <v>296</v>
      </c>
      <c r="W60" s="1" t="s">
        <v>511</v>
      </c>
      <c r="X60" s="1" t="s">
        <v>296</v>
      </c>
      <c r="AA60" s="1" t="s">
        <v>524</v>
      </c>
      <c r="AB60" s="1" t="s">
        <v>525</v>
      </c>
      <c r="AT60" s="1" t="s">
        <v>522</v>
      </c>
      <c r="AU60" s="1" t="s">
        <v>523</v>
      </c>
      <c r="BD60" s="16" t="s">
        <v>408</v>
      </c>
      <c r="BE60" s="13"/>
      <c r="BF60" s="15" t="s">
        <v>353</v>
      </c>
      <c r="BG60" s="15"/>
    </row>
    <row r="61" spans="16:59" x14ac:dyDescent="0.5">
      <c r="P61" s="1" t="s">
        <v>322</v>
      </c>
      <c r="Q61" s="1" t="s">
        <v>267</v>
      </c>
      <c r="W61" s="1" t="s">
        <v>322</v>
      </c>
      <c r="X61" s="1" t="s">
        <v>267</v>
      </c>
      <c r="AA61" s="1" t="s">
        <v>153</v>
      </c>
      <c r="AB61" s="1" t="s">
        <v>526</v>
      </c>
      <c r="AT61" s="1" t="s">
        <v>524</v>
      </c>
      <c r="AU61" s="1" t="s">
        <v>525</v>
      </c>
      <c r="BD61" s="15" t="s">
        <v>318</v>
      </c>
      <c r="BE61" s="13"/>
      <c r="BF61" s="15" t="s">
        <v>354</v>
      </c>
      <c r="BG61" s="15"/>
    </row>
    <row r="62" spans="16:59" x14ac:dyDescent="0.5">
      <c r="P62" s="1" t="s">
        <v>476</v>
      </c>
      <c r="Q62" s="1" t="s">
        <v>432</v>
      </c>
      <c r="W62" s="1" t="s">
        <v>476</v>
      </c>
      <c r="X62" s="1" t="s">
        <v>432</v>
      </c>
      <c r="AA62" s="1" t="s">
        <v>101</v>
      </c>
      <c r="AB62" s="1" t="s">
        <v>527</v>
      </c>
      <c r="AT62" s="1" t="s">
        <v>153</v>
      </c>
      <c r="AU62" s="1" t="s">
        <v>526</v>
      </c>
      <c r="BD62" s="16" t="s">
        <v>339</v>
      </c>
      <c r="BE62" s="13"/>
      <c r="BF62" s="15" t="s">
        <v>154</v>
      </c>
      <c r="BG62" s="15"/>
    </row>
    <row r="63" spans="16:59" x14ac:dyDescent="0.5">
      <c r="P63" s="1" t="s">
        <v>333</v>
      </c>
      <c r="Q63" s="1" t="s">
        <v>105</v>
      </c>
      <c r="W63" s="1" t="s">
        <v>333</v>
      </c>
      <c r="X63" s="1" t="s">
        <v>105</v>
      </c>
      <c r="AA63" s="1" t="s">
        <v>528</v>
      </c>
      <c r="AT63" s="1" t="s">
        <v>101</v>
      </c>
      <c r="AU63" s="1" t="s">
        <v>527</v>
      </c>
      <c r="BC63" s="2"/>
      <c r="BD63" s="16" t="s">
        <v>362</v>
      </c>
      <c r="BE63" s="13"/>
      <c r="BF63" s="16" t="s">
        <v>178</v>
      </c>
      <c r="BG63" s="15"/>
    </row>
    <row r="64" spans="16:59" x14ac:dyDescent="0.5">
      <c r="Q64" s="1" t="s">
        <v>106</v>
      </c>
      <c r="X64" s="1" t="s">
        <v>106</v>
      </c>
      <c r="AA64" s="1" t="s">
        <v>457</v>
      </c>
      <c r="AT64" s="1" t="s">
        <v>528</v>
      </c>
      <c r="BD64" s="15" t="s">
        <v>97</v>
      </c>
      <c r="BE64" s="13"/>
      <c r="BF64" s="15" t="s">
        <v>98</v>
      </c>
      <c r="BG64" s="15"/>
    </row>
    <row r="65" spans="17:59" x14ac:dyDescent="0.5">
      <c r="Q65" s="1" t="s">
        <v>107</v>
      </c>
      <c r="X65" s="1" t="s">
        <v>107</v>
      </c>
      <c r="AA65" s="1" t="s">
        <v>503</v>
      </c>
      <c r="AT65" s="1" t="s">
        <v>457</v>
      </c>
      <c r="BD65" s="13" t="s">
        <v>417</v>
      </c>
      <c r="BE65" s="13"/>
      <c r="BF65" s="16" t="s">
        <v>343</v>
      </c>
      <c r="BG65" s="15"/>
    </row>
    <row r="66" spans="17:59" x14ac:dyDescent="0.5">
      <c r="Q66" s="1" t="s">
        <v>529</v>
      </c>
      <c r="X66" s="1" t="s">
        <v>529</v>
      </c>
      <c r="AA66" s="1" t="s">
        <v>530</v>
      </c>
      <c r="AT66" s="1" t="s">
        <v>503</v>
      </c>
      <c r="BD66" s="14" t="s">
        <v>377</v>
      </c>
      <c r="BE66" s="13"/>
      <c r="BF66" s="15" t="s">
        <v>375</v>
      </c>
      <c r="BG66" s="15"/>
    </row>
    <row r="67" spans="17:59" x14ac:dyDescent="0.5">
      <c r="AA67" s="1" t="s">
        <v>531</v>
      </c>
      <c r="AT67" s="1" t="s">
        <v>530</v>
      </c>
      <c r="BD67" s="16" t="s">
        <v>458</v>
      </c>
      <c r="BE67" s="13"/>
      <c r="BF67" s="15" t="s">
        <v>393</v>
      </c>
      <c r="BG67" s="15"/>
    </row>
    <row r="68" spans="17:59" x14ac:dyDescent="0.5">
      <c r="AA68" s="1" t="s">
        <v>452</v>
      </c>
      <c r="AT68" s="1" t="s">
        <v>531</v>
      </c>
      <c r="BD68" s="13" t="s">
        <v>304</v>
      </c>
      <c r="BE68" s="13"/>
      <c r="BF68" s="15" t="s">
        <v>197</v>
      </c>
      <c r="BG68" s="15"/>
    </row>
    <row r="69" spans="17:59" x14ac:dyDescent="0.5">
      <c r="AT69" s="1" t="s">
        <v>452</v>
      </c>
      <c r="BD69" s="15" t="s">
        <v>292</v>
      </c>
      <c r="BE69" s="13"/>
      <c r="BF69" s="15" t="s">
        <v>252</v>
      </c>
      <c r="BG69" s="15"/>
    </row>
    <row r="70" spans="17:59" x14ac:dyDescent="0.5">
      <c r="BD70" s="16" t="s">
        <v>470</v>
      </c>
      <c r="BE70" s="18"/>
      <c r="BF70" s="15" t="s">
        <v>454</v>
      </c>
      <c r="BG70" s="15"/>
    </row>
    <row r="71" spans="17:59" x14ac:dyDescent="0.5">
      <c r="BD71" s="15" t="s">
        <v>99</v>
      </c>
      <c r="BF71" s="15" t="s">
        <v>280</v>
      </c>
      <c r="BG71" s="15"/>
    </row>
    <row r="72" spans="17:59" x14ac:dyDescent="0.5">
      <c r="BD72" s="15" t="s">
        <v>407</v>
      </c>
      <c r="BF72" s="16" t="s">
        <v>475</v>
      </c>
      <c r="BG72" s="15"/>
    </row>
    <row r="73" spans="17:59" x14ac:dyDescent="0.5">
      <c r="BD73" s="16" t="s">
        <v>375</v>
      </c>
      <c r="BF73" s="15" t="s">
        <v>224</v>
      </c>
      <c r="BG73" s="15"/>
    </row>
    <row r="74" spans="17:59" x14ac:dyDescent="0.5">
      <c r="BD74" s="13" t="s">
        <v>442</v>
      </c>
      <c r="BF74" s="16" t="s">
        <v>20</v>
      </c>
      <c r="BG74" s="15"/>
    </row>
    <row r="75" spans="17:59" x14ac:dyDescent="0.5">
      <c r="BD75" s="14" t="s">
        <v>446</v>
      </c>
      <c r="BF75" s="15" t="s">
        <v>406</v>
      </c>
      <c r="BG75" s="15"/>
    </row>
    <row r="76" spans="17:59" x14ac:dyDescent="0.5">
      <c r="BD76" s="13" t="s">
        <v>450</v>
      </c>
      <c r="BF76" s="15" t="s">
        <v>423</v>
      </c>
      <c r="BG76" s="15"/>
    </row>
    <row r="77" spans="17:59" x14ac:dyDescent="0.5">
      <c r="BD77" s="16" t="s">
        <v>479</v>
      </c>
      <c r="BF77" s="16" t="s">
        <v>177</v>
      </c>
      <c r="BG77" s="15"/>
    </row>
    <row r="78" spans="17:59" x14ac:dyDescent="0.5">
      <c r="BD78" s="16" t="s">
        <v>20</v>
      </c>
      <c r="BF78" s="16" t="s">
        <v>427</v>
      </c>
      <c r="BG78" s="15"/>
    </row>
    <row r="79" spans="17:59" x14ac:dyDescent="0.5">
      <c r="BD79" s="15" t="s">
        <v>406</v>
      </c>
      <c r="BF79" s="15" t="s">
        <v>405</v>
      </c>
      <c r="BG79" s="15"/>
    </row>
    <row r="80" spans="17:59" x14ac:dyDescent="0.5">
      <c r="BD80" s="14" t="s">
        <v>455</v>
      </c>
      <c r="BF80" s="15" t="s">
        <v>352</v>
      </c>
      <c r="BG80" s="15"/>
    </row>
    <row r="81" spans="56:59" x14ac:dyDescent="0.5">
      <c r="BD81" s="16" t="s">
        <v>469</v>
      </c>
      <c r="BF81" s="16" t="s">
        <v>384</v>
      </c>
      <c r="BG81" s="16"/>
    </row>
    <row r="82" spans="56:59" x14ac:dyDescent="0.5">
      <c r="BD82" s="13" t="s">
        <v>461</v>
      </c>
      <c r="BF82" s="15" t="s">
        <v>424</v>
      </c>
      <c r="BG82" s="15"/>
    </row>
    <row r="83" spans="56:59" x14ac:dyDescent="0.5">
      <c r="BD83" s="15" t="s">
        <v>102</v>
      </c>
      <c r="BF83" s="16" t="s">
        <v>296</v>
      </c>
      <c r="BG83" s="16"/>
    </row>
    <row r="84" spans="56:59" x14ac:dyDescent="0.5">
      <c r="BD84" s="16" t="s">
        <v>467</v>
      </c>
      <c r="BF84" s="16" t="s">
        <v>267</v>
      </c>
      <c r="BG84" s="15"/>
    </row>
    <row r="85" spans="56:59" x14ac:dyDescent="0.5">
      <c r="BD85" s="13" t="s">
        <v>322</v>
      </c>
      <c r="BF85" s="15" t="s">
        <v>432</v>
      </c>
      <c r="BG85" s="15"/>
    </row>
    <row r="86" spans="56:59" x14ac:dyDescent="0.5">
      <c r="BD86" s="15" t="s">
        <v>476</v>
      </c>
      <c r="BF86" s="19" t="s">
        <v>106</v>
      </c>
      <c r="BG86" s="15"/>
    </row>
    <row r="87" spans="56:59" x14ac:dyDescent="0.5">
      <c r="BD87" s="16" t="s">
        <v>441</v>
      </c>
      <c r="BF87" s="16" t="s">
        <v>107</v>
      </c>
      <c r="BG87" s="19"/>
    </row>
    <row r="88" spans="56:59" x14ac:dyDescent="0.5">
      <c r="BD88" s="15" t="s">
        <v>449</v>
      </c>
      <c r="BF88" s="16"/>
    </row>
    <row r="89" spans="56:59" x14ac:dyDescent="0.5">
      <c r="BD89" s="16"/>
      <c r="BF89" s="16"/>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AE9079C6-54CA-47EA-AE8B-D80DD20E0F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FE5103-030D-4A8E-80B4-7A2D66F1FC8B}">
  <ds:schemaRefs>
    <ds:schemaRef ds:uri="http://schemas.microsoft.com/sharepoint/v3/contenttype/forms"/>
  </ds:schemaRefs>
</ds:datastoreItem>
</file>

<file path=customXml/itemProps3.xml><?xml version="1.0" encoding="utf-8"?>
<ds:datastoreItem xmlns:ds="http://schemas.openxmlformats.org/officeDocument/2006/customXml" ds:itemID="{351EC5EA-4612-49AB-AD72-AD3733AF55FC}">
  <ds:schemaRef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www.w3.org/XML/1998/namespace"/>
    <ds:schemaRef ds:uri="91d06b0e-e43f-423b-9ab9-9a6b45a2a239"/>
    <ds:schemaRef ds:uri="5fb26c54-8ae7-4c35-a8dd-e5095fbe886d"/>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y fmtid="{D5CDD505-2E9C-101B-9397-08002B2CF9AE}" pid="3" name="MediaServiceImageTags">
    <vt:lpwstr/>
  </property>
</Properties>
</file>