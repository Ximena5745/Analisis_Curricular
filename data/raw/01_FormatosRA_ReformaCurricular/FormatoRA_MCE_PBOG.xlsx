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01_FormatosRA_ReformaCurricular/"/>
    </mc:Choice>
  </mc:AlternateContent>
  <xr:revisionPtr revIDLastSave="782" documentId="8_{9DAF9F06-D825-4437-A40E-32C2003C04A6}" xr6:coauthVersionLast="47" xr6:coauthVersionMax="47" xr10:uidLastSave="{0222F8CB-2CA3-4133-982D-E47CD3BE7D52}"/>
  <bookViews>
    <workbookView xWindow="-108" yWindow="-108" windowWidth="23256" windowHeight="12456"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'!$A$1:$I$11</definedName>
    <definedName name="_xlnm._FilterDatabase" localSheetId="4" hidden="1">'Paso 5 Estrategias micro'!$B$1:$Q$45</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egreso'!$E$3:$E$17</definedName>
    <definedName name="CognitivoAK">'Taxonomias para RA'!$AL$4:$AQ$4</definedName>
    <definedName name="cognitivoB">Tabla5583[CognitivoB]</definedName>
    <definedName name="CognitivoBAK">'Taxonomias para RA'!$S$3:$X$3</definedName>
    <definedName name="competencias">'Paso 2 Redacción competen'!$F$3:$F$7</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egreso'!$E$3:$E$17</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'!$I$3:$I$11</definedName>
    <definedName name="Saberhacer">'Paso1 Analisis perfil egreso'!$F$3:$F$16</definedName>
    <definedName name="saberser">'Paso1 Analisis perfil egreso'!$G$3:$G$16</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6" i="7" l="1"/>
  <c r="I65" i="7"/>
  <c r="A42" i="7" l="1"/>
  <c r="A43" i="7"/>
  <c r="A29" i="7"/>
  <c r="A30" i="7"/>
  <c r="A23" i="7"/>
  <c r="A17" i="7"/>
  <c r="A10" i="7"/>
  <c r="A11" i="7"/>
  <c r="A12" i="7"/>
  <c r="D64" i="7" l="1"/>
  <c r="I64" i="7"/>
  <c r="K3" i="7" l="1"/>
  <c r="J3" i="7"/>
  <c r="A63" i="7"/>
  <c r="A62" i="7"/>
  <c r="K61" i="7"/>
  <c r="J61" i="7"/>
  <c r="L61" i="7" s="1"/>
  <c r="A61" i="7"/>
  <c r="A60" i="7"/>
  <c r="A59" i="7"/>
  <c r="A58" i="7"/>
  <c r="K57" i="7"/>
  <c r="J57" i="7"/>
  <c r="A57" i="7"/>
  <c r="A56" i="7"/>
  <c r="A55" i="7"/>
  <c r="A54" i="7"/>
  <c r="K53" i="7"/>
  <c r="J53" i="7"/>
  <c r="A53" i="7"/>
  <c r="A52" i="7"/>
  <c r="A51" i="7"/>
  <c r="K50" i="7"/>
  <c r="J50" i="7"/>
  <c r="A50" i="7"/>
  <c r="A49" i="7"/>
  <c r="A48" i="7"/>
  <c r="A47" i="7"/>
  <c r="K46" i="7"/>
  <c r="J46" i="7"/>
  <c r="A46" i="7"/>
  <c r="A45" i="7"/>
  <c r="A44" i="7"/>
  <c r="A41" i="7"/>
  <c r="K41" i="7"/>
  <c r="J41" i="7"/>
  <c r="A39" i="7"/>
  <c r="A35" i="7"/>
  <c r="A36" i="7"/>
  <c r="A26" i="7"/>
  <c r="A4" i="7"/>
  <c r="A13" i="7"/>
  <c r="A14" i="7"/>
  <c r="A5" i="7"/>
  <c r="A6" i="7"/>
  <c r="A7" i="7"/>
  <c r="A8" i="7"/>
  <c r="A9" i="7"/>
  <c r="A15" i="7"/>
  <c r="A16" i="7"/>
  <c r="A18" i="7"/>
  <c r="A19" i="7"/>
  <c r="A20" i="7"/>
  <c r="A21" i="7"/>
  <c r="A22" i="7"/>
  <c r="A24" i="7"/>
  <c r="A25" i="7"/>
  <c r="A27" i="7"/>
  <c r="A28" i="7"/>
  <c r="A31" i="7"/>
  <c r="A32" i="7"/>
  <c r="A33" i="7"/>
  <c r="A34" i="7"/>
  <c r="A37" i="7"/>
  <c r="A38" i="7"/>
  <c r="A40" i="7"/>
  <c r="A3" i="7"/>
  <c r="L57" i="7" l="1"/>
  <c r="L41" i="7"/>
  <c r="L3" i="7"/>
  <c r="L46" i="7"/>
  <c r="L50" i="7"/>
  <c r="L53" i="7"/>
  <c r="J38" i="7"/>
  <c r="K38" i="7"/>
  <c r="J34" i="7"/>
  <c r="K34" i="7"/>
  <c r="J28" i="7"/>
  <c r="K28" i="7"/>
  <c r="J25" i="7"/>
  <c r="K25" i="7"/>
  <c r="J21" i="7"/>
  <c r="K21" i="7"/>
  <c r="J16" i="7"/>
  <c r="K16" i="7"/>
  <c r="J9" i="7"/>
  <c r="K9" i="7"/>
  <c r="K6" i="7"/>
  <c r="J6" i="7"/>
  <c r="L25" i="7" l="1"/>
  <c r="L9" i="7"/>
  <c r="L6" i="7"/>
  <c r="L28" i="7"/>
  <c r="L34" i="7"/>
  <c r="L38" i="7"/>
  <c r="L21" i="7"/>
  <c r="L1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<sst xmlns="http://schemas.openxmlformats.org/spreadsheetml/2006/main" count="2403" uniqueCount="678">
  <si>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</si>
  <si>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</si>
  <si>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</si>
  <si>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</si>
  <si>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</si>
  <si>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</si>
  <si>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</si>
  <si>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</si>
  <si>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</si>
  <si>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</si>
  <si>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</si>
  <si>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</si>
  <si>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</si>
  <si>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</si>
  <si>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</si>
  <si>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</si>
  <si>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</si>
  <si>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</si>
  <si>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</si>
  <si>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</si>
  <si>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</si>
  <si>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</si>
  <si>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</si>
  <si>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</si>
  <si>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</si>
  <si>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</si>
  <si>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</si>
  <si>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</si>
  <si>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</si>
  <si>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</si>
  <si>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</si>
  <si>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</si>
  <si>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</si>
  <si>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</si>
  <si>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</si>
  <si>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</si>
  <si>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</si>
  <si>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</si>
  <si>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</si>
  <si>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</si>
  <si>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</si>
  <si>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</si>
  <si>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</si>
  <si>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</si>
  <si>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</si>
  <si>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</si>
  <si>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</si>
  <si>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</si>
  <si>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</si>
  <si>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</si>
  <si>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</si>
  <si>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</si>
  <si>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</si>
  <si>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</si>
  <si>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</si>
  <si>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</si>
  <si>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</si>
  <si>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</si>
  <si>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</si>
  <si>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</si>
  <si>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</si>
  <si>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</si>
  <si>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Encuesta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</si>
  <si>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</si>
  <si>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</si>
  <si>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</si>
  <si>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</si>
  <si>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</si>
  <si>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</si>
  <si>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</si>
  <si>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</si>
  <si>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</si>
  <si>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</si>
  <si>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</si>
  <si>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</si>
  <si>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</si>
  <si>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</si>
  <si>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</si>
  <si>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</si>
  <si>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</si>
  <si>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</si>
  <si>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</si>
  <si>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</si>
  <si>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</si>
  <si>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</si>
  <si>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</si>
  <si>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</si>
  <si>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</si>
  <si>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</si>
  <si>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</si>
  <si>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</si>
  <si>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</si>
  <si>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</si>
  <si>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</si>
  <si>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</si>
  <si>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Formar a través del estudio de casos, de la clase magistral, de la lectura de artículos sobre los avances o los temas que se requieren abordar alrededor de los núcleos temáticos.</t>
  </si>
  <si>
    <t>II</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</si>
  <si>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</si>
  <si>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</si>
  <si>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</si>
  <si>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</si>
  <si>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</si>
  <si>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</si>
  <si>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</si>
  <si>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</si>
  <si>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Aplicar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</si>
  <si>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</si>
  <si>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</si>
  <si>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</si>
  <si>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</si>
  <si>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</si>
  <si>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</si>
  <si>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</si>
  <si>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</si>
  <si>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</si>
  <si>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</si>
  <si>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</si>
  <si>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</si>
  <si>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</si>
  <si>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</si>
  <si>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</si>
  <si>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</si>
  <si>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</si>
  <si>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</si>
  <si>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</si>
  <si>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</si>
  <si>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</si>
  <si>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</si>
  <si>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</si>
  <si>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</si>
  <si>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</si>
  <si>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</si>
  <si>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</si>
  <si>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</si>
  <si>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</si>
  <si>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</si>
  <si>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</si>
  <si>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</si>
  <si>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</si>
  <si>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</si>
  <si>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</si>
  <si>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</si>
  <si>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</si>
  <si>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</si>
  <si>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</si>
  <si>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</si>
  <si>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</si>
  <si>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</si>
  <si>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</si>
  <si>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</si>
  <si>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CognitivoB</t>
  </si>
  <si>
    <t>ProcedimentalB</t>
  </si>
  <si>
    <t>ActitudinalB</t>
  </si>
  <si>
    <t>ConocimientoB</t>
  </si>
  <si>
    <t>ComprensiónB</t>
  </si>
  <si>
    <t>AplicaciónB</t>
  </si>
  <si>
    <t>AnálisisB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</si>
  <si>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</si>
  <si>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</si>
  <si>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</si>
  <si>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</si>
  <si>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</si>
  <si>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</si>
  <si>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</si>
  <si>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</si>
  <si>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</si>
  <si>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</si>
  <si>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</si>
  <si>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</si>
  <si>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</si>
  <si>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</si>
  <si>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</si>
  <si>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</si>
  <si>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</si>
  <si>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</si>
  <si>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</si>
  <si>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</si>
  <si>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</si>
  <si>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Bloom</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</si>
  <si>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</si>
  <si>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</si>
  <si>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</si>
  <si>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</si>
  <si>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</si>
  <si>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</si>
  <si>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</si>
  <si>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</si>
  <si>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</si>
  <si>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</si>
  <si>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</si>
  <si>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</si>
  <si>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</si>
  <si>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</si>
  <si>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</si>
  <si>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</si>
  <si>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</si>
  <si>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</si>
  <si>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</si>
  <si>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</si>
  <si>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</si>
  <si>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</si>
  <si>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</si>
  <si>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</si>
  <si>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</si>
  <si>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</si>
  <si>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</si>
  <si>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</si>
  <si>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</si>
  <si>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</si>
  <si>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</si>
  <si>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</si>
  <si>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</si>
  <si>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Analizar</t>
  </si>
  <si>
    <t>Adjuntar</t>
  </si>
  <si>
    <t>Desmontar</t>
  </si>
  <si>
    <t>Quitar</t>
  </si>
  <si>
    <t>Autorizar</t>
  </si>
  <si>
    <t>Resumir</t>
  </si>
  <si>
    <t>Ofrecer</t>
  </si>
  <si>
    <t>Afirmar</t>
  </si>
  <si>
    <t>Clasificar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</si>
  <si>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</si>
  <si>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</si>
  <si>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</si>
  <si>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</si>
  <si>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</si>
  <si>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</si>
  <si>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</si>
  <si>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</si>
  <si>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</si>
  <si>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</si>
  <si>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</si>
  <si>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</si>
  <si>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</si>
  <si>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</si>
  <si>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</si>
  <si>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</si>
  <si>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</si>
  <si>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</si>
  <si>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</si>
  <si>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</si>
  <si>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</si>
  <si>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</si>
  <si>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</si>
  <si>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</si>
  <si>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</si>
  <si>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</si>
  <si>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</si>
  <si>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</si>
  <si>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</si>
  <si>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</si>
  <si>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</si>
  <si>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</si>
  <si>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</si>
  <si>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</si>
  <si>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</si>
  <si>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</si>
  <si>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</si>
  <si>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</si>
  <si>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</si>
  <si>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</si>
  <si>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</si>
  <si>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</si>
  <si>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</si>
  <si>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</si>
  <si>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</si>
  <si>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</si>
  <si>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</si>
  <si>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</si>
  <si>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</si>
  <si>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</si>
  <si>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</si>
  <si>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</si>
  <si>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</si>
  <si>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</si>
  <si>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</si>
  <si>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</si>
  <si>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</si>
  <si>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</si>
  <si>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</si>
  <si>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</si>
  <si>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</si>
  <si>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</si>
  <si>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</si>
  <si>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</si>
  <si>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</si>
  <si>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</si>
  <si>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</si>
  <si>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</si>
  <si>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</si>
  <si>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</si>
  <si>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</si>
  <si>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</si>
  <si>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</si>
  <si>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</si>
  <si>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</si>
  <si>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</si>
  <si>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</si>
  <si>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</si>
  <si>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</si>
  <si>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</si>
  <si>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</si>
  <si>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</si>
  <si>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</si>
  <si>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</si>
  <si>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</si>
  <si>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</si>
  <si>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</si>
  <si>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</si>
  <si>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</si>
  <si>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</si>
  <si>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</si>
  <si>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</si>
  <si>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</si>
  <si>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</si>
  <si>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</si>
  <si>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</si>
  <si>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</si>
  <si>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</si>
  <si>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</si>
  <si>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</si>
  <si>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</si>
  <si>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</si>
  <si>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</si>
  <si>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</si>
  <si>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</si>
  <si>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</si>
  <si>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</si>
  <si>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</si>
  <si>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</si>
  <si>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</si>
  <si>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</si>
  <si>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</si>
  <si>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</si>
  <si>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</si>
  <si>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</si>
  <si>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</si>
  <si>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</si>
  <si>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</si>
  <si>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</si>
  <si>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</si>
  <si>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</si>
  <si>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</si>
  <si>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</si>
  <si>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</si>
  <si>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</si>
  <si>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</si>
  <si>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</si>
  <si>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</si>
  <si>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</si>
  <si>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</si>
  <si>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</si>
  <si>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</si>
  <si>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</si>
  <si>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</si>
  <si>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</si>
  <si>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</si>
  <si>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</si>
  <si>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</si>
  <si>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</si>
  <si>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</si>
  <si>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</si>
  <si>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</si>
  <si>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</si>
  <si>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</si>
  <si>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</si>
  <si>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</si>
  <si>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</si>
  <si>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</si>
  <si>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</si>
  <si>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</si>
  <si>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</si>
  <si>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</si>
  <si>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</si>
  <si>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</si>
  <si>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</si>
  <si>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</si>
  <si>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</si>
  <si>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</si>
  <si>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</si>
  <si>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</si>
  <si>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</si>
  <si>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</si>
  <si>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</si>
  <si>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</si>
  <si>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</si>
  <si>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</si>
  <si>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</si>
  <si>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</si>
  <si>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</si>
  <si>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</si>
  <si>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</si>
  <si>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</si>
  <si>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</si>
  <si>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</si>
  <si>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</si>
  <si>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</si>
  <si>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</si>
  <si>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</si>
  <si>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</si>
  <si>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</si>
  <si>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</si>
  <si>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</si>
  <si>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</si>
  <si>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</si>
  <si>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</si>
  <si>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</si>
  <si>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</si>
  <si>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</si>
  <si>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</si>
  <si>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</si>
  <si>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</si>
  <si>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</si>
  <si>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</si>
  <si>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</si>
  <si>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</si>
  <si>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</si>
  <si>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</si>
  <si>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</si>
  <si>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</si>
  <si>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</si>
  <si>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</si>
  <si>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</si>
  <si>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</si>
  <si>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</si>
  <si>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</si>
  <si>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</si>
  <si>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</si>
  <si>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</si>
  <si>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</si>
  <si>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</si>
  <si>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</si>
  <si>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</si>
  <si>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</si>
  <si>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</si>
  <si>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</si>
  <si>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</si>
  <si>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</si>
  <si>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</si>
  <si>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</si>
  <si>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</si>
  <si>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</si>
  <si>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</si>
  <si>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</si>
  <si>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</si>
  <si>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</si>
  <si>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</si>
  <si>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</si>
  <si>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</si>
  <si>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</si>
  <si>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</si>
  <si>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</si>
  <si>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</si>
  <si>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</si>
  <si>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</si>
  <si>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</si>
  <si>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</si>
  <si>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</si>
  <si>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</si>
  <si>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</si>
  <si>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</si>
  <si>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</si>
  <si>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</si>
  <si>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</si>
  <si>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</si>
  <si>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</si>
  <si>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</si>
  <si>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</si>
  <si>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</si>
  <si>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</si>
  <si>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</si>
  <si>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</si>
  <si>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</si>
  <si>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</si>
  <si>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</si>
  <si>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</si>
  <si>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</si>
  <si>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</si>
  <si>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</si>
  <si>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</si>
  <si>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</si>
  <si>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</si>
  <si>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</si>
  <si>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</si>
  <si>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</si>
  <si>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</si>
  <si>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</si>
  <si>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</si>
  <si>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</si>
  <si>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</si>
  <si>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</si>
  <si>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</si>
  <si>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</si>
  <si>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</si>
  <si>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</si>
  <si>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</si>
  <si>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</si>
  <si>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</si>
  <si>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</si>
  <si>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</si>
  <si>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</si>
  <si>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</si>
  <si>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</si>
  <si>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</si>
  <si>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</si>
  <si>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</si>
  <si>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</si>
  <si>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</si>
  <si>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</si>
  <si>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</si>
  <si>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</si>
  <si>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</si>
  <si>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</si>
  <si>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</si>
  <si>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</si>
  <si>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</si>
  <si>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</si>
  <si>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</si>
  <si>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</si>
  <si>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</si>
  <si>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</si>
  <si>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</si>
  <si>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</si>
  <si>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</si>
  <si>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</si>
  <si>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</si>
  <si>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</si>
  <si>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</si>
  <si>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</si>
  <si>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</si>
  <si>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</si>
  <si>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</si>
  <si>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</si>
  <si>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</si>
  <si>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</si>
  <si>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</si>
  <si>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</si>
  <si>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</si>
  <si>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</si>
  <si>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</si>
  <si>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</si>
  <si>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</si>
  <si>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</si>
  <si>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</si>
  <si>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</si>
  <si>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</si>
  <si>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</si>
  <si>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</si>
  <si>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</si>
  <si>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</si>
  <si>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</si>
  <si>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</si>
  <si>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</si>
  <si>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</si>
  <si>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</si>
  <si>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</si>
  <si>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</si>
  <si>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</si>
  <si>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</si>
  <si>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</si>
  <si>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</si>
  <si>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</si>
  <si>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</si>
  <si>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</si>
  <si>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</si>
  <si>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</si>
  <si>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</si>
  <si>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</si>
  <si>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</si>
  <si>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</si>
  <si>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</si>
  <si>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</si>
  <si>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</si>
  <si>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</si>
  <si>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</si>
  <si>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</si>
  <si>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</si>
  <si>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</si>
  <si>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Maestría en Contratación Estatal</t>
  </si>
  <si>
    <t>Presencial</t>
  </si>
  <si>
    <t>El egresado de la Maestría en Contratación Estatal del Politécnico Grancolombiano tendrá altas competencias en el campo de la contratación estatal, a partir de una sólida formación en los elementos sustantivos e instrumentales de esta y el contrato estatal per se, que le permitirá formular soluciones a problemas concretos de esta actuación, reconociendo y aplicando estándares de ética y transparencia en el desarrollo de las distintas dinámicas y prácticas de la contratación estatal, como manifestación de la actuación de la Administración Pública, en el contexto de la gerencia como herramienta para el cumplimiento de los fines del Estado.</t>
  </si>
  <si>
    <t>Fundamentos de la actividad contractual del estado a partir de la compresión de los principios, etapas, agentes de la contratación</t>
  </si>
  <si>
    <t>Formular actos administrativos y acciones judiciales</t>
  </si>
  <si>
    <t>Procedimiento contractual público</t>
  </si>
  <si>
    <t>Desarrollar y gestionar la actividad contractual de la Administración Pública, en el cumplimiento de los fines del Estado</t>
  </si>
  <si>
    <t>Responsabilidad contractual pública</t>
  </si>
  <si>
    <t>Resolver y gestionar los diversos tipos de responsabilidad que se derivan de la actividad y controles de la contratación estatal</t>
  </si>
  <si>
    <t xml:space="preserve">Compresión holística de la contratación estatal, de la debida planeación de la actuación contractual pública, como punto de partida para el adecuado desarrollo de la gestión pública, y las necesidades sociales con la solución de sus problemáticas sustantivas e instrumentales; a partir de una gestión y visión interdisciplinaria y funcional de la compra pública. </t>
  </si>
  <si>
    <t xml:space="preserve">Sistematizar los fundamentos de la actividad contractual del estado partir de la compresión de los principios, etapas, agentes de la contratación para formular actos administrativos y acciones judiciales, de conformidad con el marco normativo vigente, y el respeto por el principio de legalidad y la ética de lo público. </t>
  </si>
  <si>
    <t xml:space="preserve">Implementar el procedimiento contractual público para el desarrollo y gestión de la actividad contractual de la Administración Pública, en el cumplimiento de los fines del Estado, a partir del marco normativo, jurisprudencial y doctrinal de la contratación estatal en Colombia. </t>
  </si>
  <si>
    <t xml:space="preserve">Aplicar la responsabilidad contractual pública para resolver y gestionar los diversos tipos de responsabilidad que se derivan de la actividad y controles de la contratación estatal, a partir del marco normativo, jurisprudencial y doctrinal de la contratación estatal en Colombia. </t>
  </si>
  <si>
    <t>Específica</t>
  </si>
  <si>
    <t xml:space="preserve">Reconoce los fundamentos de la actividad contractual del Estado para emitir conceptos y desarrollar actuaciones jurídicas. </t>
  </si>
  <si>
    <t xml:space="preserve">Aplica los aspectos generales de la Contratación Estatal, desde el constitucionalismo,  pasando por los conceptos genéricos sobre  negocios jurídicos, las partes en un contrato  y su capacidad, las normas de orden reglamentario, así como los  intervinientes en las actuaciones relacionadas con la  actividad contractual de la Administración para incorporarlos de manera correspondiente en las etapas pre, contra y poscontractual. </t>
  </si>
  <si>
    <t xml:space="preserve">Revisa los fundamentos jurídicos de la actividad contractual del estado para determinar la legalidad y ética de las actuaciones desplegadas en el marco de la contratación estatal. </t>
  </si>
  <si>
    <t>Estructura el desarrollo del procedimiento contractual público observando el marco normativo, jurisprudencial y doctrinal de la contratación estatal colombiana para gestionar la actividad contractual de la Administración Pública.</t>
  </si>
  <si>
    <t>Reconoce las causales y los aspectos que diferencian los diferentes procedimientos contractuales públicos requeridos para desarrollar la gestión de la actividad contractual de la Administración Pública en el cumplimiento de sus fines, observando y aplicando el marco normativo, jurisprudencial y doctrinal pertinente.</t>
  </si>
  <si>
    <t xml:space="preserve">Califica la legalidad de los actos que se despliegan en el marco de los procedimientos contractuales públicos emitidos por la Administración Pública para determinar su exigibilidad y aplicación, en observancia del marco normativo, jurisprudencial, y doctrinal pertinente. </t>
  </si>
  <si>
    <t xml:space="preserve">Analiza los elementos y reglas que configuran la responsabilidad derivada de la gestión contractual pública para identificar los riesgos que afectan el patrimonio público así como el cumplimiento de los fines del Estado, a partir de los marcos normativos y teóricos pertinentes. </t>
  </si>
  <si>
    <t>Compara las diferentes tipologías de responsabilidad derivadas de la actividad contractual del Estado y con ocasión de los controles aplicados a aquellas, para formular acciones judiciales y escritos jurídicos.</t>
  </si>
  <si>
    <t>Clasifica los elementos que determinan la configuración de la responsabilidad contractual pública derivada de su ejercicio y control, a partir del marco normativo, jurisprudencial y doctrinal de la contratación estatal en Colombia, para identificar acciones de prevención y mitigación del daño antijurídico.</t>
  </si>
  <si>
    <t xml:space="preserve">Semillero de Investigación </t>
  </si>
  <si>
    <t xml:space="preserve">El semillero de investigación es un espacio determinado para generar no solamente conciencia en los estudiantes sobre la investigación como herramienta para la generación de nuevo conocimiento útil para la sociedad y la formulación de soluciones prácticas en contexto para las problemáticas del objeto de estudio del programa, generalmente a partir del estudio de casos o situaciones en contexto. </t>
  </si>
  <si>
    <t>Número de proyectos que se desarrollan o en los cuales hacen parte los estudiantes.</t>
  </si>
  <si>
    <t>Número de estudiantes que participan durante los periodos académicos que determine le programa.</t>
  </si>
  <si>
    <t>Valoración de los estudiantes respecto a la contribución de la estrategia a los resultados de aprendizaje.</t>
  </si>
  <si>
    <t>Informe</t>
  </si>
  <si>
    <t>Listado de participación</t>
  </si>
  <si>
    <t xml:space="preserve">Eventos Académicos Nacionales o Internacionales </t>
  </si>
  <si>
    <t>Constituyen espacios académicos para la formulación de intercambios no solo de conocimientos académicos directamente relacionados con el programa, sino también, promover interacciones intradisciplinares con relación al objeto de estudio de la maestría, que les permite advertir nuevas perspectivas, analizar nuevos elementos, y considerar nuevos enfoques en la gestión y estudio de la contratación estatal.</t>
  </si>
  <si>
    <t>Número de eventos realizados.</t>
  </si>
  <si>
    <t>Número de estudiantes que participan en las clases espejo durante un año.</t>
  </si>
  <si>
    <t>Divulgación de Trabajos de Investigación</t>
  </si>
  <si>
    <t>Número de trabajos publicados en los periodos de tiempo que establezca el programa.</t>
  </si>
  <si>
    <t xml:space="preserve">Procesos de Selección </t>
  </si>
  <si>
    <t>T</t>
  </si>
  <si>
    <t>X</t>
  </si>
  <si>
    <t>Evaluación Formativa:
Se desarrollan acciones orientadas a: formar creando las condiciones para que los estudiantes adquieran conocimientos, habilidades, actitudes, aptitudes y destrezas. Además, debe promover su desarrollo integral y debe acompañarlos en las situaciones académicas que enfrenten durante el desarrollo de un módulo, informa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o ayudar a decidir orientando a los estudiantes para que tomen la mejor decisión ante una situación concreta. El objetivo es que el estudiante fortalezca su autonomía y la toma de decisiones responsable. 
Evaluación Sumativa:
Con las valoraciones y observaciones generadas en las actividades que impliquen entregas como: recursos, quices, evaluaciones parciales, evaluación final, trabajos o documentos, según sea el caso.</t>
  </si>
  <si>
    <t>1. Ubicación normativa y conceptual de la planeación. 
2. Herramientas para la planeación contractual. 
3. Evolución jurisprudencial de la planeación contractual. 
4. Consecuencias y responsabilidades de la planeación contractual.</t>
  </si>
  <si>
    <t>TP</t>
  </si>
  <si>
    <t xml:space="preserve">1. Elementos de existencia y requisitos de validez del contrato estatal. 
2. Requisitos o presupuestos de perfeccionamiento y ejecución del contrato estatal. 
3. Modificaciones, suspensiones, adiciones y otros remedios contractuales. 
4. Tipologías contractuales públicas. </t>
  </si>
  <si>
    <t>1. Introducción y generalidades de la contratación estatal.
2. Principios de la contratación estatal y de los negocios jurídicos de la administración pública. 
3. Macro Jurídico de la contratación pública. 
4. Agentes y sujetos de la contratación estatal y las relaciones negociales de la administración pública.</t>
  </si>
  <si>
    <t xml:space="preserve">1. Responsabilidad y control disciplinario en el ámbito de la contratación estatal. 
2. Responsabilidad y control fiscal en el ámbito de la contratación estatal. 
3. Nociones relacionadas con la comisión de delitos y corrupción en la contratación estatal. 
4. Controles judiciales, social y político en el ámbito de la contratación estatal. </t>
  </si>
  <si>
    <t>Potestades Unilaterales de la Administración Pública</t>
  </si>
  <si>
    <t>Controversias Contractuales y Procesos Jurisdiccionales entorno a la Contratación Estatal</t>
  </si>
  <si>
    <t>Seminario Taller de Simulación</t>
  </si>
  <si>
    <t>Formula estrategias para la gestión y el desarrollo de la actividad contractual del Estado en sus etapas pre, contra y pos contractual, para aplicarlas en la solución de casos simulados, según el marco normativo y regulatorio correspondiente.</t>
  </si>
  <si>
    <t>1. La etapa precontractual.
2. La etapa contractual. 
3. La etapa pos contractual.
4. La gestión de la controversia contractual.</t>
  </si>
  <si>
    <t>Análisis de Caso</t>
  </si>
  <si>
    <t>Elabora marco teóricos para sustentar soluciones de casos de estudios del ámbito de la contratación estatal y del ejercicio de la compra pública, tomando en consideración las intersecciones de la disciplina con áreas del derecho y otras disciplinas, así como el marco regulatorio, jurisprudencial y doctrinal.</t>
  </si>
  <si>
    <t xml:space="preserve">1. La metodología del estudio y análisis de casos.
2. La identificación del caso y sus marcos de referencia. 
3. Construcción de líneas jurisprudenciales. 
4. El caso en concreto sometido a estudio. </t>
  </si>
  <si>
    <t>Análisis Económico de la Contratación Estatal</t>
  </si>
  <si>
    <t>Formulación y Evaluación de Proyectos de la Contratación Estatal</t>
  </si>
  <si>
    <t>Regímenes Especiales de la Contratación Estatal</t>
  </si>
  <si>
    <t>Contratación Pública Internacional</t>
  </si>
  <si>
    <t>Trabajo de Investigación [MCE]</t>
  </si>
  <si>
    <t>Formula propuestas de análisis o estudio de casos del ámbito de la contratación estatal, para proyectar soluciones a problemas o situaciones asociadas al desarrollo de la actividad contractual, de acuerdo con los regímenes generales y especiales en el mercado de la compra pública y dando cumplimiento al marco regulatorio, jurisprudencial y doctrinal.</t>
  </si>
  <si>
    <t>1. Formulación teórica del trabajo.
2. Metodología del trabajo.
3. Análisis e interpretación de datos.
4. Construcción y sustentación del trabajo.</t>
  </si>
  <si>
    <t xml:space="preserve">Identifica el impacto de la gestión de la actividad contractual en la construcción del concepto y desarrollo del mercado de la compra pública, para estructurar propuestas de solución de las imperfecciones del mercado promoviendo la libre competencia y su regulación. </t>
  </si>
  <si>
    <t xml:space="preserve">1. Generalidades del análisis económico en las ciencias jurídicas.
2. El análisis económico de la contratación estatal.
3. Regulación del mercado de la compra pública y libre competencia.
4. Herramientas para la gestión de las imperfecciones del mercado de la compra pública. </t>
  </si>
  <si>
    <t xml:space="preserve">1. Planeación en la contratación estatal.
2. Etapas de maduración de proyectos de contratación estatal. 
3. Evaluación técnica, jurídica, y social de proyectos de contratación estatal. 
4. Seguimiento a la ejecución de proyectos de contratación estatal. </t>
  </si>
  <si>
    <t>Analiza los principios de la actividad contractual a nivel internacional, como instrumentos de armonización y promoción de la efectividad de la gestión contractual pública, para determinar su aplicabilidad en los procesos contractuales colombianos.</t>
  </si>
  <si>
    <t>1. Generalidades del derecho internacional público. 
2. Principios de la compra pública internacional. 
3. Acuerdos internacionales y acuerdos comerciales con capítulos de compra pública. 
4. Modelos de compra pública - estudio comparado.</t>
  </si>
  <si>
    <t>Reconoce la noción de la contratación estatal para caracterizar los factores que permiten dar cumplimiento a los fines del Estado en la solución de casos de la actividad contractual.
Analiza el marco normativo y los principios de la contratación estatal para determinar su aplicabilidad en la solución de casos o el abordaje de contextos propios de la actividad contractual pública.
Interpreta las nociones de capacidad, competencia y del sistema de inhabilidades en la actividad contractual del Estado para identificar los agentes que participan en ella en los procesos de materialización del cumplimiento de los fines de la administración pública.</t>
  </si>
  <si>
    <t xml:space="preserve">Identifica los elementos distintivos de cada unos de los procesos de selección de contratitas, para elaborar documentos que expongan las condiciones que garantizan la selección objetiva y el principio de favorabilidad de oferta.
Determina cada una de las etapas en las que se desarrollan los procesos de selección en la contratación estatal a partir de los marcos regulatorios pertinentes, para documentarlas garantizando la selección objetiva y el principio de favorabilidad de oferta. </t>
  </si>
  <si>
    <t xml:space="preserve">Identifica los elementos y marcos regulatorios de la liquidación de los contratos estatales, como herramienta para la extinsión total del negocio jurídico público, con el fin de elaborar cierres de cuenta de la ejecución de la actividad contractual.
Aplica las reglas de procedimiento especial de la compra pública para elaborar liquidaciones de contratos estatales, en sus diferentes modalidades y conforme al marco jurídico correspondiente. </t>
  </si>
  <si>
    <t>Actividades de Trabajo Directo con Acompañamiento Asincrónico:  
Resolución de inquietudes, discusión de problemáticas o temáticas, generación de síntesis y acciones de retroalimentación, o formulación de propuestas, a través de los medios de mensajería asincrónica o de las herramientas de mediación empleadas por la institución para el desarrollo de los módulos.
Actividades de Trabajo Directo con Acompañamiento Sincrónico: 
Encuentros semanales para la aclaración de conceptos o procedimientos o para las acciones de retroalimentación a las que haya lugar.
Actividades de Trabajo Independiente con Acompañamiento Asincrónico:  
Realización de lecturas para promover el aprendizaje y motivar la indagación y ampliar el conocimiento respecto a los temas por tratar.  
Revisión del material obligatorio y  complementario para ahondar en los temas centrales del módulo.   
Desarrollo de actividades de aprendizaje y evaluativas, según sea el caso.
Actividades evaluativas:
Evaluación diagnóstica/Actividad formativa/Actividad de entrega/Examen final/Autoevaluación</t>
  </si>
  <si>
    <t>Actividades de Trabajo Directo con Acompañamiento Asincrónico:  
Resolución de inquietudes, discusión de problemáticas o temáticas, generación de síntesis y acciones de retroalimentación, o formulación de propuestas, a través de los medios de mensajería asincrónica o de las herramientas de mediación empleadas por la institución para el desarrollo de los módulos.
Actividades de Trabajo Directo con Acompañamiento Sincrónico: 
Encuentros semanales para la aclaración de conceptos o procedimientos o para las acciones de retroalimentación a las que haya lugar.
Actividades de Trabajo Independiente con Acompañamiento Asincrónico:  
Realización de lecturas para promover el aprendizaje y motivar la indagación y ampliar el conocimiento respecto a los temas por tratar.  
Revisión del material obligatorio y  complementario para ahondar en los temas centrales del módulo.   
Desarrollo de actividades de aprendizaje y evaluativas, según sea el caso.
Actividades evaluativas:
Evaluación diagnóstica/Actividad formativa/Actividad de entrega/Examen final/Autoevaluación</t>
  </si>
  <si>
    <t>Actividades de Trabajo Directo con Acompañamiento Asincrónico:  
Resolución de inquietudes, discusión de problemáticas o temáticas, generación de síntesis y acciones de retroalimentación, o formulación de propuestas, a través de los medios de mensajería asincrónica o de las herramientas de mediación empleadas por la institución para el desarrollo de los módulos.
Actividades de Trabajo Directo con Acompañamiento Sincrónico: 
Encuentros semanales para la aclaración de conceptos o procedimientos o para las acciones de retroalimentación a las que haya lugar.
Actividades de Trabajo Independiente con Acompañamiento Asincrónico:  
Realización de lecturas para promover el aprendizaje y motivar la indagación y ampliar el conocimiento respecto a los temas por tratar.  
Revisión del material obligatorio y  complementario para ahondar en los temas centrales del módulo.   
Desarrollo de actividades de aprendizaje y evaluativas, según sea el caso.
Actividades evaluativas:
Evaluación diagnóstica/Actividad formativa/Actividad de entrega 1/Actividad de entrega 2/Autoevaluación</t>
  </si>
  <si>
    <t>El Magíster en Contratación Estatal puede desempeñarse en:
En el sector público como:
- Funcionario público, bien sea como ordenador del gasto, director de equipos de contratación de las entidades públicas, o miembro de comités asesores, de estructuración y evaluación de procesos de compra pública.
- Contratista o interventor o supervisor de contratos.
En el sector de la administración de justicia como:
- Juez de la república o árbitro en materia de contratación estatal.
- Auxiliar de la administración de justicia en los casos permitidos por la ley. 
En el sector privado como asesor de contratación de diferentes proponentes privados, a partir del ejercicio de la asesoría y consultoría en la formulación y diseño de propuestas y durante la etapa de ejecución.
En el sector académico como profesor en los campos académicos relacionados con la contratación estatal, desarrollando su potencial investigativo adelantando procesos y proyectos de investigación aplicados a dicho campo de conocimiento.</t>
  </si>
  <si>
    <t>Tipologías, Contenido y Ejecución de los Contratos Estatales</t>
  </si>
  <si>
    <t>La Planeación en la Contratación Estatal</t>
  </si>
  <si>
    <t>Introducción a la Contratación Estatal y el Negocio Jurídico Público</t>
  </si>
  <si>
    <t>Regímenes de Responsabilidad y Controles a la Contratación Estatal</t>
  </si>
  <si>
    <t>Liquidación y Fenecimiento del Contrato Estatal</t>
  </si>
  <si>
    <t>Formar a los estudiantes en la profundización de temáticas específicas, enseñándoles herramientas investigativas y guiándolos en proyectos de investigación con orientación formativa.</t>
  </si>
  <si>
    <t>Informar a los estudiantes sobre avances y tendencias en normatividad y jurisprudencia de la contratación estatal, generando espacios de diálogo con expertos.</t>
  </si>
  <si>
    <t>Formar y ayudar a decidir a los estudiantes en la divulgación académica de sus proyectos de investigación, valorando críticamente sus trabajos y orientando acciones de mejora.</t>
  </si>
  <si>
    <t>Con la finalidad de divulgar y dar a conocer los trabajos de investigación y la identificación de problemáticas de la Contratación Estatal con las propuestas de análisis o solución estos se publicarán en los repositorios institucionales como Alejandría, para contribuir a la apropiación social del conocimiento alcanzado por los estudiantes del programa.</t>
  </si>
  <si>
    <t>De conformidad con el marco normativo vigente, y el respeto por el principio de legalidad y la ética de lo público</t>
  </si>
  <si>
    <t>En el cumplimiento de los fines del Estado, a partir del marco normativo, jurisprudencial y doctrinal de la contratación estatal en Colombia</t>
  </si>
  <si>
    <t>A partir del marco normativo, jurisprudencial y doctrinal de la contratación estatal en Colombia</t>
  </si>
  <si>
    <t xml:space="preserve">Determina la planeación contractual como una herramienta transversal para identificar su aplicabilidad en las etapa pre, contra y pos contractual, garantizando el cumplimiento de los fines del Estado.
Evalúa las consecuencias e implicaciones en la gestión contractual pública, derivadas de una indebida planeación, para proponer estrategias o herramientas que la reduzcan. </t>
  </si>
  <si>
    <t xml:space="preserve">Selecciona la tipología contractual para identificar con cual o cuales se atiende la regulación contractual pública en función del objeto y las necesidades de las partes que motivó la celebración del contrato.
Aplica las reglas y principios que regulan el contenido de los contratos estatales, entendiendo que los mismos son garantía del principio de legalidad en la configuración del negocio jurídico público, para redactar las clausulas contractuales junto con otros instrumentos, propios de la actividad contractual pública.
Evalúa la aplicación de los lineamientos doctrinales, normativos y jurisprudenciales para proponer estrategias de ejecución en los contratos estatales, asegurando la observancia del principio de legalidad y el cumplimiento de las obligaciones pactadas en los contratos. </t>
  </si>
  <si>
    <t xml:space="preserve">1. Deber de selección objetiva.
2. Documentos tipo y estructura general de los procesos de selección.
3. Licitación pública y selección abreviada.
4. Concurso de méritos, mínima cuantía y contratación directa. </t>
  </si>
  <si>
    <t xml:space="preserve">Determina los elementos que configuran las diferentes expresiones de responsabilidad que son generadas en el ámbito de la contratación estatal, para evaluar la actividad contractual pública a partir de los estándares definidos por los diferentes controles que sobre aquella han sido establecidos por el legislador. </t>
  </si>
  <si>
    <t xml:space="preserve">Aplica las potestades unilaterales de la Administración en el ámbito de los contratos estatales como herramientas para plantear procesos de gestión contractual que permitan asegurar el cumplimiento de los fines estatales perseguidos con ocasión de la celebración de aquellos.
Diseña clausulados contractuales para la aplicación y ejecución de potestades excepcionales en observancia del marco legal y regulatorio pertinente. </t>
  </si>
  <si>
    <t xml:space="preserve">1. La excepcionalidad y la unilateralidad en la contratación estatal.
2. Cláusulas excepcionales al derechos común
3. Multas y cláusula penal en los contratos estatales. 
4. Debido proceso en el ejercicio de la excepcionalidad y la unilateralidad. </t>
  </si>
  <si>
    <t xml:space="preserve">1. La terminación del contrato estatal.
2. El deber de liquidación de los contratos estatales.
3. Procedimiento de liquidación del contrato estatal.
4. Responsabilidades en la terminación y liquidación del contrato estatal. </t>
  </si>
  <si>
    <t xml:space="preserve">Determina la diferencia entre el concepto de acción y medio de control en la jurisdicción de lo Contencioso Administrativo, para seleccionar el medio de control pertinente de aplicar sobre las actuaciones de la administración en sede judicial. 
Determina estrategias para gestionar asertivamente las controversias, derivadas de la actividad contractual del estado, bien sea en sede judicial o mediante la aplicación de los mecanismos alternativos de solución de conflictos. </t>
  </si>
  <si>
    <t xml:space="preserve">1. La noción de controversia contractual y los medios de control para su gestión. 
2. El proceso contencioso administrativo, aspectos sustantivos.
3. El proceso contencioso administrativo, aspectos instrumentales. 
4. Mecanismos alternativos de gestión y solución de controversias. </t>
  </si>
  <si>
    <t>Reconoce las fases de maduración de proyectos de contratación estatal, para desarrollar ejercicios de evaluación de proyectos determinando su viabilidad jurídica, técnica y financiera.</t>
  </si>
  <si>
    <t>Reconoce las condiciones que habilitan los regímenes especiales de contratación, así como sus características de aplicación y uso para determinar las responsabilidades y obligaciones especiales de las entidades sometidas, en el desarrollo de su actividad contractual.
Formula manuales de contratación para orientar los procesos de aplicación de las especialidades de las entidades sometidas a regímenes especiales de contratación, en el mercado de la compra pública en el respeto del principio de legalidad.</t>
  </si>
  <si>
    <t xml:space="preserve">1. Generalidades de los regímenes especiales. 
2. Revisión de los casos exceptuados del estatuto general de contratación de las Administraciones Públicas. 
3. Manuales de contratación y respeto por el régimen de inhabilidades, incompatibilidades y conflicto de intereses.
4. Responsabilidades en el régimen especial. </t>
  </si>
  <si>
    <t>Director o jefe de contratación estatal/Asesor jurídico superior en contratación pública/Consultor estratégico en gestión contractual pública/Especialista en estructuración de proyectos contractuales/Coordinador de planeación y gestión contractual/Diseñador de modelos contractuales y estrategias de la contratación pública/Coordinador de seguimiento y evaluación contractual/Asesor jurídico en control y desempeño contractual/Experto en gestión y gerencia integral de contratos estatales/Especialista en control interno y evaluación de la gestión contractual/Consultor en sistemas de integridad y transparencia en contratación pública/Analista de políticas públicas en contratación estatal/Investigador en innovación normativa y gestión de compras públicas/Asesor en reforma y fortalecimiento institucional del régimen contractual público/Abogado litigante especializado en contratación pública.</t>
  </si>
  <si>
    <t>Dirigir y asesorar estratégicamente procesos de contratación estatal en sus etapas precontractual, contractual y poscontractual/Formular, analizar y evaluar planes, políticas y estrategias institucionales de contratación pública/Elaborar y revisar actos administrativos y documentos jurídicos vinculados a la gestión contractual del Estado/Emitir conceptos jurídicos especializados para la toma de decisiones en entidades públicas y privadas relacionados con la contratación estatal/Formular y liderar estrategias jurídicas para la prevención y resolución de controversias contractuales públicas/Coordinar auditorías, controles y evaluaciones de desempeño contractual público con enfoque en transparencia y eficiencia/Desarrollar consultoría jurídica avanzada en contratación pública.</t>
  </si>
  <si>
    <t>Entidades públicas del orden nacional, entes territoriales y entes autónomos/Entidades descentralizadas, empresas industriales y comerciales del Estado y sociedades de economía mixta/Órganos de control/Entidades del sector defensa, seguridad, salud, infraestructura y educación con funciones contractuales/Sector privado que contrata o asesora procesos de contratación con el Estado/Firmas de consultoría y auditoría jurídica especializadas en contratación estatal/Organismos internacionales y de cooperación técnica o financiera/Gremios, cámaras de comercio y asociaciones empresariales vinculadas a la contratación pública/Instituciones académicas y formación especializada.</t>
  </si>
  <si>
    <t>C.Fundamentación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</si>
</sst>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
      <b/>
      <sz val="11"/>
      <color theme="1"/>
      <name val="Gill Sans MT"/>
      <family val="2"/>
    </font>
  </fonts>
  <fills count="10">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theme="2"/>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bottom style="medium">
        <color rgb="FF000000"/>
      </bottom>
      <diagonal/>
    </border>
    <border>
      <left/>
      <right/>
      <top style="thin">
        <color rgb="FF0F385A"/>
      </top>
      <bottom/>
      <diagonal/>
    </border>
    <border>
      <left style="thin">
        <color auto="1"/>
      </left>
      <right style="thin">
        <color auto="1"/>
      </right>
      <top style="thin">
        <color auto="1"/>
      </top>
      <bottom/>
      <diagonal/>
    </border>
    <border>
      <left/>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medium">
        <color indexed="64"/>
      </bottom>
      <diagonal/>
    </border>
    <border>
      <left/>
      <right/>
      <top style="medium">
        <color rgb="FF000000"/>
      </top>
      <bottom/>
      <diagonal/>
    </border>
    <border>
      <left/>
      <right/>
      <top style="medium">
        <color indexed="64"/>
      </top>
      <bottom style="hair">
        <color theme="1" tint="0.499984740745262"/>
      </bottom>
      <diagonal/>
    </border>
    <border>
      <left/>
      <right/>
      <top style="hair">
        <color theme="1" tint="0.499984740745262"/>
      </top>
      <bottom style="hair">
        <color theme="1" tint="0.499984740745262"/>
      </bottom>
      <diagonal/>
    </border>
    <border>
      <left/>
      <right/>
      <top style="hair">
        <color theme="1" tint="0.499984740745262"/>
      </top>
      <bottom/>
      <diagonal/>
    </border>
    <border>
      <left style="thin">
        <color rgb="FF1FB2DE"/>
      </left>
      <right/>
      <top style="medium">
        <color indexed="64"/>
      </top>
      <bottom/>
      <diagonal/>
    </border>
    <border>
      <left style="thin">
        <color rgb="FF1FB2DE"/>
      </left>
      <right/>
      <top/>
      <bottom/>
      <diagonal/>
    </border>
    <border>
      <left style="thin">
        <color rgb="FF1FB2DE"/>
      </left>
      <right/>
      <top/>
      <bottom style="medium">
        <color indexed="64"/>
      </bottom>
      <diagonal/>
    </border>
  </borders>
  <cellStyleXfs count="1">
    <xf numFmtId="0" fontId="0" fillId="0" borderId="0"/>
  </cellStyleXfs>
  <cellXfs count="131">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4" fillId="0" borderId="0" xfId="0" applyFont="1" applyAlignment="1">
      <alignment wrapText="1"/>
    </xf>
    <xf numFmtId="0" fontId="3" fillId="0" borderId="0" xfId="0" applyFont="1" applyAlignment="1">
      <alignment vertical="center"/>
    </xf>
    <xf numFmtId="0" fontId="9" fillId="0" borderId="0" xfId="0" applyFont="1" applyAlignment="1">
      <alignment horizontal="left" vertical="center" wrapText="1"/>
    </xf>
    <xf numFmtId="0" fontId="3" fillId="0" borderId="9" xfId="0" applyFont="1" applyBorder="1" applyAlignment="1">
      <alignment vertical="center" wrapText="1"/>
    </xf>
    <xf numFmtId="0" fontId="9" fillId="0" borderId="9" xfId="0" applyFont="1" applyBorder="1" applyAlignment="1">
      <alignment horizontal="left" vertical="center" wrapText="1"/>
    </xf>
    <xf numFmtId="0" fontId="3" fillId="0" borderId="9" xfId="0" applyFont="1" applyBorder="1" applyAlignment="1">
      <alignment vertical="center"/>
    </xf>
    <xf numFmtId="0" fontId="3" fillId="0" borderId="8" xfId="0" applyFont="1" applyBorder="1" applyAlignment="1">
      <alignment vertical="center" wrapText="1"/>
    </xf>
    <xf numFmtId="0" fontId="3" fillId="0" borderId="7" xfId="0" applyFont="1" applyBorder="1" applyAlignment="1">
      <alignment vertical="center" wrapText="1"/>
    </xf>
    <xf numFmtId="0" fontId="3" fillId="0" borderId="7" xfId="0" applyFont="1" applyBorder="1" applyAlignment="1">
      <alignment wrapText="1"/>
    </xf>
    <xf numFmtId="0" fontId="4" fillId="0" borderId="7" xfId="0" applyFont="1" applyBorder="1" applyAlignment="1">
      <alignment vertical="center" wrapText="1"/>
    </xf>
    <xf numFmtId="0" fontId="3" fillId="0" borderId="8" xfId="0" applyFont="1" applyBorder="1" applyAlignment="1">
      <alignment wrapText="1"/>
    </xf>
    <xf numFmtId="0" fontId="3" fillId="0" borderId="7" xfId="0" applyFont="1" applyBorder="1" applyAlignment="1">
      <alignment vertical="center"/>
    </xf>
    <xf numFmtId="0" fontId="3" fillId="0" borderId="8" xfId="0" applyFont="1" applyBorder="1" applyAlignment="1">
      <alignment vertical="center"/>
    </xf>
    <xf numFmtId="0" fontId="3" fillId="0" borderId="10" xfId="0" applyFont="1" applyBorder="1" applyAlignment="1">
      <alignment vertical="center" wrapText="1"/>
    </xf>
    <xf numFmtId="0" fontId="3" fillId="0" borderId="10" xfId="0" applyFont="1" applyBorder="1" applyAlignment="1">
      <alignment vertical="center"/>
    </xf>
    <xf numFmtId="0" fontId="5" fillId="2" borderId="1"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0" borderId="12" xfId="0" applyFont="1" applyBorder="1" applyAlignment="1">
      <alignment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8" fillId="8" borderId="13" xfId="0" applyFont="1" applyFill="1" applyBorder="1" applyAlignment="1">
      <alignment horizontal="center" vertical="center" wrapText="1"/>
    </xf>
    <xf numFmtId="0" fontId="18" fillId="7" borderId="14"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9" fillId="0" borderId="8" xfId="0" applyFont="1" applyBorder="1" applyAlignment="1">
      <alignment horizontal="left" vertical="center" wrapText="1"/>
    </xf>
    <xf numFmtId="0" fontId="19" fillId="0" borderId="0" xfId="0" applyFont="1"/>
    <xf numFmtId="0" fontId="4" fillId="0" borderId="10" xfId="0" applyFont="1" applyBorder="1" applyAlignment="1">
      <alignment vertical="center" wrapText="1"/>
    </xf>
    <xf numFmtId="0" fontId="7" fillId="7" borderId="15" xfId="0" applyFont="1" applyFill="1" applyBorder="1" applyAlignment="1">
      <alignment horizontal="center" vertical="center" wrapText="1"/>
    </xf>
    <xf numFmtId="0" fontId="3" fillId="0" borderId="12" xfId="0" applyFont="1" applyBorder="1" applyAlignment="1">
      <alignment vertical="center" wrapText="1"/>
    </xf>
    <xf numFmtId="0" fontId="9" fillId="0" borderId="12" xfId="0" applyFont="1" applyBorder="1" applyAlignment="1">
      <alignment horizontal="left" vertical="center" wrapText="1"/>
    </xf>
    <xf numFmtId="0" fontId="3" fillId="0" borderId="12" xfId="0" applyFont="1" applyBorder="1" applyAlignment="1">
      <alignment vertical="center"/>
    </xf>
    <xf numFmtId="0" fontId="3" fillId="0" borderId="16" xfId="0" applyFont="1" applyBorder="1" applyAlignment="1">
      <alignment vertical="center" wrapText="1"/>
    </xf>
    <xf numFmtId="0" fontId="9" fillId="0" borderId="16" xfId="0" applyFont="1" applyBorder="1" applyAlignment="1">
      <alignment horizontal="left" vertical="center" wrapText="1"/>
    </xf>
    <xf numFmtId="0" fontId="3" fillId="0" borderId="16" xfId="0" applyFont="1" applyBorder="1" applyAlignment="1">
      <alignment vertical="center"/>
    </xf>
    <xf numFmtId="0" fontId="5" fillId="2" borderId="7" xfId="0" applyFont="1" applyFill="1" applyBorder="1" applyAlignment="1">
      <alignment horizontal="center" vertical="center" wrapText="1"/>
    </xf>
    <xf numFmtId="0" fontId="19" fillId="9" borderId="0" xfId="0" applyFont="1" applyFill="1" applyAlignment="1">
      <alignment horizontal="center" vertical="center" wrapText="1"/>
    </xf>
    <xf numFmtId="0" fontId="5" fillId="2" borderId="17" xfId="0" applyFont="1" applyFill="1" applyBorder="1" applyAlignment="1">
      <alignment horizontal="center" vertical="center" wrapText="1"/>
    </xf>
    <xf numFmtId="0" fontId="19" fillId="9" borderId="17" xfId="0" applyFont="1" applyFill="1" applyBorder="1" applyAlignment="1">
      <alignment horizontal="center" vertical="center" wrapText="1"/>
    </xf>
    <xf numFmtId="0" fontId="13" fillId="6" borderId="18" xfId="0" applyFont="1" applyFill="1" applyBorder="1" applyAlignment="1">
      <alignment horizontal="center" vertical="center" wrapText="1"/>
    </xf>
    <xf numFmtId="0" fontId="19" fillId="9"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9" fillId="9" borderId="19"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4" fillId="0" borderId="8" xfId="0" applyFont="1" applyBorder="1" applyAlignment="1">
      <alignment horizontal="left" vertical="center" wrapText="1"/>
    </xf>
    <xf numFmtId="0" fontId="4" fillId="0" borderId="0" xfId="0" applyFont="1" applyAlignment="1">
      <alignment horizontal="left" vertical="center" wrapText="1"/>
    </xf>
    <xf numFmtId="0" fontId="3" fillId="0" borderId="20" xfId="0" applyFont="1" applyBorder="1" applyAlignment="1">
      <alignment vertical="center" wrapText="1"/>
    </xf>
    <xf numFmtId="0" fontId="3" fillId="0" borderId="21" xfId="0" applyFont="1" applyBorder="1" applyAlignment="1">
      <alignment vertical="center" wrapText="1"/>
    </xf>
    <xf numFmtId="0" fontId="3" fillId="0" borderId="22" xfId="0" applyFont="1" applyBorder="1" applyAlignment="1">
      <alignment vertical="center" wrapText="1"/>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left" vertical="center"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7" xfId="0" applyFont="1" applyBorder="1" applyAlignment="1">
      <alignment vertical="center" wrapText="1"/>
    </xf>
    <xf numFmtId="0" fontId="4" fillId="0" borderId="0" xfId="0" applyFont="1" applyAlignment="1">
      <alignment vertical="center" wrapText="1"/>
    </xf>
    <xf numFmtId="0" fontId="4" fillId="0" borderId="8" xfId="0" applyFont="1" applyBorder="1" applyAlignment="1">
      <alignment vertical="center" wrapText="1"/>
    </xf>
    <xf numFmtId="0" fontId="9"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4" fillId="0" borderId="7" xfId="0" applyFont="1" applyBorder="1" applyAlignment="1">
      <alignment horizontal="left"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14" fillId="6" borderId="4"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3" fillId="0" borderId="7" xfId="0" applyFont="1" applyBorder="1" applyAlignment="1">
      <alignment vertical="center" wrapText="1"/>
    </xf>
    <xf numFmtId="0" fontId="3" fillId="0" borderId="0" xfId="0" applyFont="1" applyAlignment="1">
      <alignment vertical="center" wrapText="1"/>
    </xf>
    <xf numFmtId="0" fontId="3" fillId="0" borderId="8" xfId="0" applyFont="1" applyBorder="1" applyAlignment="1">
      <alignment vertical="center" wrapText="1"/>
    </xf>
    <xf numFmtId="0" fontId="15" fillId="2" borderId="1" xfId="0" applyFont="1" applyFill="1" applyBorder="1" applyAlignment="1">
      <alignment horizontal="center" vertical="center" wrapText="1"/>
    </xf>
    <xf numFmtId="0" fontId="3" fillId="0" borderId="12" xfId="0" applyFont="1" applyBorder="1" applyAlignment="1">
      <alignment horizontal="left" vertical="center" wrapText="1"/>
    </xf>
    <xf numFmtId="0" fontId="3" fillId="0" borderId="12"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0" xfId="0" applyFont="1" applyAlignment="1">
      <alignment horizontal="center"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6" xfId="0" applyFont="1" applyBorder="1" applyAlignment="1">
      <alignment horizontal="center" vertical="center" wrapText="1"/>
    </xf>
    <xf numFmtId="0" fontId="4" fillId="0" borderId="12" xfId="0" applyFont="1" applyBorder="1" applyAlignment="1">
      <alignment horizontal="center" vertical="center" wrapText="1"/>
    </xf>
    <xf numFmtId="0" fontId="9" fillId="0" borderId="12" xfId="0" applyFont="1" applyBorder="1" applyAlignment="1">
      <alignment horizontal="left" vertical="center" wrapText="1"/>
    </xf>
    <xf numFmtId="0" fontId="4" fillId="0" borderId="9" xfId="0" applyFont="1" applyBorder="1" applyAlignment="1">
      <alignment horizontal="center" vertical="center" wrapText="1"/>
    </xf>
    <xf numFmtId="0" fontId="9" fillId="0" borderId="9" xfId="0" applyFont="1" applyBorder="1" applyAlignment="1">
      <alignment horizontal="left" vertical="center" wrapText="1"/>
    </xf>
    <xf numFmtId="0" fontId="4" fillId="0" borderId="16" xfId="0" applyFont="1" applyBorder="1" applyAlignment="1">
      <alignment horizontal="center" vertical="center" wrapText="1"/>
    </xf>
    <xf numFmtId="0" fontId="9" fillId="0" borderId="16" xfId="0" applyFont="1" applyBorder="1" applyAlignment="1">
      <alignment horizontal="left" vertical="center" wrapText="1"/>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19" fillId="0" borderId="0" xfId="0" applyFont="1" applyAlignment="1">
      <alignment horizontal="center"/>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7" totalsRowShown="0" headerRowDxfId="175" dataDxfId="174">
  <autoFilter ref="B1:B37"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topLeftCell="E1" zoomScaleNormal="100" workbookViewId="0">
      <selection activeCell="G5" sqref="G5"/>
    </sheetView>
  </sheetViews>
  <sheetFormatPr baseColWidth="10" defaultColWidth="76.21875" defaultRowHeight="18" x14ac:dyDescent="0.5"/>
  <cols>
    <col min="1" max="1" width="19.77734375" style="3" customWidth="1"/>
    <col min="2" max="2" width="16.77734375" style="3" customWidth="1"/>
    <col min="3" max="3" width="55" style="3" customWidth="1"/>
    <col min="4" max="4" width="68.21875" style="3" customWidth="1"/>
    <col min="5" max="5" width="34.21875" style="3" customWidth="1"/>
    <col min="6" max="7" width="34.21875" style="1" customWidth="1"/>
    <col min="8" max="8" width="62.88671875" style="3" customWidth="1"/>
    <col min="9" max="9" width="66.21875" style="3" customWidth="1"/>
    <col min="10" max="10" width="55.21875" style="3" customWidth="1"/>
    <col min="11" max="11" width="53.21875" style="3" customWidth="1"/>
    <col min="12" max="16384" width="76.21875" style="3"/>
  </cols>
  <sheetData>
    <row r="1" spans="1:11" ht="54" x14ac:dyDescent="0.5">
      <c r="A1" s="41" t="s">
        <v>0</v>
      </c>
      <c r="B1" s="41" t="s">
        <v>1</v>
      </c>
      <c r="C1" s="41" t="s">
        <v>2</v>
      </c>
      <c r="D1" s="41" t="s">
        <v>3</v>
      </c>
      <c r="E1" s="110" t="s">
        <v>4</v>
      </c>
      <c r="F1" s="110"/>
      <c r="G1" s="110"/>
      <c r="H1" s="110" t="s">
        <v>5</v>
      </c>
      <c r="I1" s="110"/>
      <c r="J1" s="110"/>
      <c r="K1" s="42" t="s">
        <v>6</v>
      </c>
    </row>
    <row r="2" spans="1:11" s="4" customFormat="1" x14ac:dyDescent="0.5">
      <c r="A2" s="39" t="s">
        <v>7</v>
      </c>
      <c r="B2" s="39" t="s">
        <v>8</v>
      </c>
      <c r="C2" s="39" t="s">
        <v>9</v>
      </c>
      <c r="D2" s="39" t="s">
        <v>10</v>
      </c>
      <c r="E2" s="40" t="s">
        <v>11</v>
      </c>
      <c r="F2" s="40" t="s">
        <v>12</v>
      </c>
      <c r="G2" s="40" t="s">
        <v>13</v>
      </c>
      <c r="H2" s="43" t="s">
        <v>14</v>
      </c>
      <c r="I2" s="43" t="s">
        <v>15</v>
      </c>
      <c r="J2" s="43" t="s">
        <v>16</v>
      </c>
      <c r="K2" s="43" t="s">
        <v>17</v>
      </c>
    </row>
    <row r="3" spans="1:11" s="6" customFormat="1" ht="82.5" customHeight="1" x14ac:dyDescent="0.3">
      <c r="A3" s="112" t="s">
        <v>578</v>
      </c>
      <c r="B3" s="112" t="s">
        <v>579</v>
      </c>
      <c r="C3" s="111" t="s">
        <v>580</v>
      </c>
      <c r="D3" s="111" t="s">
        <v>649</v>
      </c>
      <c r="E3" s="44" t="s">
        <v>581</v>
      </c>
      <c r="F3" s="44" t="s">
        <v>582</v>
      </c>
      <c r="G3" s="44" t="s">
        <v>659</v>
      </c>
      <c r="H3" s="111" t="s">
        <v>674</v>
      </c>
      <c r="I3" s="111" t="s">
        <v>675</v>
      </c>
      <c r="J3" s="111" t="s">
        <v>676</v>
      </c>
      <c r="K3" s="111" t="s">
        <v>587</v>
      </c>
    </row>
    <row r="4" spans="1:11" s="6" customFormat="1" ht="82.5" customHeight="1" x14ac:dyDescent="0.3">
      <c r="A4" s="85"/>
      <c r="B4" s="85"/>
      <c r="C4" s="88"/>
      <c r="D4" s="88"/>
      <c r="E4" s="6" t="s">
        <v>583</v>
      </c>
      <c r="F4" s="23" t="s">
        <v>584</v>
      </c>
      <c r="G4" s="23" t="s">
        <v>660</v>
      </c>
      <c r="H4" s="88"/>
      <c r="I4" s="88"/>
      <c r="J4" s="88"/>
      <c r="K4" s="88"/>
    </row>
    <row r="5" spans="1:11" s="6" customFormat="1" ht="82.5" customHeight="1" x14ac:dyDescent="0.5">
      <c r="A5" s="85"/>
      <c r="B5" s="85"/>
      <c r="C5" s="88"/>
      <c r="D5" s="88"/>
      <c r="E5" s="6" t="s">
        <v>585</v>
      </c>
      <c r="F5" s="24" t="s">
        <v>586</v>
      </c>
      <c r="G5" s="23" t="s">
        <v>661</v>
      </c>
      <c r="H5" s="88"/>
      <c r="I5" s="88"/>
      <c r="J5" s="88"/>
      <c r="K5" s="88"/>
    </row>
    <row r="6" spans="1:11" s="5" customFormat="1" x14ac:dyDescent="0.3">
      <c r="E6" s="6"/>
      <c r="F6" s="6"/>
      <c r="G6" s="25"/>
    </row>
    <row r="7" spans="1:11" x14ac:dyDescent="0.5">
      <c r="A7" s="5"/>
      <c r="B7" s="5"/>
      <c r="C7" s="7"/>
      <c r="D7" s="7"/>
      <c r="E7" s="5"/>
      <c r="F7" s="4"/>
      <c r="H7" s="4"/>
    </row>
    <row r="8" spans="1:11" x14ac:dyDescent="0.5">
      <c r="A8" s="5"/>
      <c r="B8" s="5"/>
      <c r="C8" s="7"/>
      <c r="D8" s="7"/>
      <c r="E8" s="5"/>
      <c r="F8" s="4"/>
      <c r="H8" s="4"/>
    </row>
    <row r="9" spans="1:11" x14ac:dyDescent="0.5">
      <c r="A9" s="5"/>
      <c r="B9" s="5"/>
      <c r="C9" s="7"/>
      <c r="D9" s="7"/>
      <c r="E9" s="5"/>
      <c r="F9" s="4"/>
    </row>
    <row r="10" spans="1:11" x14ac:dyDescent="0.5">
      <c r="A10" s="5"/>
      <c r="B10" s="5"/>
      <c r="C10" s="7"/>
      <c r="D10" s="7"/>
      <c r="E10" s="4"/>
      <c r="F10" s="4"/>
    </row>
    <row r="11" spans="1:11" x14ac:dyDescent="0.5">
      <c r="A11" s="5"/>
      <c r="B11" s="5"/>
      <c r="C11" s="7"/>
      <c r="D11" s="7"/>
      <c r="E11" s="4"/>
      <c r="F11" s="4"/>
    </row>
    <row r="12" spans="1:11" x14ac:dyDescent="0.5">
      <c r="A12" s="5"/>
      <c r="B12" s="5"/>
      <c r="C12" s="7"/>
      <c r="D12" s="7"/>
      <c r="E12" s="4"/>
      <c r="F12" s="4"/>
    </row>
    <row r="13" spans="1:11" x14ac:dyDescent="0.5">
      <c r="A13" s="5"/>
      <c r="B13" s="5"/>
      <c r="C13" s="7"/>
      <c r="D13" s="7"/>
      <c r="E13" s="4"/>
      <c r="F13" s="4"/>
    </row>
    <row r="14" spans="1:11" x14ac:dyDescent="0.5">
      <c r="A14" s="5"/>
      <c r="B14" s="5"/>
      <c r="C14" s="5"/>
      <c r="E14" s="4"/>
      <c r="F14" s="4"/>
    </row>
    <row r="15" spans="1:11" x14ac:dyDescent="0.5">
      <c r="A15" s="5"/>
      <c r="B15" s="5"/>
      <c r="C15" s="5"/>
      <c r="E15" s="4"/>
      <c r="F15" s="4"/>
    </row>
    <row r="16" spans="1:11" x14ac:dyDescent="0.5">
      <c r="A16" s="5"/>
      <c r="B16" s="5"/>
      <c r="C16" s="5"/>
      <c r="E16" s="4"/>
      <c r="F16" s="4"/>
    </row>
    <row r="17" spans="1:5" x14ac:dyDescent="0.5">
      <c r="A17" s="5"/>
      <c r="B17" s="5"/>
      <c r="C17" s="5"/>
      <c r="E17" s="4"/>
    </row>
    <row r="18" spans="1:5" x14ac:dyDescent="0.5">
      <c r="A18" s="5"/>
      <c r="B18" s="5"/>
      <c r="C18" s="5"/>
    </row>
    <row r="19" spans="1:5" x14ac:dyDescent="0.5">
      <c r="A19" s="5"/>
      <c r="B19" s="5"/>
      <c r="C19" s="5"/>
    </row>
    <row r="20" spans="1:5" x14ac:dyDescent="0.5">
      <c r="A20" s="5"/>
      <c r="B20" s="5"/>
      <c r="C20" s="5"/>
    </row>
    <row r="21" spans="1:5" x14ac:dyDescent="0.5">
      <c r="A21" s="5"/>
      <c r="B21" s="5"/>
      <c r="C21" s="5"/>
    </row>
    <row r="22" spans="1:5" x14ac:dyDescent="0.5">
      <c r="A22" s="5"/>
      <c r="B22" s="5"/>
      <c r="C22" s="5"/>
    </row>
  </sheetData>
  <mergeCells count="10">
    <mergeCell ref="A3:A5"/>
    <mergeCell ref="B3:B5"/>
    <mergeCell ref="H3:H5"/>
    <mergeCell ref="I3:I5"/>
    <mergeCell ref="J3:J5"/>
    <mergeCell ref="H1:J1"/>
    <mergeCell ref="E1:G1"/>
    <mergeCell ref="K3:K5"/>
    <mergeCell ref="D3:D5"/>
    <mergeCell ref="C3:C5"/>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7"/>
  <sheetViews>
    <sheetView zoomScaleNormal="100" workbookViewId="0">
      <selection activeCell="C8" sqref="C8"/>
    </sheetView>
  </sheetViews>
  <sheetFormatPr baseColWidth="10" defaultColWidth="11.44140625" defaultRowHeight="18" x14ac:dyDescent="0.5"/>
  <cols>
    <col min="1" max="1" width="19" style="3" customWidth="1"/>
    <col min="2" max="2" width="24" style="3" customWidth="1"/>
    <col min="3" max="3" width="34.33203125" style="3" customWidth="1"/>
    <col min="4" max="5" width="44.33203125" style="3" customWidth="1"/>
    <col min="6" max="6" width="105.21875" style="3" customWidth="1"/>
    <col min="7" max="7" width="34.44140625" style="3" customWidth="1"/>
    <col min="8" max="16384" width="11.44140625" style="3"/>
  </cols>
  <sheetData>
    <row r="1" spans="1:7" ht="48" x14ac:dyDescent="0.5">
      <c r="A1" s="51" t="s">
        <v>18</v>
      </c>
      <c r="B1" s="52" t="s">
        <v>19</v>
      </c>
      <c r="C1" s="52" t="s">
        <v>20</v>
      </c>
      <c r="D1" s="52" t="s">
        <v>21</v>
      </c>
      <c r="E1" s="52" t="s">
        <v>22</v>
      </c>
      <c r="F1" s="53" t="s">
        <v>23</v>
      </c>
      <c r="G1" s="53" t="s">
        <v>24</v>
      </c>
    </row>
    <row r="2" spans="1:7" x14ac:dyDescent="0.5">
      <c r="A2" s="54" t="s">
        <v>25</v>
      </c>
      <c r="B2" s="55" t="s">
        <v>26</v>
      </c>
      <c r="C2" s="55" t="s">
        <v>27</v>
      </c>
      <c r="D2" s="55" t="s">
        <v>28</v>
      </c>
      <c r="E2" s="55" t="s">
        <v>29</v>
      </c>
      <c r="F2" s="56" t="s">
        <v>30</v>
      </c>
      <c r="G2" s="56" t="s">
        <v>31</v>
      </c>
    </row>
    <row r="3" spans="1:7" s="5" customFormat="1" ht="72" x14ac:dyDescent="0.3">
      <c r="A3" s="7">
        <v>1</v>
      </c>
      <c r="B3" s="38" t="s">
        <v>133</v>
      </c>
      <c r="C3" s="37" t="s">
        <v>581</v>
      </c>
      <c r="D3" s="59" t="s">
        <v>582</v>
      </c>
      <c r="E3" s="59" t="s">
        <v>659</v>
      </c>
      <c r="F3" s="6" t="s">
        <v>588</v>
      </c>
      <c r="G3" s="5" t="s">
        <v>591</v>
      </c>
    </row>
    <row r="4" spans="1:7" s="5" customFormat="1" ht="54" x14ac:dyDescent="0.3">
      <c r="A4" s="7">
        <v>2</v>
      </c>
      <c r="B4" s="25" t="s">
        <v>125</v>
      </c>
      <c r="C4" s="5" t="s">
        <v>583</v>
      </c>
      <c r="D4" s="23" t="s">
        <v>584</v>
      </c>
      <c r="E4" s="23" t="s">
        <v>660</v>
      </c>
      <c r="F4" s="6" t="s">
        <v>589</v>
      </c>
      <c r="G4" s="5" t="s">
        <v>591</v>
      </c>
    </row>
    <row r="5" spans="1:7" s="5" customFormat="1" ht="54" x14ac:dyDescent="0.3">
      <c r="A5" s="7">
        <v>3</v>
      </c>
      <c r="B5" s="25" t="s">
        <v>105</v>
      </c>
      <c r="C5" s="5" t="s">
        <v>585</v>
      </c>
      <c r="D5" s="23" t="s">
        <v>586</v>
      </c>
      <c r="E5" s="23" t="s">
        <v>661</v>
      </c>
      <c r="F5" s="6" t="s">
        <v>590</v>
      </c>
      <c r="G5" s="5" t="s">
        <v>591</v>
      </c>
    </row>
    <row r="6" spans="1:7" x14ac:dyDescent="0.5">
      <c r="B6" s="1"/>
      <c r="D6" s="4"/>
      <c r="E6" s="1"/>
    </row>
    <row r="7" spans="1:7" x14ac:dyDescent="0.5">
      <c r="B7" s="1"/>
    </row>
  </sheetData>
  <dataValidations count="2">
    <dataValidation type="list" allowBlank="1" showInputMessage="1" showErrorMessage="1" sqref="C3:C7" xr:uid="{296160A6-FB03-49EA-93B2-DD1CAF2E1EB2}">
      <formula1>Conocimientos</formula1>
    </dataValidation>
    <dataValidation type="list" allowBlank="1" showInputMessage="1" showErrorMessage="1" sqref="B3:B7"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5F6BF23-0C91-4985-B3D1-FE13834D30B3}">
          <x14:formula1>
            <xm:f>'Paso1 Analisis perfil egreso'!$F$3:$F$5</xm:f>
          </x14:formula1>
          <xm:sqref>D3:D5</xm:sqref>
        </x14:dataValidation>
        <x14:dataValidation type="list" allowBlank="1" showInputMessage="1" showErrorMessage="1" xr:uid="{972B4551-DB3E-49B1-9008-E5A0E52579FC}">
          <x14:formula1>
            <xm:f>'Paso1 Analisis perfil egreso'!$G$3:$G$5</xm:f>
          </x14:formula1>
          <xm:sqref>E3:E5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1"/>
  <sheetViews>
    <sheetView zoomScaleNormal="100" workbookViewId="0">
      <selection activeCell="D4" sqref="D4"/>
    </sheetView>
  </sheetViews>
  <sheetFormatPr baseColWidth="10" defaultColWidth="11.44140625" defaultRowHeight="18" x14ac:dyDescent="0.5"/>
  <cols>
    <col min="1" max="1" width="81.21875" style="6" customWidth="1"/>
    <col min="2" max="2" width="16.77734375" style="7" customWidth="1"/>
    <col min="3" max="3" width="19.21875" style="6" customWidth="1"/>
    <col min="4" max="4" width="38.44140625" style="6" customWidth="1"/>
    <col min="5" max="5" width="17.5546875" style="6" customWidth="1"/>
    <col min="6" max="6" width="17.77734375" style="6" customWidth="1"/>
    <col min="7" max="7" width="20.21875" style="8" customWidth="1"/>
    <col min="8" max="8" width="18.21875" style="1" customWidth="1"/>
    <col min="9" max="9" width="72" style="1" customWidth="1"/>
    <col min="10" max="10" width="43.21875" style="6" customWidth="1"/>
    <col min="11" max="16384" width="11.44140625" style="6"/>
  </cols>
  <sheetData>
    <row r="1" spans="1:9" ht="84" x14ac:dyDescent="0.3">
      <c r="A1" s="41" t="s">
        <v>32</v>
      </c>
      <c r="B1" s="41" t="s">
        <v>33</v>
      </c>
      <c r="C1" s="46" t="s">
        <v>34</v>
      </c>
      <c r="D1" s="47" t="s">
        <v>35</v>
      </c>
      <c r="E1" s="47" t="s">
        <v>36</v>
      </c>
      <c r="F1" s="46" t="s">
        <v>37</v>
      </c>
      <c r="G1" s="46" t="s">
        <v>38</v>
      </c>
      <c r="H1" s="46" t="s">
        <v>39</v>
      </c>
      <c r="I1" s="41" t="s">
        <v>40</v>
      </c>
    </row>
    <row r="2" spans="1:9" ht="36.6" thickBot="1" x14ac:dyDescent="0.35">
      <c r="A2" s="45" t="s">
        <v>41</v>
      </c>
      <c r="B2" s="45" t="s">
        <v>42</v>
      </c>
      <c r="C2" s="48" t="s">
        <v>43</v>
      </c>
      <c r="D2" s="60" t="s">
        <v>44</v>
      </c>
      <c r="E2" s="49" t="s">
        <v>45</v>
      </c>
      <c r="F2" s="48" t="s">
        <v>46</v>
      </c>
      <c r="G2" s="48" t="s">
        <v>47</v>
      </c>
      <c r="H2" s="48" t="s">
        <v>48</v>
      </c>
      <c r="I2" s="45" t="s">
        <v>49</v>
      </c>
    </row>
    <row r="3" spans="1:9" ht="72" x14ac:dyDescent="0.3">
      <c r="A3" s="79" t="s">
        <v>588</v>
      </c>
      <c r="B3" s="76">
        <v>1</v>
      </c>
      <c r="C3" s="20" t="s">
        <v>11</v>
      </c>
      <c r="D3" s="6" t="s">
        <v>581</v>
      </c>
      <c r="E3" s="20" t="s">
        <v>178</v>
      </c>
      <c r="F3" s="31" t="s">
        <v>150</v>
      </c>
      <c r="G3" s="35" t="s">
        <v>153</v>
      </c>
      <c r="H3" s="35" t="s">
        <v>409</v>
      </c>
      <c r="I3" s="20" t="s">
        <v>592</v>
      </c>
    </row>
    <row r="4" spans="1:9" ht="108" x14ac:dyDescent="0.3">
      <c r="A4" s="80" t="s">
        <v>588</v>
      </c>
      <c r="B4" s="7">
        <v>2</v>
      </c>
      <c r="C4" s="6" t="s">
        <v>12</v>
      </c>
      <c r="D4" s="6" t="s">
        <v>582</v>
      </c>
      <c r="E4" s="6" t="s">
        <v>178</v>
      </c>
      <c r="F4" s="5" t="s">
        <v>151</v>
      </c>
      <c r="G4" s="25" t="s">
        <v>155</v>
      </c>
      <c r="H4" s="25" t="s">
        <v>105</v>
      </c>
      <c r="I4" s="78" t="s">
        <v>593</v>
      </c>
    </row>
    <row r="5" spans="1:9" ht="72.599999999999994" thickBot="1" x14ac:dyDescent="0.35">
      <c r="A5" s="80" t="s">
        <v>588</v>
      </c>
      <c r="B5" s="75">
        <v>3</v>
      </c>
      <c r="C5" s="21" t="s">
        <v>13</v>
      </c>
      <c r="D5" s="21" t="s">
        <v>659</v>
      </c>
      <c r="E5" s="6" t="s">
        <v>178</v>
      </c>
      <c r="F5" s="5" t="s">
        <v>152</v>
      </c>
      <c r="G5" s="25" t="s">
        <v>158</v>
      </c>
      <c r="H5" s="25" t="s">
        <v>470</v>
      </c>
      <c r="I5" s="77" t="s">
        <v>594</v>
      </c>
    </row>
    <row r="6" spans="1:9" ht="54" x14ac:dyDescent="0.3">
      <c r="A6" s="79" t="s">
        <v>589</v>
      </c>
      <c r="B6" s="76">
        <v>4</v>
      </c>
      <c r="C6" s="6" t="s">
        <v>11</v>
      </c>
      <c r="D6" s="6" t="s">
        <v>583</v>
      </c>
      <c r="E6" s="20" t="s">
        <v>178</v>
      </c>
      <c r="F6" s="31" t="s">
        <v>150</v>
      </c>
      <c r="G6" s="35" t="s">
        <v>155</v>
      </c>
      <c r="H6" s="35" t="s">
        <v>433</v>
      </c>
      <c r="I6" s="20" t="s">
        <v>595</v>
      </c>
    </row>
    <row r="7" spans="1:9" ht="72" x14ac:dyDescent="0.3">
      <c r="A7" s="80" t="s">
        <v>589</v>
      </c>
      <c r="B7" s="7">
        <v>5</v>
      </c>
      <c r="C7" s="6" t="s">
        <v>12</v>
      </c>
      <c r="D7" s="6" t="s">
        <v>584</v>
      </c>
      <c r="E7" s="6" t="s">
        <v>178</v>
      </c>
      <c r="F7" s="5" t="s">
        <v>151</v>
      </c>
      <c r="G7" s="25" t="s">
        <v>156</v>
      </c>
      <c r="H7" s="25" t="s">
        <v>409</v>
      </c>
      <c r="I7" s="78" t="s">
        <v>596</v>
      </c>
    </row>
    <row r="8" spans="1:9" ht="72.599999999999994" thickBot="1" x14ac:dyDescent="0.35">
      <c r="A8" s="80" t="s">
        <v>589</v>
      </c>
      <c r="B8" s="75">
        <v>6</v>
      </c>
      <c r="C8" s="6" t="s">
        <v>13</v>
      </c>
      <c r="D8" s="6" t="s">
        <v>660</v>
      </c>
      <c r="E8" s="6" t="s">
        <v>178</v>
      </c>
      <c r="F8" s="5" t="s">
        <v>152</v>
      </c>
      <c r="G8" s="25" t="s">
        <v>158</v>
      </c>
      <c r="H8" s="25" t="s">
        <v>334</v>
      </c>
      <c r="I8" s="21" t="s">
        <v>597</v>
      </c>
    </row>
    <row r="9" spans="1:9" ht="72" x14ac:dyDescent="0.3">
      <c r="A9" s="79" t="s">
        <v>590</v>
      </c>
      <c r="B9" s="83">
        <v>7</v>
      </c>
      <c r="C9" s="20" t="s">
        <v>11</v>
      </c>
      <c r="D9" s="20" t="s">
        <v>585</v>
      </c>
      <c r="E9" s="20" t="s">
        <v>178</v>
      </c>
      <c r="F9" s="31" t="s">
        <v>150</v>
      </c>
      <c r="G9" s="35" t="s">
        <v>156</v>
      </c>
      <c r="H9" s="35" t="s">
        <v>212</v>
      </c>
      <c r="I9" s="20" t="s">
        <v>598</v>
      </c>
    </row>
    <row r="10" spans="1:9" ht="72" x14ac:dyDescent="0.3">
      <c r="A10" s="80" t="s">
        <v>590</v>
      </c>
      <c r="B10" s="82">
        <v>8</v>
      </c>
      <c r="C10" s="6" t="s">
        <v>12</v>
      </c>
      <c r="D10" s="6" t="s">
        <v>586</v>
      </c>
      <c r="E10" s="6" t="s">
        <v>178</v>
      </c>
      <c r="F10" s="5" t="s">
        <v>151</v>
      </c>
      <c r="G10" s="25" t="s">
        <v>156</v>
      </c>
      <c r="H10" s="25" t="s">
        <v>239</v>
      </c>
      <c r="I10" s="78" t="s">
        <v>599</v>
      </c>
    </row>
    <row r="11" spans="1:9" ht="72.599999999999994" thickBot="1" x14ac:dyDescent="0.35">
      <c r="A11" s="81" t="s">
        <v>590</v>
      </c>
      <c r="B11" s="75">
        <v>9</v>
      </c>
      <c r="C11" s="21" t="s">
        <v>13</v>
      </c>
      <c r="D11" s="21" t="s">
        <v>661</v>
      </c>
      <c r="E11" s="21" t="s">
        <v>178</v>
      </c>
      <c r="F11" s="30" t="s">
        <v>152</v>
      </c>
      <c r="G11" s="36" t="s">
        <v>158</v>
      </c>
      <c r="H11" s="36" t="s">
        <v>220</v>
      </c>
      <c r="I11" s="77" t="s">
        <v>600</v>
      </c>
    </row>
  </sheetData>
  <autoFilter ref="A1:I11" xr:uid="{94AAF649-42F4-466A-BE11-44357078F961}"/>
  <dataValidations count="8">
    <dataValidation type="list" allowBlank="1" showInputMessage="1" showErrorMessage="1" sqref="C3:C11" xr:uid="{3EEE3B63-C572-46CF-960D-B5C131832E7C}">
      <formula1>dominios</formula1>
    </dataValidation>
    <dataValidation type="list" allowBlank="1" showInputMessage="1" showErrorMessage="1" sqref="A3:A11" xr:uid="{C75ACEBC-F466-42F9-8994-B0B52F0BD49B}">
      <formula1>competencias</formula1>
    </dataValidation>
    <dataValidation type="list" allowBlank="1" showInputMessage="1" showErrorMessage="1" sqref="G12"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1" xr:uid="{EFFF541A-9FA7-4D87-BD80-7B4D10675962}">
      <formula1>taxonomiasra</formula1>
    </dataValidation>
    <dataValidation type="list" allowBlank="1" showInputMessage="1" showErrorMessage="1" sqref="F3:F11" xr:uid="{A67273FC-D6BC-4601-A146-88AA40CB5471}">
      <formula1>INDIRECT($E3)</formula1>
    </dataValidation>
    <dataValidation type="list" allowBlank="1" showInputMessage="1" showErrorMessage="1" sqref="H3:H11" xr:uid="{BD1A6CDA-7283-4262-9F88-FE80565918E8}">
      <formula1>INDIRECT($G3)</formula1>
    </dataValidation>
    <dataValidation type="list" allowBlank="1" showInputMessage="1" showErrorMessage="1" sqref="G3:G11" xr:uid="{5A5167AA-8E05-4C2B-AB93-AFCCFC818F7C}">
      <formula1>INDIRECT($F3)</formula1>
    </dataValidation>
    <dataValidation type="list" allowBlank="1" showInputMessage="1" showErrorMessage="1" sqref="D4:D5 D7:D8 D10:D11" xr:uid="{8B694A6C-2F9D-4256-9525-279EF56F94F5}">
      <formula1>INDIRECT($C4)</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1BFBBFD-97D3-4C9C-AC69-62BE9B3ECFC3}">
          <x14:formula1>
            <xm:f>'Paso1 Analisis perfil egreso'!$E$3:$E$5</xm:f>
          </x14:formula1>
          <xm:sqref>D3 D6 D9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15"/>
  <sheetViews>
    <sheetView topLeftCell="B1" zoomScaleNormal="100" workbookViewId="0">
      <selection activeCell="E3" sqref="E3:E5"/>
    </sheetView>
  </sheetViews>
  <sheetFormatPr baseColWidth="10" defaultColWidth="11.44140625" defaultRowHeight="18" x14ac:dyDescent="0.3"/>
  <cols>
    <col min="1" max="1" width="78.5546875" style="25" customWidth="1"/>
    <col min="2" max="2" width="43.77734375" style="25" customWidth="1"/>
    <col min="3" max="3" width="60" style="25" customWidth="1"/>
    <col min="4" max="4" width="45.77734375" style="25" customWidth="1"/>
    <col min="5" max="5" width="42.21875" style="25" customWidth="1"/>
    <col min="6" max="6" width="33.44140625" style="25" customWidth="1"/>
    <col min="7" max="16384" width="11.44140625" style="25"/>
  </cols>
  <sheetData>
    <row r="1" spans="1:6" ht="60" x14ac:dyDescent="0.3">
      <c r="A1" s="41" t="s">
        <v>50</v>
      </c>
      <c r="B1" s="41" t="s">
        <v>51</v>
      </c>
      <c r="C1" s="41" t="s">
        <v>52</v>
      </c>
      <c r="D1" s="41" t="s">
        <v>53</v>
      </c>
      <c r="E1" s="41" t="s">
        <v>54</v>
      </c>
      <c r="F1" s="41" t="s">
        <v>55</v>
      </c>
    </row>
    <row r="2" spans="1:6" ht="36" x14ac:dyDescent="0.3">
      <c r="A2" s="45" t="s">
        <v>56</v>
      </c>
      <c r="B2" s="45" t="s">
        <v>57</v>
      </c>
      <c r="C2" s="45" t="s">
        <v>58</v>
      </c>
      <c r="D2" s="45" t="s">
        <v>59</v>
      </c>
      <c r="E2" s="45" t="s">
        <v>60</v>
      </c>
      <c r="F2" s="45" t="s">
        <v>61</v>
      </c>
    </row>
    <row r="3" spans="1:6" ht="36" x14ac:dyDescent="0.3">
      <c r="A3" s="61" t="s">
        <v>594</v>
      </c>
      <c r="B3" s="119" t="s">
        <v>601</v>
      </c>
      <c r="C3" s="120" t="s">
        <v>602</v>
      </c>
      <c r="D3" s="62" t="s">
        <v>603</v>
      </c>
      <c r="E3" s="113" t="s">
        <v>655</v>
      </c>
      <c r="F3" s="63" t="s">
        <v>606</v>
      </c>
    </row>
    <row r="4" spans="1:6" ht="54" x14ac:dyDescent="0.3">
      <c r="A4" s="5" t="s">
        <v>595</v>
      </c>
      <c r="B4" s="91"/>
      <c r="C4" s="100"/>
      <c r="D4" s="26" t="s">
        <v>604</v>
      </c>
      <c r="E4" s="114"/>
      <c r="F4" s="25" t="s">
        <v>607</v>
      </c>
    </row>
    <row r="5" spans="1:6" ht="72.599999999999994" thickBot="1" x14ac:dyDescent="0.35">
      <c r="A5" s="30" t="s">
        <v>598</v>
      </c>
      <c r="B5" s="92"/>
      <c r="C5" s="101"/>
      <c r="D5" s="57" t="s">
        <v>605</v>
      </c>
      <c r="E5" s="115"/>
      <c r="F5" s="30" t="s">
        <v>62</v>
      </c>
    </row>
    <row r="6" spans="1:6" ht="36" x14ac:dyDescent="0.3">
      <c r="A6" s="5" t="s">
        <v>592</v>
      </c>
      <c r="B6" s="91" t="s">
        <v>608</v>
      </c>
      <c r="C6" s="100" t="s">
        <v>609</v>
      </c>
      <c r="D6" s="26" t="s">
        <v>610</v>
      </c>
      <c r="E6" s="116" t="s">
        <v>656</v>
      </c>
      <c r="F6" s="25" t="s">
        <v>606</v>
      </c>
    </row>
    <row r="7" spans="1:6" ht="90" x14ac:dyDescent="0.3">
      <c r="A7" s="5" t="s">
        <v>593</v>
      </c>
      <c r="B7" s="91"/>
      <c r="C7" s="100"/>
      <c r="D7" s="26" t="s">
        <v>611</v>
      </c>
      <c r="E7" s="114"/>
      <c r="F7" s="25" t="s">
        <v>607</v>
      </c>
    </row>
    <row r="8" spans="1:6" ht="54" x14ac:dyDescent="0.3">
      <c r="A8" s="5" t="s">
        <v>594</v>
      </c>
      <c r="B8" s="91"/>
      <c r="C8" s="100"/>
      <c r="D8" s="26" t="s">
        <v>605</v>
      </c>
      <c r="E8" s="114"/>
      <c r="F8" s="5" t="s">
        <v>62</v>
      </c>
    </row>
    <row r="9" spans="1:6" ht="54" x14ac:dyDescent="0.3">
      <c r="A9" s="5" t="s">
        <v>595</v>
      </c>
      <c r="B9" s="91"/>
      <c r="C9" s="100"/>
      <c r="D9" s="26"/>
      <c r="E9" s="114"/>
      <c r="F9" s="5"/>
    </row>
    <row r="10" spans="1:6" ht="72" x14ac:dyDescent="0.3">
      <c r="A10" s="5" t="s">
        <v>596</v>
      </c>
      <c r="B10" s="91"/>
      <c r="C10" s="100"/>
      <c r="D10" s="26"/>
      <c r="E10" s="114"/>
    </row>
    <row r="11" spans="1:6" ht="54" x14ac:dyDescent="0.3">
      <c r="A11" s="5" t="s">
        <v>597</v>
      </c>
      <c r="B11" s="91"/>
      <c r="C11" s="100"/>
      <c r="D11" s="26"/>
      <c r="E11" s="114"/>
    </row>
    <row r="12" spans="1:6" ht="54.6" thickBot="1" x14ac:dyDescent="0.35">
      <c r="A12" s="27" t="s">
        <v>599</v>
      </c>
      <c r="B12" s="121"/>
      <c r="C12" s="122"/>
      <c r="D12" s="28"/>
      <c r="E12" s="117"/>
      <c r="F12" s="29"/>
    </row>
    <row r="13" spans="1:6" ht="90" x14ac:dyDescent="0.3">
      <c r="A13" s="64" t="s">
        <v>593</v>
      </c>
      <c r="B13" s="123" t="s">
        <v>612</v>
      </c>
      <c r="C13" s="124" t="s">
        <v>658</v>
      </c>
      <c r="D13" s="65" t="s">
        <v>613</v>
      </c>
      <c r="E13" s="118" t="s">
        <v>657</v>
      </c>
      <c r="F13" s="66" t="s">
        <v>606</v>
      </c>
    </row>
    <row r="14" spans="1:6" ht="54" x14ac:dyDescent="0.3">
      <c r="A14" s="5" t="s">
        <v>595</v>
      </c>
      <c r="B14" s="91"/>
      <c r="C14" s="100"/>
      <c r="D14" s="26" t="s">
        <v>605</v>
      </c>
      <c r="E14" s="114"/>
      <c r="F14" s="25" t="s">
        <v>62</v>
      </c>
    </row>
    <row r="15" spans="1:6" ht="72.599999999999994" thickBot="1" x14ac:dyDescent="0.35">
      <c r="A15" s="30" t="s">
        <v>600</v>
      </c>
      <c r="B15" s="92"/>
      <c r="C15" s="101"/>
      <c r="D15" s="57"/>
      <c r="E15" s="115"/>
      <c r="F15" s="30"/>
    </row>
  </sheetData>
  <mergeCells count="9">
    <mergeCell ref="E3:E5"/>
    <mergeCell ref="E6:E12"/>
    <mergeCell ref="E13:E15"/>
    <mergeCell ref="B3:B5"/>
    <mergeCell ref="C3:C5"/>
    <mergeCell ref="B6:B12"/>
    <mergeCell ref="C6:C12"/>
    <mergeCell ref="B13:B15"/>
    <mergeCell ref="C13:C15"/>
  </mergeCells>
  <dataValidations count="1">
    <dataValidation type="list" allowBlank="1" showInputMessage="1" showErrorMessage="1" sqref="A3:A15"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66"/>
  <sheetViews>
    <sheetView tabSelected="1" topLeftCell="E1" zoomScaleNormal="100" workbookViewId="0">
      <selection activeCell="F2" sqref="F2"/>
    </sheetView>
  </sheetViews>
  <sheetFormatPr baseColWidth="10" defaultColWidth="11.44140625" defaultRowHeight="18" x14ac:dyDescent="0.3"/>
  <cols>
    <col min="1" max="1" width="11.21875" style="5" customWidth="1"/>
    <col min="2" max="2" width="67.21875" style="5" customWidth="1"/>
    <col min="3" max="3" width="17.21875" style="5" customWidth="1"/>
    <col min="4" max="4" width="36.44140625" style="5" customWidth="1"/>
    <col min="5" max="5" width="61.33203125" style="6" customWidth="1"/>
    <col min="6" max="6" width="27.21875" style="7" customWidth="1"/>
    <col min="7" max="7" width="16.77734375" style="7" customWidth="1"/>
    <col min="8" max="8" width="18.21875" style="7" customWidth="1"/>
    <col min="9" max="9" width="13.5546875" style="7" customWidth="1"/>
    <col min="10" max="10" width="20.44140625" style="7" customWidth="1"/>
    <col min="11" max="11" width="24.44140625" style="7" customWidth="1"/>
    <col min="12" max="12" width="11.21875" style="7" customWidth="1"/>
    <col min="13" max="13" width="50.21875" style="6" customWidth="1"/>
    <col min="14" max="14" width="73.33203125" style="6" customWidth="1"/>
    <col min="15" max="15" width="78" style="6" customWidth="1"/>
    <col min="16" max="16" width="69.21875" style="6" customWidth="1"/>
    <col min="17" max="16384" width="11.44140625" style="5"/>
  </cols>
  <sheetData>
    <row r="1" spans="1:17" s="7" customFormat="1" ht="60" x14ac:dyDescent="0.3">
      <c r="A1" s="41" t="s">
        <v>63</v>
      </c>
      <c r="B1" s="41" t="s">
        <v>64</v>
      </c>
      <c r="C1" s="41" t="s">
        <v>65</v>
      </c>
      <c r="D1" s="41" t="s">
        <v>66</v>
      </c>
      <c r="E1" s="41" t="s">
        <v>67</v>
      </c>
      <c r="F1" s="41" t="s">
        <v>68</v>
      </c>
      <c r="G1" s="105" t="s">
        <v>69</v>
      </c>
      <c r="H1" s="106"/>
      <c r="I1" s="41" t="s">
        <v>70</v>
      </c>
      <c r="J1" s="41" t="s">
        <v>71</v>
      </c>
      <c r="K1" s="41" t="s">
        <v>72</v>
      </c>
      <c r="L1" s="41" t="s">
        <v>73</v>
      </c>
      <c r="M1" s="41" t="s">
        <v>74</v>
      </c>
      <c r="N1" s="41" t="s">
        <v>75</v>
      </c>
      <c r="O1" s="41" t="s">
        <v>76</v>
      </c>
      <c r="P1" s="41" t="s">
        <v>77</v>
      </c>
    </row>
    <row r="2" spans="1:17" s="7" customFormat="1" ht="36" x14ac:dyDescent="0.3">
      <c r="A2" s="45" t="s">
        <v>78</v>
      </c>
      <c r="B2" s="45" t="s">
        <v>56</v>
      </c>
      <c r="C2" s="45" t="s">
        <v>79</v>
      </c>
      <c r="D2" s="45" t="s">
        <v>80</v>
      </c>
      <c r="E2" s="45" t="s">
        <v>81</v>
      </c>
      <c r="F2" s="45" t="s">
        <v>82</v>
      </c>
      <c r="G2" s="50" t="s">
        <v>677</v>
      </c>
      <c r="H2" s="50" t="s">
        <v>83</v>
      </c>
      <c r="I2" s="45" t="s">
        <v>84</v>
      </c>
      <c r="J2" s="45" t="s">
        <v>85</v>
      </c>
      <c r="K2" s="45" t="s">
        <v>86</v>
      </c>
      <c r="L2" s="45" t="s">
        <v>87</v>
      </c>
      <c r="M2" s="45" t="s">
        <v>88</v>
      </c>
      <c r="N2" s="45" t="s">
        <v>89</v>
      </c>
      <c r="O2" s="45" t="s">
        <v>90</v>
      </c>
      <c r="P2" s="45" t="s">
        <v>91</v>
      </c>
    </row>
    <row r="3" spans="1:17" ht="36" x14ac:dyDescent="0.3">
      <c r="A3" s="5" t="str">
        <f>_xlfn.XLOOKUP(B3,'Paso 3 Redacción RA '!I$3:I$11,'Paso 3 Redacción RA '!C$3:C$11,,0,1)</f>
        <v>Saber</v>
      </c>
      <c r="B3" s="5" t="s">
        <v>592</v>
      </c>
      <c r="C3" s="85">
        <v>1</v>
      </c>
      <c r="D3" s="85" t="s">
        <v>652</v>
      </c>
      <c r="E3" s="88" t="s">
        <v>643</v>
      </c>
      <c r="F3" s="91" t="s">
        <v>615</v>
      </c>
      <c r="G3" s="91" t="s">
        <v>616</v>
      </c>
      <c r="H3" s="91"/>
      <c r="I3" s="91">
        <v>3</v>
      </c>
      <c r="J3" s="91">
        <f>12*I3</f>
        <v>36</v>
      </c>
      <c r="K3" s="91">
        <f>36*I3</f>
        <v>108</v>
      </c>
      <c r="L3" s="91">
        <f>SUM(J3:K5)</f>
        <v>144</v>
      </c>
      <c r="M3" s="103" t="s">
        <v>621</v>
      </c>
      <c r="N3" s="103" t="s">
        <v>647</v>
      </c>
      <c r="O3" s="97" t="s">
        <v>617</v>
      </c>
      <c r="P3" s="103" t="s">
        <v>92</v>
      </c>
      <c r="Q3" s="5" t="s">
        <v>93</v>
      </c>
    </row>
    <row r="4" spans="1:17" ht="108" x14ac:dyDescent="0.3">
      <c r="A4" s="5" t="str">
        <f>_xlfn.XLOOKUP(B4,'Paso 3 Redacción RA '!I$3:I$11,'Paso 3 Redacción RA '!C$3:C$11,,0,1)</f>
        <v>Saberhacer</v>
      </c>
      <c r="B4" s="5" t="s">
        <v>593</v>
      </c>
      <c r="C4" s="85"/>
      <c r="D4" s="85"/>
      <c r="E4" s="88"/>
      <c r="F4" s="91"/>
      <c r="G4" s="91"/>
      <c r="H4" s="91"/>
      <c r="I4" s="91"/>
      <c r="J4" s="91"/>
      <c r="K4" s="91"/>
      <c r="L4" s="91"/>
      <c r="M4" s="103"/>
      <c r="N4" s="103"/>
      <c r="O4" s="97"/>
      <c r="P4" s="103"/>
    </row>
    <row r="5" spans="1:17" ht="54.6" thickBot="1" x14ac:dyDescent="0.35">
      <c r="A5" s="30" t="str">
        <f>_xlfn.XLOOKUP(B5,'Paso 3 Redacción RA '!I$3:I$11,'Paso 3 Redacción RA '!C$3:C$11,,0,1)</f>
        <v>Saberser</v>
      </c>
      <c r="B5" s="30" t="s">
        <v>594</v>
      </c>
      <c r="C5" s="86"/>
      <c r="D5" s="86"/>
      <c r="E5" s="89"/>
      <c r="F5" s="92"/>
      <c r="G5" s="92"/>
      <c r="H5" s="92"/>
      <c r="I5" s="92"/>
      <c r="J5" s="92"/>
      <c r="K5" s="92"/>
      <c r="L5" s="92"/>
      <c r="M5" s="104"/>
      <c r="N5" s="104"/>
      <c r="O5" s="98"/>
      <c r="P5" s="104"/>
    </row>
    <row r="6" spans="1:17" ht="36" x14ac:dyDescent="0.5">
      <c r="A6" s="31" t="str">
        <f>_xlfn.XLOOKUP(B6,'Paso 3 Redacción RA '!I$3:I$11,'Paso 3 Redacción RA '!C$3:C$11,,0,1)</f>
        <v>Saber</v>
      </c>
      <c r="B6" s="32" t="s">
        <v>592</v>
      </c>
      <c r="C6" s="84">
        <v>1</v>
      </c>
      <c r="D6" s="84" t="s">
        <v>651</v>
      </c>
      <c r="E6" s="107" t="s">
        <v>662</v>
      </c>
      <c r="F6" s="84" t="s">
        <v>619</v>
      </c>
      <c r="G6" s="90" t="s">
        <v>616</v>
      </c>
      <c r="H6" s="90"/>
      <c r="I6" s="90">
        <v>3</v>
      </c>
      <c r="J6" s="90">
        <f>12*I6</f>
        <v>36</v>
      </c>
      <c r="K6" s="90">
        <f>36*I6</f>
        <v>108</v>
      </c>
      <c r="L6" s="90">
        <f>SUM(J6:K8)</f>
        <v>144</v>
      </c>
      <c r="M6" s="102" t="s">
        <v>618</v>
      </c>
      <c r="N6" s="102" t="s">
        <v>646</v>
      </c>
      <c r="O6" s="96" t="s">
        <v>617</v>
      </c>
      <c r="P6" s="102" t="s">
        <v>94</v>
      </c>
    </row>
    <row r="7" spans="1:17" ht="54" x14ac:dyDescent="0.5">
      <c r="A7" s="5" t="str">
        <f>_xlfn.XLOOKUP(B7,'Paso 3 Redacción RA '!I$3:I$11,'Paso 3 Redacción RA '!C$3:C$11,,0,1)</f>
        <v>Saber</v>
      </c>
      <c r="B7" s="3" t="s">
        <v>595</v>
      </c>
      <c r="C7" s="85"/>
      <c r="D7" s="85"/>
      <c r="E7" s="108"/>
      <c r="F7" s="85"/>
      <c r="G7" s="91"/>
      <c r="H7" s="91"/>
      <c r="I7" s="91"/>
      <c r="J7" s="91"/>
      <c r="K7" s="91"/>
      <c r="L7" s="91"/>
      <c r="M7" s="103"/>
      <c r="N7" s="103"/>
      <c r="O7" s="97"/>
      <c r="P7" s="103"/>
    </row>
    <row r="8" spans="1:17" ht="72.599999999999994" thickBot="1" x14ac:dyDescent="0.55000000000000004">
      <c r="A8" s="30" t="str">
        <f>_xlfn.XLOOKUP(B8,'Paso 3 Redacción RA '!I$3:I$11,'Paso 3 Redacción RA '!C$3:C$11,,0,1)</f>
        <v>Saber</v>
      </c>
      <c r="B8" s="34" t="s">
        <v>598</v>
      </c>
      <c r="C8" s="86"/>
      <c r="D8" s="86"/>
      <c r="E8" s="109"/>
      <c r="F8" s="86"/>
      <c r="G8" s="92"/>
      <c r="H8" s="92"/>
      <c r="I8" s="92"/>
      <c r="J8" s="92"/>
      <c r="K8" s="92"/>
      <c r="L8" s="92"/>
      <c r="M8" s="104"/>
      <c r="N8" s="104"/>
      <c r="O8" s="98"/>
      <c r="P8" s="104"/>
    </row>
    <row r="9" spans="1:17" ht="36" x14ac:dyDescent="0.3">
      <c r="A9" s="5" t="str">
        <f>_xlfn.XLOOKUP(B9,'Paso 3 Redacción RA '!I$3:I$11,'Paso 3 Redacción RA '!C$3:C$11,,0,1)</f>
        <v>Saber</v>
      </c>
      <c r="B9" s="31" t="s">
        <v>592</v>
      </c>
      <c r="C9" s="84">
        <v>1</v>
      </c>
      <c r="D9" s="84" t="s">
        <v>650</v>
      </c>
      <c r="E9" s="87" t="s">
        <v>663</v>
      </c>
      <c r="F9" s="84" t="s">
        <v>619</v>
      </c>
      <c r="G9" s="90" t="s">
        <v>616</v>
      </c>
      <c r="H9" s="90"/>
      <c r="I9" s="90">
        <v>3</v>
      </c>
      <c r="J9" s="90">
        <f>12*I9</f>
        <v>36</v>
      </c>
      <c r="K9" s="90">
        <f>36*I9</f>
        <v>108</v>
      </c>
      <c r="L9" s="90">
        <f>SUM(J9:K9)</f>
        <v>144</v>
      </c>
      <c r="M9" s="96" t="s">
        <v>620</v>
      </c>
      <c r="N9" s="102" t="s">
        <v>646</v>
      </c>
      <c r="O9" s="96" t="s">
        <v>617</v>
      </c>
      <c r="P9" s="102" t="s">
        <v>92</v>
      </c>
    </row>
    <row r="10" spans="1:17" ht="54" x14ac:dyDescent="0.3">
      <c r="A10" s="5" t="str">
        <f>_xlfn.XLOOKUP(B10,'Paso 3 Redacción RA '!I$3:I$11,'Paso 3 Redacción RA '!C$3:C$11,,0,1)</f>
        <v>Saber</v>
      </c>
      <c r="B10" s="5" t="s">
        <v>595</v>
      </c>
      <c r="C10" s="85"/>
      <c r="D10" s="85"/>
      <c r="E10" s="88"/>
      <c r="F10" s="85"/>
      <c r="G10" s="91"/>
      <c r="H10" s="91"/>
      <c r="I10" s="91"/>
      <c r="J10" s="91"/>
      <c r="K10" s="91"/>
      <c r="L10" s="91"/>
      <c r="M10" s="97"/>
      <c r="N10" s="103"/>
      <c r="O10" s="97"/>
      <c r="P10" s="103"/>
    </row>
    <row r="11" spans="1:17" ht="72" x14ac:dyDescent="0.3">
      <c r="A11" s="5" t="str">
        <f>_xlfn.XLOOKUP(B11,'Paso 3 Redacción RA '!I$3:I$11,'Paso 3 Redacción RA '!C$3:C$11,,0,1)</f>
        <v>Saber</v>
      </c>
      <c r="B11" s="5" t="s">
        <v>598</v>
      </c>
      <c r="C11" s="85"/>
      <c r="D11" s="85"/>
      <c r="E11" s="88"/>
      <c r="F11" s="85"/>
      <c r="G11" s="91"/>
      <c r="H11" s="91"/>
      <c r="I11" s="91"/>
      <c r="J11" s="91"/>
      <c r="K11" s="91"/>
      <c r="L11" s="91"/>
      <c r="M11" s="97"/>
      <c r="N11" s="103"/>
      <c r="O11" s="97"/>
      <c r="P11" s="103"/>
    </row>
    <row r="12" spans="1:17" ht="108" x14ac:dyDescent="0.3">
      <c r="A12" s="5" t="str">
        <f>_xlfn.XLOOKUP(B12,'Paso 3 Redacción RA '!I$3:I$11,'Paso 3 Redacción RA '!C$3:C$11,,0,1)</f>
        <v>Saberhacer</v>
      </c>
      <c r="B12" s="5" t="s">
        <v>593</v>
      </c>
      <c r="C12" s="85"/>
      <c r="D12" s="85"/>
      <c r="E12" s="88"/>
      <c r="F12" s="85"/>
      <c r="G12" s="91"/>
      <c r="H12" s="91"/>
      <c r="I12" s="91"/>
      <c r="J12" s="91"/>
      <c r="K12" s="91"/>
      <c r="L12" s="91"/>
      <c r="M12" s="97"/>
      <c r="N12" s="103"/>
      <c r="O12" s="97"/>
      <c r="P12" s="103"/>
    </row>
    <row r="13" spans="1:17" ht="54" x14ac:dyDescent="0.3">
      <c r="A13" s="5" t="str">
        <f>_xlfn.XLOOKUP(B13,'Paso 3 Redacción RA '!I$3:I$11,'Paso 3 Redacción RA '!C$3:C$11,,0,1)</f>
        <v>Saberhacer</v>
      </c>
      <c r="B13" s="5" t="s">
        <v>599</v>
      </c>
      <c r="C13" s="85"/>
      <c r="D13" s="85"/>
      <c r="E13" s="88"/>
      <c r="F13" s="85"/>
      <c r="G13" s="91"/>
      <c r="H13" s="91"/>
      <c r="I13" s="91"/>
      <c r="J13" s="91"/>
      <c r="K13" s="91"/>
      <c r="L13" s="91"/>
      <c r="M13" s="97"/>
      <c r="N13" s="103"/>
      <c r="O13" s="97"/>
      <c r="P13" s="103"/>
    </row>
    <row r="14" spans="1:17" ht="54" x14ac:dyDescent="0.3">
      <c r="A14" s="5" t="str">
        <f>_xlfn.XLOOKUP(B14,'Paso 3 Redacción RA '!I$3:I$11,'Paso 3 Redacción RA '!C$3:C$11,,0,1)</f>
        <v>Saberser</v>
      </c>
      <c r="B14" s="5" t="s">
        <v>594</v>
      </c>
      <c r="C14" s="85"/>
      <c r="D14" s="85"/>
      <c r="E14" s="88"/>
      <c r="F14" s="85"/>
      <c r="G14" s="91"/>
      <c r="H14" s="91"/>
      <c r="I14" s="91"/>
      <c r="J14" s="91"/>
      <c r="K14" s="91"/>
      <c r="L14" s="91"/>
      <c r="M14" s="97"/>
      <c r="N14" s="103"/>
      <c r="O14" s="97"/>
      <c r="P14" s="103"/>
    </row>
    <row r="15" spans="1:17" ht="72.599999999999994" thickBot="1" x14ac:dyDescent="0.35">
      <c r="A15" s="30" t="str">
        <f>_xlfn.XLOOKUP(B15,'Paso 3 Redacción RA '!I$3:I$11,'Paso 3 Redacción RA '!C$3:C$11,,0,1)</f>
        <v>Saberser</v>
      </c>
      <c r="B15" s="30" t="s">
        <v>600</v>
      </c>
      <c r="C15" s="86"/>
      <c r="D15" s="86"/>
      <c r="E15" s="89"/>
      <c r="F15" s="86"/>
      <c r="G15" s="92"/>
      <c r="H15" s="92"/>
      <c r="I15" s="92"/>
      <c r="J15" s="92"/>
      <c r="K15" s="92"/>
      <c r="L15" s="92"/>
      <c r="M15" s="98"/>
      <c r="N15" s="104"/>
      <c r="O15" s="98"/>
      <c r="P15" s="104"/>
    </row>
    <row r="16" spans="1:17" ht="36" x14ac:dyDescent="0.3">
      <c r="A16" s="5" t="str">
        <f>_xlfn.XLOOKUP(B16,'Paso 3 Redacción RA '!I$3:I$11,'Paso 3 Redacción RA '!C$3:C$11,,0,1)</f>
        <v>Saber</v>
      </c>
      <c r="B16" s="31" t="s">
        <v>592</v>
      </c>
      <c r="C16" s="84">
        <v>1</v>
      </c>
      <c r="D16" s="84" t="s">
        <v>614</v>
      </c>
      <c r="E16" s="87" t="s">
        <v>644</v>
      </c>
      <c r="F16" s="84" t="s">
        <v>619</v>
      </c>
      <c r="G16" s="84" t="s">
        <v>616</v>
      </c>
      <c r="H16" s="84"/>
      <c r="I16" s="90">
        <v>3</v>
      </c>
      <c r="J16" s="90">
        <f>I16*12</f>
        <v>36</v>
      </c>
      <c r="K16" s="90">
        <f>I16*32</f>
        <v>96</v>
      </c>
      <c r="L16" s="90">
        <f>SUM(J16:K16)</f>
        <v>132</v>
      </c>
      <c r="M16" s="87" t="s">
        <v>664</v>
      </c>
      <c r="N16" s="87" t="s">
        <v>648</v>
      </c>
      <c r="O16" s="96" t="s">
        <v>617</v>
      </c>
      <c r="P16" s="102" t="s">
        <v>92</v>
      </c>
    </row>
    <row r="17" spans="1:16" ht="54" x14ac:dyDescent="0.3">
      <c r="A17" s="5" t="str">
        <f>_xlfn.XLOOKUP(B17,'Paso 3 Redacción RA '!I$3:I$11,'Paso 3 Redacción RA '!C$3:C$11,,0,1)</f>
        <v>Saber</v>
      </c>
      <c r="B17" s="5" t="s">
        <v>595</v>
      </c>
      <c r="C17" s="85"/>
      <c r="D17" s="85"/>
      <c r="E17" s="88"/>
      <c r="F17" s="85"/>
      <c r="G17" s="85"/>
      <c r="H17" s="85"/>
      <c r="I17" s="91"/>
      <c r="J17" s="91"/>
      <c r="K17" s="91"/>
      <c r="L17" s="91"/>
      <c r="M17" s="88"/>
      <c r="N17" s="88"/>
      <c r="O17" s="97"/>
      <c r="P17" s="103"/>
    </row>
    <row r="18" spans="1:16" ht="108" x14ac:dyDescent="0.3">
      <c r="A18" s="5" t="str">
        <f>_xlfn.XLOOKUP(B18,'Paso 3 Redacción RA '!I$3:I$11,'Paso 3 Redacción RA '!C$3:C$11,,0,1)</f>
        <v>Saberhacer</v>
      </c>
      <c r="B18" s="5" t="s">
        <v>593</v>
      </c>
      <c r="C18" s="85"/>
      <c r="D18" s="85"/>
      <c r="E18" s="88"/>
      <c r="F18" s="85"/>
      <c r="G18" s="85"/>
      <c r="H18" s="85"/>
      <c r="I18" s="91"/>
      <c r="J18" s="91"/>
      <c r="K18" s="91"/>
      <c r="L18" s="91"/>
      <c r="M18" s="88"/>
      <c r="N18" s="88"/>
      <c r="O18" s="97"/>
      <c r="P18" s="103"/>
    </row>
    <row r="19" spans="1:16" ht="90" x14ac:dyDescent="0.3">
      <c r="A19" s="5" t="str">
        <f>_xlfn.XLOOKUP(B19,'Paso 3 Redacción RA '!I$3:I$11,'Paso 3 Redacción RA '!C$3:C$11,,0,1)</f>
        <v>Saberhacer</v>
      </c>
      <c r="B19" s="5" t="s">
        <v>596</v>
      </c>
      <c r="C19" s="85"/>
      <c r="D19" s="85"/>
      <c r="E19" s="88"/>
      <c r="F19" s="85"/>
      <c r="G19" s="85"/>
      <c r="H19" s="85"/>
      <c r="I19" s="91"/>
      <c r="J19" s="91"/>
      <c r="K19" s="91"/>
      <c r="L19" s="91"/>
      <c r="M19" s="88"/>
      <c r="N19" s="88"/>
      <c r="O19" s="97"/>
      <c r="P19" s="103"/>
    </row>
    <row r="20" spans="1:16" ht="72.599999999999994" thickBot="1" x14ac:dyDescent="0.35">
      <c r="A20" s="30" t="str">
        <f>_xlfn.XLOOKUP(B20,'Paso 3 Redacción RA '!I$3:I$11,'Paso 3 Redacción RA '!C$3:C$11,,0,1)</f>
        <v>Saberser</v>
      </c>
      <c r="B20" s="30" t="s">
        <v>600</v>
      </c>
      <c r="C20" s="86"/>
      <c r="D20" s="86"/>
      <c r="E20" s="89"/>
      <c r="F20" s="86"/>
      <c r="G20" s="86"/>
      <c r="H20" s="86"/>
      <c r="I20" s="92"/>
      <c r="J20" s="92"/>
      <c r="K20" s="92"/>
      <c r="L20" s="92"/>
      <c r="M20" s="89"/>
      <c r="N20" s="89"/>
      <c r="O20" s="98"/>
      <c r="P20" s="104"/>
    </row>
    <row r="21" spans="1:16" ht="36" x14ac:dyDescent="0.3">
      <c r="A21" s="31" t="str">
        <f>_xlfn.XLOOKUP(B21,'Paso 3 Redacción RA '!I$3:I$11,'Paso 3 Redacción RA '!C$3:C$11,,0,1)</f>
        <v>Saber</v>
      </c>
      <c r="B21" s="33" t="s">
        <v>592</v>
      </c>
      <c r="C21" s="84">
        <v>1</v>
      </c>
      <c r="D21" s="84" t="s">
        <v>653</v>
      </c>
      <c r="E21" s="87" t="s">
        <v>665</v>
      </c>
      <c r="F21" s="84" t="s">
        <v>619</v>
      </c>
      <c r="G21" s="84" t="s">
        <v>616</v>
      </c>
      <c r="H21" s="90"/>
      <c r="I21" s="93">
        <v>3</v>
      </c>
      <c r="J21" s="90">
        <f>12*I21</f>
        <v>36</v>
      </c>
      <c r="K21" s="90">
        <f>36*I21</f>
        <v>108</v>
      </c>
      <c r="L21" s="90">
        <f>SUM(J21:K24)</f>
        <v>144</v>
      </c>
      <c r="M21" s="99" t="s">
        <v>622</v>
      </c>
      <c r="N21" s="87" t="s">
        <v>648</v>
      </c>
      <c r="O21" s="96" t="s">
        <v>617</v>
      </c>
      <c r="P21" s="87" t="s">
        <v>92</v>
      </c>
    </row>
    <row r="22" spans="1:16" ht="72" x14ac:dyDescent="0.3">
      <c r="A22" s="5" t="str">
        <f>_xlfn.XLOOKUP(B22,'Paso 3 Redacción RA '!I$3:I$11,'Paso 3 Redacción RA '!C$3:C$11,,0,1)</f>
        <v>Saber</v>
      </c>
      <c r="B22" s="5" t="s">
        <v>598</v>
      </c>
      <c r="C22" s="85"/>
      <c r="D22" s="85"/>
      <c r="E22" s="88"/>
      <c r="F22" s="85"/>
      <c r="G22" s="85"/>
      <c r="H22" s="91"/>
      <c r="I22" s="94"/>
      <c r="J22" s="91"/>
      <c r="K22" s="91"/>
      <c r="L22" s="91"/>
      <c r="M22" s="100"/>
      <c r="N22" s="88"/>
      <c r="O22" s="97"/>
      <c r="P22" s="88"/>
    </row>
    <row r="23" spans="1:16" ht="54" x14ac:dyDescent="0.3">
      <c r="A23" s="5" t="str">
        <f>_xlfn.XLOOKUP(B23,'Paso 3 Redacción RA '!I$3:I$11,'Paso 3 Redacción RA '!C$3:C$11,,0,1)</f>
        <v>Saberhacer</v>
      </c>
      <c r="B23" s="5" t="s">
        <v>599</v>
      </c>
      <c r="C23" s="85"/>
      <c r="D23" s="85"/>
      <c r="E23" s="88"/>
      <c r="F23" s="85"/>
      <c r="G23" s="85"/>
      <c r="H23" s="91"/>
      <c r="I23" s="94"/>
      <c r="J23" s="91"/>
      <c r="K23" s="91"/>
      <c r="L23" s="91"/>
      <c r="M23" s="100"/>
      <c r="N23" s="88"/>
      <c r="O23" s="97"/>
      <c r="P23" s="88"/>
    </row>
    <row r="24" spans="1:16" ht="72.599999999999994" thickBot="1" x14ac:dyDescent="0.35">
      <c r="A24" s="30" t="str">
        <f>_xlfn.XLOOKUP(B24,'Paso 3 Redacción RA '!I$3:I$11,'Paso 3 Redacción RA '!C$3:C$11,,0,1)</f>
        <v>Saberser</v>
      </c>
      <c r="B24" s="30" t="s">
        <v>600</v>
      </c>
      <c r="C24" s="86"/>
      <c r="D24" s="86"/>
      <c r="E24" s="89"/>
      <c r="F24" s="86"/>
      <c r="G24" s="86"/>
      <c r="H24" s="92"/>
      <c r="I24" s="95"/>
      <c r="J24" s="92"/>
      <c r="K24" s="92"/>
      <c r="L24" s="92"/>
      <c r="M24" s="101"/>
      <c r="N24" s="89"/>
      <c r="O24" s="98"/>
      <c r="P24" s="89"/>
    </row>
    <row r="25" spans="1:16" ht="36" x14ac:dyDescent="0.3">
      <c r="A25" s="5" t="str">
        <f>_xlfn.XLOOKUP(B25,'Paso 3 Redacción RA '!I$3:I$11,'Paso 3 Redacción RA '!C$3:C$11,,0,1)</f>
        <v>Saber</v>
      </c>
      <c r="B25" s="31" t="s">
        <v>592</v>
      </c>
      <c r="C25" s="84">
        <v>2</v>
      </c>
      <c r="D25" s="84" t="s">
        <v>623</v>
      </c>
      <c r="E25" s="87" t="s">
        <v>666</v>
      </c>
      <c r="F25" s="84" t="s">
        <v>619</v>
      </c>
      <c r="G25" s="84"/>
      <c r="H25" s="84" t="s">
        <v>616</v>
      </c>
      <c r="I25" s="84">
        <v>2</v>
      </c>
      <c r="J25" s="84">
        <f>12*I25</f>
        <v>24</v>
      </c>
      <c r="K25" s="84">
        <f>36*I25</f>
        <v>72</v>
      </c>
      <c r="L25" s="84">
        <f>SUM(J25:K27)</f>
        <v>96</v>
      </c>
      <c r="M25" s="87" t="s">
        <v>667</v>
      </c>
      <c r="N25" s="87" t="s">
        <v>648</v>
      </c>
      <c r="O25" s="96" t="s">
        <v>617</v>
      </c>
      <c r="P25" s="87" t="s">
        <v>92</v>
      </c>
    </row>
    <row r="26" spans="1:16" ht="108" x14ac:dyDescent="0.3">
      <c r="A26" s="5" t="str">
        <f>_xlfn.XLOOKUP(B26,'Paso 3 Redacción RA '!I$3:I$11,'Paso 3 Redacción RA '!C$3:C$11,,0,1)</f>
        <v>Saberhacer</v>
      </c>
      <c r="B26" s="5" t="s">
        <v>593</v>
      </c>
      <c r="C26" s="85"/>
      <c r="D26" s="85"/>
      <c r="E26" s="88"/>
      <c r="F26" s="85"/>
      <c r="G26" s="85"/>
      <c r="H26" s="85"/>
      <c r="I26" s="85"/>
      <c r="J26" s="85"/>
      <c r="K26" s="85"/>
      <c r="L26" s="85"/>
      <c r="M26" s="88"/>
      <c r="N26" s="88"/>
      <c r="O26" s="97"/>
      <c r="P26" s="88"/>
    </row>
    <row r="27" spans="1:16" ht="54.6" thickBot="1" x14ac:dyDescent="0.35">
      <c r="A27" s="30" t="str">
        <f>_xlfn.XLOOKUP(B27,'Paso 3 Redacción RA '!I$3:I$11,'Paso 3 Redacción RA '!C$3:C$11,,0,1)</f>
        <v>Saber</v>
      </c>
      <c r="B27" s="30" t="s">
        <v>595</v>
      </c>
      <c r="C27" s="86"/>
      <c r="D27" s="86"/>
      <c r="E27" s="89"/>
      <c r="F27" s="86"/>
      <c r="G27" s="86"/>
      <c r="H27" s="86"/>
      <c r="I27" s="86"/>
      <c r="J27" s="86"/>
      <c r="K27" s="86"/>
      <c r="L27" s="86"/>
      <c r="M27" s="89"/>
      <c r="N27" s="89"/>
      <c r="O27" s="98"/>
      <c r="P27" s="89"/>
    </row>
    <row r="28" spans="1:16" ht="36" x14ac:dyDescent="0.3">
      <c r="A28" s="31" t="str">
        <f>_xlfn.XLOOKUP(B28,'Paso 3 Redacción RA '!I$3:I$11,'Paso 3 Redacción RA '!C$3:C$11,,0,1)</f>
        <v>Saber</v>
      </c>
      <c r="B28" s="31" t="s">
        <v>592</v>
      </c>
      <c r="C28" s="84">
        <v>2</v>
      </c>
      <c r="D28" s="84" t="s">
        <v>654</v>
      </c>
      <c r="E28" s="87" t="s">
        <v>645</v>
      </c>
      <c r="F28" s="84" t="s">
        <v>619</v>
      </c>
      <c r="G28" s="84"/>
      <c r="H28" s="84" t="s">
        <v>616</v>
      </c>
      <c r="I28" s="90">
        <v>2</v>
      </c>
      <c r="J28" s="90">
        <f>I28*12</f>
        <v>24</v>
      </c>
      <c r="K28" s="90">
        <f>I28*36</f>
        <v>72</v>
      </c>
      <c r="L28" s="90">
        <f>SUM(J28:K33)</f>
        <v>96</v>
      </c>
      <c r="M28" s="87" t="s">
        <v>668</v>
      </c>
      <c r="N28" s="87" t="s">
        <v>648</v>
      </c>
      <c r="O28" s="96" t="s">
        <v>617</v>
      </c>
      <c r="P28" s="87" t="s">
        <v>92</v>
      </c>
    </row>
    <row r="29" spans="1:16" ht="54" x14ac:dyDescent="0.3">
      <c r="A29" s="5" t="str">
        <f>_xlfn.XLOOKUP(B29,'Paso 3 Redacción RA '!I$3:I$11,'Paso 3 Redacción RA '!C$3:C$11,,0,1)</f>
        <v>Saberser</v>
      </c>
      <c r="B29" s="5" t="s">
        <v>594</v>
      </c>
      <c r="C29" s="85"/>
      <c r="D29" s="85"/>
      <c r="E29" s="88"/>
      <c r="F29" s="85"/>
      <c r="G29" s="85"/>
      <c r="H29" s="85"/>
      <c r="I29" s="91"/>
      <c r="J29" s="91"/>
      <c r="K29" s="91"/>
      <c r="L29" s="91"/>
      <c r="M29" s="88"/>
      <c r="N29" s="88"/>
      <c r="O29" s="97"/>
      <c r="P29" s="88"/>
    </row>
    <row r="30" spans="1:16" ht="54" x14ac:dyDescent="0.3">
      <c r="A30" s="5" t="str">
        <f>_xlfn.XLOOKUP(B30,'Paso 3 Redacción RA '!I$3:I$11,'Paso 3 Redacción RA '!C$3:C$11,,0,1)</f>
        <v>Saber</v>
      </c>
      <c r="B30" s="5" t="s">
        <v>595</v>
      </c>
      <c r="C30" s="85"/>
      <c r="D30" s="85"/>
      <c r="E30" s="88"/>
      <c r="F30" s="85"/>
      <c r="G30" s="85"/>
      <c r="H30" s="85"/>
      <c r="I30" s="91"/>
      <c r="J30" s="91"/>
      <c r="K30" s="91"/>
      <c r="L30" s="91"/>
      <c r="M30" s="88"/>
      <c r="N30" s="88"/>
      <c r="O30" s="97"/>
      <c r="P30" s="88"/>
    </row>
    <row r="31" spans="1:16" ht="72" x14ac:dyDescent="0.3">
      <c r="A31" s="5" t="str">
        <f>_xlfn.XLOOKUP(B31,'Paso 3 Redacción RA '!I$3:I$11,'Paso 3 Redacción RA '!C$3:C$11,,0,1)</f>
        <v>Saber</v>
      </c>
      <c r="B31" s="5" t="s">
        <v>598</v>
      </c>
      <c r="C31" s="85"/>
      <c r="D31" s="85"/>
      <c r="E31" s="88"/>
      <c r="F31" s="85"/>
      <c r="G31" s="85"/>
      <c r="H31" s="85"/>
      <c r="I31" s="91"/>
      <c r="J31" s="91"/>
      <c r="K31" s="91"/>
      <c r="L31" s="91"/>
      <c r="M31" s="88"/>
      <c r="N31" s="88"/>
      <c r="O31" s="97"/>
      <c r="P31" s="88"/>
    </row>
    <row r="32" spans="1:16" ht="54" x14ac:dyDescent="0.3">
      <c r="A32" s="5" t="str">
        <f>_xlfn.XLOOKUP(B32,'Paso 3 Redacción RA '!I$3:I$11,'Paso 3 Redacción RA '!C$3:C$11,,0,1)</f>
        <v>Saberhacer</v>
      </c>
      <c r="B32" s="5" t="s">
        <v>599</v>
      </c>
      <c r="C32" s="85"/>
      <c r="D32" s="85"/>
      <c r="E32" s="88"/>
      <c r="F32" s="85"/>
      <c r="G32" s="85"/>
      <c r="H32" s="85"/>
      <c r="I32" s="91"/>
      <c r="J32" s="91"/>
      <c r="K32" s="91"/>
      <c r="L32" s="91"/>
      <c r="M32" s="88"/>
      <c r="N32" s="88"/>
      <c r="O32" s="97"/>
      <c r="P32" s="88" t="s">
        <v>95</v>
      </c>
    </row>
    <row r="33" spans="1:16" ht="72.599999999999994" thickBot="1" x14ac:dyDescent="0.35">
      <c r="A33" s="30" t="str">
        <f>_xlfn.XLOOKUP(B33,'Paso 3 Redacción RA '!I$3:I$11,'Paso 3 Redacción RA '!C$3:C$11,,0,1)</f>
        <v>Saberser</v>
      </c>
      <c r="B33" s="30" t="s">
        <v>600</v>
      </c>
      <c r="C33" s="86"/>
      <c r="D33" s="86"/>
      <c r="E33" s="89"/>
      <c r="F33" s="86"/>
      <c r="G33" s="86"/>
      <c r="H33" s="86"/>
      <c r="I33" s="92"/>
      <c r="J33" s="92"/>
      <c r="K33" s="92"/>
      <c r="L33" s="92"/>
      <c r="M33" s="89"/>
      <c r="N33" s="89"/>
      <c r="O33" s="98"/>
      <c r="P33" s="89"/>
    </row>
    <row r="34" spans="1:16" ht="36" x14ac:dyDescent="0.3">
      <c r="A34" s="5" t="str">
        <f>_xlfn.XLOOKUP(B34,'Paso 3 Redacción RA '!I$3:I$11,'Paso 3 Redacción RA '!C$3:C$11,,0,1)</f>
        <v>Saber</v>
      </c>
      <c r="B34" s="31" t="s">
        <v>592</v>
      </c>
      <c r="C34" s="84">
        <v>2</v>
      </c>
      <c r="D34" s="84" t="s">
        <v>624</v>
      </c>
      <c r="E34" s="87" t="s">
        <v>669</v>
      </c>
      <c r="F34" s="84" t="s">
        <v>619</v>
      </c>
      <c r="G34" s="84"/>
      <c r="H34" s="84" t="s">
        <v>616</v>
      </c>
      <c r="I34" s="90">
        <v>3</v>
      </c>
      <c r="J34" s="90">
        <f>I34*12</f>
        <v>36</v>
      </c>
      <c r="K34" s="90">
        <f>I34*36</f>
        <v>108</v>
      </c>
      <c r="L34" s="90">
        <f>SUM(J34:K34)</f>
        <v>144</v>
      </c>
      <c r="M34" s="87" t="s">
        <v>670</v>
      </c>
      <c r="N34" s="87" t="s">
        <v>648</v>
      </c>
      <c r="O34" s="96" t="s">
        <v>617</v>
      </c>
      <c r="P34" s="87" t="s">
        <v>92</v>
      </c>
    </row>
    <row r="35" spans="1:16" ht="72" x14ac:dyDescent="0.3">
      <c r="A35" s="5" t="str">
        <f>_xlfn.XLOOKUP(B35,'Paso 3 Redacción RA '!I$3:I$11,'Paso 3 Redacción RA '!C$3:C$11,,0,1)</f>
        <v>Saberser</v>
      </c>
      <c r="B35" s="5" t="s">
        <v>597</v>
      </c>
      <c r="C35" s="85"/>
      <c r="D35" s="85"/>
      <c r="E35" s="88"/>
      <c r="F35" s="85"/>
      <c r="G35" s="85"/>
      <c r="H35" s="85"/>
      <c r="I35" s="91"/>
      <c r="J35" s="91"/>
      <c r="K35" s="91"/>
      <c r="L35" s="91"/>
      <c r="M35" s="88"/>
      <c r="N35" s="88"/>
      <c r="O35" s="97"/>
      <c r="P35" s="88"/>
    </row>
    <row r="36" spans="1:16" ht="54" x14ac:dyDescent="0.3">
      <c r="A36" s="5" t="str">
        <f>_xlfn.XLOOKUP(B36,'Paso 3 Redacción RA '!I$3:I$11,'Paso 3 Redacción RA '!C$3:C$11,,0,1)</f>
        <v>Saberser</v>
      </c>
      <c r="B36" s="5" t="s">
        <v>594</v>
      </c>
      <c r="C36" s="85"/>
      <c r="D36" s="85"/>
      <c r="E36" s="88"/>
      <c r="F36" s="85"/>
      <c r="G36" s="85"/>
      <c r="H36" s="85"/>
      <c r="I36" s="91"/>
      <c r="J36" s="91"/>
      <c r="K36" s="91"/>
      <c r="L36" s="91"/>
      <c r="M36" s="88"/>
      <c r="N36" s="88"/>
      <c r="O36" s="97"/>
      <c r="P36" s="88"/>
    </row>
    <row r="37" spans="1:16" ht="72.599999999999994" thickBot="1" x14ac:dyDescent="0.35">
      <c r="A37" s="30" t="str">
        <f>_xlfn.XLOOKUP(B37,'Paso 3 Redacción RA '!I$3:I$11,'Paso 3 Redacción RA '!C$3:C$11,,0,1)</f>
        <v>Saber</v>
      </c>
      <c r="B37" s="30" t="s">
        <v>598</v>
      </c>
      <c r="C37" s="86"/>
      <c r="D37" s="86"/>
      <c r="E37" s="89"/>
      <c r="F37" s="86"/>
      <c r="G37" s="86"/>
      <c r="H37" s="86"/>
      <c r="I37" s="92"/>
      <c r="J37" s="92"/>
      <c r="K37" s="92"/>
      <c r="L37" s="92"/>
      <c r="M37" s="89"/>
      <c r="N37" s="89"/>
      <c r="O37" s="98"/>
      <c r="P37" s="89"/>
    </row>
    <row r="38" spans="1:16" ht="54" x14ac:dyDescent="0.3">
      <c r="A38" s="31" t="str">
        <f>_xlfn.XLOOKUP(B38,'Paso 3 Redacción RA '!I$3:I$11,'Paso 3 Redacción RA '!C$3:C$11,,0,1)</f>
        <v>Saberser</v>
      </c>
      <c r="B38" s="31" t="s">
        <v>594</v>
      </c>
      <c r="C38" s="84">
        <v>2</v>
      </c>
      <c r="D38" s="84" t="s">
        <v>625</v>
      </c>
      <c r="E38" s="87" t="s">
        <v>626</v>
      </c>
      <c r="F38" s="84" t="s">
        <v>619</v>
      </c>
      <c r="G38" s="84"/>
      <c r="H38" s="84" t="s">
        <v>616</v>
      </c>
      <c r="I38" s="90">
        <v>3</v>
      </c>
      <c r="J38" s="90">
        <f>I38*12</f>
        <v>36</v>
      </c>
      <c r="K38" s="90">
        <f>I38*36</f>
        <v>108</v>
      </c>
      <c r="L38" s="90">
        <f>SUM(J38:K38)</f>
        <v>144</v>
      </c>
      <c r="M38" s="87" t="s">
        <v>627</v>
      </c>
      <c r="N38" s="87" t="s">
        <v>648</v>
      </c>
      <c r="O38" s="96" t="s">
        <v>617</v>
      </c>
      <c r="P38" s="87" t="s">
        <v>92</v>
      </c>
    </row>
    <row r="39" spans="1:16" ht="90" x14ac:dyDescent="0.3">
      <c r="A39" s="5" t="str">
        <f>_xlfn.XLOOKUP(B39,'Paso 3 Redacción RA '!I$3:I$11,'Paso 3 Redacción RA '!C$3:C$11,,0,1)</f>
        <v>Saberhacer</v>
      </c>
      <c r="B39" s="5" t="s">
        <v>596</v>
      </c>
      <c r="C39" s="85"/>
      <c r="D39" s="85"/>
      <c r="E39" s="88"/>
      <c r="F39" s="85"/>
      <c r="G39" s="85"/>
      <c r="H39" s="85"/>
      <c r="I39" s="91"/>
      <c r="J39" s="91"/>
      <c r="K39" s="91"/>
      <c r="L39" s="91"/>
      <c r="M39" s="88"/>
      <c r="N39" s="88"/>
      <c r="O39" s="97"/>
      <c r="P39" s="88"/>
    </row>
    <row r="40" spans="1:16" ht="54.6" thickBot="1" x14ac:dyDescent="0.35">
      <c r="A40" s="30" t="str">
        <f>_xlfn.XLOOKUP(B40,'Paso 3 Redacción RA '!I$3:I$11,'Paso 3 Redacción RA '!C$3:C$11,,0,1)</f>
        <v>Saberhacer</v>
      </c>
      <c r="B40" s="30" t="s">
        <v>599</v>
      </c>
      <c r="C40" s="86"/>
      <c r="D40" s="86"/>
      <c r="E40" s="89"/>
      <c r="F40" s="86"/>
      <c r="G40" s="86"/>
      <c r="H40" s="86"/>
      <c r="I40" s="92"/>
      <c r="J40" s="92"/>
      <c r="K40" s="92"/>
      <c r="L40" s="92"/>
      <c r="M40" s="89"/>
      <c r="N40" s="89"/>
      <c r="O40" s="98"/>
      <c r="P40" s="89"/>
    </row>
    <row r="41" spans="1:16" ht="54" x14ac:dyDescent="0.3">
      <c r="A41" s="31" t="str">
        <f>_xlfn.XLOOKUP(B41,'Paso 3 Redacción RA '!I$3:I$11,'Paso 3 Redacción RA '!C$3:C$11,,0,1)</f>
        <v>Saber</v>
      </c>
      <c r="B41" s="5" t="s">
        <v>595</v>
      </c>
      <c r="C41" s="84">
        <v>2</v>
      </c>
      <c r="D41" s="84" t="s">
        <v>628</v>
      </c>
      <c r="E41" s="87" t="s">
        <v>629</v>
      </c>
      <c r="F41" s="84" t="s">
        <v>619</v>
      </c>
      <c r="G41" s="84"/>
      <c r="H41" s="84" t="s">
        <v>616</v>
      </c>
      <c r="I41" s="90">
        <v>3</v>
      </c>
      <c r="J41" s="90">
        <f>I41*12</f>
        <v>36</v>
      </c>
      <c r="K41" s="90">
        <f>I41*36</f>
        <v>108</v>
      </c>
      <c r="L41" s="90">
        <f>SUM(J41:K41)</f>
        <v>144</v>
      </c>
      <c r="M41" s="87" t="s">
        <v>630</v>
      </c>
      <c r="N41" s="87" t="s">
        <v>648</v>
      </c>
      <c r="O41" s="96" t="s">
        <v>617</v>
      </c>
      <c r="P41" s="87" t="s">
        <v>92</v>
      </c>
    </row>
    <row r="42" spans="1:16" ht="90" x14ac:dyDescent="0.3">
      <c r="A42" s="5" t="str">
        <f>_xlfn.XLOOKUP(B42,'Paso 3 Redacción RA '!I$3:I$11,'Paso 3 Redacción RA '!C$3:C$11,,0,1)</f>
        <v>Saberhacer</v>
      </c>
      <c r="B42" s="5" t="s">
        <v>596</v>
      </c>
      <c r="C42" s="85"/>
      <c r="D42" s="85"/>
      <c r="E42" s="88"/>
      <c r="F42" s="85"/>
      <c r="G42" s="85"/>
      <c r="H42" s="85"/>
      <c r="I42" s="91"/>
      <c r="J42" s="91"/>
      <c r="K42" s="91"/>
      <c r="L42" s="91"/>
      <c r="M42" s="88"/>
      <c r="N42" s="88"/>
      <c r="O42" s="97"/>
      <c r="P42" s="88"/>
    </row>
    <row r="43" spans="1:16" ht="72" x14ac:dyDescent="0.3">
      <c r="A43" s="5" t="str">
        <f>_xlfn.XLOOKUP(B43,'Paso 3 Redacción RA '!I$3:I$11,'Paso 3 Redacción RA '!C$3:C$11,,0,1)</f>
        <v>Saberser</v>
      </c>
      <c r="B43" s="5" t="s">
        <v>597</v>
      </c>
      <c r="C43" s="85"/>
      <c r="D43" s="85"/>
      <c r="E43" s="88"/>
      <c r="F43" s="85"/>
      <c r="G43" s="85"/>
      <c r="H43" s="85"/>
      <c r="I43" s="91"/>
      <c r="J43" s="91"/>
      <c r="K43" s="91"/>
      <c r="L43" s="91"/>
      <c r="M43" s="88"/>
      <c r="N43" s="88"/>
      <c r="O43" s="97"/>
      <c r="P43" s="88"/>
    </row>
    <row r="44" spans="1:16" ht="108" x14ac:dyDescent="0.3">
      <c r="A44" s="5" t="str">
        <f>_xlfn.XLOOKUP(B44,'Paso 3 Redacción RA '!I$3:I$11,'Paso 3 Redacción RA '!C$3:C$11,,0,1)</f>
        <v>Saberhacer</v>
      </c>
      <c r="B44" s="5" t="s">
        <v>593</v>
      </c>
      <c r="C44" s="85"/>
      <c r="D44" s="85"/>
      <c r="E44" s="88"/>
      <c r="F44" s="85"/>
      <c r="G44" s="85"/>
      <c r="H44" s="85"/>
      <c r="I44" s="91"/>
      <c r="J44" s="91"/>
      <c r="K44" s="91"/>
      <c r="L44" s="91"/>
      <c r="M44" s="88"/>
      <c r="N44" s="88"/>
      <c r="O44" s="97"/>
      <c r="P44" s="88"/>
    </row>
    <row r="45" spans="1:16" ht="72.599999999999994" thickBot="1" x14ac:dyDescent="0.35">
      <c r="A45" s="30" t="str">
        <f>_xlfn.XLOOKUP(B45,'Paso 3 Redacción RA '!I$3:I$11,'Paso 3 Redacción RA '!C$3:C$11,,0,1)</f>
        <v>Saber</v>
      </c>
      <c r="B45" s="30" t="s">
        <v>598</v>
      </c>
      <c r="C45" s="86" t="s">
        <v>96</v>
      </c>
      <c r="D45" s="86"/>
      <c r="E45" s="89"/>
      <c r="F45" s="86"/>
      <c r="G45" s="86"/>
      <c r="H45" s="86"/>
      <c r="I45" s="92"/>
      <c r="J45" s="92"/>
      <c r="K45" s="92"/>
      <c r="L45" s="92"/>
      <c r="M45" s="89"/>
      <c r="N45" s="89"/>
      <c r="O45" s="98"/>
      <c r="P45" s="89"/>
    </row>
    <row r="46" spans="1:16" ht="36" x14ac:dyDescent="0.3">
      <c r="A46" s="5" t="str">
        <f>_xlfn.XLOOKUP(B46,'Paso 3 Redacción RA '!I$3:I$11,'Paso 3 Redacción RA '!C$3:C$11,,0,1)</f>
        <v>Saber</v>
      </c>
      <c r="B46" s="31" t="s">
        <v>592</v>
      </c>
      <c r="C46" s="84">
        <v>3</v>
      </c>
      <c r="D46" s="84" t="s">
        <v>631</v>
      </c>
      <c r="E46" s="87" t="s">
        <v>638</v>
      </c>
      <c r="F46" s="84" t="s">
        <v>619</v>
      </c>
      <c r="G46" s="84"/>
      <c r="H46" s="84" t="s">
        <v>616</v>
      </c>
      <c r="I46" s="84">
        <v>3</v>
      </c>
      <c r="J46" s="84">
        <f>12*I46</f>
        <v>36</v>
      </c>
      <c r="K46" s="84">
        <f>36*I46</f>
        <v>108</v>
      </c>
      <c r="L46" s="84">
        <f>SUM(J46:K49)</f>
        <v>144</v>
      </c>
      <c r="M46" s="87" t="s">
        <v>639</v>
      </c>
      <c r="N46" s="87" t="s">
        <v>648</v>
      </c>
      <c r="O46" s="96" t="s">
        <v>617</v>
      </c>
      <c r="P46" s="87" t="s">
        <v>92</v>
      </c>
    </row>
    <row r="47" spans="1:16" ht="108" x14ac:dyDescent="0.3">
      <c r="A47" s="5" t="str">
        <f>_xlfn.XLOOKUP(B47,'Paso 3 Redacción RA '!I$3:I$11,'Paso 3 Redacción RA '!C$3:C$11,,0,1)</f>
        <v>Saberhacer</v>
      </c>
      <c r="B47" s="5" t="s">
        <v>593</v>
      </c>
      <c r="C47" s="85"/>
      <c r="D47" s="85"/>
      <c r="E47" s="88"/>
      <c r="F47" s="85"/>
      <c r="G47" s="85"/>
      <c r="H47" s="85"/>
      <c r="I47" s="85"/>
      <c r="J47" s="85"/>
      <c r="K47" s="85"/>
      <c r="L47" s="85"/>
      <c r="M47" s="88"/>
      <c r="N47" s="88"/>
      <c r="O47" s="97"/>
      <c r="P47" s="88"/>
    </row>
    <row r="48" spans="1:16" ht="72" x14ac:dyDescent="0.3">
      <c r="A48" s="5" t="str">
        <f>_xlfn.XLOOKUP(B48,'Paso 3 Redacción RA '!I$3:I$11,'Paso 3 Redacción RA '!C$3:C$11,,0,1)</f>
        <v>Saberser</v>
      </c>
      <c r="B48" s="5" t="s">
        <v>597</v>
      </c>
      <c r="C48" s="85"/>
      <c r="D48" s="85"/>
      <c r="E48" s="88"/>
      <c r="F48" s="85"/>
      <c r="G48" s="85"/>
      <c r="H48" s="85"/>
      <c r="I48" s="85"/>
      <c r="J48" s="85"/>
      <c r="K48" s="85"/>
      <c r="L48" s="85"/>
      <c r="M48" s="88"/>
      <c r="N48" s="88"/>
      <c r="O48" s="97"/>
      <c r="P48" s="88"/>
    </row>
    <row r="49" spans="1:16" ht="72.599999999999994" thickBot="1" x14ac:dyDescent="0.35">
      <c r="A49" s="30" t="str">
        <f>_xlfn.XLOOKUP(B49,'Paso 3 Redacción RA '!I$3:I$11,'Paso 3 Redacción RA '!C$3:C$11,,0,1)</f>
        <v>Saberser</v>
      </c>
      <c r="B49" s="30" t="s">
        <v>600</v>
      </c>
      <c r="C49" s="86"/>
      <c r="D49" s="86"/>
      <c r="E49" s="89"/>
      <c r="F49" s="86"/>
      <c r="G49" s="86"/>
      <c r="H49" s="86"/>
      <c r="I49" s="86"/>
      <c r="J49" s="86"/>
      <c r="K49" s="86"/>
      <c r="L49" s="86"/>
      <c r="M49" s="89"/>
      <c r="N49" s="89"/>
      <c r="O49" s="98"/>
      <c r="P49" s="89"/>
    </row>
    <row r="50" spans="1:16" ht="54" x14ac:dyDescent="0.3">
      <c r="A50" s="31" t="str">
        <f>_xlfn.XLOOKUP(B50,'Paso 3 Redacción RA '!I$3:I$11,'Paso 3 Redacción RA '!C$3:C$11,,0,1)</f>
        <v>Saber</v>
      </c>
      <c r="B50" s="31" t="s">
        <v>595</v>
      </c>
      <c r="C50" s="84">
        <v>3</v>
      </c>
      <c r="D50" s="84" t="s">
        <v>632</v>
      </c>
      <c r="E50" s="87" t="s">
        <v>671</v>
      </c>
      <c r="F50" s="84" t="s">
        <v>619</v>
      </c>
      <c r="G50" s="84"/>
      <c r="H50" s="84" t="s">
        <v>616</v>
      </c>
      <c r="I50" s="90">
        <v>3</v>
      </c>
      <c r="J50" s="90">
        <f>I50*12</f>
        <v>36</v>
      </c>
      <c r="K50" s="90">
        <f>I50*36</f>
        <v>108</v>
      </c>
      <c r="L50" s="90">
        <f>SUM(J50:K52)</f>
        <v>144</v>
      </c>
      <c r="M50" s="87" t="s">
        <v>640</v>
      </c>
      <c r="N50" s="87" t="s">
        <v>648</v>
      </c>
      <c r="O50" s="96" t="s">
        <v>617</v>
      </c>
      <c r="P50" s="87" t="s">
        <v>92</v>
      </c>
    </row>
    <row r="51" spans="1:16" ht="90" x14ac:dyDescent="0.3">
      <c r="A51" s="5" t="str">
        <f>_xlfn.XLOOKUP(B51,'Paso 3 Redacción RA '!I$3:I$11,'Paso 3 Redacción RA '!C$3:C$11,,0,1)</f>
        <v>Saberhacer</v>
      </c>
      <c r="B51" s="5" t="s">
        <v>596</v>
      </c>
      <c r="C51" s="85"/>
      <c r="D51" s="85"/>
      <c r="E51" s="88"/>
      <c r="F51" s="85"/>
      <c r="G51" s="85"/>
      <c r="H51" s="85"/>
      <c r="I51" s="91"/>
      <c r="J51" s="91"/>
      <c r="K51" s="91"/>
      <c r="L51" s="91"/>
      <c r="M51" s="88"/>
      <c r="N51" s="88"/>
      <c r="O51" s="97"/>
      <c r="P51" s="88" t="s">
        <v>95</v>
      </c>
    </row>
    <row r="52" spans="1:16" ht="72.599999999999994" thickBot="1" x14ac:dyDescent="0.35">
      <c r="A52" s="30" t="str">
        <f>_xlfn.XLOOKUP(B52,'Paso 3 Redacción RA '!I$3:I$11,'Paso 3 Redacción RA '!C$3:C$11,,0,1)</f>
        <v>Saber</v>
      </c>
      <c r="B52" s="30" t="s">
        <v>598</v>
      </c>
      <c r="C52" s="86"/>
      <c r="D52" s="86"/>
      <c r="E52" s="89"/>
      <c r="F52" s="86"/>
      <c r="G52" s="86"/>
      <c r="H52" s="86"/>
      <c r="I52" s="92"/>
      <c r="J52" s="92"/>
      <c r="K52" s="92"/>
      <c r="L52" s="92"/>
      <c r="M52" s="89"/>
      <c r="N52" s="89"/>
      <c r="O52" s="98"/>
      <c r="P52" s="89"/>
    </row>
    <row r="53" spans="1:16" ht="54" x14ac:dyDescent="0.3">
      <c r="A53" s="5" t="str">
        <f>_xlfn.XLOOKUP(B53,'Paso 3 Redacción RA '!I$3:I$11,'Paso 3 Redacción RA '!C$3:C$11,,0,1)</f>
        <v>Saberser</v>
      </c>
      <c r="B53" s="31" t="s">
        <v>594</v>
      </c>
      <c r="C53" s="84">
        <v>3</v>
      </c>
      <c r="D53" s="84" t="s">
        <v>633</v>
      </c>
      <c r="E53" s="87" t="s">
        <v>672</v>
      </c>
      <c r="F53" s="84" t="s">
        <v>619</v>
      </c>
      <c r="G53" s="84"/>
      <c r="H53" s="84" t="s">
        <v>616</v>
      </c>
      <c r="I53" s="90">
        <v>3</v>
      </c>
      <c r="J53" s="90">
        <f>I53*12</f>
        <v>36</v>
      </c>
      <c r="K53" s="90">
        <f>I53*36</f>
        <v>108</v>
      </c>
      <c r="L53" s="90">
        <f>SUM(J53:K53)</f>
        <v>144</v>
      </c>
      <c r="M53" s="87" t="s">
        <v>673</v>
      </c>
      <c r="N53" s="87" t="s">
        <v>648</v>
      </c>
      <c r="O53" s="96" t="s">
        <v>617</v>
      </c>
      <c r="P53" s="87" t="s">
        <v>92</v>
      </c>
    </row>
    <row r="54" spans="1:16" ht="90" x14ac:dyDescent="0.3">
      <c r="A54" s="5" t="str">
        <f>_xlfn.XLOOKUP(B54,'Paso 3 Redacción RA '!I$3:I$11,'Paso 3 Redacción RA '!C$3:C$11,,0,1)</f>
        <v>Saberhacer</v>
      </c>
      <c r="B54" s="5" t="s">
        <v>596</v>
      </c>
      <c r="C54" s="85"/>
      <c r="D54" s="85"/>
      <c r="E54" s="88"/>
      <c r="F54" s="85"/>
      <c r="G54" s="85"/>
      <c r="H54" s="85"/>
      <c r="I54" s="91"/>
      <c r="J54" s="91"/>
      <c r="K54" s="91"/>
      <c r="L54" s="91"/>
      <c r="M54" s="88"/>
      <c r="N54" s="88"/>
      <c r="O54" s="97"/>
      <c r="P54" s="88"/>
    </row>
    <row r="55" spans="1:16" ht="54" x14ac:dyDescent="0.3">
      <c r="A55" s="5" t="str">
        <f>_xlfn.XLOOKUP(B55,'Paso 3 Redacción RA '!I$3:I$11,'Paso 3 Redacción RA '!C$3:C$11,,0,1)</f>
        <v>Saberhacer</v>
      </c>
      <c r="B55" s="5" t="s">
        <v>599</v>
      </c>
      <c r="C55" s="85"/>
      <c r="D55" s="85"/>
      <c r="E55" s="88"/>
      <c r="F55" s="85"/>
      <c r="G55" s="85"/>
      <c r="H55" s="85"/>
      <c r="I55" s="91"/>
      <c r="J55" s="91"/>
      <c r="K55" s="91"/>
      <c r="L55" s="91"/>
      <c r="M55" s="88"/>
      <c r="N55" s="88"/>
      <c r="O55" s="97"/>
      <c r="P55" s="88"/>
    </row>
    <row r="56" spans="1:16" ht="72.599999999999994" thickBot="1" x14ac:dyDescent="0.35">
      <c r="A56" s="30" t="str">
        <f>_xlfn.XLOOKUP(B56,'Paso 3 Redacción RA '!I$3:I$11,'Paso 3 Redacción RA '!C$3:C$11,,0,1)</f>
        <v>Saberser</v>
      </c>
      <c r="B56" s="30" t="s">
        <v>600</v>
      </c>
      <c r="C56" s="86"/>
      <c r="D56" s="86"/>
      <c r="E56" s="89"/>
      <c r="F56" s="86"/>
      <c r="G56" s="86"/>
      <c r="H56" s="86"/>
      <c r="I56" s="92"/>
      <c r="J56" s="92"/>
      <c r="K56" s="92"/>
      <c r="L56" s="92"/>
      <c r="M56" s="89"/>
      <c r="N56" s="89"/>
      <c r="O56" s="98"/>
      <c r="P56" s="89"/>
    </row>
    <row r="57" spans="1:16" ht="36" x14ac:dyDescent="0.3">
      <c r="A57" s="31" t="str">
        <f>_xlfn.XLOOKUP(B57,'Paso 3 Redacción RA '!I$3:I$11,'Paso 3 Redacción RA '!C$3:C$11,,0,1)</f>
        <v>Saber</v>
      </c>
      <c r="B57" s="31" t="s">
        <v>592</v>
      </c>
      <c r="C57" s="84">
        <v>3</v>
      </c>
      <c r="D57" s="84" t="s">
        <v>634</v>
      </c>
      <c r="E57" s="87" t="s">
        <v>641</v>
      </c>
      <c r="F57" s="84" t="s">
        <v>615</v>
      </c>
      <c r="G57" s="84"/>
      <c r="H57" s="84" t="s">
        <v>616</v>
      </c>
      <c r="I57" s="90">
        <v>2</v>
      </c>
      <c r="J57" s="90">
        <f>I57*12</f>
        <v>24</v>
      </c>
      <c r="K57" s="90">
        <f>I57*36</f>
        <v>72</v>
      </c>
      <c r="L57" s="90">
        <f>SUM(J57:K57)</f>
        <v>96</v>
      </c>
      <c r="M57" s="87" t="s">
        <v>642</v>
      </c>
      <c r="N57" s="87" t="s">
        <v>646</v>
      </c>
      <c r="O57" s="96" t="s">
        <v>617</v>
      </c>
      <c r="P57" s="87" t="s">
        <v>92</v>
      </c>
    </row>
    <row r="58" spans="1:16" ht="108" x14ac:dyDescent="0.3">
      <c r="A58" s="5" t="str">
        <f>_xlfn.XLOOKUP(B58,'Paso 3 Redacción RA '!I$3:I$11,'Paso 3 Redacción RA '!C$3:C$11,,0,1)</f>
        <v>Saberhacer</v>
      </c>
      <c r="B58" s="5" t="s">
        <v>593</v>
      </c>
      <c r="C58" s="85"/>
      <c r="D58" s="85"/>
      <c r="E58" s="88"/>
      <c r="F58" s="85"/>
      <c r="G58" s="85"/>
      <c r="H58" s="85"/>
      <c r="I58" s="91"/>
      <c r="J58" s="91"/>
      <c r="K58" s="91"/>
      <c r="L58" s="91"/>
      <c r="M58" s="88"/>
      <c r="N58" s="88"/>
      <c r="O58" s="97"/>
      <c r="P58" s="88"/>
    </row>
    <row r="59" spans="1:16" ht="54" x14ac:dyDescent="0.3">
      <c r="A59" s="5" t="str">
        <f>_xlfn.XLOOKUP(B59,'Paso 3 Redacción RA '!I$3:I$11,'Paso 3 Redacción RA '!C$3:C$11,,0,1)</f>
        <v>Saber</v>
      </c>
      <c r="B59" s="5" t="s">
        <v>595</v>
      </c>
      <c r="C59" s="85"/>
      <c r="D59" s="85"/>
      <c r="E59" s="88"/>
      <c r="F59" s="85"/>
      <c r="G59" s="85"/>
      <c r="H59" s="85"/>
      <c r="I59" s="91"/>
      <c r="J59" s="91"/>
      <c r="K59" s="91"/>
      <c r="L59" s="91"/>
      <c r="M59" s="88"/>
      <c r="N59" s="88"/>
      <c r="O59" s="97"/>
      <c r="P59" s="88"/>
    </row>
    <row r="60" spans="1:16" ht="72.599999999999994" thickBot="1" x14ac:dyDescent="0.35">
      <c r="A60" s="30" t="str">
        <f>_xlfn.XLOOKUP(B60,'Paso 3 Redacción RA '!I$3:I$11,'Paso 3 Redacción RA '!C$3:C$11,,0,1)</f>
        <v>Saberser</v>
      </c>
      <c r="B60" s="30" t="s">
        <v>600</v>
      </c>
      <c r="C60" s="86"/>
      <c r="D60" s="86"/>
      <c r="E60" s="89"/>
      <c r="F60" s="86"/>
      <c r="G60" s="86"/>
      <c r="H60" s="86"/>
      <c r="I60" s="92"/>
      <c r="J60" s="92"/>
      <c r="K60" s="92"/>
      <c r="L60" s="92"/>
      <c r="M60" s="89"/>
      <c r="N60" s="89"/>
      <c r="O60" s="98"/>
      <c r="P60" s="89"/>
    </row>
    <row r="61" spans="1:16" ht="54" x14ac:dyDescent="0.3">
      <c r="A61" s="31" t="str">
        <f>_xlfn.XLOOKUP(B61,'Paso 3 Redacción RA '!I$3:I$11,'Paso 3 Redacción RA '!C$3:C$11,,0,1)</f>
        <v>Saberser</v>
      </c>
      <c r="B61" s="5" t="s">
        <v>594</v>
      </c>
      <c r="C61" s="84">
        <v>3</v>
      </c>
      <c r="D61" s="84" t="s">
        <v>635</v>
      </c>
      <c r="E61" s="87" t="s">
        <v>636</v>
      </c>
      <c r="F61" s="84" t="s">
        <v>619</v>
      </c>
      <c r="G61" s="84"/>
      <c r="H61" s="84" t="s">
        <v>616</v>
      </c>
      <c r="I61" s="90">
        <v>3</v>
      </c>
      <c r="J61" s="90">
        <f>I61*12</f>
        <v>36</v>
      </c>
      <c r="K61" s="90">
        <f>I61*36</f>
        <v>108</v>
      </c>
      <c r="L61" s="90">
        <f>SUM(J61:K61)</f>
        <v>144</v>
      </c>
      <c r="M61" s="87" t="s">
        <v>637</v>
      </c>
      <c r="N61" s="87" t="s">
        <v>648</v>
      </c>
      <c r="O61" s="96" t="s">
        <v>617</v>
      </c>
      <c r="P61" s="87" t="s">
        <v>92</v>
      </c>
    </row>
    <row r="62" spans="1:16" ht="72" x14ac:dyDescent="0.3">
      <c r="A62" s="5" t="str">
        <f>_xlfn.XLOOKUP(B62,'Paso 3 Redacción RA '!I$3:I$11,'Paso 3 Redacción RA '!C$3:C$11,,0,1)</f>
        <v>Saberser</v>
      </c>
      <c r="B62" s="5" t="s">
        <v>597</v>
      </c>
      <c r="C62" s="85"/>
      <c r="D62" s="85"/>
      <c r="E62" s="88"/>
      <c r="F62" s="85"/>
      <c r="G62" s="85"/>
      <c r="H62" s="85"/>
      <c r="I62" s="91"/>
      <c r="J62" s="91"/>
      <c r="K62" s="91"/>
      <c r="L62" s="91"/>
      <c r="M62" s="88"/>
      <c r="N62" s="88"/>
      <c r="O62" s="97"/>
      <c r="P62" s="88"/>
    </row>
    <row r="63" spans="1:16" ht="72.599999999999994" thickBot="1" x14ac:dyDescent="0.35">
      <c r="A63" s="30" t="str">
        <f>_xlfn.XLOOKUP(B63,'Paso 3 Redacción RA '!I$3:I$11,'Paso 3 Redacción RA '!C$3:C$11,,0,1)</f>
        <v>Saberser</v>
      </c>
      <c r="B63" s="30" t="s">
        <v>600</v>
      </c>
      <c r="C63" s="86" t="s">
        <v>96</v>
      </c>
      <c r="D63" s="86"/>
      <c r="E63" s="89"/>
      <c r="F63" s="86"/>
      <c r="G63" s="86"/>
      <c r="H63" s="86"/>
      <c r="I63" s="92"/>
      <c r="J63" s="92"/>
      <c r="K63" s="92"/>
      <c r="L63" s="92"/>
      <c r="M63" s="89"/>
      <c r="N63" s="89"/>
      <c r="O63" s="98"/>
      <c r="P63" s="89"/>
    </row>
    <row r="64" spans="1:16" ht="36" x14ac:dyDescent="0.3">
      <c r="C64" s="67" t="s">
        <v>97</v>
      </c>
      <c r="D64" s="68">
        <f>COUNTA(D3:D63)</f>
        <v>15</v>
      </c>
      <c r="H64" s="69" t="s">
        <v>98</v>
      </c>
      <c r="I64" s="70">
        <f>SUM(I3:I63)</f>
        <v>42</v>
      </c>
    </row>
    <row r="65" spans="8:9" ht="36" x14ac:dyDescent="0.3">
      <c r="H65" s="71" t="s">
        <v>99</v>
      </c>
      <c r="I65" s="72">
        <f>SUMIF(G3:G63,"X",I3:I63)</f>
        <v>15</v>
      </c>
    </row>
    <row r="66" spans="8:9" ht="36" x14ac:dyDescent="0.3">
      <c r="H66" s="73" t="s">
        <v>100</v>
      </c>
      <c r="I66" s="74">
        <f>SUMIF(H3:H63,"X",I3:I63)</f>
        <v>27</v>
      </c>
    </row>
  </sheetData>
  <mergeCells count="211">
    <mergeCell ref="L61:L63"/>
    <mergeCell ref="M61:M63"/>
    <mergeCell ref="N61:N63"/>
    <mergeCell ref="O61:O63"/>
    <mergeCell ref="P61:P63"/>
    <mergeCell ref="C57:C60"/>
    <mergeCell ref="D57:D60"/>
    <mergeCell ref="E57:E60"/>
    <mergeCell ref="F57:F60"/>
    <mergeCell ref="G57:G60"/>
    <mergeCell ref="C61:C63"/>
    <mergeCell ref="D61:D63"/>
    <mergeCell ref="E61:E63"/>
    <mergeCell ref="F61:F63"/>
    <mergeCell ref="G61:G63"/>
    <mergeCell ref="H61:H63"/>
    <mergeCell ref="I61:I63"/>
    <mergeCell ref="J61:J63"/>
    <mergeCell ref="K61:K63"/>
    <mergeCell ref="H57:H60"/>
    <mergeCell ref="I57:I60"/>
    <mergeCell ref="J57:J60"/>
    <mergeCell ref="K57:K60"/>
    <mergeCell ref="L57:L60"/>
    <mergeCell ref="L50:L52"/>
    <mergeCell ref="M50:M52"/>
    <mergeCell ref="N50:N52"/>
    <mergeCell ref="O50:O52"/>
    <mergeCell ref="P50:P52"/>
    <mergeCell ref="L53:L56"/>
    <mergeCell ref="M53:M56"/>
    <mergeCell ref="N53:N56"/>
    <mergeCell ref="O53:O56"/>
    <mergeCell ref="P53:P56"/>
    <mergeCell ref="M57:M60"/>
    <mergeCell ref="N57:N60"/>
    <mergeCell ref="O57:O60"/>
    <mergeCell ref="P57:P60"/>
    <mergeCell ref="C53:C56"/>
    <mergeCell ref="D53:D56"/>
    <mergeCell ref="E53:E56"/>
    <mergeCell ref="F53:F56"/>
    <mergeCell ref="G53:G56"/>
    <mergeCell ref="H53:H56"/>
    <mergeCell ref="I53:I56"/>
    <mergeCell ref="J53:J56"/>
    <mergeCell ref="K53:K56"/>
    <mergeCell ref="C50:C52"/>
    <mergeCell ref="D50:D52"/>
    <mergeCell ref="E50:E52"/>
    <mergeCell ref="F50:F52"/>
    <mergeCell ref="G50:G52"/>
    <mergeCell ref="H50:H52"/>
    <mergeCell ref="I50:I52"/>
    <mergeCell ref="J50:J52"/>
    <mergeCell ref="K50:K52"/>
    <mergeCell ref="L46:L49"/>
    <mergeCell ref="M46:M49"/>
    <mergeCell ref="N46:N49"/>
    <mergeCell ref="O46:O49"/>
    <mergeCell ref="P46:P49"/>
    <mergeCell ref="C41:C45"/>
    <mergeCell ref="D41:D45"/>
    <mergeCell ref="E41:E45"/>
    <mergeCell ref="F41:F45"/>
    <mergeCell ref="G41:G45"/>
    <mergeCell ref="C46:C49"/>
    <mergeCell ref="D46:D49"/>
    <mergeCell ref="E46:E49"/>
    <mergeCell ref="F46:F49"/>
    <mergeCell ref="G46:G49"/>
    <mergeCell ref="H46:H49"/>
    <mergeCell ref="I46:I49"/>
    <mergeCell ref="J46:J49"/>
    <mergeCell ref="K46:K49"/>
    <mergeCell ref="H41:H45"/>
    <mergeCell ref="I41:I45"/>
    <mergeCell ref="J41:J45"/>
    <mergeCell ref="K41:K45"/>
    <mergeCell ref="O25:O27"/>
    <mergeCell ref="P25:P27"/>
    <mergeCell ref="O21:O24"/>
    <mergeCell ref="P21:P24"/>
    <mergeCell ref="N21:N24"/>
    <mergeCell ref="O28:O33"/>
    <mergeCell ref="P28:P33"/>
    <mergeCell ref="L41:L45"/>
    <mergeCell ref="M41:M45"/>
    <mergeCell ref="N41:N45"/>
    <mergeCell ref="O41:O45"/>
    <mergeCell ref="P41:P45"/>
    <mergeCell ref="P16:P20"/>
    <mergeCell ref="O9:O15"/>
    <mergeCell ref="P9:P15"/>
    <mergeCell ref="P6:P8"/>
    <mergeCell ref="P3:P5"/>
    <mergeCell ref="N6:N8"/>
    <mergeCell ref="M6:M8"/>
    <mergeCell ref="O6:O8"/>
    <mergeCell ref="O3:O5"/>
    <mergeCell ref="C3:C5"/>
    <mergeCell ref="D3:D5"/>
    <mergeCell ref="E3:E5"/>
    <mergeCell ref="G3:G5"/>
    <mergeCell ref="H3:H5"/>
    <mergeCell ref="I3:I5"/>
    <mergeCell ref="N3:N5"/>
    <mergeCell ref="M3:M5"/>
    <mergeCell ref="L9:L15"/>
    <mergeCell ref="M9:M15"/>
    <mergeCell ref="J3:J5"/>
    <mergeCell ref="K3:K5"/>
    <mergeCell ref="L3:L5"/>
    <mergeCell ref="J6:J8"/>
    <mergeCell ref="K6:K8"/>
    <mergeCell ref="F6:F8"/>
    <mergeCell ref="F9:F15"/>
    <mergeCell ref="C16:C20"/>
    <mergeCell ref="D16:D20"/>
    <mergeCell ref="E16:E20"/>
    <mergeCell ref="G16:G20"/>
    <mergeCell ref="N9:N15"/>
    <mergeCell ref="N16:N20"/>
    <mergeCell ref="F3:F5"/>
    <mergeCell ref="G1:H1"/>
    <mergeCell ref="O16:O20"/>
    <mergeCell ref="L6:L8"/>
    <mergeCell ref="C6:C8"/>
    <mergeCell ref="D6:D8"/>
    <mergeCell ref="E6:E8"/>
    <mergeCell ref="G6:G8"/>
    <mergeCell ref="C9:C15"/>
    <mergeCell ref="D9:D15"/>
    <mergeCell ref="E9:E15"/>
    <mergeCell ref="G9:G15"/>
    <mergeCell ref="H9:H15"/>
    <mergeCell ref="I9:I15"/>
    <mergeCell ref="J9:J15"/>
    <mergeCell ref="K9:K15"/>
    <mergeCell ref="H6:H8"/>
    <mergeCell ref="I6:I8"/>
    <mergeCell ref="E38:E40"/>
    <mergeCell ref="M16:M20"/>
    <mergeCell ref="L16:L20"/>
    <mergeCell ref="K16:K20"/>
    <mergeCell ref="J16:J20"/>
    <mergeCell ref="I16:I20"/>
    <mergeCell ref="H16:H20"/>
    <mergeCell ref="L21:L24"/>
    <mergeCell ref="M21:M24"/>
    <mergeCell ref="M34:M37"/>
    <mergeCell ref="K28:K33"/>
    <mergeCell ref="L28:L33"/>
    <mergeCell ref="L34:L37"/>
    <mergeCell ref="F16:F20"/>
    <mergeCell ref="F38:F40"/>
    <mergeCell ref="L38:L40"/>
    <mergeCell ref="K38:K40"/>
    <mergeCell ref="J38:J40"/>
    <mergeCell ref="G28:G33"/>
    <mergeCell ref="H28:H33"/>
    <mergeCell ref="I28:I33"/>
    <mergeCell ref="J28:J33"/>
    <mergeCell ref="M28:M33"/>
    <mergeCell ref="D38:D40"/>
    <mergeCell ref="I38:I40"/>
    <mergeCell ref="P38:P40"/>
    <mergeCell ref="O38:O40"/>
    <mergeCell ref="N38:N40"/>
    <mergeCell ref="C25:C27"/>
    <mergeCell ref="D25:D27"/>
    <mergeCell ref="E25:E27"/>
    <mergeCell ref="G25:G27"/>
    <mergeCell ref="H25:H27"/>
    <mergeCell ref="I25:I27"/>
    <mergeCell ref="J25:J27"/>
    <mergeCell ref="K25:K27"/>
    <mergeCell ref="L25:L27"/>
    <mergeCell ref="M25:M27"/>
    <mergeCell ref="N25:N27"/>
    <mergeCell ref="C38:C40"/>
    <mergeCell ref="N34:N37"/>
    <mergeCell ref="O34:O37"/>
    <mergeCell ref="P34:P37"/>
    <mergeCell ref="N28:N33"/>
    <mergeCell ref="G38:G40"/>
    <mergeCell ref="H38:H40"/>
    <mergeCell ref="M38:M40"/>
    <mergeCell ref="C21:C24"/>
    <mergeCell ref="D21:D24"/>
    <mergeCell ref="E21:E24"/>
    <mergeCell ref="G21:G24"/>
    <mergeCell ref="H21:H24"/>
    <mergeCell ref="I21:I24"/>
    <mergeCell ref="J21:J24"/>
    <mergeCell ref="K21:K24"/>
    <mergeCell ref="C34:C37"/>
    <mergeCell ref="D34:D37"/>
    <mergeCell ref="E34:E37"/>
    <mergeCell ref="G34:G37"/>
    <mergeCell ref="H34:H37"/>
    <mergeCell ref="I34:I37"/>
    <mergeCell ref="J34:J37"/>
    <mergeCell ref="K34:K37"/>
    <mergeCell ref="C28:C33"/>
    <mergeCell ref="D28:D33"/>
    <mergeCell ref="E28:E33"/>
    <mergeCell ref="F21:F24"/>
    <mergeCell ref="F25:F27"/>
    <mergeCell ref="F28:F33"/>
    <mergeCell ref="F34:F37"/>
  </mergeCells>
  <dataValidations count="1">
    <dataValidation type="list" allowBlank="1" showInputMessage="1" showErrorMessage="1" sqref="B3:B77"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7"/>
  <sheetViews>
    <sheetView workbookViewId="0">
      <selection activeCell="B38" sqref="B38"/>
    </sheetView>
  </sheetViews>
  <sheetFormatPr baseColWidth="10" defaultColWidth="11.44140625" defaultRowHeight="14.4" x14ac:dyDescent="0.3"/>
  <cols>
    <col min="2" max="2" width="27.21875" customWidth="1"/>
    <col min="4" max="4" width="99.21875" customWidth="1"/>
  </cols>
  <sheetData>
    <row r="1" spans="2:4" ht="31.2" x14ac:dyDescent="0.5">
      <c r="B1" s="1" t="s">
        <v>101</v>
      </c>
      <c r="D1" s="22" t="s">
        <v>102</v>
      </c>
    </row>
    <row r="2" spans="2:4" ht="18" x14ac:dyDescent="0.5">
      <c r="B2" s="1" t="s">
        <v>103</v>
      </c>
    </row>
    <row r="3" spans="2:4" ht="18" x14ac:dyDescent="0.5">
      <c r="B3" s="1" t="s">
        <v>104</v>
      </c>
    </row>
    <row r="4" spans="2:4" ht="18" x14ac:dyDescent="0.5">
      <c r="B4" s="1" t="s">
        <v>105</v>
      </c>
    </row>
    <row r="5" spans="2:4" ht="18" x14ac:dyDescent="0.5">
      <c r="B5" s="1" t="s">
        <v>106</v>
      </c>
    </row>
    <row r="6" spans="2:4" ht="18" x14ac:dyDescent="0.5">
      <c r="B6" s="1" t="s">
        <v>107</v>
      </c>
    </row>
    <row r="7" spans="2:4" ht="18" x14ac:dyDescent="0.5">
      <c r="B7" s="1" t="s">
        <v>108</v>
      </c>
    </row>
    <row r="8" spans="2:4" ht="18" x14ac:dyDescent="0.5">
      <c r="B8" s="1" t="s">
        <v>109</v>
      </c>
    </row>
    <row r="9" spans="2:4" ht="18" x14ac:dyDescent="0.5">
      <c r="B9" s="1" t="s">
        <v>110</v>
      </c>
    </row>
    <row r="10" spans="2:4" ht="18" x14ac:dyDescent="0.5">
      <c r="B10" s="1" t="s">
        <v>111</v>
      </c>
    </row>
    <row r="11" spans="2:4" ht="18" x14ac:dyDescent="0.5">
      <c r="B11" s="1" t="s">
        <v>112</v>
      </c>
    </row>
    <row r="12" spans="2:4" ht="18" x14ac:dyDescent="0.5">
      <c r="B12" s="1" t="s">
        <v>113</v>
      </c>
    </row>
    <row r="13" spans="2:4" ht="18" x14ac:dyDescent="0.5">
      <c r="B13" s="1" t="s">
        <v>114</v>
      </c>
    </row>
    <row r="14" spans="2:4" ht="18" x14ac:dyDescent="0.5">
      <c r="B14" s="1" t="s">
        <v>115</v>
      </c>
    </row>
    <row r="15" spans="2:4" ht="18" x14ac:dyDescent="0.5">
      <c r="B15" s="1" t="s">
        <v>116</v>
      </c>
    </row>
    <row r="16" spans="2:4" ht="18" x14ac:dyDescent="0.5">
      <c r="B16" s="1" t="s">
        <v>117</v>
      </c>
    </row>
    <row r="17" spans="2:2" ht="18" x14ac:dyDescent="0.5">
      <c r="B17" s="1" t="s">
        <v>118</v>
      </c>
    </row>
    <row r="18" spans="2:2" ht="18" x14ac:dyDescent="0.5">
      <c r="B18" s="1" t="s">
        <v>119</v>
      </c>
    </row>
    <row r="19" spans="2:2" ht="18" x14ac:dyDescent="0.5">
      <c r="B19" s="1" t="s">
        <v>120</v>
      </c>
    </row>
    <row r="20" spans="2:2" ht="18" x14ac:dyDescent="0.5">
      <c r="B20" s="1" t="s">
        <v>121</v>
      </c>
    </row>
    <row r="21" spans="2:2" ht="18" x14ac:dyDescent="0.5">
      <c r="B21" s="1" t="s">
        <v>122</v>
      </c>
    </row>
    <row r="22" spans="2:2" ht="18" x14ac:dyDescent="0.5">
      <c r="B22" s="1" t="s">
        <v>123</v>
      </c>
    </row>
    <row r="23" spans="2:2" ht="18" x14ac:dyDescent="0.5">
      <c r="B23" s="1" t="s">
        <v>124</v>
      </c>
    </row>
    <row r="24" spans="2:2" ht="18" x14ac:dyDescent="0.5">
      <c r="B24" s="1" t="s">
        <v>125</v>
      </c>
    </row>
    <row r="25" spans="2:2" ht="18" x14ac:dyDescent="0.5">
      <c r="B25" s="1" t="s">
        <v>126</v>
      </c>
    </row>
    <row r="26" spans="2:2" ht="18" x14ac:dyDescent="0.5">
      <c r="B26" s="1" t="s">
        <v>127</v>
      </c>
    </row>
    <row r="27" spans="2:2" ht="18" x14ac:dyDescent="0.5">
      <c r="B27" s="1" t="s">
        <v>128</v>
      </c>
    </row>
    <row r="28" spans="2:2" ht="18" x14ac:dyDescent="0.5">
      <c r="B28" s="1" t="s">
        <v>129</v>
      </c>
    </row>
    <row r="29" spans="2:2" ht="18" x14ac:dyDescent="0.5">
      <c r="B29" s="1" t="s">
        <v>130</v>
      </c>
    </row>
    <row r="30" spans="2:2" ht="18" x14ac:dyDescent="0.5">
      <c r="B30" s="1" t="s">
        <v>131</v>
      </c>
    </row>
    <row r="31" spans="2:2" ht="18" x14ac:dyDescent="0.5">
      <c r="B31" s="1" t="s">
        <v>132</v>
      </c>
    </row>
    <row r="32" spans="2:2" ht="18" x14ac:dyDescent="0.5">
      <c r="B32" s="1" t="s">
        <v>133</v>
      </c>
    </row>
    <row r="33" spans="2:2" ht="18" x14ac:dyDescent="0.5">
      <c r="B33" s="1" t="s">
        <v>134</v>
      </c>
    </row>
    <row r="34" spans="2:2" ht="18" x14ac:dyDescent="0.5">
      <c r="B34" s="1" t="s">
        <v>135</v>
      </c>
    </row>
    <row r="35" spans="2:2" ht="18" x14ac:dyDescent="0.5">
      <c r="B35" s="1" t="s">
        <v>136</v>
      </c>
    </row>
    <row r="36" spans="2:2" ht="18" x14ac:dyDescent="0.5">
      <c r="B36" s="1" t="s">
        <v>137</v>
      </c>
    </row>
    <row r="37" spans="2:2" ht="18" x14ac:dyDescent="0.5">
      <c r="B37" s="1" t="s">
        <v>138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zoomScale="66" workbookViewId="0">
      <selection activeCell="H32" sqref="H32"/>
    </sheetView>
  </sheetViews>
  <sheetFormatPr baseColWidth="10" defaultColWidth="11.44140625" defaultRowHeight="18" x14ac:dyDescent="0.5"/>
  <cols>
    <col min="1" max="1" width="20.44140625" style="1" customWidth="1"/>
    <col min="2" max="2" width="14.21875" style="1" customWidth="1"/>
    <col min="3" max="3" width="22.21875" style="1" customWidth="1"/>
    <col min="4" max="4" width="21.5546875" style="1" customWidth="1"/>
    <col min="5" max="5" width="22.77734375" style="1" customWidth="1"/>
    <col min="6" max="6" width="16.77734375" style="1" customWidth="1"/>
    <col min="7" max="7" width="21.77734375" style="1" customWidth="1"/>
    <col min="8" max="8" width="26.21875" style="1" customWidth="1"/>
    <col min="9" max="9" width="25.21875" style="1" customWidth="1"/>
    <col min="10" max="10" width="24.44140625" style="1" customWidth="1"/>
    <col min="11" max="11" width="15.21875" style="1" customWidth="1"/>
    <col min="12" max="17" width="17.77734375" style="1" customWidth="1"/>
    <col min="18" max="18" width="22.5546875" style="1" customWidth="1"/>
    <col min="19" max="33" width="17.44140625" style="1" customWidth="1"/>
    <col min="34" max="36" width="13.21875" style="1" customWidth="1"/>
    <col min="37" max="37" width="14.5546875" style="1" customWidth="1"/>
    <col min="38" max="38" width="23.21875" style="1" bestFit="1" customWidth="1"/>
    <col min="39" max="39" width="18" style="1" customWidth="1"/>
    <col min="40" max="40" width="20.44140625" style="1" bestFit="1" customWidth="1"/>
    <col min="41" max="41" width="21.77734375" style="1" bestFit="1" customWidth="1"/>
    <col min="42" max="42" width="17.44140625" style="1" bestFit="1" customWidth="1"/>
    <col min="43" max="43" width="18.5546875" style="1" bestFit="1" customWidth="1"/>
    <col min="44" max="44" width="16.77734375" style="1" customWidth="1"/>
    <col min="45" max="45" width="26.5546875" style="1" bestFit="1" customWidth="1"/>
    <col min="46" max="46" width="21.5546875" style="1" bestFit="1" customWidth="1"/>
    <col min="47" max="47" width="19.21875" style="1" bestFit="1" customWidth="1"/>
    <col min="48" max="48" width="24.21875" style="1" bestFit="1" customWidth="1"/>
    <col min="49" max="49" width="24.77734375" style="1" bestFit="1" customWidth="1"/>
    <col min="50" max="50" width="23.21875" style="1" bestFit="1" customWidth="1"/>
    <col min="51" max="51" width="22.21875" style="1" bestFit="1" customWidth="1"/>
    <col min="52" max="52" width="32.21875" style="1" bestFit="1" customWidth="1"/>
    <col min="53" max="53" width="13.21875" style="1" customWidth="1"/>
    <col min="54" max="54" width="23.77734375" style="1" customWidth="1"/>
    <col min="55" max="55" width="22.5546875" style="1" customWidth="1"/>
    <col min="56" max="56" width="21.44140625" style="1" customWidth="1"/>
    <col min="57" max="57" width="25" style="1" customWidth="1"/>
    <col min="58" max="58" width="24.77734375" style="1" customWidth="1"/>
    <col min="59" max="59" width="22.77734375" style="1" customWidth="1"/>
    <col min="60" max="63" width="13.21875" style="1" customWidth="1"/>
    <col min="64" max="16384" width="11.44140625" style="1"/>
  </cols>
  <sheetData>
    <row r="1" spans="1:63" x14ac:dyDescent="0.5">
      <c r="S1" s="128" t="s">
        <v>139</v>
      </c>
      <c r="T1" s="128"/>
      <c r="U1" s="128"/>
      <c r="V1" s="128"/>
      <c r="W1" s="128"/>
      <c r="X1" s="128"/>
      <c r="Y1" s="128"/>
      <c r="Z1" s="128"/>
      <c r="AA1" s="128"/>
      <c r="AB1" s="128"/>
      <c r="AC1" s="128"/>
      <c r="AD1" s="128"/>
      <c r="AE1" s="128"/>
      <c r="AF1" s="128"/>
      <c r="AG1" s="128"/>
      <c r="AH1" s="9"/>
      <c r="AI1" s="9"/>
      <c r="AJ1" s="9"/>
      <c r="AL1" s="129" t="s">
        <v>140</v>
      </c>
      <c r="AM1" s="129"/>
      <c r="AN1" s="129"/>
      <c r="AO1" s="129"/>
      <c r="AP1" s="129"/>
      <c r="AQ1" s="129"/>
      <c r="AR1" s="129"/>
      <c r="AS1" s="129"/>
      <c r="AT1" s="129"/>
      <c r="AU1" s="129"/>
      <c r="AV1" s="129"/>
      <c r="AW1" s="129"/>
      <c r="AX1" s="129"/>
      <c r="AY1" s="129"/>
      <c r="AZ1" s="129"/>
      <c r="BA1" s="9"/>
      <c r="BB1" s="128" t="s">
        <v>141</v>
      </c>
      <c r="BC1" s="128"/>
      <c r="BD1" s="128"/>
      <c r="BE1" s="128"/>
      <c r="BF1" s="128"/>
      <c r="BG1" s="128"/>
      <c r="BH1" s="9"/>
      <c r="BK1" s="9"/>
    </row>
    <row r="2" spans="1:63" x14ac:dyDescent="0.5">
      <c r="L2" s="128" t="s">
        <v>142</v>
      </c>
      <c r="M2" s="128"/>
      <c r="N2" s="128"/>
      <c r="O2" s="128"/>
      <c r="P2" s="128"/>
      <c r="Q2" s="128"/>
      <c r="S2" s="130" t="s">
        <v>143</v>
      </c>
      <c r="T2" s="130"/>
      <c r="U2" s="130"/>
      <c r="V2" s="130"/>
      <c r="W2" s="130"/>
      <c r="X2" s="130"/>
      <c r="Y2" s="130" t="s">
        <v>144</v>
      </c>
      <c r="Z2" s="130"/>
      <c r="AA2" s="130"/>
      <c r="AB2" s="130"/>
      <c r="AC2" s="130" t="s">
        <v>145</v>
      </c>
      <c r="AD2" s="130"/>
      <c r="AE2" s="130"/>
      <c r="AF2" s="130"/>
      <c r="AG2" s="130"/>
      <c r="AH2" s="9"/>
      <c r="AI2" s="9"/>
      <c r="AJ2" s="9"/>
      <c r="AL2" s="129"/>
      <c r="AM2" s="129"/>
      <c r="AN2" s="129"/>
      <c r="AO2" s="129"/>
      <c r="AP2" s="129"/>
      <c r="AQ2" s="129"/>
      <c r="AR2" s="9"/>
      <c r="AS2" s="9"/>
      <c r="AT2" s="9"/>
      <c r="AU2" s="9"/>
      <c r="AV2" s="9"/>
      <c r="AW2" s="9"/>
      <c r="AX2" s="9"/>
      <c r="AY2" s="9"/>
      <c r="AZ2" s="9"/>
      <c r="BA2" s="9"/>
      <c r="BB2" s="9"/>
      <c r="BC2" s="9"/>
      <c r="BD2" s="9"/>
      <c r="BE2" s="9"/>
      <c r="BF2" s="9"/>
      <c r="BG2" s="9"/>
      <c r="BH2" s="9"/>
      <c r="BK2" s="9"/>
    </row>
    <row r="3" spans="1:63" x14ac:dyDescent="0.5">
      <c r="A3" s="58" t="s">
        <v>146</v>
      </c>
      <c r="C3" s="58" t="s">
        <v>147</v>
      </c>
      <c r="D3" s="58" t="s">
        <v>148</v>
      </c>
      <c r="E3" s="58" t="s">
        <v>149</v>
      </c>
      <c r="G3" s="58" t="s">
        <v>150</v>
      </c>
      <c r="H3" s="58" t="s">
        <v>151</v>
      </c>
      <c r="I3" s="58" t="s">
        <v>152</v>
      </c>
      <c r="L3" s="1" t="s">
        <v>153</v>
      </c>
      <c r="M3" s="1" t="s">
        <v>154</v>
      </c>
      <c r="N3" s="1" t="s">
        <v>155</v>
      </c>
      <c r="O3" s="1" t="s">
        <v>156</v>
      </c>
      <c r="P3" s="1" t="s">
        <v>157</v>
      </c>
      <c r="Q3" s="1" t="s">
        <v>158</v>
      </c>
      <c r="S3" s="1" t="s">
        <v>159</v>
      </c>
      <c r="T3" s="1" t="s">
        <v>160</v>
      </c>
      <c r="U3" s="1" t="s">
        <v>161</v>
      </c>
      <c r="V3" s="1" t="s">
        <v>162</v>
      </c>
      <c r="W3" s="1" t="s">
        <v>163</v>
      </c>
      <c r="X3" s="1" t="s">
        <v>164</v>
      </c>
      <c r="Y3" s="1" t="s">
        <v>165</v>
      </c>
      <c r="Z3" s="1" t="s">
        <v>166</v>
      </c>
      <c r="AA3" s="1" t="s">
        <v>167</v>
      </c>
      <c r="AB3" s="1" t="s">
        <v>168</v>
      </c>
      <c r="AC3" s="1" t="s">
        <v>169</v>
      </c>
      <c r="AD3" s="1" t="s">
        <v>170</v>
      </c>
      <c r="AE3" s="1" t="s">
        <v>171</v>
      </c>
      <c r="AF3" s="1" t="s">
        <v>172</v>
      </c>
      <c r="AG3" s="1" t="s">
        <v>173</v>
      </c>
      <c r="AL3" s="125" t="s">
        <v>174</v>
      </c>
      <c r="AM3" s="126"/>
      <c r="AN3" s="126"/>
      <c r="AO3" s="125" t="s">
        <v>175</v>
      </c>
      <c r="AP3" s="126"/>
      <c r="AQ3" s="126"/>
      <c r="AR3" s="125" t="s">
        <v>176</v>
      </c>
      <c r="AS3" s="126"/>
      <c r="AT3" s="126"/>
      <c r="AU3" s="127"/>
      <c r="AV3" s="125" t="s">
        <v>177</v>
      </c>
      <c r="AW3" s="126"/>
      <c r="AX3" s="126"/>
      <c r="AY3" s="126"/>
      <c r="AZ3" s="127"/>
      <c r="BA3" s="10"/>
      <c r="BB3" s="10"/>
      <c r="BC3" s="10"/>
      <c r="BD3" s="10"/>
      <c r="BE3" s="10"/>
      <c r="BF3" s="10"/>
      <c r="BG3" s="10"/>
      <c r="BH3" s="10"/>
      <c r="BK3" s="10"/>
    </row>
    <row r="4" spans="1:63" x14ac:dyDescent="0.5">
      <c r="A4" s="1" t="s">
        <v>178</v>
      </c>
      <c r="C4" s="1" t="s">
        <v>179</v>
      </c>
      <c r="D4" s="1" t="s">
        <v>180</v>
      </c>
      <c r="E4" s="1" t="s">
        <v>181</v>
      </c>
      <c r="G4" s="1" t="s">
        <v>153</v>
      </c>
      <c r="H4" s="1" t="s">
        <v>153</v>
      </c>
      <c r="I4" s="1" t="s">
        <v>153</v>
      </c>
      <c r="L4" s="1" t="s">
        <v>182</v>
      </c>
      <c r="M4" s="1" t="s">
        <v>108</v>
      </c>
      <c r="N4" s="1" t="s">
        <v>105</v>
      </c>
      <c r="O4" s="1" t="s">
        <v>183</v>
      </c>
      <c r="P4" s="1" t="s">
        <v>184</v>
      </c>
      <c r="Q4" s="1" t="s">
        <v>185</v>
      </c>
      <c r="S4" s="1" t="s">
        <v>182</v>
      </c>
      <c r="T4" s="1" t="s">
        <v>108</v>
      </c>
      <c r="U4" s="1" t="s">
        <v>105</v>
      </c>
      <c r="V4" s="1" t="s">
        <v>183</v>
      </c>
      <c r="W4" s="1" t="s">
        <v>184</v>
      </c>
      <c r="X4" s="1" t="s">
        <v>185</v>
      </c>
      <c r="Y4" s="1" t="s">
        <v>186</v>
      </c>
      <c r="Z4" s="1" t="s">
        <v>187</v>
      </c>
      <c r="AA4" s="1" t="s">
        <v>188</v>
      </c>
      <c r="AB4" s="1" t="s">
        <v>189</v>
      </c>
      <c r="AC4" s="1" t="s">
        <v>124</v>
      </c>
      <c r="AD4" s="1" t="s">
        <v>190</v>
      </c>
      <c r="AE4" s="1" t="s">
        <v>191</v>
      </c>
      <c r="AF4" s="1" t="s">
        <v>192</v>
      </c>
      <c r="AG4" s="1" t="s">
        <v>193</v>
      </c>
      <c r="AL4" s="11" t="s">
        <v>194</v>
      </c>
      <c r="AM4" s="11" t="s">
        <v>195</v>
      </c>
      <c r="AN4" s="11" t="s">
        <v>196</v>
      </c>
      <c r="AO4" s="11" t="s">
        <v>197</v>
      </c>
      <c r="AP4" s="12" t="s">
        <v>198</v>
      </c>
      <c r="AQ4" s="11" t="s">
        <v>199</v>
      </c>
      <c r="AR4" s="1" t="s">
        <v>165</v>
      </c>
      <c r="AS4" s="1" t="s">
        <v>166</v>
      </c>
      <c r="AT4" s="1" t="s">
        <v>167</v>
      </c>
      <c r="AU4" s="1" t="s">
        <v>168</v>
      </c>
      <c r="AV4" s="1" t="s">
        <v>169</v>
      </c>
      <c r="AW4" s="1" t="s">
        <v>170</v>
      </c>
      <c r="AX4" s="1" t="s">
        <v>171</v>
      </c>
      <c r="AY4" s="1" t="s">
        <v>172</v>
      </c>
      <c r="AZ4" s="1" t="s">
        <v>173</v>
      </c>
      <c r="BA4" s="10"/>
      <c r="BB4" s="1" t="s">
        <v>200</v>
      </c>
      <c r="BC4" s="1" t="s">
        <v>201</v>
      </c>
      <c r="BD4" s="1" t="s">
        <v>202</v>
      </c>
      <c r="BE4" s="1" t="s">
        <v>203</v>
      </c>
      <c r="BF4" s="1" t="s">
        <v>204</v>
      </c>
      <c r="BG4" s="1" t="s">
        <v>205</v>
      </c>
      <c r="BH4" s="10"/>
      <c r="BK4" s="10"/>
    </row>
    <row r="5" spans="1:63" x14ac:dyDescent="0.5">
      <c r="A5" s="1" t="s">
        <v>147</v>
      </c>
      <c r="C5" s="1" t="s">
        <v>206</v>
      </c>
      <c r="D5" s="1" t="s">
        <v>207</v>
      </c>
      <c r="E5" s="1" t="s">
        <v>208</v>
      </c>
      <c r="G5" s="1" t="s">
        <v>154</v>
      </c>
      <c r="H5" s="1" t="s">
        <v>154</v>
      </c>
      <c r="I5" s="1" t="s">
        <v>154</v>
      </c>
      <c r="L5" s="1" t="s">
        <v>209</v>
      </c>
      <c r="M5" s="1" t="s">
        <v>210</v>
      </c>
      <c r="N5" s="1" t="s">
        <v>211</v>
      </c>
      <c r="O5" s="1" t="s">
        <v>212</v>
      </c>
      <c r="P5" s="1" t="s">
        <v>104</v>
      </c>
      <c r="Q5" s="1" t="s">
        <v>213</v>
      </c>
      <c r="S5" s="1" t="s">
        <v>209</v>
      </c>
      <c r="T5" s="1" t="s">
        <v>210</v>
      </c>
      <c r="U5" s="1" t="s">
        <v>211</v>
      </c>
      <c r="V5" s="1" t="s">
        <v>212</v>
      </c>
      <c r="W5" s="1" t="s">
        <v>104</v>
      </c>
      <c r="X5" s="1" t="s">
        <v>213</v>
      </c>
      <c r="Y5" s="1" t="s">
        <v>184</v>
      </c>
      <c r="Z5" s="1" t="s">
        <v>214</v>
      </c>
      <c r="AA5" s="1" t="s">
        <v>129</v>
      </c>
      <c r="AB5" s="1" t="s">
        <v>215</v>
      </c>
      <c r="AC5" s="1" t="s">
        <v>110</v>
      </c>
      <c r="AD5" s="1" t="s">
        <v>216</v>
      </c>
      <c r="AE5" s="1" t="s">
        <v>190</v>
      </c>
      <c r="AF5" s="1" t="s">
        <v>217</v>
      </c>
      <c r="AG5" s="1" t="s">
        <v>218</v>
      </c>
      <c r="AL5" s="2" t="s">
        <v>219</v>
      </c>
      <c r="AM5" s="2" t="s">
        <v>220</v>
      </c>
      <c r="AN5" s="2" t="s">
        <v>221</v>
      </c>
      <c r="AO5" s="2" t="s">
        <v>222</v>
      </c>
      <c r="AP5" s="2" t="s">
        <v>184</v>
      </c>
      <c r="AQ5" s="2" t="s">
        <v>114</v>
      </c>
      <c r="AR5" s="1" t="s">
        <v>186</v>
      </c>
      <c r="AS5" s="1" t="s">
        <v>187</v>
      </c>
      <c r="AT5" s="1" t="s">
        <v>188</v>
      </c>
      <c r="AU5" s="1" t="s">
        <v>189</v>
      </c>
      <c r="AV5" s="1" t="s">
        <v>124</v>
      </c>
      <c r="AW5" s="1" t="s">
        <v>190</v>
      </c>
      <c r="AX5" s="1" t="s">
        <v>191</v>
      </c>
      <c r="AY5" s="1" t="s">
        <v>192</v>
      </c>
      <c r="AZ5" s="1" t="s">
        <v>193</v>
      </c>
      <c r="BA5" s="2"/>
      <c r="BB5" s="13" t="s">
        <v>219</v>
      </c>
      <c r="BC5" s="15" t="s">
        <v>108</v>
      </c>
      <c r="BD5" s="13" t="s">
        <v>222</v>
      </c>
      <c r="BE5" s="13" t="s">
        <v>221</v>
      </c>
      <c r="BF5" s="15" t="s">
        <v>223</v>
      </c>
      <c r="BG5" s="15" t="s">
        <v>223</v>
      </c>
      <c r="BH5" s="2"/>
      <c r="BK5" s="2"/>
    </row>
    <row r="6" spans="1:63" x14ac:dyDescent="0.5">
      <c r="A6" s="1" t="s">
        <v>148</v>
      </c>
      <c r="C6" s="1" t="s">
        <v>224</v>
      </c>
      <c r="D6" s="1" t="s">
        <v>225</v>
      </c>
      <c r="E6" s="1" t="s">
        <v>226</v>
      </c>
      <c r="G6" s="1" t="s">
        <v>155</v>
      </c>
      <c r="H6" s="1" t="s">
        <v>155</v>
      </c>
      <c r="I6" s="1" t="s">
        <v>155</v>
      </c>
      <c r="L6" s="1" t="s">
        <v>227</v>
      </c>
      <c r="M6" s="1" t="s">
        <v>228</v>
      </c>
      <c r="N6" s="1" t="s">
        <v>229</v>
      </c>
      <c r="O6" s="1" t="s">
        <v>230</v>
      </c>
      <c r="P6" s="1" t="s">
        <v>231</v>
      </c>
      <c r="Q6" s="1" t="s">
        <v>232</v>
      </c>
      <c r="S6" s="1" t="s">
        <v>227</v>
      </c>
      <c r="T6" s="1" t="s">
        <v>228</v>
      </c>
      <c r="U6" s="1" t="s">
        <v>229</v>
      </c>
      <c r="V6" s="1" t="s">
        <v>230</v>
      </c>
      <c r="W6" s="1" t="s">
        <v>231</v>
      </c>
      <c r="X6" s="1" t="s">
        <v>232</v>
      </c>
      <c r="Y6" s="1" t="s">
        <v>233</v>
      </c>
      <c r="Z6" s="1" t="s">
        <v>234</v>
      </c>
      <c r="AA6" s="1" t="s">
        <v>235</v>
      </c>
      <c r="AB6" s="1" t="s">
        <v>236</v>
      </c>
      <c r="AC6" s="1" t="s">
        <v>115</v>
      </c>
      <c r="AD6" s="1" t="s">
        <v>237</v>
      </c>
      <c r="AE6" s="1" t="s">
        <v>223</v>
      </c>
      <c r="AF6" s="1" t="s">
        <v>238</v>
      </c>
      <c r="AG6" s="1" t="s">
        <v>110</v>
      </c>
      <c r="AL6" s="2" t="s">
        <v>227</v>
      </c>
      <c r="AM6" s="2" t="s">
        <v>239</v>
      </c>
      <c r="AN6" s="2" t="s">
        <v>222</v>
      </c>
      <c r="AO6" s="2" t="s">
        <v>183</v>
      </c>
      <c r="AP6" s="2" t="s">
        <v>240</v>
      </c>
      <c r="AQ6" s="2" t="s">
        <v>241</v>
      </c>
      <c r="AR6" s="1" t="s">
        <v>184</v>
      </c>
      <c r="AS6" s="1" t="s">
        <v>214</v>
      </c>
      <c r="AT6" s="1" t="s">
        <v>129</v>
      </c>
      <c r="AU6" s="1" t="s">
        <v>215</v>
      </c>
      <c r="AV6" s="1" t="s">
        <v>110</v>
      </c>
      <c r="AW6" s="1" t="s">
        <v>216</v>
      </c>
      <c r="AX6" s="1" t="s">
        <v>190</v>
      </c>
      <c r="AY6" s="1" t="s">
        <v>217</v>
      </c>
      <c r="AZ6" s="1" t="s">
        <v>218</v>
      </c>
      <c r="BA6" s="2"/>
      <c r="BB6" s="14" t="s">
        <v>227</v>
      </c>
      <c r="BC6" s="16" t="s">
        <v>210</v>
      </c>
      <c r="BD6" s="15" t="s">
        <v>183</v>
      </c>
      <c r="BE6" s="14" t="s">
        <v>222</v>
      </c>
      <c r="BF6" s="16" t="s">
        <v>242</v>
      </c>
      <c r="BG6" s="15" t="s">
        <v>191</v>
      </c>
      <c r="BH6" s="2"/>
      <c r="BK6" s="2"/>
    </row>
    <row r="7" spans="1:63" x14ac:dyDescent="0.5">
      <c r="A7" s="1" t="s">
        <v>149</v>
      </c>
      <c r="D7" s="1" t="s">
        <v>243</v>
      </c>
      <c r="G7" s="1" t="s">
        <v>156</v>
      </c>
      <c r="H7" s="1" t="s">
        <v>156</v>
      </c>
      <c r="I7" s="1" t="s">
        <v>156</v>
      </c>
      <c r="L7" s="1" t="s">
        <v>244</v>
      </c>
      <c r="M7" s="1" t="s">
        <v>109</v>
      </c>
      <c r="N7" s="1" t="s">
        <v>245</v>
      </c>
      <c r="O7" s="1" t="s">
        <v>246</v>
      </c>
      <c r="P7" s="1" t="s">
        <v>231</v>
      </c>
      <c r="Q7" s="1" t="s">
        <v>247</v>
      </c>
      <c r="S7" s="1" t="s">
        <v>244</v>
      </c>
      <c r="T7" s="1" t="s">
        <v>109</v>
      </c>
      <c r="U7" s="1" t="s">
        <v>245</v>
      </c>
      <c r="V7" s="1" t="s">
        <v>246</v>
      </c>
      <c r="W7" s="1" t="s">
        <v>231</v>
      </c>
      <c r="X7" s="1" t="s">
        <v>247</v>
      </c>
      <c r="Y7" s="1" t="s">
        <v>248</v>
      </c>
      <c r="Z7" s="1" t="s">
        <v>249</v>
      </c>
      <c r="AA7" s="1" t="s">
        <v>250</v>
      </c>
      <c r="AB7" s="1" t="s">
        <v>251</v>
      </c>
      <c r="AC7" s="1" t="s">
        <v>187</v>
      </c>
      <c r="AD7" s="1" t="s">
        <v>219</v>
      </c>
      <c r="AE7" s="1" t="s">
        <v>219</v>
      </c>
      <c r="AF7" s="1" t="s">
        <v>242</v>
      </c>
      <c r="AG7" s="1" t="s">
        <v>252</v>
      </c>
      <c r="AL7" s="2" t="s">
        <v>253</v>
      </c>
      <c r="AM7" s="2" t="s">
        <v>254</v>
      </c>
      <c r="AN7" s="2" t="s">
        <v>230</v>
      </c>
      <c r="AO7" s="2" t="s">
        <v>255</v>
      </c>
      <c r="AP7" s="2" t="s">
        <v>256</v>
      </c>
      <c r="AQ7" s="2" t="s">
        <v>257</v>
      </c>
      <c r="AR7" s="1" t="s">
        <v>233</v>
      </c>
      <c r="AS7" s="1" t="s">
        <v>234</v>
      </c>
      <c r="AT7" s="1" t="s">
        <v>235</v>
      </c>
      <c r="AU7" s="1" t="s">
        <v>236</v>
      </c>
      <c r="AV7" s="1" t="s">
        <v>115</v>
      </c>
      <c r="AW7" s="1" t="s">
        <v>237</v>
      </c>
      <c r="AX7" s="1" t="s">
        <v>223</v>
      </c>
      <c r="AY7" s="1" t="s">
        <v>238</v>
      </c>
      <c r="AZ7" s="1" t="s">
        <v>110</v>
      </c>
      <c r="BA7" s="2"/>
      <c r="BB7" s="13" t="s">
        <v>253</v>
      </c>
      <c r="BC7" s="1" t="s">
        <v>220</v>
      </c>
      <c r="BD7" s="16" t="s">
        <v>212</v>
      </c>
      <c r="BE7" s="15" t="s">
        <v>105</v>
      </c>
      <c r="BF7" s="15" t="s">
        <v>191</v>
      </c>
      <c r="BG7" s="15" t="s">
        <v>258</v>
      </c>
      <c r="BH7" s="2"/>
      <c r="BK7" s="2"/>
    </row>
    <row r="8" spans="1:63" x14ac:dyDescent="0.5">
      <c r="G8" s="1" t="s">
        <v>157</v>
      </c>
      <c r="H8" s="1" t="s">
        <v>157</v>
      </c>
      <c r="I8" s="1" t="s">
        <v>157</v>
      </c>
      <c r="L8" s="1" t="s">
        <v>259</v>
      </c>
      <c r="M8" s="1" t="s">
        <v>260</v>
      </c>
      <c r="N8" s="1" t="s">
        <v>110</v>
      </c>
      <c r="O8" s="1" t="s">
        <v>239</v>
      </c>
      <c r="P8" s="1" t="s">
        <v>261</v>
      </c>
      <c r="Q8" s="1" t="s">
        <v>262</v>
      </c>
      <c r="S8" s="1" t="s">
        <v>259</v>
      </c>
      <c r="T8" s="1" t="s">
        <v>260</v>
      </c>
      <c r="U8" s="1" t="s">
        <v>110</v>
      </c>
      <c r="V8" s="1" t="s">
        <v>239</v>
      </c>
      <c r="W8" s="1" t="s">
        <v>261</v>
      </c>
      <c r="X8" s="1" t="s">
        <v>262</v>
      </c>
      <c r="Y8" s="1" t="s">
        <v>106</v>
      </c>
      <c r="Z8" s="1" t="s">
        <v>263</v>
      </c>
      <c r="AA8" s="1" t="s">
        <v>264</v>
      </c>
      <c r="AB8" s="1" t="s">
        <v>265</v>
      </c>
      <c r="AC8" s="1" t="s">
        <v>105</v>
      </c>
      <c r="AD8" s="1" t="s">
        <v>106</v>
      </c>
      <c r="AE8" s="1" t="s">
        <v>266</v>
      </c>
      <c r="AF8" s="1" t="s">
        <v>267</v>
      </c>
      <c r="AG8" s="1" t="s">
        <v>268</v>
      </c>
      <c r="AL8" s="2" t="s">
        <v>259</v>
      </c>
      <c r="AM8" s="2" t="s">
        <v>237</v>
      </c>
      <c r="AN8" s="2" t="s">
        <v>246</v>
      </c>
      <c r="AO8" s="2" t="s">
        <v>269</v>
      </c>
      <c r="AP8" s="2" t="s">
        <v>270</v>
      </c>
      <c r="AQ8" s="2" t="s">
        <v>271</v>
      </c>
      <c r="AR8" s="1" t="s">
        <v>248</v>
      </c>
      <c r="AS8" s="1" t="s">
        <v>249</v>
      </c>
      <c r="AT8" s="1" t="s">
        <v>250</v>
      </c>
      <c r="AU8" s="1" t="s">
        <v>251</v>
      </c>
      <c r="AV8" s="1" t="s">
        <v>187</v>
      </c>
      <c r="AW8" s="1" t="s">
        <v>219</v>
      </c>
      <c r="AX8" s="1" t="s">
        <v>219</v>
      </c>
      <c r="AY8" s="1" t="s">
        <v>242</v>
      </c>
      <c r="AZ8" s="1" t="s">
        <v>252</v>
      </c>
      <c r="BA8" s="2"/>
      <c r="BB8" s="14" t="s">
        <v>259</v>
      </c>
      <c r="BC8" s="15" t="s">
        <v>228</v>
      </c>
      <c r="BD8" s="15" t="s">
        <v>105</v>
      </c>
      <c r="BE8" s="13" t="s">
        <v>230</v>
      </c>
      <c r="BF8" s="16" t="s">
        <v>258</v>
      </c>
      <c r="BG8" s="15" t="s">
        <v>272</v>
      </c>
      <c r="BH8" s="2"/>
      <c r="BK8" s="2"/>
    </row>
    <row r="9" spans="1:63" x14ac:dyDescent="0.5">
      <c r="G9" s="1" t="s">
        <v>158</v>
      </c>
      <c r="H9" s="1" t="s">
        <v>158</v>
      </c>
      <c r="I9" s="1" t="s">
        <v>158</v>
      </c>
      <c r="L9" s="1" t="s">
        <v>113</v>
      </c>
      <c r="M9" s="1" t="s">
        <v>273</v>
      </c>
      <c r="N9" s="1" t="s">
        <v>274</v>
      </c>
      <c r="O9" s="1" t="s">
        <v>275</v>
      </c>
      <c r="P9" s="1" t="s">
        <v>276</v>
      </c>
      <c r="Q9" s="1" t="s">
        <v>106</v>
      </c>
      <c r="S9" s="1" t="s">
        <v>113</v>
      </c>
      <c r="T9" s="1" t="s">
        <v>273</v>
      </c>
      <c r="U9" s="1" t="s">
        <v>274</v>
      </c>
      <c r="V9" s="1" t="s">
        <v>275</v>
      </c>
      <c r="W9" s="1" t="s">
        <v>276</v>
      </c>
      <c r="X9" s="1" t="s">
        <v>106</v>
      </c>
      <c r="Y9" s="1" t="s">
        <v>247</v>
      </c>
      <c r="Z9" s="1" t="s">
        <v>277</v>
      </c>
      <c r="AA9" s="1" t="s">
        <v>278</v>
      </c>
      <c r="AB9" s="1" t="s">
        <v>279</v>
      </c>
      <c r="AC9" s="1" t="s">
        <v>280</v>
      </c>
      <c r="AD9" s="1" t="s">
        <v>124</v>
      </c>
      <c r="AE9" s="1" t="s">
        <v>281</v>
      </c>
      <c r="AF9" s="1" t="s">
        <v>282</v>
      </c>
      <c r="AG9" s="1" t="s">
        <v>258</v>
      </c>
      <c r="AL9" s="2" t="s">
        <v>113</v>
      </c>
      <c r="AM9" s="2" t="s">
        <v>283</v>
      </c>
      <c r="AN9" s="2" t="s">
        <v>284</v>
      </c>
      <c r="AO9" s="2" t="s">
        <v>246</v>
      </c>
      <c r="AP9" s="2" t="s">
        <v>285</v>
      </c>
      <c r="AQ9" s="2" t="s">
        <v>286</v>
      </c>
      <c r="AR9" s="1" t="s">
        <v>106</v>
      </c>
      <c r="AS9" s="1" t="s">
        <v>263</v>
      </c>
      <c r="AT9" s="1" t="s">
        <v>264</v>
      </c>
      <c r="AU9" s="1" t="s">
        <v>265</v>
      </c>
      <c r="AV9" s="1" t="s">
        <v>105</v>
      </c>
      <c r="AW9" s="1" t="s">
        <v>106</v>
      </c>
      <c r="AX9" s="1" t="s">
        <v>266</v>
      </c>
      <c r="AY9" s="1" t="s">
        <v>267</v>
      </c>
      <c r="AZ9" s="1" t="s">
        <v>268</v>
      </c>
      <c r="BA9" s="2"/>
      <c r="BB9" s="13" t="s">
        <v>113</v>
      </c>
      <c r="BC9" s="14" t="s">
        <v>239</v>
      </c>
      <c r="BD9" s="15" t="s">
        <v>255</v>
      </c>
      <c r="BE9" s="16" t="s">
        <v>211</v>
      </c>
      <c r="BF9" s="16" t="s">
        <v>219</v>
      </c>
      <c r="BG9" s="16" t="s">
        <v>287</v>
      </c>
      <c r="BH9" s="2"/>
      <c r="BK9" s="2"/>
    </row>
    <row r="10" spans="1:63" x14ac:dyDescent="0.5">
      <c r="L10" s="1" t="s">
        <v>288</v>
      </c>
      <c r="M10" s="1" t="s">
        <v>289</v>
      </c>
      <c r="N10" s="1" t="s">
        <v>237</v>
      </c>
      <c r="O10" s="1" t="s">
        <v>254</v>
      </c>
      <c r="P10" s="1" t="s">
        <v>230</v>
      </c>
      <c r="Q10" s="1" t="s">
        <v>107</v>
      </c>
      <c r="S10" s="1" t="s">
        <v>288</v>
      </c>
      <c r="T10" s="1" t="s">
        <v>289</v>
      </c>
      <c r="U10" s="1" t="s">
        <v>237</v>
      </c>
      <c r="V10" s="1" t="s">
        <v>254</v>
      </c>
      <c r="W10" s="1" t="s">
        <v>230</v>
      </c>
      <c r="X10" s="1" t="s">
        <v>107</v>
      </c>
      <c r="Y10" s="1" t="s">
        <v>212</v>
      </c>
      <c r="Z10" s="1" t="s">
        <v>124</v>
      </c>
      <c r="AA10" s="1" t="s">
        <v>290</v>
      </c>
      <c r="AB10" s="1" t="s">
        <v>291</v>
      </c>
      <c r="AC10" s="1" t="s">
        <v>292</v>
      </c>
      <c r="AD10" s="1" t="s">
        <v>109</v>
      </c>
      <c r="AE10" s="1" t="s">
        <v>293</v>
      </c>
      <c r="AF10" s="1" t="s">
        <v>294</v>
      </c>
      <c r="AG10" s="1" t="s">
        <v>295</v>
      </c>
      <c r="AL10" s="2" t="s">
        <v>288</v>
      </c>
      <c r="AM10" s="2" t="s">
        <v>296</v>
      </c>
      <c r="AN10" s="2" t="s">
        <v>297</v>
      </c>
      <c r="AO10" s="2" t="s">
        <v>298</v>
      </c>
      <c r="AP10" s="2" t="s">
        <v>229</v>
      </c>
      <c r="AQ10" s="2" t="s">
        <v>127</v>
      </c>
      <c r="AR10" s="1" t="s">
        <v>247</v>
      </c>
      <c r="AS10" s="1" t="s">
        <v>277</v>
      </c>
      <c r="AT10" s="1" t="s">
        <v>278</v>
      </c>
      <c r="AU10" s="1" t="s">
        <v>279</v>
      </c>
      <c r="AV10" s="1" t="s">
        <v>280</v>
      </c>
      <c r="AW10" s="1" t="s">
        <v>124</v>
      </c>
      <c r="AX10" s="1" t="s">
        <v>281</v>
      </c>
      <c r="AY10" s="1" t="s">
        <v>282</v>
      </c>
      <c r="AZ10" s="1" t="s">
        <v>258</v>
      </c>
      <c r="BA10" s="2"/>
      <c r="BB10" s="14" t="s">
        <v>288</v>
      </c>
      <c r="BC10" s="16" t="s">
        <v>109</v>
      </c>
      <c r="BD10" s="16" t="s">
        <v>269</v>
      </c>
      <c r="BE10" s="14" t="s">
        <v>246</v>
      </c>
      <c r="BF10" s="16" t="s">
        <v>272</v>
      </c>
      <c r="BG10" s="15" t="s">
        <v>299</v>
      </c>
      <c r="BH10" s="2"/>
      <c r="BK10" s="2"/>
    </row>
    <row r="11" spans="1:63" x14ac:dyDescent="0.5">
      <c r="G11" s="58" t="s">
        <v>300</v>
      </c>
      <c r="H11" s="58" t="s">
        <v>207</v>
      </c>
      <c r="I11" s="58" t="s">
        <v>301</v>
      </c>
      <c r="J11" s="58" t="s">
        <v>243</v>
      </c>
      <c r="L11" s="1" t="s">
        <v>237</v>
      </c>
      <c r="M11" s="1" t="s">
        <v>302</v>
      </c>
      <c r="N11" s="1" t="s">
        <v>303</v>
      </c>
      <c r="O11" s="1" t="s">
        <v>273</v>
      </c>
      <c r="P11" s="1" t="s">
        <v>245</v>
      </c>
      <c r="Q11" s="1" t="s">
        <v>304</v>
      </c>
      <c r="S11" s="1" t="s">
        <v>237</v>
      </c>
      <c r="T11" s="1" t="s">
        <v>302</v>
      </c>
      <c r="U11" s="1" t="s">
        <v>303</v>
      </c>
      <c r="V11" s="1" t="s">
        <v>273</v>
      </c>
      <c r="W11" s="1" t="s">
        <v>245</v>
      </c>
      <c r="X11" s="1" t="s">
        <v>304</v>
      </c>
      <c r="Y11" s="1" t="s">
        <v>105</v>
      </c>
      <c r="Z11" s="1" t="s">
        <v>192</v>
      </c>
      <c r="AA11" s="1" t="s">
        <v>305</v>
      </c>
      <c r="AB11" s="1" t="s">
        <v>124</v>
      </c>
      <c r="AC11" s="1" t="s">
        <v>306</v>
      </c>
      <c r="AD11" s="1" t="s">
        <v>307</v>
      </c>
      <c r="AE11" s="1" t="s">
        <v>272</v>
      </c>
      <c r="AF11" s="1" t="s">
        <v>308</v>
      </c>
      <c r="AG11" s="1" t="s">
        <v>309</v>
      </c>
      <c r="AL11" s="2" t="s">
        <v>310</v>
      </c>
      <c r="AM11" s="2" t="s">
        <v>311</v>
      </c>
      <c r="AN11" s="2" t="s">
        <v>237</v>
      </c>
      <c r="AO11" s="2" t="s">
        <v>239</v>
      </c>
      <c r="AP11" s="2" t="s">
        <v>239</v>
      </c>
      <c r="AQ11" s="2" t="s">
        <v>312</v>
      </c>
      <c r="AR11" s="1" t="s">
        <v>212</v>
      </c>
      <c r="AS11" s="1" t="s">
        <v>124</v>
      </c>
      <c r="AT11" s="1" t="s">
        <v>290</v>
      </c>
      <c r="AU11" s="1" t="s">
        <v>291</v>
      </c>
      <c r="AV11" s="1" t="s">
        <v>292</v>
      </c>
      <c r="AW11" s="1" t="s">
        <v>109</v>
      </c>
      <c r="AX11" s="1" t="s">
        <v>293</v>
      </c>
      <c r="AY11" s="1" t="s">
        <v>294</v>
      </c>
      <c r="AZ11" s="1" t="s">
        <v>295</v>
      </c>
      <c r="BA11" s="2"/>
      <c r="BB11" s="13" t="s">
        <v>310</v>
      </c>
      <c r="BC11" s="13" t="s">
        <v>254</v>
      </c>
      <c r="BD11" s="15" t="s">
        <v>230</v>
      </c>
      <c r="BE11" s="15" t="s">
        <v>229</v>
      </c>
      <c r="BF11" s="16" t="s">
        <v>287</v>
      </c>
      <c r="BG11" s="15" t="s">
        <v>282</v>
      </c>
      <c r="BH11" s="2"/>
      <c r="BK11" s="2"/>
    </row>
    <row r="12" spans="1:63" x14ac:dyDescent="0.5">
      <c r="G12" s="1" t="s">
        <v>313</v>
      </c>
      <c r="H12" s="1" t="s">
        <v>313</v>
      </c>
      <c r="I12" s="1" t="s">
        <v>313</v>
      </c>
      <c r="J12" s="1" t="s">
        <v>313</v>
      </c>
      <c r="L12" s="1" t="s">
        <v>314</v>
      </c>
      <c r="M12" s="1" t="s">
        <v>314</v>
      </c>
      <c r="N12" s="1" t="s">
        <v>263</v>
      </c>
      <c r="O12" s="1" t="s">
        <v>315</v>
      </c>
      <c r="P12" s="1" t="s">
        <v>316</v>
      </c>
      <c r="Q12" s="1" t="s">
        <v>230</v>
      </c>
      <c r="S12" s="1" t="s">
        <v>314</v>
      </c>
      <c r="T12" s="1" t="s">
        <v>314</v>
      </c>
      <c r="U12" s="1" t="s">
        <v>263</v>
      </c>
      <c r="V12" s="1" t="s">
        <v>315</v>
      </c>
      <c r="W12" s="1" t="s">
        <v>316</v>
      </c>
      <c r="X12" s="1" t="s">
        <v>230</v>
      </c>
      <c r="Y12" s="1" t="s">
        <v>231</v>
      </c>
      <c r="Z12" s="1" t="s">
        <v>317</v>
      </c>
      <c r="AA12" s="1" t="s">
        <v>318</v>
      </c>
      <c r="AB12" s="1" t="s">
        <v>319</v>
      </c>
      <c r="AC12" s="1" t="s">
        <v>320</v>
      </c>
      <c r="AD12" s="1" t="s">
        <v>283</v>
      </c>
      <c r="AE12" s="1" t="s">
        <v>321</v>
      </c>
      <c r="AF12" s="1" t="s">
        <v>322</v>
      </c>
      <c r="AG12" s="1" t="s">
        <v>323</v>
      </c>
      <c r="AL12" s="2" t="s">
        <v>324</v>
      </c>
      <c r="AM12" s="2" t="s">
        <v>325</v>
      </c>
      <c r="AN12" s="2" t="s">
        <v>114</v>
      </c>
      <c r="AO12" s="2" t="s">
        <v>326</v>
      </c>
      <c r="AP12" s="2" t="s">
        <v>327</v>
      </c>
      <c r="AQ12" s="2" t="s">
        <v>328</v>
      </c>
      <c r="AR12" s="1" t="s">
        <v>105</v>
      </c>
      <c r="AS12" s="1" t="s">
        <v>192</v>
      </c>
      <c r="AT12" s="1" t="s">
        <v>305</v>
      </c>
      <c r="AU12" s="1" t="s">
        <v>124</v>
      </c>
      <c r="AV12" s="1" t="s">
        <v>306</v>
      </c>
      <c r="AW12" s="1" t="s">
        <v>307</v>
      </c>
      <c r="AX12" s="1" t="s">
        <v>272</v>
      </c>
      <c r="AY12" s="1" t="s">
        <v>308</v>
      </c>
      <c r="AZ12" s="1" t="s">
        <v>309</v>
      </c>
      <c r="BA12" s="2"/>
      <c r="BB12" s="14" t="s">
        <v>324</v>
      </c>
      <c r="BC12" s="15" t="s">
        <v>260</v>
      </c>
      <c r="BD12" s="16" t="s">
        <v>220</v>
      </c>
      <c r="BE12" s="16" t="s">
        <v>245</v>
      </c>
      <c r="BF12" s="15" t="s">
        <v>299</v>
      </c>
      <c r="BG12" s="16" t="s">
        <v>281</v>
      </c>
      <c r="BH12" s="2"/>
      <c r="BK12" s="2"/>
    </row>
    <row r="13" spans="1:63" x14ac:dyDescent="0.5">
      <c r="G13" s="1" t="s">
        <v>329</v>
      </c>
      <c r="H13" s="1" t="s">
        <v>329</v>
      </c>
      <c r="I13" s="1" t="s">
        <v>329</v>
      </c>
      <c r="J13" s="1" t="s">
        <v>330</v>
      </c>
      <c r="L13" s="1" t="s">
        <v>324</v>
      </c>
      <c r="M13" s="1" t="s">
        <v>331</v>
      </c>
      <c r="N13" s="1" t="s">
        <v>332</v>
      </c>
      <c r="O13" s="1" t="s">
        <v>302</v>
      </c>
      <c r="P13" s="1" t="s">
        <v>333</v>
      </c>
      <c r="Q13" s="1" t="s">
        <v>334</v>
      </c>
      <c r="S13" s="1" t="s">
        <v>324</v>
      </c>
      <c r="T13" s="1" t="s">
        <v>331</v>
      </c>
      <c r="U13" s="1" t="s">
        <v>332</v>
      </c>
      <c r="V13" s="1" t="s">
        <v>302</v>
      </c>
      <c r="W13" s="1" t="s">
        <v>333</v>
      </c>
      <c r="X13" s="1" t="s">
        <v>334</v>
      </c>
      <c r="Y13" s="1" t="s">
        <v>335</v>
      </c>
      <c r="Z13" s="1" t="s">
        <v>336</v>
      </c>
      <c r="AA13" s="1" t="s">
        <v>118</v>
      </c>
      <c r="AB13" s="1" t="s">
        <v>337</v>
      </c>
      <c r="AC13" s="1" t="s">
        <v>223</v>
      </c>
      <c r="AD13" s="1" t="s">
        <v>338</v>
      </c>
      <c r="AE13" s="1" t="s">
        <v>339</v>
      </c>
      <c r="AF13" s="1" t="s">
        <v>113</v>
      </c>
      <c r="AG13" s="1" t="s">
        <v>338</v>
      </c>
      <c r="AL13" s="2" t="s">
        <v>340</v>
      </c>
      <c r="AM13" s="2" t="s">
        <v>341</v>
      </c>
      <c r="AN13" s="2" t="s">
        <v>234</v>
      </c>
      <c r="AO13" s="2" t="s">
        <v>342</v>
      </c>
      <c r="AP13" s="2" t="s">
        <v>245</v>
      </c>
      <c r="AQ13" s="2" t="s">
        <v>294</v>
      </c>
      <c r="AR13" s="1" t="s">
        <v>231</v>
      </c>
      <c r="AS13" s="1" t="s">
        <v>317</v>
      </c>
      <c r="AT13" s="1" t="s">
        <v>318</v>
      </c>
      <c r="AU13" s="1" t="s">
        <v>319</v>
      </c>
      <c r="AV13" s="1" t="s">
        <v>320</v>
      </c>
      <c r="AW13" s="1" t="s">
        <v>283</v>
      </c>
      <c r="AX13" s="1" t="s">
        <v>321</v>
      </c>
      <c r="AY13" s="1" t="s">
        <v>322</v>
      </c>
      <c r="AZ13" s="1" t="s">
        <v>323</v>
      </c>
      <c r="BA13" s="2"/>
      <c r="BB13" s="13" t="s">
        <v>340</v>
      </c>
      <c r="BC13" s="16" t="s">
        <v>273</v>
      </c>
      <c r="BD13" s="16" t="s">
        <v>246</v>
      </c>
      <c r="BE13" s="15" t="s">
        <v>110</v>
      </c>
      <c r="BF13" s="16" t="s">
        <v>282</v>
      </c>
      <c r="BG13" s="15" t="s">
        <v>190</v>
      </c>
      <c r="BH13" s="2"/>
      <c r="BK13" s="2"/>
    </row>
    <row r="14" spans="1:63" x14ac:dyDescent="0.5">
      <c r="G14" s="1" t="s">
        <v>343</v>
      </c>
      <c r="H14" s="1" t="s">
        <v>343</v>
      </c>
      <c r="I14" s="1" t="s">
        <v>343</v>
      </c>
      <c r="J14" s="1" t="s">
        <v>343</v>
      </c>
      <c r="L14" s="1" t="s">
        <v>344</v>
      </c>
      <c r="M14" s="1" t="s">
        <v>263</v>
      </c>
      <c r="N14" s="1" t="s">
        <v>116</v>
      </c>
      <c r="O14" s="1" t="s">
        <v>345</v>
      </c>
      <c r="P14" s="1" t="s">
        <v>284</v>
      </c>
      <c r="Q14" s="1" t="s">
        <v>346</v>
      </c>
      <c r="S14" s="1" t="s">
        <v>344</v>
      </c>
      <c r="T14" s="1" t="s">
        <v>263</v>
      </c>
      <c r="U14" s="1" t="s">
        <v>116</v>
      </c>
      <c r="V14" s="1" t="s">
        <v>345</v>
      </c>
      <c r="W14" s="1" t="s">
        <v>284</v>
      </c>
      <c r="X14" s="1" t="s">
        <v>346</v>
      </c>
      <c r="Y14" s="1" t="s">
        <v>347</v>
      </c>
      <c r="Z14" s="1" t="s">
        <v>344</v>
      </c>
      <c r="AA14" s="1" t="s">
        <v>348</v>
      </c>
      <c r="AB14" s="1" t="s">
        <v>349</v>
      </c>
      <c r="AC14" s="1" t="s">
        <v>350</v>
      </c>
      <c r="AD14" s="1" t="s">
        <v>351</v>
      </c>
      <c r="AE14" s="1" t="s">
        <v>352</v>
      </c>
      <c r="AF14" s="1" t="s">
        <v>303</v>
      </c>
      <c r="AG14" s="1" t="s">
        <v>351</v>
      </c>
      <c r="AL14" s="2" t="s">
        <v>353</v>
      </c>
      <c r="AM14" s="2" t="s">
        <v>354</v>
      </c>
      <c r="AN14" s="2" t="s">
        <v>324</v>
      </c>
      <c r="AO14" s="2" t="s">
        <v>355</v>
      </c>
      <c r="AP14" s="2" t="s">
        <v>274</v>
      </c>
      <c r="AQ14" s="2" t="s">
        <v>356</v>
      </c>
      <c r="AR14" s="1" t="s">
        <v>335</v>
      </c>
      <c r="AS14" s="1" t="s">
        <v>336</v>
      </c>
      <c r="AT14" s="1" t="s">
        <v>118</v>
      </c>
      <c r="AU14" s="1" t="s">
        <v>337</v>
      </c>
      <c r="AV14" s="1" t="s">
        <v>223</v>
      </c>
      <c r="AW14" s="1" t="s">
        <v>338</v>
      </c>
      <c r="AX14" s="1" t="s">
        <v>339</v>
      </c>
      <c r="AY14" s="1" t="s">
        <v>113</v>
      </c>
      <c r="AZ14" s="1" t="s">
        <v>338</v>
      </c>
      <c r="BA14" s="2"/>
      <c r="BB14" s="14" t="s">
        <v>353</v>
      </c>
      <c r="BC14" s="15" t="s">
        <v>289</v>
      </c>
      <c r="BD14" s="14" t="s">
        <v>298</v>
      </c>
      <c r="BE14" s="13" t="s">
        <v>284</v>
      </c>
      <c r="BF14" s="16" t="s">
        <v>256</v>
      </c>
      <c r="BG14" s="15" t="s">
        <v>357</v>
      </c>
      <c r="BH14" s="2"/>
      <c r="BK14" s="2"/>
    </row>
    <row r="15" spans="1:63" x14ac:dyDescent="0.5">
      <c r="G15" s="1" t="s">
        <v>358</v>
      </c>
      <c r="H15" s="1" t="s">
        <v>358</v>
      </c>
      <c r="I15" s="1" t="s">
        <v>358</v>
      </c>
      <c r="J15" s="1" t="s">
        <v>358</v>
      </c>
      <c r="L15" s="1" t="s">
        <v>340</v>
      </c>
      <c r="M15" s="1" t="s">
        <v>283</v>
      </c>
      <c r="N15" s="1" t="s">
        <v>234</v>
      </c>
      <c r="O15" s="1" t="s">
        <v>114</v>
      </c>
      <c r="P15" s="1" t="s">
        <v>274</v>
      </c>
      <c r="Q15" s="1" t="s">
        <v>220</v>
      </c>
      <c r="S15" s="1" t="s">
        <v>340</v>
      </c>
      <c r="T15" s="1" t="s">
        <v>283</v>
      </c>
      <c r="U15" s="1" t="s">
        <v>234</v>
      </c>
      <c r="V15" s="1" t="s">
        <v>114</v>
      </c>
      <c r="W15" s="1" t="s">
        <v>274</v>
      </c>
      <c r="X15" s="1" t="s">
        <v>220</v>
      </c>
      <c r="Y15" s="1" t="s">
        <v>188</v>
      </c>
      <c r="Z15" s="1" t="s">
        <v>110</v>
      </c>
      <c r="AA15" s="1" t="s">
        <v>359</v>
      </c>
      <c r="AB15" s="1" t="s">
        <v>110</v>
      </c>
      <c r="AC15" s="1" t="s">
        <v>119</v>
      </c>
      <c r="AD15" s="1" t="s">
        <v>360</v>
      </c>
      <c r="AE15" s="1" t="s">
        <v>287</v>
      </c>
      <c r="AF15" s="1" t="s">
        <v>275</v>
      </c>
      <c r="AG15" s="1" t="s">
        <v>332</v>
      </c>
      <c r="AL15" s="2" t="s">
        <v>361</v>
      </c>
      <c r="AM15" s="2" t="s">
        <v>362</v>
      </c>
      <c r="AN15" s="2" t="s">
        <v>320</v>
      </c>
      <c r="AO15" s="2" t="s">
        <v>363</v>
      </c>
      <c r="AP15" s="2" t="s">
        <v>364</v>
      </c>
      <c r="AQ15" s="2" t="s">
        <v>365</v>
      </c>
      <c r="AR15" s="1" t="s">
        <v>347</v>
      </c>
      <c r="AS15" s="1" t="s">
        <v>344</v>
      </c>
      <c r="AT15" s="1" t="s">
        <v>348</v>
      </c>
      <c r="AU15" s="1" t="s">
        <v>349</v>
      </c>
      <c r="AV15" s="1" t="s">
        <v>350</v>
      </c>
      <c r="AW15" s="1" t="s">
        <v>351</v>
      </c>
      <c r="AX15" s="1" t="s">
        <v>352</v>
      </c>
      <c r="AY15" s="1" t="s">
        <v>303</v>
      </c>
      <c r="AZ15" s="1" t="s">
        <v>351</v>
      </c>
      <c r="BA15" s="2"/>
      <c r="BB15" s="13" t="s">
        <v>361</v>
      </c>
      <c r="BC15" s="16" t="s">
        <v>302</v>
      </c>
      <c r="BD15" s="15" t="s">
        <v>229</v>
      </c>
      <c r="BE15" s="16" t="s">
        <v>274</v>
      </c>
      <c r="BF15" s="16" t="s">
        <v>281</v>
      </c>
      <c r="BG15" s="15" t="s">
        <v>352</v>
      </c>
      <c r="BH15" s="2"/>
      <c r="BK15" s="2"/>
    </row>
    <row r="16" spans="1:63" x14ac:dyDescent="0.5">
      <c r="G16" s="1" t="s">
        <v>366</v>
      </c>
      <c r="H16" s="1" t="s">
        <v>366</v>
      </c>
      <c r="I16" s="1" t="s">
        <v>366</v>
      </c>
      <c r="J16" s="1" t="s">
        <v>366</v>
      </c>
      <c r="L16" s="1" t="s">
        <v>118</v>
      </c>
      <c r="M16" s="1" t="s">
        <v>116</v>
      </c>
      <c r="N16" s="1" t="s">
        <v>367</v>
      </c>
      <c r="O16" s="1" t="s">
        <v>368</v>
      </c>
      <c r="P16" s="1" t="s">
        <v>369</v>
      </c>
      <c r="Q16" s="1" t="s">
        <v>316</v>
      </c>
      <c r="S16" s="1" t="s">
        <v>118</v>
      </c>
      <c r="T16" s="1" t="s">
        <v>116</v>
      </c>
      <c r="U16" s="1" t="s">
        <v>367</v>
      </c>
      <c r="V16" s="1" t="s">
        <v>368</v>
      </c>
      <c r="W16" s="1" t="s">
        <v>369</v>
      </c>
      <c r="X16" s="1" t="s">
        <v>316</v>
      </c>
      <c r="Y16" s="1" t="s">
        <v>370</v>
      </c>
      <c r="Z16" s="1" t="s">
        <v>115</v>
      </c>
      <c r="AA16" s="1" t="s">
        <v>371</v>
      </c>
      <c r="AB16" s="1" t="s">
        <v>187</v>
      </c>
      <c r="AC16" s="1" t="s">
        <v>137</v>
      </c>
      <c r="AD16" s="1" t="s">
        <v>372</v>
      </c>
      <c r="AE16" s="1" t="s">
        <v>299</v>
      </c>
      <c r="AF16" s="1" t="s">
        <v>373</v>
      </c>
      <c r="AG16" s="1" t="s">
        <v>363</v>
      </c>
      <c r="AL16" s="2" t="s">
        <v>278</v>
      </c>
      <c r="AM16" s="2" t="s">
        <v>374</v>
      </c>
      <c r="AN16" s="2" t="s">
        <v>344</v>
      </c>
      <c r="AO16" s="2" t="s">
        <v>375</v>
      </c>
      <c r="AP16" s="2" t="s">
        <v>369</v>
      </c>
      <c r="AQ16" s="2" t="s">
        <v>376</v>
      </c>
      <c r="AR16" s="1" t="s">
        <v>188</v>
      </c>
      <c r="AS16" s="1" t="s">
        <v>110</v>
      </c>
      <c r="AT16" s="1" t="s">
        <v>359</v>
      </c>
      <c r="AU16" s="1" t="s">
        <v>110</v>
      </c>
      <c r="AV16" s="1" t="s">
        <v>119</v>
      </c>
      <c r="AW16" s="1" t="s">
        <v>360</v>
      </c>
      <c r="AX16" s="1" t="s">
        <v>287</v>
      </c>
      <c r="AY16" s="1" t="s">
        <v>275</v>
      </c>
      <c r="AZ16" s="1" t="s">
        <v>332</v>
      </c>
      <c r="BA16" s="2"/>
      <c r="BB16" s="14" t="s">
        <v>278</v>
      </c>
      <c r="BC16" s="14" t="s">
        <v>237</v>
      </c>
      <c r="BD16" s="15" t="s">
        <v>239</v>
      </c>
      <c r="BE16" s="13" t="s">
        <v>237</v>
      </c>
      <c r="BF16" s="16" t="s">
        <v>190</v>
      </c>
      <c r="BG16" s="15" t="s">
        <v>377</v>
      </c>
      <c r="BH16" s="2"/>
      <c r="BK16" s="2"/>
    </row>
    <row r="17" spans="7:63" x14ac:dyDescent="0.5">
      <c r="G17" s="1" t="s">
        <v>378</v>
      </c>
      <c r="H17" s="1" t="s">
        <v>378</v>
      </c>
      <c r="I17" s="1" t="s">
        <v>378</v>
      </c>
      <c r="J17" s="1" t="s">
        <v>378</v>
      </c>
      <c r="L17" s="1" t="s">
        <v>379</v>
      </c>
      <c r="M17" s="1" t="s">
        <v>118</v>
      </c>
      <c r="N17" s="1" t="s">
        <v>324</v>
      </c>
      <c r="O17" s="1" t="s">
        <v>380</v>
      </c>
      <c r="P17" s="1" t="s">
        <v>381</v>
      </c>
      <c r="Q17" s="1" t="s">
        <v>333</v>
      </c>
      <c r="S17" s="1" t="s">
        <v>379</v>
      </c>
      <c r="T17" s="1" t="s">
        <v>118</v>
      </c>
      <c r="U17" s="1" t="s">
        <v>324</v>
      </c>
      <c r="V17" s="1" t="s">
        <v>380</v>
      </c>
      <c r="W17" s="1" t="s">
        <v>381</v>
      </c>
      <c r="X17" s="1" t="s">
        <v>333</v>
      </c>
      <c r="Y17" s="1" t="s">
        <v>123</v>
      </c>
      <c r="Z17" s="1" t="s">
        <v>280</v>
      </c>
      <c r="AA17" s="1" t="s">
        <v>382</v>
      </c>
      <c r="AB17" s="1" t="s">
        <v>383</v>
      </c>
      <c r="AC17" s="1" t="s">
        <v>281</v>
      </c>
      <c r="AD17" s="1" t="s">
        <v>384</v>
      </c>
      <c r="AE17" s="1" t="s">
        <v>385</v>
      </c>
      <c r="AF17" s="1" t="s">
        <v>386</v>
      </c>
      <c r="AG17" s="1" t="s">
        <v>246</v>
      </c>
      <c r="AL17" s="2" t="s">
        <v>387</v>
      </c>
      <c r="AM17" s="2" t="s">
        <v>388</v>
      </c>
      <c r="AN17" s="2" t="s">
        <v>389</v>
      </c>
      <c r="AO17" s="2" t="s">
        <v>324</v>
      </c>
      <c r="AP17" s="2" t="s">
        <v>273</v>
      </c>
      <c r="AQ17" s="2" t="s">
        <v>390</v>
      </c>
      <c r="AR17" s="1" t="s">
        <v>370</v>
      </c>
      <c r="AS17" s="1" t="s">
        <v>115</v>
      </c>
      <c r="AT17" s="1" t="s">
        <v>371</v>
      </c>
      <c r="AU17" s="1" t="s">
        <v>187</v>
      </c>
      <c r="AV17" s="1" t="s">
        <v>137</v>
      </c>
      <c r="AW17" s="1" t="s">
        <v>372</v>
      </c>
      <c r="AX17" s="1" t="s">
        <v>299</v>
      </c>
      <c r="AY17" s="1" t="s">
        <v>373</v>
      </c>
      <c r="AZ17" s="1" t="s">
        <v>363</v>
      </c>
      <c r="BA17" s="2"/>
      <c r="BB17" s="13" t="s">
        <v>387</v>
      </c>
      <c r="BC17" s="15" t="s">
        <v>314</v>
      </c>
      <c r="BD17" s="16" t="s">
        <v>245</v>
      </c>
      <c r="BE17" s="14" t="s">
        <v>114</v>
      </c>
      <c r="BF17" s="16" t="s">
        <v>231</v>
      </c>
      <c r="BG17" s="15" t="s">
        <v>246</v>
      </c>
      <c r="BH17" s="2"/>
      <c r="BK17" s="2"/>
    </row>
    <row r="18" spans="7:63" x14ac:dyDescent="0.5">
      <c r="L18" s="1" t="s">
        <v>391</v>
      </c>
      <c r="M18" s="1" t="s">
        <v>391</v>
      </c>
      <c r="N18" s="1" t="s">
        <v>392</v>
      </c>
      <c r="O18" s="1" t="s">
        <v>355</v>
      </c>
      <c r="P18" s="1" t="s">
        <v>345</v>
      </c>
      <c r="Q18" s="1" t="s">
        <v>393</v>
      </c>
      <c r="S18" s="1" t="s">
        <v>391</v>
      </c>
      <c r="T18" s="1" t="s">
        <v>391</v>
      </c>
      <c r="U18" s="1" t="s">
        <v>392</v>
      </c>
      <c r="V18" s="1" t="s">
        <v>355</v>
      </c>
      <c r="W18" s="1" t="s">
        <v>345</v>
      </c>
      <c r="X18" s="1" t="s">
        <v>393</v>
      </c>
      <c r="Y18" s="1" t="s">
        <v>394</v>
      </c>
      <c r="Z18" s="1" t="s">
        <v>292</v>
      </c>
      <c r="AA18" s="1" t="s">
        <v>280</v>
      </c>
      <c r="AB18" s="1" t="s">
        <v>245</v>
      </c>
      <c r="AC18" s="1" t="s">
        <v>339</v>
      </c>
      <c r="AD18" s="1" t="s">
        <v>259</v>
      </c>
      <c r="AE18" s="1" t="s">
        <v>395</v>
      </c>
      <c r="AF18" s="1" t="s">
        <v>396</v>
      </c>
      <c r="AG18" s="1" t="s">
        <v>397</v>
      </c>
      <c r="AL18" s="2" t="s">
        <v>398</v>
      </c>
      <c r="AM18" s="2" t="s">
        <v>399</v>
      </c>
      <c r="AN18" s="2" t="s">
        <v>400</v>
      </c>
      <c r="AO18" s="2" t="s">
        <v>305</v>
      </c>
      <c r="AP18" s="2" t="s">
        <v>302</v>
      </c>
      <c r="AQ18" s="2" t="s">
        <v>401</v>
      </c>
      <c r="AR18" s="1" t="s">
        <v>123</v>
      </c>
      <c r="AS18" s="1" t="s">
        <v>280</v>
      </c>
      <c r="AT18" s="1" t="s">
        <v>382</v>
      </c>
      <c r="AU18" s="1" t="s">
        <v>383</v>
      </c>
      <c r="AV18" s="1" t="s">
        <v>281</v>
      </c>
      <c r="AW18" s="1" t="s">
        <v>384</v>
      </c>
      <c r="AX18" s="1" t="s">
        <v>385</v>
      </c>
      <c r="AY18" s="1" t="s">
        <v>386</v>
      </c>
      <c r="AZ18" s="1" t="s">
        <v>246</v>
      </c>
      <c r="BA18" s="2"/>
      <c r="BB18" s="14" t="s">
        <v>398</v>
      </c>
      <c r="BC18" s="16" t="s">
        <v>331</v>
      </c>
      <c r="BD18" s="15" t="s">
        <v>110</v>
      </c>
      <c r="BE18" s="13" t="s">
        <v>303</v>
      </c>
      <c r="BF18" s="16" t="s">
        <v>357</v>
      </c>
      <c r="BG18" s="15" t="s">
        <v>220</v>
      </c>
      <c r="BH18" s="2"/>
      <c r="BK18" s="2"/>
    </row>
    <row r="19" spans="7:63" x14ac:dyDescent="0.5">
      <c r="G19" s="58" t="s">
        <v>181</v>
      </c>
      <c r="H19" s="58" t="s">
        <v>208</v>
      </c>
      <c r="I19" s="58" t="s">
        <v>226</v>
      </c>
      <c r="L19" s="1" t="s">
        <v>391</v>
      </c>
      <c r="M19" s="1" t="s">
        <v>325</v>
      </c>
      <c r="N19" s="1" t="s">
        <v>320</v>
      </c>
      <c r="O19" s="1" t="s">
        <v>373</v>
      </c>
      <c r="P19" s="1" t="s">
        <v>402</v>
      </c>
      <c r="Q19" s="1" t="s">
        <v>403</v>
      </c>
      <c r="S19" s="1" t="s">
        <v>391</v>
      </c>
      <c r="T19" s="1" t="s">
        <v>325</v>
      </c>
      <c r="U19" s="1" t="s">
        <v>320</v>
      </c>
      <c r="V19" s="1" t="s">
        <v>373</v>
      </c>
      <c r="W19" s="1" t="s">
        <v>402</v>
      </c>
      <c r="X19" s="1" t="s">
        <v>403</v>
      </c>
      <c r="Y19" s="1" t="s">
        <v>404</v>
      </c>
      <c r="Z19" s="1" t="s">
        <v>391</v>
      </c>
      <c r="AA19" s="1" t="s">
        <v>405</v>
      </c>
      <c r="AB19" s="1" t="s">
        <v>406</v>
      </c>
      <c r="AC19" s="1" t="s">
        <v>321</v>
      </c>
      <c r="AD19" s="1" t="s">
        <v>407</v>
      </c>
      <c r="AE19" s="1" t="s">
        <v>408</v>
      </c>
      <c r="AF19" s="1" t="s">
        <v>409</v>
      </c>
      <c r="AG19" s="1" t="s">
        <v>128</v>
      </c>
      <c r="AL19" s="2" t="s">
        <v>410</v>
      </c>
      <c r="AM19" s="2" t="s">
        <v>398</v>
      </c>
      <c r="AN19" s="2" t="s">
        <v>396</v>
      </c>
      <c r="AO19" s="2" t="s">
        <v>411</v>
      </c>
      <c r="AP19" s="2" t="s">
        <v>381</v>
      </c>
      <c r="AQ19" s="2" t="s">
        <v>412</v>
      </c>
      <c r="AR19" s="1" t="s">
        <v>394</v>
      </c>
      <c r="AS19" s="1" t="s">
        <v>292</v>
      </c>
      <c r="AT19" s="1" t="s">
        <v>280</v>
      </c>
      <c r="AU19" s="1" t="s">
        <v>245</v>
      </c>
      <c r="AV19" s="1" t="s">
        <v>339</v>
      </c>
      <c r="AW19" s="1" t="s">
        <v>259</v>
      </c>
      <c r="AX19" s="1" t="s">
        <v>395</v>
      </c>
      <c r="AY19" s="1" t="s">
        <v>396</v>
      </c>
      <c r="AZ19" s="1" t="s">
        <v>397</v>
      </c>
      <c r="BA19" s="2"/>
      <c r="BB19" s="13" t="s">
        <v>410</v>
      </c>
      <c r="BC19" s="15" t="s">
        <v>263</v>
      </c>
      <c r="BD19" s="16" t="s">
        <v>275</v>
      </c>
      <c r="BE19" s="13" t="s">
        <v>263</v>
      </c>
      <c r="BF19" s="15" t="s">
        <v>352</v>
      </c>
      <c r="BG19" s="15" t="s">
        <v>268</v>
      </c>
      <c r="BH19" s="2"/>
      <c r="BK19" s="2"/>
    </row>
    <row r="20" spans="7:63" x14ac:dyDescent="0.5">
      <c r="G20" s="1" t="s">
        <v>200</v>
      </c>
      <c r="H20" s="1" t="s">
        <v>200</v>
      </c>
      <c r="I20" s="1" t="s">
        <v>200</v>
      </c>
      <c r="L20" s="1" t="s">
        <v>413</v>
      </c>
      <c r="M20" s="1" t="s">
        <v>414</v>
      </c>
      <c r="N20" s="1" t="s">
        <v>311</v>
      </c>
      <c r="O20" s="1" t="s">
        <v>332</v>
      </c>
      <c r="P20" s="1" t="s">
        <v>114</v>
      </c>
      <c r="Q20" s="1" t="s">
        <v>415</v>
      </c>
      <c r="S20" s="1" t="s">
        <v>413</v>
      </c>
      <c r="T20" s="1" t="s">
        <v>414</v>
      </c>
      <c r="U20" s="1" t="s">
        <v>311</v>
      </c>
      <c r="V20" s="1" t="s">
        <v>332</v>
      </c>
      <c r="W20" s="1" t="s">
        <v>114</v>
      </c>
      <c r="X20" s="1" t="s">
        <v>415</v>
      </c>
      <c r="Y20" s="1" t="s">
        <v>416</v>
      </c>
      <c r="Z20" s="1" t="s">
        <v>417</v>
      </c>
      <c r="AA20" s="1" t="s">
        <v>418</v>
      </c>
      <c r="AB20" s="1" t="s">
        <v>390</v>
      </c>
      <c r="AC20" s="1" t="s">
        <v>419</v>
      </c>
      <c r="AD20" s="1" t="s">
        <v>420</v>
      </c>
      <c r="AE20" s="1" t="s">
        <v>377</v>
      </c>
      <c r="AF20" s="1" t="s">
        <v>121</v>
      </c>
      <c r="AG20" s="1" t="s">
        <v>377</v>
      </c>
      <c r="AL20" s="2" t="s">
        <v>421</v>
      </c>
      <c r="AM20" s="2" t="s">
        <v>421</v>
      </c>
      <c r="AN20" s="2" t="s">
        <v>399</v>
      </c>
      <c r="AO20" s="2" t="s">
        <v>118</v>
      </c>
      <c r="AP20" s="2" t="s">
        <v>345</v>
      </c>
      <c r="AQ20" s="2" t="s">
        <v>135</v>
      </c>
      <c r="AR20" s="1" t="s">
        <v>404</v>
      </c>
      <c r="AS20" s="1" t="s">
        <v>391</v>
      </c>
      <c r="AT20" s="1" t="s">
        <v>405</v>
      </c>
      <c r="AU20" s="1" t="s">
        <v>406</v>
      </c>
      <c r="AV20" s="1" t="s">
        <v>321</v>
      </c>
      <c r="AW20" s="1" t="s">
        <v>407</v>
      </c>
      <c r="AX20" s="1" t="s">
        <v>408</v>
      </c>
      <c r="AY20" s="1" t="s">
        <v>409</v>
      </c>
      <c r="AZ20" s="1" t="s">
        <v>128</v>
      </c>
      <c r="BA20" s="2"/>
      <c r="BB20" s="14" t="s">
        <v>421</v>
      </c>
      <c r="BC20" s="13" t="s">
        <v>283</v>
      </c>
      <c r="BD20" s="16" t="s">
        <v>274</v>
      </c>
      <c r="BE20" s="13" t="s">
        <v>332</v>
      </c>
      <c r="BF20" s="15" t="s">
        <v>377</v>
      </c>
      <c r="BG20" s="15" t="s">
        <v>293</v>
      </c>
      <c r="BH20" s="2"/>
      <c r="BK20" s="2"/>
    </row>
    <row r="21" spans="7:63" x14ac:dyDescent="0.5">
      <c r="G21" s="1" t="s">
        <v>201</v>
      </c>
      <c r="H21" s="1" t="s">
        <v>201</v>
      </c>
      <c r="I21" s="1" t="s">
        <v>201</v>
      </c>
      <c r="L21" s="1" t="s">
        <v>124</v>
      </c>
      <c r="M21" s="1" t="s">
        <v>341</v>
      </c>
      <c r="N21" s="1" t="s">
        <v>321</v>
      </c>
      <c r="O21" s="1" t="s">
        <v>363</v>
      </c>
      <c r="P21" s="1" t="s">
        <v>314</v>
      </c>
      <c r="Q21" s="1" t="s">
        <v>422</v>
      </c>
      <c r="S21" s="1" t="s">
        <v>124</v>
      </c>
      <c r="T21" s="1" t="s">
        <v>341</v>
      </c>
      <c r="U21" s="1" t="s">
        <v>321</v>
      </c>
      <c r="V21" s="1" t="s">
        <v>363</v>
      </c>
      <c r="W21" s="1" t="s">
        <v>314</v>
      </c>
      <c r="X21" s="1" t="s">
        <v>422</v>
      </c>
      <c r="Y21" s="1" t="s">
        <v>274</v>
      </c>
      <c r="Z21" s="1" t="s">
        <v>423</v>
      </c>
      <c r="AA21" s="1" t="s">
        <v>424</v>
      </c>
      <c r="AB21" s="1" t="s">
        <v>425</v>
      </c>
      <c r="AC21" s="1" t="s">
        <v>426</v>
      </c>
      <c r="AD21" s="1" t="s">
        <v>427</v>
      </c>
      <c r="AE21" s="1" t="s">
        <v>357</v>
      </c>
      <c r="AF21" s="1" t="s">
        <v>231</v>
      </c>
      <c r="AG21" s="1" t="s">
        <v>428</v>
      </c>
      <c r="AL21" s="2" t="s">
        <v>429</v>
      </c>
      <c r="AM21" s="2" t="s">
        <v>430</v>
      </c>
      <c r="AN21" s="2" t="s">
        <v>382</v>
      </c>
      <c r="AO21" s="2" t="s">
        <v>391</v>
      </c>
      <c r="AP21" s="2" t="s">
        <v>308</v>
      </c>
      <c r="AQ21" s="2" t="s">
        <v>431</v>
      </c>
      <c r="AR21" s="1" t="s">
        <v>416</v>
      </c>
      <c r="AS21" s="1" t="s">
        <v>417</v>
      </c>
      <c r="AT21" s="1" t="s">
        <v>418</v>
      </c>
      <c r="AU21" s="1" t="s">
        <v>390</v>
      </c>
      <c r="AV21" s="1" t="s">
        <v>419</v>
      </c>
      <c r="AW21" s="1" t="s">
        <v>420</v>
      </c>
      <c r="AX21" s="1" t="s">
        <v>377</v>
      </c>
      <c r="AY21" s="1" t="s">
        <v>121</v>
      </c>
      <c r="AZ21" s="1" t="s">
        <v>377</v>
      </c>
      <c r="BA21" s="2"/>
      <c r="BB21" s="13" t="s">
        <v>429</v>
      </c>
      <c r="BC21" s="15" t="s">
        <v>116</v>
      </c>
      <c r="BD21" s="15" t="s">
        <v>254</v>
      </c>
      <c r="BE21" s="13" t="s">
        <v>116</v>
      </c>
      <c r="BF21" s="16" t="s">
        <v>432</v>
      </c>
      <c r="BG21" s="15" t="s">
        <v>110</v>
      </c>
      <c r="BH21" s="2"/>
      <c r="BK21" s="2"/>
    </row>
    <row r="22" spans="7:63" x14ac:dyDescent="0.5">
      <c r="G22" s="1" t="s">
        <v>202</v>
      </c>
      <c r="H22" s="1" t="s">
        <v>202</v>
      </c>
      <c r="I22" s="1" t="s">
        <v>202</v>
      </c>
      <c r="L22" s="1" t="s">
        <v>396</v>
      </c>
      <c r="M22" s="1" t="s">
        <v>192</v>
      </c>
      <c r="N22" s="1" t="s">
        <v>433</v>
      </c>
      <c r="O22" s="1" t="s">
        <v>433</v>
      </c>
      <c r="P22" s="1" t="s">
        <v>434</v>
      </c>
      <c r="Q22" s="1" t="s">
        <v>435</v>
      </c>
      <c r="S22" s="1" t="s">
        <v>396</v>
      </c>
      <c r="T22" s="1" t="s">
        <v>192</v>
      </c>
      <c r="U22" s="1" t="s">
        <v>433</v>
      </c>
      <c r="V22" s="1" t="s">
        <v>433</v>
      </c>
      <c r="W22" s="1" t="s">
        <v>434</v>
      </c>
      <c r="X22" s="1" t="s">
        <v>435</v>
      </c>
      <c r="Y22" s="1" t="s">
        <v>436</v>
      </c>
      <c r="Z22" s="1" t="s">
        <v>341</v>
      </c>
      <c r="AA22" s="1" t="s">
        <v>375</v>
      </c>
      <c r="AB22" s="1" t="s">
        <v>318</v>
      </c>
      <c r="AC22" s="1" t="s">
        <v>437</v>
      </c>
      <c r="AD22" s="1" t="s">
        <v>132</v>
      </c>
      <c r="AE22" s="1" t="s">
        <v>438</v>
      </c>
      <c r="AF22" s="1" t="s">
        <v>419</v>
      </c>
      <c r="AG22" s="1" t="s">
        <v>439</v>
      </c>
      <c r="AL22" s="2" t="s">
        <v>440</v>
      </c>
      <c r="AM22" s="2" t="s">
        <v>441</v>
      </c>
      <c r="AN22" s="2" t="s">
        <v>335</v>
      </c>
      <c r="AO22" s="2" t="s">
        <v>374</v>
      </c>
      <c r="AP22" s="2" t="s">
        <v>237</v>
      </c>
      <c r="AR22" s="1" t="s">
        <v>274</v>
      </c>
      <c r="AS22" s="1" t="s">
        <v>423</v>
      </c>
      <c r="AT22" s="1" t="s">
        <v>424</v>
      </c>
      <c r="AU22" s="1" t="s">
        <v>425</v>
      </c>
      <c r="AV22" s="1" t="s">
        <v>426</v>
      </c>
      <c r="AW22" s="1" t="s">
        <v>427</v>
      </c>
      <c r="AX22" s="1" t="s">
        <v>357</v>
      </c>
      <c r="AY22" s="1" t="s">
        <v>231</v>
      </c>
      <c r="AZ22" s="1" t="s">
        <v>428</v>
      </c>
      <c r="BB22" s="13" t="s">
        <v>430</v>
      </c>
      <c r="BC22" s="15" t="s">
        <v>296</v>
      </c>
      <c r="BD22" s="16" t="s">
        <v>326</v>
      </c>
      <c r="BE22" s="13" t="s">
        <v>234</v>
      </c>
      <c r="BF22" s="16" t="s">
        <v>246</v>
      </c>
      <c r="BG22" s="15" t="s">
        <v>284</v>
      </c>
    </row>
    <row r="23" spans="7:63" x14ac:dyDescent="0.5">
      <c r="G23" s="1" t="s">
        <v>203</v>
      </c>
      <c r="H23" s="1" t="s">
        <v>203</v>
      </c>
      <c r="I23" s="1" t="s">
        <v>203</v>
      </c>
      <c r="L23" s="1" t="s">
        <v>362</v>
      </c>
      <c r="M23" s="1" t="s">
        <v>354</v>
      </c>
      <c r="N23" s="1" t="s">
        <v>433</v>
      </c>
      <c r="O23" s="1" t="s">
        <v>391</v>
      </c>
      <c r="P23" s="1" t="s">
        <v>115</v>
      </c>
      <c r="Q23" s="1" t="s">
        <v>273</v>
      </c>
      <c r="S23" s="1" t="s">
        <v>362</v>
      </c>
      <c r="T23" s="1" t="s">
        <v>354</v>
      </c>
      <c r="U23" s="1" t="s">
        <v>433</v>
      </c>
      <c r="V23" s="1" t="s">
        <v>391</v>
      </c>
      <c r="W23" s="1" t="s">
        <v>115</v>
      </c>
      <c r="X23" s="1" t="s">
        <v>273</v>
      </c>
      <c r="Y23" s="1" t="s">
        <v>124</v>
      </c>
      <c r="Z23" s="1" t="s">
        <v>442</v>
      </c>
      <c r="AA23" s="1" t="s">
        <v>443</v>
      </c>
      <c r="AB23" s="1" t="s">
        <v>290</v>
      </c>
      <c r="AC23" s="1" t="s">
        <v>444</v>
      </c>
      <c r="AD23" s="1" t="s">
        <v>370</v>
      </c>
      <c r="AE23" s="1" t="s">
        <v>324</v>
      </c>
      <c r="AF23" s="1" t="s">
        <v>315</v>
      </c>
      <c r="AG23" s="1" t="s">
        <v>445</v>
      </c>
      <c r="AL23" s="2" t="s">
        <v>384</v>
      </c>
      <c r="AM23" s="2" t="s">
        <v>419</v>
      </c>
      <c r="AN23" s="2" t="s">
        <v>129</v>
      </c>
      <c r="AO23" s="2" t="s">
        <v>446</v>
      </c>
      <c r="AP23" s="2" t="s">
        <v>447</v>
      </c>
      <c r="AR23" s="1" t="s">
        <v>436</v>
      </c>
      <c r="AS23" s="1" t="s">
        <v>341</v>
      </c>
      <c r="AT23" s="1" t="s">
        <v>375</v>
      </c>
      <c r="AU23" s="1" t="s">
        <v>318</v>
      </c>
      <c r="AV23" s="1" t="s">
        <v>437</v>
      </c>
      <c r="AW23" s="1" t="s">
        <v>132</v>
      </c>
      <c r="AX23" s="1" t="s">
        <v>438</v>
      </c>
      <c r="AY23" s="1" t="s">
        <v>419</v>
      </c>
      <c r="AZ23" s="1" t="s">
        <v>439</v>
      </c>
      <c r="BB23" s="14" t="s">
        <v>440</v>
      </c>
      <c r="BC23" s="15" t="s">
        <v>311</v>
      </c>
      <c r="BD23" s="16" t="s">
        <v>273</v>
      </c>
      <c r="BE23" s="15" t="s">
        <v>367</v>
      </c>
      <c r="BF23" s="15" t="s">
        <v>220</v>
      </c>
      <c r="BG23" s="15" t="s">
        <v>275</v>
      </c>
    </row>
    <row r="24" spans="7:63" x14ac:dyDescent="0.5">
      <c r="G24" s="1" t="s">
        <v>204</v>
      </c>
      <c r="H24" s="1" t="s">
        <v>204</v>
      </c>
      <c r="I24" s="1" t="s">
        <v>204</v>
      </c>
      <c r="L24" s="1" t="s">
        <v>361</v>
      </c>
      <c r="M24" s="1" t="s">
        <v>124</v>
      </c>
      <c r="N24" s="1" t="s">
        <v>119</v>
      </c>
      <c r="O24" s="1" t="s">
        <v>448</v>
      </c>
      <c r="P24" s="1" t="s">
        <v>116</v>
      </c>
      <c r="Q24" s="1" t="s">
        <v>315</v>
      </c>
      <c r="S24" s="1" t="s">
        <v>361</v>
      </c>
      <c r="T24" s="1" t="s">
        <v>124</v>
      </c>
      <c r="U24" s="1" t="s">
        <v>119</v>
      </c>
      <c r="V24" s="1" t="s">
        <v>448</v>
      </c>
      <c r="W24" s="1" t="s">
        <v>116</v>
      </c>
      <c r="X24" s="1" t="s">
        <v>315</v>
      </c>
      <c r="Y24" s="1" t="s">
        <v>277</v>
      </c>
      <c r="Z24" s="1" t="s">
        <v>186</v>
      </c>
      <c r="AA24" s="1" t="s">
        <v>449</v>
      </c>
      <c r="AB24" s="1" t="s">
        <v>417</v>
      </c>
      <c r="AC24" s="1" t="s">
        <v>377</v>
      </c>
      <c r="AD24" s="1" t="s">
        <v>450</v>
      </c>
      <c r="AE24" s="1" t="s">
        <v>450</v>
      </c>
      <c r="AF24" s="1" t="s">
        <v>451</v>
      </c>
      <c r="AG24" s="1" t="s">
        <v>349</v>
      </c>
      <c r="AL24" s="2" t="s">
        <v>409</v>
      </c>
      <c r="AM24" s="2" t="s">
        <v>451</v>
      </c>
      <c r="AN24" s="2" t="s">
        <v>452</v>
      </c>
      <c r="AO24" s="2" t="s">
        <v>453</v>
      </c>
      <c r="AP24" s="2" t="s">
        <v>116</v>
      </c>
      <c r="AR24" s="1" t="s">
        <v>124</v>
      </c>
      <c r="AS24" s="1" t="s">
        <v>442</v>
      </c>
      <c r="AT24" s="1" t="s">
        <v>443</v>
      </c>
      <c r="AU24" s="1" t="s">
        <v>290</v>
      </c>
      <c r="AV24" s="1" t="s">
        <v>444</v>
      </c>
      <c r="AW24" s="1" t="s">
        <v>370</v>
      </c>
      <c r="AX24" s="1" t="s">
        <v>324</v>
      </c>
      <c r="AY24" s="1" t="s">
        <v>315</v>
      </c>
      <c r="AZ24" s="1" t="s">
        <v>445</v>
      </c>
      <c r="BB24" s="13" t="s">
        <v>384</v>
      </c>
      <c r="BC24" s="15" t="s">
        <v>118</v>
      </c>
      <c r="BD24" s="15" t="s">
        <v>315</v>
      </c>
      <c r="BE24" s="14" t="s">
        <v>324</v>
      </c>
      <c r="BF24" s="15" t="s">
        <v>351</v>
      </c>
      <c r="BG24" s="15" t="s">
        <v>454</v>
      </c>
    </row>
    <row r="25" spans="7:63" x14ac:dyDescent="0.5">
      <c r="G25" s="1" t="s">
        <v>205</v>
      </c>
      <c r="H25" s="1" t="s">
        <v>205</v>
      </c>
      <c r="I25" s="1" t="s">
        <v>205</v>
      </c>
      <c r="L25" s="1" t="s">
        <v>455</v>
      </c>
      <c r="M25" s="1" t="s">
        <v>396</v>
      </c>
      <c r="N25" s="1" t="s">
        <v>448</v>
      </c>
      <c r="O25" s="1" t="s">
        <v>446</v>
      </c>
      <c r="P25" s="1" t="s">
        <v>445</v>
      </c>
      <c r="Q25" s="1" t="s">
        <v>456</v>
      </c>
      <c r="S25" s="1" t="s">
        <v>455</v>
      </c>
      <c r="T25" s="1" t="s">
        <v>396</v>
      </c>
      <c r="U25" s="1" t="s">
        <v>448</v>
      </c>
      <c r="V25" s="1" t="s">
        <v>446</v>
      </c>
      <c r="W25" s="1" t="s">
        <v>445</v>
      </c>
      <c r="X25" s="1" t="s">
        <v>456</v>
      </c>
      <c r="Y25" s="1" t="s">
        <v>457</v>
      </c>
      <c r="Z25" s="1" t="s">
        <v>458</v>
      </c>
      <c r="AA25" s="1" t="s">
        <v>459</v>
      </c>
      <c r="AB25" s="1" t="s">
        <v>460</v>
      </c>
      <c r="AC25" s="1" t="s">
        <v>428</v>
      </c>
      <c r="AD25" s="1" t="s">
        <v>324</v>
      </c>
      <c r="AE25" s="1" t="s">
        <v>461</v>
      </c>
      <c r="AF25" s="1" t="s">
        <v>284</v>
      </c>
      <c r="AG25" s="1" t="s">
        <v>256</v>
      </c>
      <c r="AL25" s="2" t="s">
        <v>451</v>
      </c>
      <c r="AM25" s="2" t="s">
        <v>217</v>
      </c>
      <c r="AN25" s="2" t="s">
        <v>132</v>
      </c>
      <c r="AO25" s="2" t="s">
        <v>462</v>
      </c>
      <c r="AP25" s="2" t="s">
        <v>321</v>
      </c>
      <c r="AR25" s="1" t="s">
        <v>277</v>
      </c>
      <c r="AS25" s="1" t="s">
        <v>186</v>
      </c>
      <c r="AT25" s="1" t="s">
        <v>449</v>
      </c>
      <c r="AU25" s="1" t="s">
        <v>417</v>
      </c>
      <c r="AV25" s="1" t="s">
        <v>377</v>
      </c>
      <c r="AW25" s="1" t="s">
        <v>450</v>
      </c>
      <c r="AX25" s="1" t="s">
        <v>450</v>
      </c>
      <c r="AY25" s="1" t="s">
        <v>451</v>
      </c>
      <c r="AZ25" s="1" t="s">
        <v>349</v>
      </c>
      <c r="BB25" s="14" t="s">
        <v>409</v>
      </c>
      <c r="BC25" s="15" t="s">
        <v>391</v>
      </c>
      <c r="BD25" s="16" t="s">
        <v>302</v>
      </c>
      <c r="BE25" s="15" t="s">
        <v>392</v>
      </c>
      <c r="BF25" s="15" t="s">
        <v>463</v>
      </c>
      <c r="BG25" s="15" t="s">
        <v>323</v>
      </c>
    </row>
    <row r="26" spans="7:63" x14ac:dyDescent="0.5">
      <c r="L26" s="1" t="s">
        <v>410</v>
      </c>
      <c r="M26" s="1" t="s">
        <v>464</v>
      </c>
      <c r="N26" s="1" t="s">
        <v>362</v>
      </c>
      <c r="O26" s="1" t="s">
        <v>465</v>
      </c>
      <c r="P26" s="1" t="s">
        <v>404</v>
      </c>
      <c r="Q26" s="1" t="s">
        <v>302</v>
      </c>
      <c r="S26" s="1" t="s">
        <v>410</v>
      </c>
      <c r="T26" s="1" t="s">
        <v>464</v>
      </c>
      <c r="U26" s="1" t="s">
        <v>362</v>
      </c>
      <c r="V26" s="1" t="s">
        <v>465</v>
      </c>
      <c r="W26" s="1" t="s">
        <v>404</v>
      </c>
      <c r="X26" s="1" t="s">
        <v>302</v>
      </c>
      <c r="Y26" s="1" t="s">
        <v>285</v>
      </c>
      <c r="Z26" s="1" t="s">
        <v>231</v>
      </c>
      <c r="AA26" s="1" t="s">
        <v>233</v>
      </c>
      <c r="AB26" s="1" t="s">
        <v>466</v>
      </c>
      <c r="AC26" s="1" t="s">
        <v>467</v>
      </c>
      <c r="AD26" s="1" t="s">
        <v>461</v>
      </c>
      <c r="AE26" s="1" t="s">
        <v>220</v>
      </c>
      <c r="AF26" s="1" t="s">
        <v>468</v>
      </c>
      <c r="AG26" s="1" t="s">
        <v>469</v>
      </c>
      <c r="AL26" s="2" t="s">
        <v>451</v>
      </c>
      <c r="AM26" s="2" t="s">
        <v>470</v>
      </c>
      <c r="AN26" s="2" t="s">
        <v>217</v>
      </c>
      <c r="AO26" s="2" t="s">
        <v>421</v>
      </c>
      <c r="AP26" s="2" t="s">
        <v>119</v>
      </c>
      <c r="AR26" s="1" t="s">
        <v>457</v>
      </c>
      <c r="AS26" s="1" t="s">
        <v>458</v>
      </c>
      <c r="AT26" s="1" t="s">
        <v>459</v>
      </c>
      <c r="AU26" s="1" t="s">
        <v>460</v>
      </c>
      <c r="AV26" s="1" t="s">
        <v>428</v>
      </c>
      <c r="AW26" s="1" t="s">
        <v>324</v>
      </c>
      <c r="AX26" s="1" t="s">
        <v>461</v>
      </c>
      <c r="AY26" s="1" t="s">
        <v>284</v>
      </c>
      <c r="AZ26" s="1" t="s">
        <v>256</v>
      </c>
      <c r="BB26" s="13" t="s">
        <v>451</v>
      </c>
      <c r="BC26" s="15" t="s">
        <v>325</v>
      </c>
      <c r="BD26" s="15" t="s">
        <v>345</v>
      </c>
      <c r="BE26" s="16" t="s">
        <v>320</v>
      </c>
      <c r="BF26" s="15" t="s">
        <v>268</v>
      </c>
      <c r="BG26" s="15" t="s">
        <v>315</v>
      </c>
    </row>
    <row r="27" spans="7:63" x14ac:dyDescent="0.5">
      <c r="L27" s="1" t="s">
        <v>471</v>
      </c>
      <c r="M27" s="1" t="s">
        <v>374</v>
      </c>
      <c r="N27" s="1" t="s">
        <v>464</v>
      </c>
      <c r="O27" s="1" t="s">
        <v>453</v>
      </c>
      <c r="P27" s="1" t="s">
        <v>340</v>
      </c>
      <c r="Q27" s="1" t="s">
        <v>381</v>
      </c>
      <c r="S27" s="1" t="s">
        <v>471</v>
      </c>
      <c r="T27" s="1" t="s">
        <v>374</v>
      </c>
      <c r="U27" s="1" t="s">
        <v>464</v>
      </c>
      <c r="V27" s="1" t="s">
        <v>453</v>
      </c>
      <c r="W27" s="1" t="s">
        <v>340</v>
      </c>
      <c r="X27" s="1" t="s">
        <v>381</v>
      </c>
      <c r="Y27" s="1" t="s">
        <v>233</v>
      </c>
      <c r="Z27" s="1" t="s">
        <v>271</v>
      </c>
      <c r="AA27" s="1" t="s">
        <v>186</v>
      </c>
      <c r="AB27" s="1" t="s">
        <v>280</v>
      </c>
      <c r="AC27" s="1" t="s">
        <v>324</v>
      </c>
      <c r="AD27" s="1" t="s">
        <v>220</v>
      </c>
      <c r="AE27" s="1" t="s">
        <v>472</v>
      </c>
      <c r="AF27" s="1" t="s">
        <v>473</v>
      </c>
      <c r="AG27" s="1" t="s">
        <v>138</v>
      </c>
      <c r="AL27" s="2" t="s">
        <v>474</v>
      </c>
      <c r="AM27" s="2" t="s">
        <v>337</v>
      </c>
      <c r="AN27" s="2" t="s">
        <v>450</v>
      </c>
      <c r="AO27" s="2" t="s">
        <v>347</v>
      </c>
      <c r="AP27" s="2" t="s">
        <v>448</v>
      </c>
      <c r="AR27" s="1" t="s">
        <v>285</v>
      </c>
      <c r="AS27" s="1" t="s">
        <v>231</v>
      </c>
      <c r="AT27" s="1" t="s">
        <v>233</v>
      </c>
      <c r="AU27" s="1" t="s">
        <v>466</v>
      </c>
      <c r="AV27" s="1" t="s">
        <v>467</v>
      </c>
      <c r="AW27" s="1" t="s">
        <v>461</v>
      </c>
      <c r="AX27" s="1" t="s">
        <v>220</v>
      </c>
      <c r="AY27" s="1" t="s">
        <v>468</v>
      </c>
      <c r="AZ27" s="1" t="s">
        <v>469</v>
      </c>
      <c r="BB27" s="18" t="s">
        <v>474</v>
      </c>
      <c r="BC27" s="15" t="s">
        <v>414</v>
      </c>
      <c r="BD27" s="15" t="s">
        <v>237</v>
      </c>
      <c r="BE27" s="14" t="s">
        <v>344</v>
      </c>
      <c r="BF27" s="16" t="s">
        <v>252</v>
      </c>
      <c r="BG27" s="15" t="s">
        <v>408</v>
      </c>
    </row>
    <row r="28" spans="7:63" x14ac:dyDescent="0.5">
      <c r="L28" s="1" t="s">
        <v>421</v>
      </c>
      <c r="M28" s="1" t="s">
        <v>399</v>
      </c>
      <c r="N28" s="1" t="s">
        <v>399</v>
      </c>
      <c r="O28" s="1" t="s">
        <v>361</v>
      </c>
      <c r="P28" s="1" t="s">
        <v>118</v>
      </c>
      <c r="Q28" s="1" t="s">
        <v>345</v>
      </c>
      <c r="S28" s="1" t="s">
        <v>421</v>
      </c>
      <c r="T28" s="1" t="s">
        <v>399</v>
      </c>
      <c r="U28" s="1" t="s">
        <v>399</v>
      </c>
      <c r="V28" s="1" t="s">
        <v>361</v>
      </c>
      <c r="W28" s="1" t="s">
        <v>118</v>
      </c>
      <c r="X28" s="1" t="s">
        <v>345</v>
      </c>
      <c r="Y28" s="1" t="s">
        <v>135</v>
      </c>
      <c r="Z28" s="1" t="s">
        <v>382</v>
      </c>
      <c r="AA28" s="1" t="s">
        <v>475</v>
      </c>
      <c r="AB28" s="1" t="s">
        <v>476</v>
      </c>
      <c r="AC28" s="1" t="s">
        <v>461</v>
      </c>
      <c r="AD28" s="1" t="s">
        <v>477</v>
      </c>
      <c r="AE28" s="1" t="s">
        <v>478</v>
      </c>
      <c r="AF28" s="1" t="s">
        <v>479</v>
      </c>
      <c r="AG28" s="1" t="s">
        <v>454</v>
      </c>
      <c r="AL28" s="2"/>
      <c r="AM28" s="2"/>
      <c r="AN28" s="2" t="s">
        <v>480</v>
      </c>
      <c r="AO28" s="2" t="s">
        <v>419</v>
      </c>
      <c r="AP28" s="2" t="s">
        <v>325</v>
      </c>
      <c r="AR28" s="1" t="s">
        <v>233</v>
      </c>
      <c r="AS28" s="1" t="s">
        <v>271</v>
      </c>
      <c r="AT28" s="1" t="s">
        <v>186</v>
      </c>
      <c r="AU28" s="1" t="s">
        <v>280</v>
      </c>
      <c r="AV28" s="1" t="s">
        <v>324</v>
      </c>
      <c r="AW28" s="1" t="s">
        <v>220</v>
      </c>
      <c r="AX28" s="1" t="s">
        <v>472</v>
      </c>
      <c r="AY28" s="1" t="s">
        <v>473</v>
      </c>
      <c r="AZ28" s="1" t="s">
        <v>138</v>
      </c>
      <c r="BB28" s="18"/>
      <c r="BC28" s="15" t="s">
        <v>341</v>
      </c>
      <c r="BD28" s="16" t="s">
        <v>114</v>
      </c>
      <c r="BE28" s="13" t="s">
        <v>389</v>
      </c>
      <c r="BF28" s="15" t="s">
        <v>293</v>
      </c>
      <c r="BG28" s="15" t="s">
        <v>439</v>
      </c>
    </row>
    <row r="29" spans="7:63" x14ac:dyDescent="0.5">
      <c r="L29" s="1" t="s">
        <v>481</v>
      </c>
      <c r="M29" s="1" t="s">
        <v>465</v>
      </c>
      <c r="N29" s="1" t="s">
        <v>453</v>
      </c>
      <c r="O29" s="1" t="s">
        <v>405</v>
      </c>
      <c r="P29" s="1" t="s">
        <v>482</v>
      </c>
      <c r="Q29" s="1" t="s">
        <v>308</v>
      </c>
      <c r="S29" s="1" t="s">
        <v>481</v>
      </c>
      <c r="T29" s="1" t="s">
        <v>465</v>
      </c>
      <c r="U29" s="1" t="s">
        <v>453</v>
      </c>
      <c r="V29" s="1" t="s">
        <v>405</v>
      </c>
      <c r="W29" s="1" t="s">
        <v>482</v>
      </c>
      <c r="X29" s="1" t="s">
        <v>308</v>
      </c>
      <c r="Y29" s="1" t="s">
        <v>483</v>
      </c>
      <c r="Z29" s="1" t="s">
        <v>484</v>
      </c>
      <c r="AA29" s="1" t="s">
        <v>484</v>
      </c>
      <c r="AB29" s="1" t="s">
        <v>485</v>
      </c>
      <c r="AC29" s="1" t="s">
        <v>450</v>
      </c>
      <c r="AD29" s="1" t="s">
        <v>486</v>
      </c>
      <c r="AE29" s="1" t="s">
        <v>404</v>
      </c>
      <c r="AF29" s="1" t="s">
        <v>331</v>
      </c>
      <c r="AG29" s="1" t="s">
        <v>422</v>
      </c>
      <c r="AL29" s="2"/>
      <c r="AN29" s="2" t="s">
        <v>487</v>
      </c>
      <c r="AO29" s="2" t="s">
        <v>488</v>
      </c>
      <c r="AP29" s="2" t="s">
        <v>489</v>
      </c>
      <c r="AR29" s="1" t="s">
        <v>135</v>
      </c>
      <c r="AS29" s="1" t="s">
        <v>382</v>
      </c>
      <c r="AT29" s="1" t="s">
        <v>475</v>
      </c>
      <c r="AU29" s="1" t="s">
        <v>476</v>
      </c>
      <c r="AV29" s="1" t="s">
        <v>461</v>
      </c>
      <c r="AW29" s="1" t="s">
        <v>477</v>
      </c>
      <c r="AX29" s="1" t="s">
        <v>478</v>
      </c>
      <c r="AY29" s="1" t="s">
        <v>479</v>
      </c>
      <c r="AZ29" s="1" t="s">
        <v>454</v>
      </c>
      <c r="BC29" s="15" t="s">
        <v>192</v>
      </c>
      <c r="BD29" s="15" t="s">
        <v>342</v>
      </c>
      <c r="BE29" s="15" t="s">
        <v>311</v>
      </c>
      <c r="BF29" s="15" t="s">
        <v>110</v>
      </c>
      <c r="BG29" s="15" t="s">
        <v>308</v>
      </c>
    </row>
    <row r="30" spans="7:63" x14ac:dyDescent="0.5">
      <c r="L30" s="1" t="s">
        <v>347</v>
      </c>
      <c r="M30" s="1" t="s">
        <v>278</v>
      </c>
      <c r="N30" s="1" t="s">
        <v>361</v>
      </c>
      <c r="O30" s="1" t="s">
        <v>129</v>
      </c>
      <c r="P30" s="1" t="s">
        <v>490</v>
      </c>
      <c r="Q30" s="1" t="s">
        <v>308</v>
      </c>
      <c r="S30" s="1" t="s">
        <v>347</v>
      </c>
      <c r="T30" s="1" t="s">
        <v>278</v>
      </c>
      <c r="U30" s="1" t="s">
        <v>361</v>
      </c>
      <c r="V30" s="1" t="s">
        <v>129</v>
      </c>
      <c r="W30" s="1" t="s">
        <v>490</v>
      </c>
      <c r="X30" s="1" t="s">
        <v>308</v>
      </c>
      <c r="Y30" s="1" t="s">
        <v>138</v>
      </c>
      <c r="Z30" s="1" t="s">
        <v>396</v>
      </c>
      <c r="AA30" s="1" t="s">
        <v>123</v>
      </c>
      <c r="AB30" s="1" t="s">
        <v>125</v>
      </c>
      <c r="AC30" s="1" t="s">
        <v>491</v>
      </c>
      <c r="AD30" s="1" t="s">
        <v>464</v>
      </c>
      <c r="AE30" s="1" t="s">
        <v>128</v>
      </c>
      <c r="AL30" s="2"/>
      <c r="AN30" s="2" t="s">
        <v>478</v>
      </c>
      <c r="AO30" s="2" t="s">
        <v>492</v>
      </c>
      <c r="AP30" s="2" t="s">
        <v>121</v>
      </c>
      <c r="AR30" s="1" t="s">
        <v>483</v>
      </c>
      <c r="AS30" s="1" t="s">
        <v>484</v>
      </c>
      <c r="AT30" s="1" t="s">
        <v>484</v>
      </c>
      <c r="AU30" s="1" t="s">
        <v>485</v>
      </c>
      <c r="AV30" s="1" t="s">
        <v>450</v>
      </c>
      <c r="AW30" s="1" t="s">
        <v>486</v>
      </c>
      <c r="AX30" s="1" t="s">
        <v>404</v>
      </c>
      <c r="AY30" s="1" t="s">
        <v>331</v>
      </c>
      <c r="AZ30" s="1" t="s">
        <v>422</v>
      </c>
      <c r="BC30" s="15" t="s">
        <v>354</v>
      </c>
      <c r="BD30" s="15" t="s">
        <v>368</v>
      </c>
      <c r="BE30" s="16" t="s">
        <v>321</v>
      </c>
      <c r="BF30" s="16" t="s">
        <v>284</v>
      </c>
      <c r="BG30" s="15" t="s">
        <v>303</v>
      </c>
    </row>
    <row r="31" spans="7:63" x14ac:dyDescent="0.5">
      <c r="L31" s="1" t="s">
        <v>335</v>
      </c>
      <c r="M31" s="1" t="s">
        <v>420</v>
      </c>
      <c r="N31" s="1" t="s">
        <v>382</v>
      </c>
      <c r="O31" s="1" t="s">
        <v>419</v>
      </c>
      <c r="P31" s="1" t="s">
        <v>121</v>
      </c>
      <c r="Q31" s="1" t="s">
        <v>303</v>
      </c>
      <c r="S31" s="1" t="s">
        <v>335</v>
      </c>
      <c r="T31" s="1" t="s">
        <v>420</v>
      </c>
      <c r="U31" s="1" t="s">
        <v>382</v>
      </c>
      <c r="V31" s="1" t="s">
        <v>419</v>
      </c>
      <c r="W31" s="1" t="s">
        <v>121</v>
      </c>
      <c r="X31" s="1" t="s">
        <v>303</v>
      </c>
      <c r="Y31" s="1" t="s">
        <v>422</v>
      </c>
      <c r="Z31" s="1" t="s">
        <v>446</v>
      </c>
      <c r="AA31" s="1" t="s">
        <v>193</v>
      </c>
      <c r="AB31" s="1" t="s">
        <v>493</v>
      </c>
      <c r="AC31" s="1" t="s">
        <v>494</v>
      </c>
      <c r="AD31" s="1" t="s">
        <v>363</v>
      </c>
      <c r="AE31" s="1" t="s">
        <v>432</v>
      </c>
      <c r="AL31" s="2"/>
      <c r="AN31" s="2" t="s">
        <v>495</v>
      </c>
      <c r="AO31" s="2" t="s">
        <v>496</v>
      </c>
      <c r="AP31" s="2" t="s">
        <v>497</v>
      </c>
      <c r="AR31" s="1" t="s">
        <v>138</v>
      </c>
      <c r="AS31" s="1" t="s">
        <v>396</v>
      </c>
      <c r="AT31" s="1" t="s">
        <v>123</v>
      </c>
      <c r="AU31" s="1" t="s">
        <v>125</v>
      </c>
      <c r="AV31" s="1" t="s">
        <v>491</v>
      </c>
      <c r="AW31" s="1" t="s">
        <v>464</v>
      </c>
      <c r="AX31" s="1" t="s">
        <v>128</v>
      </c>
      <c r="BC31" s="15" t="s">
        <v>124</v>
      </c>
      <c r="BD31" s="16" t="s">
        <v>303</v>
      </c>
      <c r="BE31" s="15" t="s">
        <v>433</v>
      </c>
      <c r="BF31" s="16" t="s">
        <v>275</v>
      </c>
      <c r="BG31" s="15" t="s">
        <v>373</v>
      </c>
    </row>
    <row r="32" spans="7:63" x14ac:dyDescent="0.5">
      <c r="L32" s="1" t="s">
        <v>419</v>
      </c>
      <c r="M32" s="1" t="s">
        <v>430</v>
      </c>
      <c r="N32" s="1" t="s">
        <v>127</v>
      </c>
      <c r="O32" s="1" t="s">
        <v>492</v>
      </c>
      <c r="P32" s="1" t="s">
        <v>122</v>
      </c>
      <c r="Q32" s="1" t="s">
        <v>283</v>
      </c>
      <c r="S32" s="1" t="s">
        <v>419</v>
      </c>
      <c r="T32" s="1" t="s">
        <v>430</v>
      </c>
      <c r="U32" s="1" t="s">
        <v>127</v>
      </c>
      <c r="V32" s="1" t="s">
        <v>492</v>
      </c>
      <c r="W32" s="1" t="s">
        <v>122</v>
      </c>
      <c r="X32" s="1" t="s">
        <v>283</v>
      </c>
      <c r="Y32" s="1" t="s">
        <v>254</v>
      </c>
      <c r="Z32" s="1" t="s">
        <v>470</v>
      </c>
      <c r="AA32" s="1" t="s">
        <v>498</v>
      </c>
      <c r="AB32" s="1" t="s">
        <v>499</v>
      </c>
      <c r="AC32" s="1" t="s">
        <v>421</v>
      </c>
      <c r="AD32" s="1" t="s">
        <v>468</v>
      </c>
      <c r="AE32" s="1" t="s">
        <v>500</v>
      </c>
      <c r="AL32" s="2"/>
      <c r="AO32" s="2" t="s">
        <v>501</v>
      </c>
      <c r="AP32" s="2" t="s">
        <v>502</v>
      </c>
      <c r="AR32" s="1" t="s">
        <v>422</v>
      </c>
      <c r="AS32" s="1" t="s">
        <v>446</v>
      </c>
      <c r="AT32" s="1" t="s">
        <v>193</v>
      </c>
      <c r="AU32" s="1" t="s">
        <v>493</v>
      </c>
      <c r="AV32" s="1" t="s">
        <v>494</v>
      </c>
      <c r="AW32" s="1" t="s">
        <v>363</v>
      </c>
      <c r="AX32" s="1" t="s">
        <v>432</v>
      </c>
      <c r="BC32" s="15" t="s">
        <v>396</v>
      </c>
      <c r="BD32" s="16" t="s">
        <v>380</v>
      </c>
      <c r="BE32" s="15" t="s">
        <v>119</v>
      </c>
      <c r="BF32" s="15" t="s">
        <v>454</v>
      </c>
      <c r="BG32" s="15" t="s">
        <v>332</v>
      </c>
    </row>
    <row r="33" spans="12:59" x14ac:dyDescent="0.5">
      <c r="L33" s="1" t="s">
        <v>503</v>
      </c>
      <c r="M33" s="1" t="s">
        <v>503</v>
      </c>
      <c r="N33" s="1" t="s">
        <v>504</v>
      </c>
      <c r="O33" s="1" t="s">
        <v>409</v>
      </c>
      <c r="P33" s="1" t="s">
        <v>123</v>
      </c>
      <c r="Q33" s="1" t="s">
        <v>324</v>
      </c>
      <c r="S33" s="1" t="s">
        <v>503</v>
      </c>
      <c r="T33" s="1" t="s">
        <v>503</v>
      </c>
      <c r="U33" s="1" t="s">
        <v>504</v>
      </c>
      <c r="V33" s="1" t="s">
        <v>409</v>
      </c>
      <c r="W33" s="1" t="s">
        <v>123</v>
      </c>
      <c r="X33" s="1" t="s">
        <v>324</v>
      </c>
      <c r="Y33" s="1" t="s">
        <v>477</v>
      </c>
      <c r="Z33" s="1" t="s">
        <v>505</v>
      </c>
      <c r="AA33" s="1" t="s">
        <v>506</v>
      </c>
      <c r="AB33" s="1" t="s">
        <v>428</v>
      </c>
      <c r="AC33" s="1" t="s">
        <v>439</v>
      </c>
      <c r="AD33" s="1" t="s">
        <v>111</v>
      </c>
      <c r="AE33" s="1" t="s">
        <v>264</v>
      </c>
      <c r="AO33" s="2" t="s">
        <v>507</v>
      </c>
      <c r="AP33" s="2" t="s">
        <v>508</v>
      </c>
      <c r="AR33" s="1" t="s">
        <v>254</v>
      </c>
      <c r="AS33" s="1" t="s">
        <v>470</v>
      </c>
      <c r="AT33" s="1" t="s">
        <v>498</v>
      </c>
      <c r="AU33" s="1" t="s">
        <v>499</v>
      </c>
      <c r="AV33" s="1" t="s">
        <v>421</v>
      </c>
      <c r="AW33" s="1" t="s">
        <v>468</v>
      </c>
      <c r="AX33" s="1" t="s">
        <v>500</v>
      </c>
      <c r="BC33" s="15" t="s">
        <v>362</v>
      </c>
      <c r="BD33" s="15" t="s">
        <v>263</v>
      </c>
      <c r="BE33" s="16" t="s">
        <v>448</v>
      </c>
      <c r="BF33" s="15" t="s">
        <v>323</v>
      </c>
      <c r="BG33" s="15" t="s">
        <v>363</v>
      </c>
    </row>
    <row r="34" spans="12:59" x14ac:dyDescent="0.5">
      <c r="L34" s="1" t="s">
        <v>492</v>
      </c>
      <c r="M34" s="1" t="s">
        <v>468</v>
      </c>
      <c r="N34" s="1" t="s">
        <v>335</v>
      </c>
      <c r="O34" s="1" t="s">
        <v>451</v>
      </c>
      <c r="P34" s="1" t="s">
        <v>124</v>
      </c>
      <c r="Q34" s="1" t="s">
        <v>404</v>
      </c>
      <c r="S34" s="1" t="s">
        <v>492</v>
      </c>
      <c r="T34" s="1" t="s">
        <v>468</v>
      </c>
      <c r="U34" s="1" t="s">
        <v>335</v>
      </c>
      <c r="V34" s="1" t="s">
        <v>451</v>
      </c>
      <c r="W34" s="1" t="s">
        <v>124</v>
      </c>
      <c r="X34" s="1" t="s">
        <v>404</v>
      </c>
      <c r="Y34" s="1" t="s">
        <v>509</v>
      </c>
      <c r="Z34" s="1" t="s">
        <v>409</v>
      </c>
      <c r="AA34" s="1" t="s">
        <v>510</v>
      </c>
      <c r="AB34" s="1" t="s">
        <v>511</v>
      </c>
      <c r="AC34" s="1" t="s">
        <v>391</v>
      </c>
      <c r="AE34" s="1" t="s">
        <v>512</v>
      </c>
      <c r="AO34" s="2" t="s">
        <v>513</v>
      </c>
      <c r="AP34" s="2" t="s">
        <v>514</v>
      </c>
      <c r="AR34" s="1" t="s">
        <v>477</v>
      </c>
      <c r="AS34" s="1" t="s">
        <v>505</v>
      </c>
      <c r="AT34" s="1" t="s">
        <v>506</v>
      </c>
      <c r="AU34" s="1" t="s">
        <v>428</v>
      </c>
      <c r="AV34" s="1" t="s">
        <v>439</v>
      </c>
      <c r="AW34" s="1" t="s">
        <v>111</v>
      </c>
      <c r="AX34" s="1" t="s">
        <v>264</v>
      </c>
      <c r="BC34" s="15" t="s">
        <v>464</v>
      </c>
      <c r="BD34" s="15" t="s">
        <v>355</v>
      </c>
      <c r="BE34" s="14" t="s">
        <v>400</v>
      </c>
      <c r="BF34" s="15" t="s">
        <v>512</v>
      </c>
      <c r="BG34" s="15" t="s">
        <v>445</v>
      </c>
    </row>
    <row r="35" spans="12:59" x14ac:dyDescent="0.5">
      <c r="L35" s="1" t="s">
        <v>306</v>
      </c>
      <c r="M35" s="1" t="s">
        <v>515</v>
      </c>
      <c r="N35" s="1" t="s">
        <v>516</v>
      </c>
      <c r="O35" s="1" t="s">
        <v>513</v>
      </c>
      <c r="P35" s="1" t="s">
        <v>374</v>
      </c>
      <c r="Q35" s="1" t="s">
        <v>461</v>
      </c>
      <c r="S35" s="1" t="s">
        <v>306</v>
      </c>
      <c r="T35" s="1" t="s">
        <v>515</v>
      </c>
      <c r="U35" s="1" t="s">
        <v>516</v>
      </c>
      <c r="V35" s="1" t="s">
        <v>513</v>
      </c>
      <c r="W35" s="1" t="s">
        <v>374</v>
      </c>
      <c r="X35" s="1" t="s">
        <v>461</v>
      </c>
      <c r="Y35" s="1" t="s">
        <v>517</v>
      </c>
      <c r="Z35" s="1" t="s">
        <v>518</v>
      </c>
      <c r="AA35" s="1" t="s">
        <v>519</v>
      </c>
      <c r="AB35" s="1" t="s">
        <v>520</v>
      </c>
      <c r="AC35" s="1" t="s">
        <v>495</v>
      </c>
      <c r="AE35" s="1" t="s">
        <v>521</v>
      </c>
      <c r="AO35" s="2" t="s">
        <v>365</v>
      </c>
      <c r="AP35" s="2" t="s">
        <v>397</v>
      </c>
      <c r="AR35" s="1" t="s">
        <v>509</v>
      </c>
      <c r="AS35" s="1" t="s">
        <v>409</v>
      </c>
      <c r="AT35" s="1" t="s">
        <v>510</v>
      </c>
      <c r="AU35" s="1" t="s">
        <v>511</v>
      </c>
      <c r="AV35" s="1" t="s">
        <v>391</v>
      </c>
      <c r="AX35" s="1" t="s">
        <v>512</v>
      </c>
      <c r="BC35" s="15" t="s">
        <v>374</v>
      </c>
      <c r="BD35" s="16" t="s">
        <v>373</v>
      </c>
      <c r="BE35" s="13" t="s">
        <v>396</v>
      </c>
      <c r="BF35" s="16" t="s">
        <v>422</v>
      </c>
      <c r="BG35" s="15" t="s">
        <v>324</v>
      </c>
    </row>
    <row r="36" spans="12:59" x14ac:dyDescent="0.5">
      <c r="L36" s="1" t="s">
        <v>409</v>
      </c>
      <c r="M36" s="1" t="s">
        <v>217</v>
      </c>
      <c r="N36" s="1" t="s">
        <v>452</v>
      </c>
      <c r="O36" s="1" t="s">
        <v>522</v>
      </c>
      <c r="P36" s="1" t="s">
        <v>518</v>
      </c>
      <c r="Q36" s="1" t="s">
        <v>118</v>
      </c>
      <c r="S36" s="1" t="s">
        <v>409</v>
      </c>
      <c r="T36" s="1" t="s">
        <v>217</v>
      </c>
      <c r="U36" s="1" t="s">
        <v>452</v>
      </c>
      <c r="V36" s="1" t="s">
        <v>522</v>
      </c>
      <c r="W36" s="1" t="s">
        <v>518</v>
      </c>
      <c r="X36" s="1" t="s">
        <v>118</v>
      </c>
      <c r="Y36" s="1" t="s">
        <v>461</v>
      </c>
      <c r="Z36" s="1" t="s">
        <v>523</v>
      </c>
      <c r="AA36" s="1" t="s">
        <v>504</v>
      </c>
      <c r="AB36" s="1" t="s">
        <v>220</v>
      </c>
      <c r="AC36" s="1" t="s">
        <v>259</v>
      </c>
      <c r="AE36" s="1" t="s">
        <v>463</v>
      </c>
      <c r="AP36" s="2" t="s">
        <v>405</v>
      </c>
      <c r="AR36" s="1" t="s">
        <v>517</v>
      </c>
      <c r="AS36" s="1" t="s">
        <v>518</v>
      </c>
      <c r="AT36" s="1" t="s">
        <v>519</v>
      </c>
      <c r="AU36" s="1" t="s">
        <v>520</v>
      </c>
      <c r="AV36" s="1" t="s">
        <v>495</v>
      </c>
      <c r="AX36" s="1" t="s">
        <v>521</v>
      </c>
      <c r="BC36" s="15" t="s">
        <v>388</v>
      </c>
      <c r="BD36" s="15" t="s">
        <v>332</v>
      </c>
      <c r="BE36" s="15" t="s">
        <v>362</v>
      </c>
      <c r="BF36" s="16" t="s">
        <v>472</v>
      </c>
      <c r="BG36" s="15" t="s">
        <v>461</v>
      </c>
    </row>
    <row r="37" spans="12:59" x14ac:dyDescent="0.5">
      <c r="L37" s="1" t="s">
        <v>524</v>
      </c>
      <c r="M37" s="1" t="s">
        <v>470</v>
      </c>
      <c r="N37" s="1" t="s">
        <v>525</v>
      </c>
      <c r="P37" s="1" t="s">
        <v>399</v>
      </c>
      <c r="Q37" s="1" t="s">
        <v>321</v>
      </c>
      <c r="S37" s="1" t="s">
        <v>524</v>
      </c>
      <c r="T37" s="1" t="s">
        <v>470</v>
      </c>
      <c r="U37" s="1" t="s">
        <v>525</v>
      </c>
      <c r="W37" s="1" t="s">
        <v>399</v>
      </c>
      <c r="X37" s="1" t="s">
        <v>321</v>
      </c>
      <c r="Y37" s="1" t="s">
        <v>525</v>
      </c>
      <c r="Z37" s="1" t="s">
        <v>318</v>
      </c>
      <c r="AA37" s="1" t="s">
        <v>115</v>
      </c>
      <c r="AB37" s="1" t="s">
        <v>347</v>
      </c>
      <c r="AC37" s="1" t="s">
        <v>281</v>
      </c>
      <c r="AE37" s="1" t="s">
        <v>256</v>
      </c>
      <c r="AP37" s="2" t="s">
        <v>526</v>
      </c>
      <c r="AR37" s="1" t="s">
        <v>461</v>
      </c>
      <c r="AS37" s="1" t="s">
        <v>523</v>
      </c>
      <c r="AT37" s="1" t="s">
        <v>504</v>
      </c>
      <c r="AU37" s="1" t="s">
        <v>220</v>
      </c>
      <c r="AV37" s="1" t="s">
        <v>259</v>
      </c>
      <c r="AX37" s="1" t="s">
        <v>463</v>
      </c>
      <c r="BC37" s="15" t="s">
        <v>399</v>
      </c>
      <c r="BD37" s="15" t="s">
        <v>116</v>
      </c>
      <c r="BE37" s="16" t="s">
        <v>464</v>
      </c>
      <c r="BF37" s="16" t="s">
        <v>338</v>
      </c>
      <c r="BG37" s="15" t="s">
        <v>321</v>
      </c>
    </row>
    <row r="38" spans="12:59" x14ac:dyDescent="0.5">
      <c r="L38" s="1" t="s">
        <v>505</v>
      </c>
      <c r="M38" s="1" t="s">
        <v>450</v>
      </c>
      <c r="N38" s="1" t="s">
        <v>451</v>
      </c>
      <c r="P38" s="1" t="s">
        <v>527</v>
      </c>
      <c r="Q38" s="1" t="s">
        <v>119</v>
      </c>
      <c r="S38" s="1" t="s">
        <v>505</v>
      </c>
      <c r="T38" s="1" t="s">
        <v>450</v>
      </c>
      <c r="U38" s="1" t="s">
        <v>451</v>
      </c>
      <c r="W38" s="1" t="s">
        <v>527</v>
      </c>
      <c r="X38" s="1" t="s">
        <v>119</v>
      </c>
      <c r="Y38" s="1" t="s">
        <v>528</v>
      </c>
      <c r="Z38" s="1" t="s">
        <v>465</v>
      </c>
      <c r="AA38" s="1" t="s">
        <v>529</v>
      </c>
      <c r="AB38" s="1" t="s">
        <v>231</v>
      </c>
      <c r="AC38" s="1" t="s">
        <v>363</v>
      </c>
      <c r="AE38" s="1" t="s">
        <v>469</v>
      </c>
      <c r="AP38" s="2" t="s">
        <v>530</v>
      </c>
      <c r="AR38" s="1" t="s">
        <v>525</v>
      </c>
      <c r="AS38" s="1" t="s">
        <v>318</v>
      </c>
      <c r="AT38" s="1" t="s">
        <v>115</v>
      </c>
      <c r="AU38" s="1" t="s">
        <v>347</v>
      </c>
      <c r="AV38" s="1" t="s">
        <v>281</v>
      </c>
      <c r="AX38" s="1" t="s">
        <v>256</v>
      </c>
      <c r="BC38" s="15" t="s">
        <v>465</v>
      </c>
      <c r="BD38" s="13" t="s">
        <v>363</v>
      </c>
      <c r="BE38" s="13" t="s">
        <v>399</v>
      </c>
      <c r="BF38" s="16" t="s">
        <v>385</v>
      </c>
      <c r="BG38" s="15" t="s">
        <v>264</v>
      </c>
    </row>
    <row r="39" spans="12:59" x14ac:dyDescent="0.5">
      <c r="L39" s="1" t="s">
        <v>451</v>
      </c>
      <c r="M39" s="1" t="s">
        <v>513</v>
      </c>
      <c r="N39" s="1" t="s">
        <v>515</v>
      </c>
      <c r="P39" s="1" t="s">
        <v>531</v>
      </c>
      <c r="Q39" s="1" t="s">
        <v>119</v>
      </c>
      <c r="S39" s="1" t="s">
        <v>451</v>
      </c>
      <c r="T39" s="1" t="s">
        <v>513</v>
      </c>
      <c r="U39" s="1" t="s">
        <v>515</v>
      </c>
      <c r="W39" s="1" t="s">
        <v>531</v>
      </c>
      <c r="X39" s="1" t="s">
        <v>119</v>
      </c>
      <c r="Y39" s="1" t="s">
        <v>532</v>
      </c>
      <c r="Z39" s="1" t="s">
        <v>183</v>
      </c>
      <c r="AA39" s="1" t="s">
        <v>335</v>
      </c>
      <c r="AB39" s="1" t="s">
        <v>489</v>
      </c>
      <c r="AC39" s="1" t="s">
        <v>368</v>
      </c>
      <c r="AP39" s="2" t="s">
        <v>386</v>
      </c>
      <c r="AR39" s="1" t="s">
        <v>528</v>
      </c>
      <c r="AS39" s="1" t="s">
        <v>465</v>
      </c>
      <c r="AT39" s="1" t="s">
        <v>529</v>
      </c>
      <c r="AU39" s="1" t="s">
        <v>231</v>
      </c>
      <c r="AV39" s="1" t="s">
        <v>363</v>
      </c>
      <c r="AX39" s="1" t="s">
        <v>469</v>
      </c>
      <c r="BC39" s="15" t="s">
        <v>278</v>
      </c>
      <c r="BD39" s="14" t="s">
        <v>375</v>
      </c>
      <c r="BE39" s="16" t="s">
        <v>453</v>
      </c>
      <c r="BF39" s="16" t="s">
        <v>315</v>
      </c>
      <c r="BG39" s="15" t="s">
        <v>479</v>
      </c>
    </row>
    <row r="40" spans="12:59" x14ac:dyDescent="0.5">
      <c r="L40" s="1" t="s">
        <v>468</v>
      </c>
      <c r="M40" s="1" t="s">
        <v>337</v>
      </c>
      <c r="N40" s="1" t="s">
        <v>132</v>
      </c>
      <c r="P40" s="1" t="s">
        <v>532</v>
      </c>
      <c r="Q40" s="1" t="s">
        <v>533</v>
      </c>
      <c r="S40" s="1" t="s">
        <v>468</v>
      </c>
      <c r="T40" s="1" t="s">
        <v>337</v>
      </c>
      <c r="U40" s="1" t="s">
        <v>132</v>
      </c>
      <c r="W40" s="1" t="s">
        <v>532</v>
      </c>
      <c r="X40" s="1" t="s">
        <v>533</v>
      </c>
      <c r="Y40" s="1" t="s">
        <v>239</v>
      </c>
      <c r="Z40" s="1" t="s">
        <v>534</v>
      </c>
      <c r="AA40" s="1" t="s">
        <v>347</v>
      </c>
      <c r="AB40" s="1" t="s">
        <v>535</v>
      </c>
      <c r="AC40" s="1" t="s">
        <v>220</v>
      </c>
      <c r="AP40" s="2" t="s">
        <v>536</v>
      </c>
      <c r="AR40" s="1" t="s">
        <v>532</v>
      </c>
      <c r="AS40" s="1" t="s">
        <v>183</v>
      </c>
      <c r="AT40" s="1" t="s">
        <v>335</v>
      </c>
      <c r="AU40" s="1" t="s">
        <v>489</v>
      </c>
      <c r="AV40" s="1" t="s">
        <v>368</v>
      </c>
      <c r="BC40" s="15" t="s">
        <v>398</v>
      </c>
      <c r="BD40" s="16" t="s">
        <v>234</v>
      </c>
      <c r="BE40" s="15" t="s">
        <v>361</v>
      </c>
      <c r="BF40" s="16" t="s">
        <v>408</v>
      </c>
      <c r="BG40" s="15" t="s">
        <v>192</v>
      </c>
    </row>
    <row r="41" spans="12:59" x14ac:dyDescent="0.5">
      <c r="L41" s="1" t="s">
        <v>319</v>
      </c>
      <c r="M41" s="1" t="s">
        <v>135</v>
      </c>
      <c r="N41" s="1" t="s">
        <v>487</v>
      </c>
      <c r="P41" s="1" t="s">
        <v>382</v>
      </c>
      <c r="Q41" s="1" t="s">
        <v>537</v>
      </c>
      <c r="S41" s="1" t="s">
        <v>319</v>
      </c>
      <c r="T41" s="1" t="s">
        <v>135</v>
      </c>
      <c r="U41" s="1" t="s">
        <v>487</v>
      </c>
      <c r="W41" s="1" t="s">
        <v>382</v>
      </c>
      <c r="X41" s="1" t="s">
        <v>537</v>
      </c>
      <c r="Y41" s="1" t="s">
        <v>538</v>
      </c>
      <c r="AA41" s="1" t="s">
        <v>470</v>
      </c>
      <c r="AB41" s="1" t="s">
        <v>419</v>
      </c>
      <c r="AP41" s="2" t="s">
        <v>539</v>
      </c>
      <c r="AR41" s="1" t="s">
        <v>239</v>
      </c>
      <c r="AS41" s="1" t="s">
        <v>534</v>
      </c>
      <c r="AT41" s="1" t="s">
        <v>347</v>
      </c>
      <c r="AU41" s="1" t="s">
        <v>535</v>
      </c>
      <c r="AV41" s="1" t="s">
        <v>220</v>
      </c>
      <c r="BC41" s="15" t="s">
        <v>420</v>
      </c>
      <c r="BD41" s="15" t="s">
        <v>367</v>
      </c>
      <c r="BE41" s="16" t="s">
        <v>382</v>
      </c>
      <c r="BF41" s="15" t="s">
        <v>439</v>
      </c>
      <c r="BG41" s="15" t="s">
        <v>121</v>
      </c>
    </row>
    <row r="42" spans="12:59" x14ac:dyDescent="0.5">
      <c r="L42" s="1" t="s">
        <v>470</v>
      </c>
      <c r="M42" s="1" t="s">
        <v>290</v>
      </c>
      <c r="N42" s="1" t="s">
        <v>495</v>
      </c>
      <c r="P42" s="1" t="s">
        <v>271</v>
      </c>
      <c r="Q42" s="1" t="s">
        <v>514</v>
      </c>
      <c r="S42" s="1" t="s">
        <v>470</v>
      </c>
      <c r="T42" s="1" t="s">
        <v>290</v>
      </c>
      <c r="U42" s="1" t="s">
        <v>495</v>
      </c>
      <c r="W42" s="1" t="s">
        <v>271</v>
      </c>
      <c r="X42" s="1" t="s">
        <v>514</v>
      </c>
      <c r="Y42" s="1" t="s">
        <v>110</v>
      </c>
      <c r="AA42" s="1" t="s">
        <v>540</v>
      </c>
      <c r="AB42" s="1" t="s">
        <v>475</v>
      </c>
      <c r="AP42" s="2" t="s">
        <v>492</v>
      </c>
      <c r="AR42" s="1" t="s">
        <v>538</v>
      </c>
      <c r="AT42" s="1" t="s">
        <v>470</v>
      </c>
      <c r="AU42" s="1" t="s">
        <v>419</v>
      </c>
      <c r="BC42" s="15" t="s">
        <v>421</v>
      </c>
      <c r="BD42" s="13" t="s">
        <v>324</v>
      </c>
      <c r="BE42" s="15" t="s">
        <v>127</v>
      </c>
      <c r="BF42" s="16" t="s">
        <v>308</v>
      </c>
      <c r="BG42" s="15" t="s">
        <v>396</v>
      </c>
    </row>
    <row r="43" spans="12:59" x14ac:dyDescent="0.5">
      <c r="L43" s="1" t="s">
        <v>541</v>
      </c>
      <c r="N43" s="1" t="s">
        <v>137</v>
      </c>
      <c r="P43" s="1" t="s">
        <v>233</v>
      </c>
      <c r="Q43" s="1" t="s">
        <v>397</v>
      </c>
      <c r="S43" s="1" t="s">
        <v>541</v>
      </c>
      <c r="U43" s="1" t="s">
        <v>137</v>
      </c>
      <c r="W43" s="1" t="s">
        <v>233</v>
      </c>
      <c r="X43" s="1" t="s">
        <v>397</v>
      </c>
      <c r="Y43" s="1" t="s">
        <v>187</v>
      </c>
      <c r="AA43" s="1" t="s">
        <v>542</v>
      </c>
      <c r="AB43" s="1" t="s">
        <v>543</v>
      </c>
      <c r="AP43" s="2" t="s">
        <v>544</v>
      </c>
      <c r="AR43" s="1" t="s">
        <v>110</v>
      </c>
      <c r="AT43" s="1" t="s">
        <v>540</v>
      </c>
      <c r="AU43" s="1" t="s">
        <v>475</v>
      </c>
      <c r="BC43" s="15" t="s">
        <v>441</v>
      </c>
      <c r="BD43" s="15" t="s">
        <v>392</v>
      </c>
      <c r="BE43" s="16" t="s">
        <v>504</v>
      </c>
      <c r="BF43" s="16" t="s">
        <v>113</v>
      </c>
      <c r="BG43" s="15" t="s">
        <v>397</v>
      </c>
    </row>
    <row r="44" spans="12:59" x14ac:dyDescent="0.5">
      <c r="L44" s="1" t="s">
        <v>450</v>
      </c>
      <c r="P44" s="1" t="s">
        <v>471</v>
      </c>
      <c r="Q44" s="1" t="s">
        <v>545</v>
      </c>
      <c r="S44" s="1" t="s">
        <v>450</v>
      </c>
      <c r="W44" s="1" t="s">
        <v>471</v>
      </c>
      <c r="X44" s="1" t="s">
        <v>545</v>
      </c>
      <c r="Y44" s="1" t="s">
        <v>446</v>
      </c>
      <c r="AA44" s="1" t="s">
        <v>546</v>
      </c>
      <c r="AB44" s="1" t="s">
        <v>409</v>
      </c>
      <c r="AP44" s="2" t="s">
        <v>450</v>
      </c>
      <c r="AR44" s="1" t="s">
        <v>187</v>
      </c>
      <c r="AT44" s="1" t="s">
        <v>542</v>
      </c>
      <c r="AU44" s="1" t="s">
        <v>543</v>
      </c>
      <c r="BC44" s="15" t="s">
        <v>419</v>
      </c>
      <c r="BD44" s="16" t="s">
        <v>320</v>
      </c>
      <c r="BE44" s="15" t="s">
        <v>335</v>
      </c>
      <c r="BF44" s="16" t="s">
        <v>331</v>
      </c>
      <c r="BG44" s="15" t="s">
        <v>193</v>
      </c>
    </row>
    <row r="45" spans="12:59" x14ac:dyDescent="0.5">
      <c r="L45" s="1" t="s">
        <v>547</v>
      </c>
      <c r="P45" s="1" t="s">
        <v>481</v>
      </c>
      <c r="Q45" s="1" t="s">
        <v>545</v>
      </c>
      <c r="S45" s="1" t="s">
        <v>547</v>
      </c>
      <c r="W45" s="1" t="s">
        <v>481</v>
      </c>
      <c r="X45" s="1" t="s">
        <v>545</v>
      </c>
      <c r="Y45" s="1" t="s">
        <v>112</v>
      </c>
      <c r="AA45" s="1" t="s">
        <v>548</v>
      </c>
      <c r="AB45" s="1" t="s">
        <v>446</v>
      </c>
      <c r="AP45" s="2" t="s">
        <v>412</v>
      </c>
      <c r="AR45" s="1" t="s">
        <v>446</v>
      </c>
      <c r="AT45" s="1" t="s">
        <v>546</v>
      </c>
      <c r="AU45" s="1" t="s">
        <v>409</v>
      </c>
      <c r="BC45" s="15" t="s">
        <v>503</v>
      </c>
      <c r="BD45" s="14" t="s">
        <v>305</v>
      </c>
      <c r="BE45" s="16" t="s">
        <v>516</v>
      </c>
      <c r="BF45" s="15" t="s">
        <v>303</v>
      </c>
      <c r="BG45" s="15" t="s">
        <v>218</v>
      </c>
    </row>
    <row r="46" spans="12:59" x14ac:dyDescent="0.5">
      <c r="P46" s="1" t="s">
        <v>347</v>
      </c>
      <c r="Q46" s="1" t="s">
        <v>405</v>
      </c>
      <c r="W46" s="1" t="s">
        <v>347</v>
      </c>
      <c r="X46" s="1" t="s">
        <v>405</v>
      </c>
      <c r="Y46" s="1" t="s">
        <v>549</v>
      </c>
      <c r="AA46" s="1" t="s">
        <v>306</v>
      </c>
      <c r="AB46" s="1" t="s">
        <v>116</v>
      </c>
      <c r="AP46" s="2" t="s">
        <v>137</v>
      </c>
      <c r="AR46" s="1" t="s">
        <v>112</v>
      </c>
      <c r="AT46" s="1" t="s">
        <v>548</v>
      </c>
      <c r="AU46" s="1" t="s">
        <v>446</v>
      </c>
      <c r="BC46" s="15" t="s">
        <v>451</v>
      </c>
      <c r="BD46" s="13" t="s">
        <v>411</v>
      </c>
      <c r="BE46" s="13" t="s">
        <v>129</v>
      </c>
      <c r="BF46" s="15" t="s">
        <v>373</v>
      </c>
      <c r="BG46" s="15" t="s">
        <v>128</v>
      </c>
    </row>
    <row r="47" spans="12:59" x14ac:dyDescent="0.5">
      <c r="P47" s="1" t="s">
        <v>335</v>
      </c>
      <c r="Q47" s="1" t="s">
        <v>233</v>
      </c>
      <c r="W47" s="1" t="s">
        <v>335</v>
      </c>
      <c r="X47" s="1" t="s">
        <v>233</v>
      </c>
      <c r="Y47" s="1" t="s">
        <v>550</v>
      </c>
      <c r="AA47" s="1" t="s">
        <v>124</v>
      </c>
      <c r="AB47" s="1" t="s">
        <v>551</v>
      </c>
      <c r="AP47" s="2"/>
      <c r="AR47" s="1" t="s">
        <v>549</v>
      </c>
      <c r="AT47" s="1" t="s">
        <v>306</v>
      </c>
      <c r="AU47" s="1" t="s">
        <v>116</v>
      </c>
      <c r="BC47" s="15" t="s">
        <v>468</v>
      </c>
      <c r="BD47" s="15" t="s">
        <v>311</v>
      </c>
      <c r="BE47" s="15" t="s">
        <v>452</v>
      </c>
      <c r="BF47" s="16" t="s">
        <v>332</v>
      </c>
      <c r="BG47" s="15" t="s">
        <v>386</v>
      </c>
    </row>
    <row r="48" spans="12:59" x14ac:dyDescent="0.5">
      <c r="P48" s="1" t="s">
        <v>335</v>
      </c>
      <c r="Q48" s="1" t="s">
        <v>471</v>
      </c>
      <c r="W48" s="1" t="s">
        <v>335</v>
      </c>
      <c r="X48" s="1" t="s">
        <v>471</v>
      </c>
      <c r="Y48" s="1" t="s">
        <v>552</v>
      </c>
      <c r="AA48" s="1" t="s">
        <v>417</v>
      </c>
      <c r="AB48" s="1" t="s">
        <v>138</v>
      </c>
      <c r="AR48" s="1" t="s">
        <v>550</v>
      </c>
      <c r="AT48" s="1" t="s">
        <v>124</v>
      </c>
      <c r="AU48" s="1" t="s">
        <v>551</v>
      </c>
      <c r="BC48" s="15" t="s">
        <v>515</v>
      </c>
      <c r="BD48" s="14" t="s">
        <v>118</v>
      </c>
      <c r="BE48" s="16" t="s">
        <v>525</v>
      </c>
      <c r="BF48" s="15" t="s">
        <v>363</v>
      </c>
      <c r="BG48" s="15" t="s">
        <v>419</v>
      </c>
    </row>
    <row r="49" spans="16:59" x14ac:dyDescent="0.5">
      <c r="P49" s="1" t="s">
        <v>553</v>
      </c>
      <c r="Q49" s="1" t="s">
        <v>554</v>
      </c>
      <c r="W49" s="1" t="s">
        <v>553</v>
      </c>
      <c r="X49" s="1" t="s">
        <v>554</v>
      </c>
      <c r="Y49" s="1" t="s">
        <v>237</v>
      </c>
      <c r="AA49" s="1" t="s">
        <v>439</v>
      </c>
      <c r="AB49" s="1" t="s">
        <v>136</v>
      </c>
      <c r="AR49" s="1" t="s">
        <v>552</v>
      </c>
      <c r="AT49" s="1" t="s">
        <v>417</v>
      </c>
      <c r="AU49" s="1" t="s">
        <v>138</v>
      </c>
      <c r="BC49" s="15" t="s">
        <v>217</v>
      </c>
      <c r="BD49" s="16" t="s">
        <v>321</v>
      </c>
      <c r="BE49" s="15" t="s">
        <v>451</v>
      </c>
      <c r="BF49" s="16" t="s">
        <v>445</v>
      </c>
      <c r="BG49" s="15" t="s">
        <v>238</v>
      </c>
    </row>
    <row r="50" spans="16:59" x14ac:dyDescent="0.5">
      <c r="P50" s="1" t="s">
        <v>129</v>
      </c>
      <c r="Q50" s="1" t="s">
        <v>441</v>
      </c>
      <c r="W50" s="1" t="s">
        <v>129</v>
      </c>
      <c r="X50" s="1" t="s">
        <v>441</v>
      </c>
      <c r="Y50" s="1" t="s">
        <v>368</v>
      </c>
      <c r="AA50" s="1" t="s">
        <v>221</v>
      </c>
      <c r="AB50" s="1" t="s">
        <v>470</v>
      </c>
      <c r="AR50" s="1" t="s">
        <v>237</v>
      </c>
      <c r="AT50" s="1" t="s">
        <v>439</v>
      </c>
      <c r="AU50" s="1" t="s">
        <v>136</v>
      </c>
      <c r="BC50" s="15" t="s">
        <v>470</v>
      </c>
      <c r="BD50" s="15" t="s">
        <v>433</v>
      </c>
      <c r="BE50" s="16" t="s">
        <v>515</v>
      </c>
      <c r="BF50" s="16" t="s">
        <v>324</v>
      </c>
      <c r="BG50" s="15" t="s">
        <v>294</v>
      </c>
    </row>
    <row r="51" spans="16:59" x14ac:dyDescent="0.5">
      <c r="P51" s="1" t="s">
        <v>555</v>
      </c>
      <c r="Q51" s="1" t="s">
        <v>556</v>
      </c>
      <c r="W51" s="1" t="s">
        <v>555</v>
      </c>
      <c r="X51" s="1" t="s">
        <v>556</v>
      </c>
      <c r="Y51" s="1" t="s">
        <v>557</v>
      </c>
      <c r="AA51" s="1" t="s">
        <v>445</v>
      </c>
      <c r="AB51" s="1" t="s">
        <v>492</v>
      </c>
      <c r="AR51" s="1" t="s">
        <v>368</v>
      </c>
      <c r="AT51" s="1" t="s">
        <v>221</v>
      </c>
      <c r="AU51" s="1" t="s">
        <v>470</v>
      </c>
      <c r="BC51" s="15" t="s">
        <v>450</v>
      </c>
      <c r="BD51" s="15" t="s">
        <v>119</v>
      </c>
      <c r="BE51" s="15" t="s">
        <v>132</v>
      </c>
      <c r="BF51" s="16" t="s">
        <v>404</v>
      </c>
      <c r="BG51" s="15" t="s">
        <v>500</v>
      </c>
    </row>
    <row r="52" spans="16:59" x14ac:dyDescent="0.5">
      <c r="P52" s="1" t="s">
        <v>523</v>
      </c>
      <c r="Q52" s="1" t="s">
        <v>544</v>
      </c>
      <c r="W52" s="1" t="s">
        <v>523</v>
      </c>
      <c r="X52" s="1" t="s">
        <v>544</v>
      </c>
      <c r="Y52" s="1" t="s">
        <v>492</v>
      </c>
      <c r="AA52" s="1" t="s">
        <v>399</v>
      </c>
      <c r="AB52" s="1" t="s">
        <v>558</v>
      </c>
      <c r="AR52" s="1" t="s">
        <v>557</v>
      </c>
      <c r="AT52" s="1" t="s">
        <v>445</v>
      </c>
      <c r="AU52" s="1" t="s">
        <v>492</v>
      </c>
      <c r="BC52" s="15" t="s">
        <v>513</v>
      </c>
      <c r="BD52" s="13" t="s">
        <v>391</v>
      </c>
      <c r="BE52" s="14" t="s">
        <v>217</v>
      </c>
      <c r="BF52" s="15" t="s">
        <v>349</v>
      </c>
      <c r="BG52" s="15" t="s">
        <v>521</v>
      </c>
    </row>
    <row r="53" spans="16:59" x14ac:dyDescent="0.5">
      <c r="P53" s="1" t="s">
        <v>441</v>
      </c>
      <c r="Q53" s="1" t="s">
        <v>443</v>
      </c>
      <c r="W53" s="1" t="s">
        <v>441</v>
      </c>
      <c r="X53" s="1" t="s">
        <v>443</v>
      </c>
      <c r="AA53" s="1" t="s">
        <v>559</v>
      </c>
      <c r="AB53" s="1" t="s">
        <v>560</v>
      </c>
      <c r="AR53" s="1" t="s">
        <v>492</v>
      </c>
      <c r="AT53" s="1" t="s">
        <v>399</v>
      </c>
      <c r="AU53" s="1" t="s">
        <v>558</v>
      </c>
      <c r="BC53" s="15" t="s">
        <v>337</v>
      </c>
      <c r="BD53" s="15" t="s">
        <v>448</v>
      </c>
      <c r="BE53" s="13" t="s">
        <v>450</v>
      </c>
      <c r="BF53" s="16" t="s">
        <v>461</v>
      </c>
      <c r="BG53" s="15" t="s">
        <v>409</v>
      </c>
    </row>
    <row r="54" spans="16:59" x14ac:dyDescent="0.5">
      <c r="P54" s="1" t="s">
        <v>457</v>
      </c>
      <c r="Q54" s="1" t="s">
        <v>132</v>
      </c>
      <c r="W54" s="1" t="s">
        <v>457</v>
      </c>
      <c r="X54" s="1" t="s">
        <v>132</v>
      </c>
      <c r="AA54" s="1" t="s">
        <v>561</v>
      </c>
      <c r="AB54" s="1" t="s">
        <v>132</v>
      </c>
      <c r="AT54" s="1" t="s">
        <v>559</v>
      </c>
      <c r="AU54" s="1" t="s">
        <v>560</v>
      </c>
      <c r="BC54" s="15" t="s">
        <v>135</v>
      </c>
      <c r="BD54" s="15" t="s">
        <v>362</v>
      </c>
      <c r="BE54" s="14" t="s">
        <v>480</v>
      </c>
      <c r="BF54" s="15" t="s">
        <v>321</v>
      </c>
      <c r="BG54" s="15" t="s">
        <v>451</v>
      </c>
    </row>
    <row r="55" spans="16:59" x14ac:dyDescent="0.5">
      <c r="P55" s="1" t="s">
        <v>131</v>
      </c>
      <c r="Q55" s="1" t="s">
        <v>416</v>
      </c>
      <c r="W55" s="1" t="s">
        <v>131</v>
      </c>
      <c r="X55" s="1" t="s">
        <v>416</v>
      </c>
      <c r="AA55" s="1" t="s">
        <v>452</v>
      </c>
      <c r="AB55" s="1" t="s">
        <v>562</v>
      </c>
      <c r="AT55" s="1" t="s">
        <v>561</v>
      </c>
      <c r="AU55" s="1" t="s">
        <v>132</v>
      </c>
      <c r="BC55" s="15" t="s">
        <v>290</v>
      </c>
      <c r="BD55" s="16" t="s">
        <v>464</v>
      </c>
      <c r="BE55" s="16" t="s">
        <v>487</v>
      </c>
      <c r="BF55" s="16" t="s">
        <v>264</v>
      </c>
      <c r="BG55" s="15" t="s">
        <v>217</v>
      </c>
    </row>
    <row r="56" spans="16:59" x14ac:dyDescent="0.5">
      <c r="P56" s="1" t="s">
        <v>294</v>
      </c>
      <c r="Q56" s="1" t="s">
        <v>470</v>
      </c>
      <c r="W56" s="1" t="s">
        <v>294</v>
      </c>
      <c r="X56" s="1" t="s">
        <v>470</v>
      </c>
      <c r="AA56" s="1" t="s">
        <v>563</v>
      </c>
      <c r="AB56" s="1" t="s">
        <v>495</v>
      </c>
      <c r="AT56" s="1" t="s">
        <v>452</v>
      </c>
      <c r="AU56" s="1" t="s">
        <v>562</v>
      </c>
      <c r="BC56" s="17"/>
      <c r="BD56" s="14" t="s">
        <v>374</v>
      </c>
      <c r="BE56" s="14" t="s">
        <v>478</v>
      </c>
      <c r="BF56" s="15" t="s">
        <v>479</v>
      </c>
      <c r="BG56" s="15" t="s">
        <v>450</v>
      </c>
    </row>
    <row r="57" spans="16:59" x14ac:dyDescent="0.5">
      <c r="P57" s="1" t="s">
        <v>564</v>
      </c>
      <c r="Q57" s="1" t="s">
        <v>450</v>
      </c>
      <c r="W57" s="1" t="s">
        <v>564</v>
      </c>
      <c r="X57" s="1" t="s">
        <v>450</v>
      </c>
      <c r="AA57" s="1" t="s">
        <v>413</v>
      </c>
      <c r="AB57" s="1" t="s">
        <v>320</v>
      </c>
      <c r="AT57" s="1" t="s">
        <v>563</v>
      </c>
      <c r="AU57" s="1" t="s">
        <v>495</v>
      </c>
      <c r="BD57" s="16" t="s">
        <v>446</v>
      </c>
      <c r="BE57" s="15" t="s">
        <v>495</v>
      </c>
      <c r="BF57" s="15" t="s">
        <v>192</v>
      </c>
      <c r="BG57" s="15" t="s">
        <v>395</v>
      </c>
    </row>
    <row r="58" spans="16:59" x14ac:dyDescent="0.5">
      <c r="P58" s="1" t="s">
        <v>132</v>
      </c>
      <c r="Q58" s="1" t="s">
        <v>133</v>
      </c>
      <c r="W58" s="1" t="s">
        <v>132</v>
      </c>
      <c r="X58" s="1" t="s">
        <v>133</v>
      </c>
      <c r="AA58" s="1" t="s">
        <v>565</v>
      </c>
      <c r="AB58" s="1" t="s">
        <v>566</v>
      </c>
      <c r="AT58" s="1" t="s">
        <v>413</v>
      </c>
      <c r="AU58" s="1" t="s">
        <v>320</v>
      </c>
      <c r="BD58" s="15" t="s">
        <v>399</v>
      </c>
      <c r="BE58" s="13"/>
      <c r="BF58" s="15" t="s">
        <v>267</v>
      </c>
      <c r="BG58" s="15" t="s">
        <v>478</v>
      </c>
    </row>
    <row r="59" spans="16:59" x14ac:dyDescent="0.5">
      <c r="P59" s="1" t="s">
        <v>416</v>
      </c>
      <c r="Q59" s="1" t="s">
        <v>567</v>
      </c>
      <c r="W59" s="1" t="s">
        <v>416</v>
      </c>
      <c r="X59" s="1" t="s">
        <v>567</v>
      </c>
      <c r="AA59" s="1" t="s">
        <v>568</v>
      </c>
      <c r="AB59" s="1" t="s">
        <v>569</v>
      </c>
      <c r="AT59" s="1" t="s">
        <v>565</v>
      </c>
      <c r="AU59" s="1" t="s">
        <v>566</v>
      </c>
      <c r="BC59" s="2"/>
      <c r="BD59" s="15" t="s">
        <v>465</v>
      </c>
      <c r="BE59" s="13"/>
      <c r="BF59" s="15" t="s">
        <v>121</v>
      </c>
      <c r="BG59" s="15" t="s">
        <v>137</v>
      </c>
    </row>
    <row r="60" spans="16:59" x14ac:dyDescent="0.5">
      <c r="P60" s="1" t="s">
        <v>557</v>
      </c>
      <c r="Q60" s="1" t="s">
        <v>339</v>
      </c>
      <c r="W60" s="1" t="s">
        <v>557</v>
      </c>
      <c r="X60" s="1" t="s">
        <v>339</v>
      </c>
      <c r="AA60" s="1" t="s">
        <v>570</v>
      </c>
      <c r="AB60" s="1" t="s">
        <v>571</v>
      </c>
      <c r="AT60" s="1" t="s">
        <v>568</v>
      </c>
      <c r="AU60" s="1" t="s">
        <v>569</v>
      </c>
      <c r="BD60" s="16" t="s">
        <v>453</v>
      </c>
      <c r="BE60" s="13"/>
      <c r="BF60" s="15" t="s">
        <v>396</v>
      </c>
      <c r="BG60" s="15"/>
    </row>
    <row r="61" spans="16:59" x14ac:dyDescent="0.5">
      <c r="P61" s="1" t="s">
        <v>365</v>
      </c>
      <c r="Q61" s="1" t="s">
        <v>309</v>
      </c>
      <c r="W61" s="1" t="s">
        <v>365</v>
      </c>
      <c r="X61" s="1" t="s">
        <v>309</v>
      </c>
      <c r="AA61" s="1" t="s">
        <v>192</v>
      </c>
      <c r="AB61" s="1" t="s">
        <v>572</v>
      </c>
      <c r="AT61" s="1" t="s">
        <v>570</v>
      </c>
      <c r="AU61" s="1" t="s">
        <v>571</v>
      </c>
      <c r="BD61" s="15" t="s">
        <v>361</v>
      </c>
      <c r="BE61" s="13"/>
      <c r="BF61" s="15" t="s">
        <v>397</v>
      </c>
      <c r="BG61" s="15"/>
    </row>
    <row r="62" spans="16:59" x14ac:dyDescent="0.5">
      <c r="P62" s="1" t="s">
        <v>522</v>
      </c>
      <c r="Q62" s="1" t="s">
        <v>478</v>
      </c>
      <c r="W62" s="1" t="s">
        <v>522</v>
      </c>
      <c r="X62" s="1" t="s">
        <v>478</v>
      </c>
      <c r="AA62" s="1" t="s">
        <v>131</v>
      </c>
      <c r="AB62" s="1" t="s">
        <v>573</v>
      </c>
      <c r="AT62" s="1" t="s">
        <v>192</v>
      </c>
      <c r="AU62" s="1" t="s">
        <v>572</v>
      </c>
      <c r="BD62" s="16" t="s">
        <v>382</v>
      </c>
      <c r="BE62" s="13"/>
      <c r="BF62" s="15" t="s">
        <v>193</v>
      </c>
      <c r="BG62" s="15"/>
    </row>
    <row r="63" spans="16:59" x14ac:dyDescent="0.5">
      <c r="P63" s="1" t="s">
        <v>376</v>
      </c>
      <c r="Q63" s="1" t="s">
        <v>136</v>
      </c>
      <c r="W63" s="1" t="s">
        <v>376</v>
      </c>
      <c r="X63" s="1" t="s">
        <v>136</v>
      </c>
      <c r="AA63" s="1" t="s">
        <v>574</v>
      </c>
      <c r="AT63" s="1" t="s">
        <v>131</v>
      </c>
      <c r="AU63" s="1" t="s">
        <v>573</v>
      </c>
      <c r="BC63" s="2"/>
      <c r="BD63" s="16" t="s">
        <v>405</v>
      </c>
      <c r="BE63" s="13"/>
      <c r="BF63" s="16" t="s">
        <v>218</v>
      </c>
      <c r="BG63" s="15"/>
    </row>
    <row r="64" spans="16:59" x14ac:dyDescent="0.5">
      <c r="Q64" s="1" t="s">
        <v>137</v>
      </c>
      <c r="X64" s="1" t="s">
        <v>137</v>
      </c>
      <c r="AA64" s="1" t="s">
        <v>503</v>
      </c>
      <c r="AT64" s="1" t="s">
        <v>574</v>
      </c>
      <c r="BD64" s="15" t="s">
        <v>127</v>
      </c>
      <c r="BE64" s="13"/>
      <c r="BF64" s="15" t="s">
        <v>128</v>
      </c>
      <c r="BG64" s="15"/>
    </row>
    <row r="65" spans="17:59" x14ac:dyDescent="0.5">
      <c r="Q65" s="1" t="s">
        <v>138</v>
      </c>
      <c r="X65" s="1" t="s">
        <v>138</v>
      </c>
      <c r="AA65" s="1" t="s">
        <v>549</v>
      </c>
      <c r="AT65" s="1" t="s">
        <v>503</v>
      </c>
      <c r="BD65" s="13" t="s">
        <v>462</v>
      </c>
      <c r="BE65" s="13"/>
      <c r="BF65" s="16" t="s">
        <v>386</v>
      </c>
      <c r="BG65" s="15"/>
    </row>
    <row r="66" spans="17:59" x14ac:dyDescent="0.5">
      <c r="Q66" s="1" t="s">
        <v>575</v>
      </c>
      <c r="X66" s="1" t="s">
        <v>575</v>
      </c>
      <c r="AA66" s="1" t="s">
        <v>576</v>
      </c>
      <c r="AT66" s="1" t="s">
        <v>549</v>
      </c>
      <c r="BD66" s="14" t="s">
        <v>421</v>
      </c>
      <c r="BE66" s="13"/>
      <c r="BF66" s="15" t="s">
        <v>419</v>
      </c>
      <c r="BG66" s="15"/>
    </row>
    <row r="67" spans="17:59" x14ac:dyDescent="0.5">
      <c r="AA67" s="1" t="s">
        <v>577</v>
      </c>
      <c r="AT67" s="1" t="s">
        <v>576</v>
      </c>
      <c r="BD67" s="16" t="s">
        <v>504</v>
      </c>
      <c r="BE67" s="13"/>
      <c r="BF67" s="15" t="s">
        <v>438</v>
      </c>
      <c r="BG67" s="15"/>
    </row>
    <row r="68" spans="17:59" x14ac:dyDescent="0.5">
      <c r="AA68" s="1" t="s">
        <v>498</v>
      </c>
      <c r="AT68" s="1" t="s">
        <v>577</v>
      </c>
      <c r="BD68" s="13" t="s">
        <v>347</v>
      </c>
      <c r="BE68" s="13"/>
      <c r="BF68" s="15" t="s">
        <v>238</v>
      </c>
      <c r="BG68" s="15"/>
    </row>
    <row r="69" spans="17:59" x14ac:dyDescent="0.5">
      <c r="AT69" s="1" t="s">
        <v>498</v>
      </c>
      <c r="BD69" s="15" t="s">
        <v>335</v>
      </c>
      <c r="BE69" s="13"/>
      <c r="BF69" s="15" t="s">
        <v>294</v>
      </c>
      <c r="BG69" s="15"/>
    </row>
    <row r="70" spans="17:59" x14ac:dyDescent="0.5">
      <c r="BD70" s="16" t="s">
        <v>516</v>
      </c>
      <c r="BE70" s="18"/>
      <c r="BF70" s="15" t="s">
        <v>500</v>
      </c>
      <c r="BG70" s="15"/>
    </row>
    <row r="71" spans="17:59" x14ac:dyDescent="0.5">
      <c r="BD71" s="15" t="s">
        <v>129</v>
      </c>
      <c r="BF71" s="15" t="s">
        <v>322</v>
      </c>
      <c r="BG71" s="15"/>
    </row>
    <row r="72" spans="17:59" x14ac:dyDescent="0.5">
      <c r="BD72" s="15" t="s">
        <v>452</v>
      </c>
      <c r="BF72" s="16" t="s">
        <v>521</v>
      </c>
      <c r="BG72" s="15"/>
    </row>
    <row r="73" spans="17:59" x14ac:dyDescent="0.5">
      <c r="BD73" s="16" t="s">
        <v>419</v>
      </c>
      <c r="BF73" s="15" t="s">
        <v>266</v>
      </c>
      <c r="BG73" s="15"/>
    </row>
    <row r="74" spans="17:59" x14ac:dyDescent="0.5">
      <c r="BD74" s="13" t="s">
        <v>488</v>
      </c>
      <c r="BF74" s="16" t="s">
        <v>409</v>
      </c>
      <c r="BG74" s="15"/>
    </row>
    <row r="75" spans="17:59" x14ac:dyDescent="0.5">
      <c r="BD75" s="14" t="s">
        <v>492</v>
      </c>
      <c r="BF75" s="15" t="s">
        <v>451</v>
      </c>
      <c r="BG75" s="15"/>
    </row>
    <row r="76" spans="17:59" x14ac:dyDescent="0.5">
      <c r="BD76" s="13" t="s">
        <v>496</v>
      </c>
      <c r="BF76" s="15" t="s">
        <v>468</v>
      </c>
      <c r="BG76" s="15"/>
    </row>
    <row r="77" spans="17:59" x14ac:dyDescent="0.5">
      <c r="BD77" s="16" t="s">
        <v>525</v>
      </c>
      <c r="BF77" s="16" t="s">
        <v>217</v>
      </c>
      <c r="BG77" s="15"/>
    </row>
    <row r="78" spans="17:59" x14ac:dyDescent="0.5">
      <c r="BD78" s="16" t="s">
        <v>409</v>
      </c>
      <c r="BF78" s="16" t="s">
        <v>473</v>
      </c>
      <c r="BG78" s="15"/>
    </row>
    <row r="79" spans="17:59" x14ac:dyDescent="0.5">
      <c r="BD79" s="15" t="s">
        <v>451</v>
      </c>
      <c r="BF79" s="15" t="s">
        <v>450</v>
      </c>
      <c r="BG79" s="15"/>
    </row>
    <row r="80" spans="17:59" x14ac:dyDescent="0.5">
      <c r="BD80" s="14" t="s">
        <v>501</v>
      </c>
      <c r="BF80" s="15" t="s">
        <v>395</v>
      </c>
      <c r="BG80" s="15"/>
    </row>
    <row r="81" spans="56:59" x14ac:dyDescent="0.5">
      <c r="BD81" s="16" t="s">
        <v>515</v>
      </c>
      <c r="BF81" s="16" t="s">
        <v>428</v>
      </c>
      <c r="BG81" s="16"/>
    </row>
    <row r="82" spans="56:59" x14ac:dyDescent="0.5">
      <c r="BD82" s="13" t="s">
        <v>507</v>
      </c>
      <c r="BF82" s="15" t="s">
        <v>469</v>
      </c>
      <c r="BG82" s="15"/>
    </row>
    <row r="83" spans="56:59" x14ac:dyDescent="0.5">
      <c r="BD83" s="15" t="s">
        <v>132</v>
      </c>
      <c r="BF83" s="16" t="s">
        <v>339</v>
      </c>
      <c r="BG83" s="16"/>
    </row>
    <row r="84" spans="56:59" x14ac:dyDescent="0.5">
      <c r="BD84" s="16" t="s">
        <v>513</v>
      </c>
      <c r="BF84" s="16" t="s">
        <v>309</v>
      </c>
      <c r="BG84" s="15"/>
    </row>
    <row r="85" spans="56:59" x14ac:dyDescent="0.5">
      <c r="BD85" s="13" t="s">
        <v>365</v>
      </c>
      <c r="BF85" s="15" t="s">
        <v>478</v>
      </c>
      <c r="BG85" s="15"/>
    </row>
    <row r="86" spans="56:59" x14ac:dyDescent="0.5">
      <c r="BD86" s="15" t="s">
        <v>522</v>
      </c>
      <c r="BF86" s="19" t="s">
        <v>137</v>
      </c>
      <c r="BG86" s="15"/>
    </row>
    <row r="87" spans="56:59" x14ac:dyDescent="0.5">
      <c r="BD87" s="16" t="s">
        <v>487</v>
      </c>
      <c r="BF87" s="16" t="s">
        <v>138</v>
      </c>
      <c r="BG87" s="19"/>
    </row>
    <row r="88" spans="56:59" x14ac:dyDescent="0.5">
      <c r="BD88" s="15" t="s">
        <v>495</v>
      </c>
      <c r="BF88" s="16" t="s">
        <v>118</v>
      </c>
    </row>
    <row r="89" spans="56:59" x14ac:dyDescent="0.5">
      <c r="BD89" s="16"/>
      <c r="BF89" s="16" t="s">
        <v>399</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S1:AG1"/>
    <mergeCell ref="L2:Q2"/>
    <mergeCell ref="S2:X2"/>
    <mergeCell ref="Y2:AB2"/>
    <mergeCell ref="AC2:AG2"/>
    <mergeCell ref="AV3:AZ3"/>
    <mergeCell ref="AR3:AU3"/>
    <mergeCell ref="AL3:AN3"/>
    <mergeCell ref="AO3:AQ3"/>
    <mergeCell ref="BB1:BG1"/>
    <mergeCell ref="AL2:AQ2"/>
    <mergeCell ref="AL1:AZ1"/>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87c7f5aeb73956df62f0fecb5aa63ea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ebb3a2bc03af07e79fa26a7a4c85caf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6A30CB-5911-44D4-B2E2-7F4EC64E8F36}">
  <ds:schemaRefs>
    <ds:schemaRef ds:uri="http://schemas.microsoft.com/office/2006/metadata/properties"/>
    <ds:schemaRef ds:uri="5fb26c54-8ae7-4c35-a8dd-e5095fbe886d"/>
    <ds:schemaRef ds:uri="http://schemas.microsoft.com/office/2006/documentManagement/types"/>
    <ds:schemaRef ds:uri="http://purl.org/dc/elements/1.1/"/>
    <ds:schemaRef ds:uri="http://schemas.microsoft.com/office/infopath/2007/PartnerControls"/>
    <ds:schemaRef ds:uri="http://www.w3.org/XML/1998/namespace"/>
    <ds:schemaRef ds:uri="http://purl.org/dc/terms/"/>
    <ds:schemaRef ds:uri="91d06b0e-e43f-423b-9ab9-9a6b45a2a239"/>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014CF00A-5C28-47A6-B3F4-1980624122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BD817A-A8ED-4336-8DF7-884CF7731F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60</vt:i4>
      </vt:variant>
    </vt:vector>
  </HeadingPairs>
  <TitlesOfParts>
    <vt:vector size="67"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2026-05-08T05:35:42Z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y fmtid="{D5CDD505-2E9C-101B-9397-08002B2CF9AE}" pid="3" name="MediaServiceImageTags">
    <vt:lpwstr/>
  </property>
</Properties>
</file>