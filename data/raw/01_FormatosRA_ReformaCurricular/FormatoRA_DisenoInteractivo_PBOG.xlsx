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poligran-my.sharepoint.com/personal/mgcely_poligran_edu_co/Documents/CURRÍCULO/05_ReformaCurricular/FIDI/"/>
    </mc:Choice>
  </mc:AlternateContent>
  <xr:revisionPtr revIDLastSave="1347" documentId="8_{B30BA61C-87F2-423F-9FA4-86F7F4A2C1E0}" xr6:coauthVersionLast="47" xr6:coauthVersionMax="47" xr10:uidLastSave="{4AACD758-64D6-43FB-AD56-4F2FED4C1C20}"/>
  <bookViews>
    <workbookView xWindow="28680" yWindow="-120" windowWidth="29040" windowHeight="15720" tabRatio="710"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externalReferences>
    <externalReference r:id="rId9"/>
    <externalReference r:id="rId10"/>
  </externalReferences>
  <definedNames>
    <definedName name="_xlnm._FilterDatabase" localSheetId="2" hidden="1">'Paso 3 Redacción RA'!$A$2:$K$15</definedName>
    <definedName name="_xlnm._FilterDatabase" localSheetId="3" hidden="1">'Paso 3 Redacción RA - Backup '!$A$2:$K$12</definedName>
    <definedName name="_xlnm._FilterDatabase" localSheetId="4" hidden="1">'Paso 4 Estrategias mesocurricu'!$A$1:$F$20</definedName>
    <definedName name="_xlnm._FilterDatabase" localSheetId="5" hidden="1">'Paso 5 Estrategias micro'!$A$2:$R$115</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onentesCompetencias">'Paso1 Analisis perfil egreso'!$E$2:$G$2</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micro'!$B$8</definedName>
    <definedName name="resultadoaprendizaje">'[2]Paso 3 Redacción RA '!$I$2:$I$21</definedName>
    <definedName name="Saber">'Paso1 Analisis perfil egreso'!$E$3:$E$7</definedName>
    <definedName name="Saberhacer">'Paso1 Analisis perfil egreso'!$F$3:$F$7</definedName>
    <definedName name="SaberSer">'Paso1 Analisis perfil egreso'!$G$3:$G$7</definedName>
    <definedName name="SíntesisBAK">SínstesisBAK[SíntesisBAK]</definedName>
    <definedName name="TIC">'Paso 2 Redacción competen'!$F$7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2" i="14" l="1"/>
  <c r="S112" i="14"/>
  <c r="S111" i="14"/>
  <c r="S103" i="14"/>
  <c r="S95" i="14"/>
  <c r="S80" i="14"/>
  <c r="S46" i="14"/>
  <c r="S32" i="14"/>
  <c r="S16" i="14"/>
  <c r="M14" i="14"/>
  <c r="A41" i="14"/>
  <c r="A42" i="14"/>
  <c r="A43" i="14"/>
  <c r="A24" i="14"/>
  <c r="J115" i="14"/>
  <c r="J114" i="14"/>
  <c r="J113" i="14"/>
  <c r="R95" i="14"/>
  <c r="R32" i="14"/>
  <c r="R16" i="14"/>
  <c r="R46" i="14"/>
  <c r="R62" i="14"/>
  <c r="R80" i="14"/>
  <c r="J112" i="14" l="1"/>
  <c r="R103" i="14" l="1"/>
  <c r="R111" i="14"/>
  <c r="K41" i="14"/>
  <c r="L41" i="14"/>
  <c r="R112" i="14" l="1"/>
  <c r="M41" i="14"/>
  <c r="D112" i="14" l="1"/>
  <c r="A25" i="14"/>
  <c r="A56" i="14"/>
  <c r="A55" i="14"/>
  <c r="A54" i="14"/>
  <c r="A77" i="14"/>
  <c r="A76" i="14"/>
  <c r="A75" i="14"/>
  <c r="A62" i="14"/>
  <c r="A61" i="14"/>
  <c r="A60" i="14"/>
  <c r="A46" i="14"/>
  <c r="A45" i="14"/>
  <c r="A44" i="14"/>
  <c r="A40" i="14"/>
  <c r="A39" i="14"/>
  <c r="A38" i="14"/>
  <c r="A32" i="14"/>
  <c r="A31" i="14"/>
  <c r="A30" i="14"/>
  <c r="A17" i="14"/>
  <c r="A29" i="14"/>
  <c r="A28" i="14"/>
  <c r="A27" i="14"/>
  <c r="A26" i="14"/>
  <c r="A23" i="14"/>
  <c r="A22" i="14"/>
  <c r="A21" i="14"/>
  <c r="A16" i="14"/>
  <c r="A15" i="14"/>
  <c r="A14" i="14"/>
  <c r="A13" i="14"/>
  <c r="A12" i="14"/>
  <c r="A11" i="14"/>
  <c r="A18" i="14"/>
  <c r="K18" i="14"/>
  <c r="L18" i="14"/>
  <c r="M18" i="14" l="1"/>
  <c r="L75" i="14" l="1"/>
  <c r="K75" i="14"/>
  <c r="L60" i="14"/>
  <c r="K60" i="14"/>
  <c r="L24" i="14"/>
  <c r="K24" i="14"/>
  <c r="L33" i="14"/>
  <c r="K33" i="14"/>
  <c r="L47" i="14"/>
  <c r="K47" i="14"/>
  <c r="L34" i="14"/>
  <c r="K34" i="14"/>
  <c r="L38" i="14"/>
  <c r="K38" i="14"/>
  <c r="L44" i="14"/>
  <c r="K44" i="14"/>
  <c r="K48" i="14"/>
  <c r="L48" i="14"/>
  <c r="L17" i="14"/>
  <c r="K17" i="14"/>
  <c r="L4" i="14"/>
  <c r="K4" i="14"/>
  <c r="L30" i="14"/>
  <c r="K30" i="14"/>
  <c r="L27" i="14"/>
  <c r="K27" i="14"/>
  <c r="L104" i="14"/>
  <c r="K104" i="14"/>
  <c r="L107" i="14"/>
  <c r="K107" i="14"/>
  <c r="L111" i="14"/>
  <c r="K111" i="14"/>
  <c r="L103" i="14"/>
  <c r="K103" i="14"/>
  <c r="L90" i="14"/>
  <c r="K90" i="14"/>
  <c r="L93" i="14"/>
  <c r="K93" i="14"/>
  <c r="L99" i="14"/>
  <c r="K99" i="14"/>
  <c r="L110" i="14"/>
  <c r="K110" i="14"/>
  <c r="L102" i="14"/>
  <c r="K102" i="14"/>
  <c r="L78" i="14"/>
  <c r="K78" i="14"/>
  <c r="L81" i="14"/>
  <c r="K81" i="14"/>
  <c r="L84" i="14"/>
  <c r="K84" i="14"/>
  <c r="L54" i="14"/>
  <c r="K54" i="14"/>
  <c r="L69" i="14"/>
  <c r="K69" i="14"/>
  <c r="L63" i="14"/>
  <c r="K63" i="14"/>
  <c r="L72" i="14"/>
  <c r="K72" i="14"/>
  <c r="L66" i="14"/>
  <c r="K66" i="14"/>
  <c r="L87" i="14"/>
  <c r="K87" i="14"/>
  <c r="L96" i="14"/>
  <c r="K96" i="14"/>
  <c r="L57" i="14"/>
  <c r="K57" i="14"/>
  <c r="L51" i="14"/>
  <c r="K51" i="14"/>
  <c r="L35" i="14"/>
  <c r="K35" i="14"/>
  <c r="L21" i="14"/>
  <c r="K21" i="14"/>
  <c r="L5" i="14"/>
  <c r="K5" i="14"/>
  <c r="L8" i="14"/>
  <c r="K8" i="14"/>
  <c r="L14" i="14"/>
  <c r="K14" i="14"/>
  <c r="L11" i="14"/>
  <c r="K11" i="14"/>
  <c r="A3" i="14"/>
  <c r="A8" i="14"/>
  <c r="A9" i="14"/>
  <c r="A10" i="14"/>
  <c r="L3" i="14"/>
  <c r="K3" i="14"/>
  <c r="A5" i="14"/>
  <c r="A6" i="14"/>
  <c r="A7" i="14"/>
  <c r="A19" i="14"/>
  <c r="A20" i="14"/>
  <c r="A4" i="14"/>
  <c r="A35" i="14"/>
  <c r="A36" i="14"/>
  <c r="A37" i="14"/>
  <c r="A51" i="14"/>
  <c r="A52" i="14"/>
  <c r="A53" i="14"/>
  <c r="A34" i="14"/>
  <c r="A48" i="14"/>
  <c r="A49" i="14"/>
  <c r="A50" i="14"/>
  <c r="A47" i="14"/>
  <c r="A33" i="14"/>
  <c r="A57" i="14"/>
  <c r="A58" i="14"/>
  <c r="A59" i="14"/>
  <c r="A96" i="14"/>
  <c r="A97" i="14"/>
  <c r="A98" i="14"/>
  <c r="A87" i="14"/>
  <c r="A88" i="14"/>
  <c r="A89" i="14"/>
  <c r="A66" i="14"/>
  <c r="A67" i="14"/>
  <c r="A68" i="14"/>
  <c r="A72" i="14"/>
  <c r="A73" i="14"/>
  <c r="A74" i="14"/>
  <c r="A63" i="14"/>
  <c r="A64" i="14"/>
  <c r="A65" i="14"/>
  <c r="A69" i="14"/>
  <c r="A70" i="14"/>
  <c r="A71" i="14"/>
  <c r="A84" i="14"/>
  <c r="A85" i="14"/>
  <c r="A86" i="14"/>
  <c r="A81" i="14"/>
  <c r="A82" i="14"/>
  <c r="A83" i="14"/>
  <c r="A78" i="14"/>
  <c r="A79" i="14"/>
  <c r="A80" i="14"/>
  <c r="A99" i="14"/>
  <c r="A100" i="14"/>
  <c r="A101" i="14"/>
  <c r="A93" i="14"/>
  <c r="A94" i="14"/>
  <c r="A95" i="14"/>
  <c r="A90" i="14"/>
  <c r="A91" i="14"/>
  <c r="A92" i="14"/>
  <c r="A107" i="14"/>
  <c r="A108" i="14"/>
  <c r="A109" i="14"/>
  <c r="A104" i="14"/>
  <c r="A105" i="14"/>
  <c r="A106" i="14"/>
  <c r="M44" i="14" l="1"/>
  <c r="M38" i="14"/>
  <c r="M30" i="14"/>
  <c r="M27" i="14"/>
  <c r="M24" i="14"/>
  <c r="M3" i="14"/>
  <c r="M21" i="14"/>
  <c r="M96" i="14"/>
  <c r="M63" i="14"/>
  <c r="M81" i="14"/>
  <c r="M99" i="14"/>
  <c r="M47" i="14"/>
  <c r="M75" i="14"/>
  <c r="M8" i="14"/>
  <c r="M87" i="14"/>
  <c r="M78" i="14"/>
  <c r="M103" i="14"/>
  <c r="M33" i="14"/>
  <c r="M111" i="14"/>
  <c r="M4" i="14"/>
  <c r="M60" i="14"/>
  <c r="M48" i="14"/>
  <c r="M35" i="14"/>
  <c r="M69" i="14"/>
  <c r="M93" i="14"/>
  <c r="M107" i="14"/>
  <c r="M102" i="14"/>
  <c r="M34" i="14"/>
  <c r="M57" i="14"/>
  <c r="M5" i="14"/>
  <c r="M51" i="14"/>
  <c r="M66" i="14"/>
  <c r="M11" i="14"/>
  <c r="M72" i="14"/>
  <c r="M84" i="14"/>
  <c r="M110" i="14"/>
  <c r="M104" i="14"/>
  <c r="M17" i="14"/>
  <c r="M90" i="14"/>
  <c r="M54"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<sst xmlns="http://schemas.openxmlformats.org/spreadsheetml/2006/main" count="2452" uniqueCount="785">
  <si>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</si>
  <si>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</si>
  <si>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</si>
  <si>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</si>
  <si>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</si>
  <si>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</si>
  <si>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</si>
  <si>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</si>
  <si>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</si>
  <si>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</si>
  <si>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</si>
  <si>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</si>
  <si>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</si>
  <si>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</si>
  <si>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</si>
  <si>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</si>
  <si>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</si>
  <si>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</si>
  <si>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Diseño Interactivo</t>
  </si>
  <si>
    <t>Presencial</t>
  </si>
  <si>
    <t>El profesional en Diseño Interactivo cuenta con sólidos conocimientos conceptuales, creativos y tecnológicos que le permiten diseñar, integrar e implementar proyectos centrados en la experiencia y la interacción digital. Su formación articula el dominio de herramientas visuales y computacionales con el pensamiento creativo y algorítmico, desarrollando soluciones innovadoras desde una perspectiva reflexiva y contextual. A través de metodologías de diseño aplicadas en talleres y proyectos, fortalece su capacidad de análisis, ideación y resolución de problemas de diseño, liderarando procesos colaborativos y respondiendo a las dinámicas del contexto digital contemporáneo.</t>
  </si>
  <si>
    <r>
      <t>Está capacitado para desempeñarse en diversos sectores y niveles de la industria creativa y tecnológica, y para asumir roles como director de proyectos digitales, investigador y desarrollador de metodologías centradas en la creación, el diseño y la mejora de la experiencia de usuario en entornos digitales. Posee habilidades para diseñar productos visuales digitales, desarrollar interacciones mediadas por software y hardware, así como proponer nuevos productos y servicios alineados con las capacidades técnicas y productivas de las organizaciones. Además, está preparado para actuar como consultor estratégico en organizaciones,</t>
    </r>
    <r>
      <rPr>
        <sz val="11"/>
        <rFont val="Gill Sans MT"/>
        <family val="2"/>
      </rPr>
      <t xml:space="preserve"> considerando dimensiones sociales, económicas y culturales en sus propuestas de diseño.</t>
    </r>
  </si>
  <si>
    <t>Principios de diseño de experiencia e interfaz de usuario (UX/UI)</t>
  </si>
  <si>
    <t>formular soluciones creativas de diseño interactivo</t>
  </si>
  <si>
    <t>de acuerdo con las necesidades del consumidor final y su interacción con los sistemas digitales.</t>
  </si>
  <si>
    <t>Creatividad digital publicitaria.
Producción audiovisual.
Dirección de proyectos digitales.
Comunicaciones corporativas.
Área de diseño y desarrollo de productos.
Dirección creativa.
Profesional independiente.</t>
  </si>
  <si>
    <t>Investigación y desarrollo de metodologías relacionadas con procesos de creación, diseño e interacción del usuario en ambientes digitales.
Diseñador de productos visuales digitales.
Diseñador de nuevos productos y/o servicios para empresas, teniendo en cuenta sus características técnicas y productivas.
Consultor estratégico de diseño en empresas y comunidades.</t>
  </si>
  <si>
    <r>
      <t xml:space="preserve">Departamentos de </t>
    </r>
    <r>
      <rPr>
        <i/>
        <sz val="11"/>
        <color theme="1"/>
        <rFont val="Gill Sans MT"/>
        <family val="2"/>
      </rPr>
      <t>Marketing</t>
    </r>
    <r>
      <rPr>
        <sz val="11"/>
        <color theme="1"/>
        <rFont val="Gill Sans MT"/>
        <family val="2"/>
      </rPr>
      <t xml:space="preserve"> y Comunicación Digital.
Departamentos de Arte.
Agencias de publicidad y </t>
    </r>
    <r>
      <rPr>
        <i/>
        <sz val="11"/>
        <color theme="1"/>
        <rFont val="Gill Sans MT"/>
        <family val="2"/>
      </rPr>
      <t>marketing</t>
    </r>
    <r>
      <rPr>
        <sz val="11"/>
        <color theme="1"/>
        <rFont val="Gill Sans MT"/>
        <family val="2"/>
      </rPr>
      <t xml:space="preserve"> digital.
Medios de comunicación y productoras audiovisuales.
Empresas de comercio electrónico.
Emprendimientos y consultorías.
Industrias culturales y creativas.
Sector cultural.</t>
    </r>
  </si>
  <si>
    <t>Integra de manera equilibrada diseño visual,  pensamiento computacional y creación de experiencias interactivas. Su estructura curricular articula programación, diseño 3D, interacción digital y desarrollo de entornos visuales funcionales, todo ello fortalecido por una metodología práctica centrada en talleres y proyectos.</t>
  </si>
  <si>
    <t>Lenguajes de programación, herramientas visuales y tecnologías digitales</t>
  </si>
  <si>
    <t>desarrollar interfaces y entornos interactivos</t>
  </si>
  <si>
    <t>acorde a los estándares de usabilidad y accesibilidad en medios digitales e interdisciplinarios.</t>
  </si>
  <si>
    <t>Fundamentos de diseño y comunicación visual</t>
  </si>
  <si>
    <t>crear productos gráficos y contenidos digitales</t>
  </si>
  <si>
    <t>combinando estética, funcionalidad y coherencia visual según los requerimientos del entorno virtual.</t>
  </si>
  <si>
    <t>Tiempos, recursos y requerimientos de diseño</t>
  </si>
  <si>
    <t>coordinar proyectos de diseño interactivo</t>
  </si>
  <si>
    <t>incorporando criterios de sostenibilidad en relación con los contextos socioculturales.</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</si>
  <si>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</si>
  <si>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</si>
  <si>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</si>
  <si>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</si>
  <si>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</si>
  <si>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</si>
  <si>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</si>
  <si>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</si>
  <si>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</si>
  <si>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</si>
  <si>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</si>
  <si>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</si>
  <si>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</si>
  <si>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</si>
  <si>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</si>
  <si>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</si>
  <si>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</si>
  <si>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</si>
  <si>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Aplicar</t>
  </si>
  <si>
    <t>Aplicar principios de diseño de experiencia e interfaz de usuario (UX/UI) para formular soluciones creativas de diseño interactivo de acuerdo con las necesidades del consumidor final y su interacción con los sistemas digitales.</t>
  </si>
  <si>
    <t>Específica</t>
  </si>
  <si>
    <t>Reconocer</t>
  </si>
  <si>
    <t>Reconocer lenguajes de programación, herramientas visuales y tecnologías digitales para desarrollar interfaces y entornos interactivos acorde con los estándares de usabilidad y accesibilidad en medios digitales e interdisciplinarios.</t>
  </si>
  <si>
    <t>Dominar</t>
  </si>
  <si>
    <t>Dominar fundamentos de diseño y comunicación visual para crear productos gráficos y contenidos digitales combinando estética, funcionalidad y coherencia visual según los requerimientos del entorno virtual.</t>
  </si>
  <si>
    <t>Gestionar</t>
  </si>
  <si>
    <t>Gestionar tiempos, recursos y requerimientos técnicos para coordinar proyectos de diseño interactivo incorporando criterios de sostenibilidad en relación con los contextos socioculturales.</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</si>
  <si>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</si>
  <si>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</si>
  <si>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</si>
  <si>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</si>
  <si>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</si>
  <si>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</si>
  <si>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</si>
  <si>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</si>
  <si>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</si>
  <si>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</si>
  <si>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</si>
  <si>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</si>
  <si>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</si>
  <si>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</si>
  <si>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</si>
  <si>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</si>
  <si>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</si>
  <si>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</si>
  <si>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</si>
  <si>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</si>
  <si>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</si>
  <si>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</si>
  <si>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</si>
  <si>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</si>
  <si>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AplicaciónBAK</t>
  </si>
  <si>
    <t>Interpretar</t>
  </si>
  <si>
    <t>Interpreta principios de UX/UI, fundamentos de diseño y comunicación visual para diseñar experiencias acordes con los requerimientos del usuario.</t>
  </si>
  <si>
    <t>ProcedimentalBAK</t>
  </si>
  <si>
    <t>ControlBAK</t>
  </si>
  <si>
    <t>Estructurar</t>
  </si>
  <si>
    <t>Estructura proyectos creativos de diseño interactivo a partir del análisis de contextos para resolver problemáticas comunicacionales y necesidades específicas de los usuarios.</t>
  </si>
  <si>
    <t>de acuerdo con las necesidades del usuario y su interacción con los sistemas digitales.</t>
  </si>
  <si>
    <t>ActitudinalBAK</t>
  </si>
  <si>
    <t>ValorarBAK</t>
  </si>
  <si>
    <t>Emplear</t>
  </si>
  <si>
    <t>Emplea criterios comunicacionales y de estética para desarrollar propuestas de diseño centradas en la usabilidad y accesibilidad de acuerdo con la interacción entre el usuario y los entornos digitales y socioculturales.</t>
  </si>
  <si>
    <t>Combinar</t>
  </si>
  <si>
    <t>Combina lenguajes de programación con herramientas visuales y tecnologías digitales para diseñar soluciones interactivas funcionales en contextos digitales.</t>
  </si>
  <si>
    <t>Desarrollar</t>
  </si>
  <si>
    <t>Desarrolla productos gráficos y contenidos digitales para integrar elementos visuales funcionales a interfaces y entornos interactivos.</t>
  </si>
  <si>
    <t>AnálisisBAK</t>
  </si>
  <si>
    <t>Tiempos, recursos y requerimientos técnicos</t>
  </si>
  <si>
    <t>Estimar</t>
  </si>
  <si>
    <t>Estima tiempos, recursos y requerimientos técnicos para determinar la viabilidad operativa de un proyecto de diseño interactivo.</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</si>
  <si>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</si>
  <si>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</si>
  <si>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</si>
  <si>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</si>
  <si>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</si>
  <si>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</si>
  <si>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</si>
  <si>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</si>
  <si>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</si>
  <si>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</si>
  <si>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</si>
  <si>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</si>
  <si>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</si>
  <si>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</si>
  <si>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</si>
  <si>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</si>
  <si>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</si>
  <si>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</si>
  <si>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</si>
  <si>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</si>
  <si>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</si>
  <si>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</si>
  <si>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</si>
  <si>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</si>
  <si>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</si>
  <si>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</si>
  <si>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</si>
  <si>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</si>
  <si>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</si>
  <si>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</si>
  <si>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</si>
  <si>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</si>
  <si>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</si>
  <si>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</si>
  <si>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Semilleros</t>
  </si>
  <si>
    <r>
      <rPr>
        <b/>
        <sz val="11"/>
        <rFont val="Gill Sans MT"/>
        <family val="2"/>
      </rPr>
      <t>Diseño, artefacto y sociedad</t>
    </r>
    <r>
      <rPr>
        <sz val="11"/>
        <rFont val="Gill Sans MT"/>
        <family val="2"/>
      </rPr>
      <t xml:space="preserve">: semillero que integra a los estudiantes de la escuela de diseño en torno a temas de reflexión sobre la disciplina del diseño y sus diferentes expresiones.
</t>
    </r>
    <r>
      <rPr>
        <b/>
        <sz val="11"/>
        <rFont val="Gill Sans MT"/>
        <family val="2"/>
      </rPr>
      <t>E-Sports:</t>
    </r>
    <r>
      <rPr>
        <sz val="11"/>
        <rFont val="Gill Sans MT"/>
        <family val="2"/>
      </rPr>
      <t xml:space="preserve"> semillero que vincula actividades relacionadas con el escenario de los videojuegos desde la perspectiva del diseño y la ingeniería.</t>
    </r>
  </si>
  <si>
    <t>Número de veces que se realiza la estrategia por periodo académico.</t>
  </si>
  <si>
    <t>Formar a los estudiantes que participan en la estrategia en los temas que allí se aborden.</t>
  </si>
  <si>
    <t>Informe o Reporte.</t>
  </si>
  <si>
    <t>Número de estudiantes que participan en la estrategia por periodo académico.</t>
  </si>
  <si>
    <t>Listados de participación.</t>
  </si>
  <si>
    <t>Valoración del nivel de aporte de la estrategia a los resultados de aprendizaje del programa.</t>
  </si>
  <si>
    <t>Encuesta de valoración.</t>
  </si>
  <si>
    <t>Publicaciones PIF</t>
  </si>
  <si>
    <t>Proyectos resultados de procesos de investigación formativa que derivan en publicaciones en revistas y otros medios de divulgación de la institución.</t>
  </si>
  <si>
    <t>Formar a los estudiantes que participan en la estrategia en los temas que allí se aborden.
Formar a los estudiantes que participan en la estrategia en la generación y divulgación de conocimiento exponiendo o presentando los alcances obtenidos en cada proceso ejecutado.</t>
  </si>
  <si>
    <t>Muestra de proyectos Escuela de Diseño</t>
  </si>
  <si>
    <t>Evento semestral organizado por la Escuela de Diseño en el que los estudiantes del programa tienen oportunidad de socializar los resultados de sus proyectos desarrollados en clase. Cuenta con un proceso de curaduría.</t>
  </si>
  <si>
    <t>Número de estudiantes que participan en la estrategia.</t>
  </si>
  <si>
    <t>Formar a los estudiantes que participan en la estrategia en los temas que allí se aborden.
Formar a los estudiantes que participan en la estrategia de generación y divulgación de conocimiento exponiendo o presentando los alcances obtenidos en cada proceso ejecutado.</t>
  </si>
  <si>
    <t>Número de veces que se realiza la estrategia por año.</t>
  </si>
  <si>
    <t>Actividades de proyección social</t>
  </si>
  <si>
    <t>Acciones encaminadas a procesos de acompañamiento entorno a identidades visuales que realizan estudiantes del programa con el liderazgo docente para el fortalecimiento de emprendimientos y proyectos al interior de la institución como de comunidad externa generando vinculación con el sector real.</t>
  </si>
  <si>
    <t>Formar a los estudiantes que participan en la estrategia de generación y divulgación de conocimiento exponiendo o presentando los alcances obtenidos en cada proceso ejecutado.</t>
  </si>
  <si>
    <t>Actividades formativas y de internacionalización</t>
  </si>
  <si>
    <r>
      <rPr>
        <b/>
        <sz val="11"/>
        <color rgb="FF000000"/>
        <rFont val="Gill Sans MT"/>
        <family val="2"/>
      </rPr>
      <t>Clases espejo</t>
    </r>
    <r>
      <rPr>
        <sz val="11"/>
        <color rgb="FF000000"/>
        <rFont val="Gill Sans MT"/>
        <family val="2"/>
      </rPr>
      <t xml:space="preserve">: Actividad desarrollada desde el programa de Diseño Interactivo en el contexto de internacionalización que involucra un intercambio temático con docentes y grupos de universidades externas.
</t>
    </r>
    <r>
      <rPr>
        <b/>
        <sz val="11"/>
        <color rgb="FF000000"/>
        <rFont val="Gill Sans MT"/>
        <family val="2"/>
      </rPr>
      <t xml:space="preserve">Misiones internacionales: </t>
    </r>
    <r>
      <rPr>
        <sz val="11"/>
        <color rgb="FF000000"/>
        <rFont val="Gill Sans MT"/>
        <family val="2"/>
      </rPr>
      <t xml:space="preserve">Actividades desarrolladas desde la Escuela de Diseño en el contexto de internacionalización que ofrece a los estudiantes la opción de cursar un seminario Internacional a través de plataformas digitales o de manera presencial en el lugar de desarrollo.
</t>
    </r>
    <r>
      <rPr>
        <b/>
        <sz val="11"/>
        <color rgb="FF000000"/>
        <rFont val="Gill Sans MT"/>
        <family val="2"/>
      </rPr>
      <t>COIL:</t>
    </r>
    <r>
      <rPr>
        <sz val="11"/>
        <color rgb="FF000000"/>
        <rFont val="Gill Sans MT"/>
        <family val="2"/>
      </rPr>
      <t xml:space="preserve"> Estrategia que permite el desarrollo de proyectos colaborativos entre instituciones de diferentes países.
</t>
    </r>
    <r>
      <rPr>
        <b/>
        <sz val="11"/>
        <color rgb="FF000000"/>
        <rFont val="Gill Sans MT"/>
        <family val="2"/>
      </rPr>
      <t xml:space="preserve">Webinars: </t>
    </r>
    <r>
      <rPr>
        <sz val="11"/>
        <color rgb="FF000000"/>
        <rFont val="Gill Sans MT"/>
        <family val="2"/>
      </rPr>
      <t xml:space="preserve">Actividades de charlas mediadas en plataformas online para el intercambio de saberes con las comunidades académicas en el ámbito internacional e interinstitucional.
</t>
    </r>
    <r>
      <rPr>
        <b/>
        <sz val="11"/>
        <color rgb="FF000000"/>
        <rFont val="Gill Sans MT"/>
        <family val="2"/>
      </rPr>
      <t>Charlas con invitados externos</t>
    </r>
    <r>
      <rPr>
        <sz val="11"/>
        <color rgb="FF000000"/>
        <rFont val="Gill Sans MT"/>
        <family val="2"/>
      </rPr>
      <t>: Actividades con invitados internacionales y nacionales para el desarrollo de charlas y/o conferencias en temas asociados al diseño</t>
    </r>
  </si>
  <si>
    <t>Formar a los estudiantes que participan en la estrategia en los temas que allí se aborden.
Informar a los estudiantes sobre temas o tópicos en tendencia del campo profesional.</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</si>
  <si>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</si>
  <si>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</si>
  <si>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</si>
  <si>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</si>
  <si>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</si>
  <si>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</si>
  <si>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</si>
  <si>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</si>
  <si>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</si>
  <si>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</si>
  <si>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</si>
  <si>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</si>
  <si>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</si>
  <si>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</si>
  <si>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</si>
  <si>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</si>
  <si>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</si>
  <si>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</si>
  <si>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</si>
  <si>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</si>
  <si>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</si>
  <si>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</si>
  <si>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</si>
  <si>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</si>
  <si>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</si>
  <si>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</si>
  <si>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</si>
  <si>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</si>
  <si>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</si>
  <si>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</si>
  <si>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</si>
  <si>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</si>
  <si>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</si>
  <si>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</si>
  <si>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</si>
  <si>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</si>
  <si>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</si>
  <si>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</si>
  <si>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</si>
  <si>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</si>
  <si>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</si>
  <si>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</si>
  <si>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</si>
  <si>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</si>
  <si>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I</t>
  </si>
  <si>
    <t>Fundamentos de Diseño</t>
  </si>
  <si>
    <t>Reconoce los elementos fundamentales que constituyen una composición visual desde el color, la función y la tipografía y para resolver problemas aplicados a piezas de diseño.
Emplea herramientas análogas y digitales para construir piezas visuales identificando el contexto en el cual se requiere, favoreciendo los objetivos de comunicación propuestos.</t>
  </si>
  <si>
    <t>1. Elementos básicos de composición
2. El espacio formato
3. Modulación y tipografía
4. Color y texturas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</si>
  <si>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</si>
  <si>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pueden variar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t>
  </si>
  <si>
    <t>Dibujo y Perspectiva</t>
  </si>
  <si>
    <t>Identifica los elementos y técnicas del dibujo bidimensional para desarrollar representaciones bidimensionales analógicas y artefactos de diseño con capacidad expresiva.</t>
  </si>
  <si>
    <t>1. Perspectivas axonométricas 
2. Perspectiva cónica 
3. Volumen 
4. Dibujo de Expresión</t>
  </si>
  <si>
    <t>Cálculo Diferencial</t>
  </si>
  <si>
    <t>Aplica representaciones y razonamientos matemáticos, para analizar situaciones de variación y cambio a partir de la interpretación de resultados en contextos teóricos y aplicados.</t>
  </si>
  <si>
    <t>1. Funciones de valor real
2. Límites 
3. La derivada 
4. Aplicaciones de la derivada</t>
  </si>
  <si>
    <t>Pensamiento Algorítmico</t>
  </si>
  <si>
    <t>Identifica variables relevantes, su naturaleza y la forma en que se relacionan para modelar un problema computacional básico.
Implementa expresiones matemáticas y estructuras básicas de programación para desarrollar soluciones a problemas computacionales básicos.</t>
  </si>
  <si>
    <t>T</t>
  </si>
  <si>
    <t>1. Fundamentos de pensamiento algorítmico 
2. Modelado y especificación de problemas 
3. Estructuras básicas de un algoritmo 
4. Relaciones de recurrencias</t>
  </si>
  <si>
    <t>Analisís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</si>
  <si>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</si>
  <si>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</si>
  <si>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</si>
  <si>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</si>
  <si>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Fundamentos de Fotografía</t>
  </si>
  <si>
    <t>Reconoce los fundamentos técnicos y conceptuales de la fotografía, para aplicar criterios básicos en la valoración de imágenes según su intención comunicativa y tipología visual.</t>
  </si>
  <si>
    <t>1. Contexto y antecedentes de la fotografía
2. Fundamentos técnicos de la fotografía
3. Producción de la imagen fotográfica
4. Tipologías de la imagen fotográfica</t>
  </si>
  <si>
    <t>Pensamiento Creativo</t>
  </si>
  <si>
    <t>Analiza las necesidades del contexto y del usuario para resolver problemas de diseño en prototipos funcionales acordes a la toma de decisiones.
Aplica metodologías de pensamiento en diseño y estrategias creativas para diseñar artefactos visuales que resuelvan necesidades de contextos y/o usuarios.</t>
  </si>
  <si>
    <t>1. Diseño centrado en el usuario: Empatía, definición e ideación de soluciones
2. Diseñar pensando en las necesidades: Investigación e ideación
3. Co-creación: Diseño prototipo de mínimo Producto viable, testeo como prueba de usabilidad y evaluación de la experiencia de usuario
4. Evaluar el producto: Rediseñar y consolidar propuestas de valor</t>
  </si>
  <si>
    <t>Geometría y Modulación</t>
  </si>
  <si>
    <t>Aplica los recursos técnicos, tecnológicos, expresivos y conceptuales, para representar abstracciones visuales desde el plano bidimensional y tridimensional.</t>
  </si>
  <si>
    <t>1. Fundamentos del lenguaje geométrico en la creación gráfica
2. Sistemas de representación y proyección del espacio
3. Fundamentos del espacio en tres dimensiones
4. Construcción de objetos basada en planos</t>
  </si>
  <si>
    <t>Programación de Computadores</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</si>
  <si>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</si>
  <si>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1. Fundamentos de programación de computadores
2. Estructuras de control
3. Estructuras de datos básicas
4. Recursividad</t>
  </si>
  <si>
    <t>Teoría del Diseño</t>
  </si>
  <si>
    <t>Analiza los fundamentos disciplinares, teóricos y metodológicos del diseño para formular proyectos que respondan a problemáticas vinculadas con usuarios y contextos específicos.</t>
  </si>
  <si>
    <t xml:space="preserve">1. Qué es el diseño 
2. Diseño y otras disciplinas 
3. El diseño y sus metodologías
4. Otros diseños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</si>
  <si>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</si>
  <si>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</si>
  <si>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</si>
  <si>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</si>
  <si>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</si>
  <si>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</si>
  <si>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</si>
  <si>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</si>
  <si>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</si>
  <si>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Imagen Digital</t>
  </si>
  <si>
    <t>Aplica técnicas de representación bi y tridimensional en medios digitales, para proponer soluciones de diseño que respondan a necesidades de usuario y contexto.</t>
  </si>
  <si>
    <t>1. Introducción a la imagen digital
2. Dibujo vectorial
3. Color y pinceles
4. Texto, calco y finalización</t>
  </si>
  <si>
    <t>Fundamentos de Interactividad</t>
  </si>
  <si>
    <t xml:space="preserve">Reconoce lo aspectos históricos y evolutivos de la interactividad para proponer prototipos en los que se apliquen conceptos de usabilidad y accesibilidad digital.   
Realiza procesos de evaluación heurística para reconocer aciertos y posibles errores de diseño de interfaces digitales en el  desarrollo de productos interactivos.  </t>
  </si>
  <si>
    <t>1. Historia y fundamentación  
2. Arquitectura de la información  
3. Conceptos de Navegabilidad y Prototipado
4. Evaluación de Productos Digitales</t>
  </si>
  <si>
    <t>Semiótica</t>
  </si>
  <si>
    <t>Reconoce los sistemas simbólicos presentes en mensajes visuales, sonoros y audiovisuales, para aplicar conceptos semióticos en el análisis de productos comunicativos en contextos culturales específicos.</t>
  </si>
  <si>
    <t xml:space="preserve">1. Introducción a la semiótica 
2. Teoría de los códigos
3. El mundo como entrecruzamiento de signos sociales 
4. Los mensajes modernos: la radio, la televisión y el cine. Los mensajes postmodernos: el cómic, el videoclip y los video juegos </t>
  </si>
  <si>
    <t>Estructuras de Datos</t>
  </si>
  <si>
    <t>Aplica conceptos de análisis de algoritmos y notación asintótica para determinar la complejidad temporal y espacial de un programa.
Describe objetos del mundo real y cómo se relacionan entre ellos para proponer soluciones a problemas computacionales por medio de estructuras de datos.</t>
  </si>
  <si>
    <t>1. Introducción al análisis de algoritmos
2. Estructuras de datos lineales
3. Estructuras de datos jerárquicas
4. Tablas hash y grafos</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</si>
  <si>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</si>
  <si>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</si>
  <si>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</si>
  <si>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</si>
  <si>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Diseño de Información</t>
  </si>
  <si>
    <t>Identifica los conceptos del diseño de información a través de la conexión entre información y pensamiento humano para aplicar en proyectos de comunicación visual. 
Desarrolla sistemas de información visual haciendo uso los recursos gráficos, navegabilidad, interactividad y usabilidad para  representar información compleja en proyectos de diseño.</t>
  </si>
  <si>
    <t>1. Análisis y contexto de la información
2. Contenidos y presentación visual
3. Recursos de la información
4. Sistemas de información aplicados</t>
  </si>
  <si>
    <t>Narrativa Digital</t>
  </si>
  <si>
    <t>Emplea los recursos tecnológicos propios del diseño audiovisual para crear de experiencias de usuario a través de la interacción.
Identifica las características del usuario y su contexto para proponer soluciones narrativas que respondan a necesidades comunicativas en interacción a través de diversas plataformas tecnológica</t>
  </si>
  <si>
    <t xml:space="preserve">1. La narración y el universo narrativo
2. Relato, hipertextualidades, interactividad y experiencia de usuario
3. Narrativas multiplataforma, transmedia y crossmedia
4. El relato en los medios digitales </t>
  </si>
  <si>
    <t>Tipografía</t>
  </si>
  <si>
    <t>Identifica los principios de la composición tipográfica y sus tecnologías de construcción para desarrollar propuestas de diseño acordes a la funcionalidad y finalidad comunicativa.
Aplica los principios de tipografía y composición tipográfica para construir mensajes visuales acordes al público objetivo y su medio de distribución.</t>
  </si>
  <si>
    <t>1. Historia de las tecnologías de la escritura y de la impresión
2. Anatomía de los tipos, estilos, familias y fuentes tipográficas
3. Principios de composición tipográfica
4. Composición tipográfica para medios digitales</t>
  </si>
  <si>
    <t>Modelado 3D</t>
  </si>
  <si>
    <t>Reconoce los recursos y herramientas digitales para desarrollar proyectos con modelos tridimensionales.
Estructura conceptos e ideas para construir modelos tridimensionales.</t>
  </si>
  <si>
    <t xml:space="preserve">1. Contexto del trabajo tridimensional 
2. Fundamentos del modelado 3D 
3. Polígonos 
4. Construcciones basadas en polígonos </t>
  </si>
  <si>
    <t>Programación para la Interacción</t>
  </si>
  <si>
    <t>Utiliza software y hardware especializados para desarrollar experiencias interactivas, integrando componentes técnicos y creativos en la propuesta de diseño.
Aplica lenguajes de programación especializados para construir proyectos interactivos centrados en la funcionalidad y la experiencia del usuario.</t>
  </si>
  <si>
    <t xml:space="preserve">1. Interacción creativa
2. Aplicaciones
3. Construcción de módulos electrónicos e interactivos
4. Prototipado y visualización </t>
  </si>
  <si>
    <t>Experiencia del Usuario</t>
  </si>
  <si>
    <t>Relaciona los comportamientos del ser humano con los requerimientos propios de la interacción en escenarios digitales para el diseño de artefactos vinculados a su contexto cultural, tecnológico y socioeconómico.
Evalúa los diversos contextos en los que se implementa el proyecto de diseño interactivo para la solución de problemas de comunicación digital.</t>
  </si>
  <si>
    <t>1. El usuario en contextos digitales
2. Usabilidad y Accesibilidad
3. Diseño de experiencias interactivas
4. Evaluación y métricas en UX</t>
  </si>
  <si>
    <t>Diseño para Nuevos Medios</t>
  </si>
  <si>
    <t>Desarrolla proyectos que involucren el diseño digital estático y en movimiento para generar soluciones comunicativas orientadas a los nuevos medios.
Analiza las características de los diferentes espacios en donde se desenvuelven los nuevos medios para crear nuevos productos de innovación gráfica que mejoren las experiencias de uso a las personas.</t>
  </si>
  <si>
    <t>1. Visión Histórica del Diseño y los Nuevos Medios 
2. Difusión Digital 
3. Diseño y Video Juegos
4. Diseño y Realidad Aumentada</t>
  </si>
  <si>
    <t>Diseño Bi y Tridimensional</t>
  </si>
  <si>
    <t xml:space="preserve">Crea representaciones tridimensionales aplicando técnicamente los procesos de manufactura pertinentes para generar propuestas que respondan a las necesidades de diseño propuestas. 
Aplica técnicas de representación tridimensional en el desarrollo de propuestas de composición para resolver problemas a partir de metodologías de diseño. </t>
  </si>
  <si>
    <t>1. Fundamentos de tridimensionalidad
2. Planos seriados
3. Estructuras de pared
4. Prismas y cilindros</t>
  </si>
  <si>
    <t>Historia del Diseño</t>
  </si>
  <si>
    <t>Identifica los diferentes contextos históricos y sus vínculos con los procesos de creación objetual como sustento para desarrollar proyectos de diseño.
Interpreta los principales referentes históricos del diseño gráfico para conceptualizarlos a través de proyectos visuales.</t>
  </si>
  <si>
    <t>1. La Comunicación visual y los antecedentes del diseño gráfico
2. Configuración de la sociedad industrial y consolidación del diseño como disciplina moderna
3. Estilos y escuelas modernas de diseño
4. El diseño y su relación con otros campos en el mundo contemporáneo</t>
  </si>
  <si>
    <t>Bases de Datos</t>
  </si>
  <si>
    <t>Identifica las estructuras de las bases de datos como  los atributos, tablas, llaves y tipos de relaciones que conforman una entidad de una base de datos relacional para aplicarlos en un sistema de información en el tiempo real.
Utiliza el lenguaje de diseño, construcción y administración de bases de datos, para desarrollar sistemas de información.</t>
  </si>
  <si>
    <t>1. Generalidades de las bases de  datos relacionales vs NoSQL
2. Modelo conceptual y normalización
3. Modelo lógico y álgebra relacional
4. Modelo físico, SQL, PLSQL y caso de estudio</t>
  </si>
  <si>
    <t>Procesos de Comunicación</t>
  </si>
  <si>
    <t>Analiza los procesos de comunicación en distintos contextos socioculturales de los siglos XX y XXI, para interpretar sus transformaciones en la historia reciente.</t>
  </si>
  <si>
    <t xml:space="preserve">1. Conceptos y enfoques para el estudio de la comunicación
2. La comunicación durante las dos guerras mundiales del siglo XX 
3. La comunicación a partir de la Guerra Fría 
4. La comunicación y sus transformaciones en la guerra de la información informática </t>
  </si>
  <si>
    <t>Diseño de Videojuegos</t>
  </si>
  <si>
    <t xml:space="preserve">Aplica principios fundamentales del diseño de videojuegos para proponer mejoras basadas en el análisis de juegos existentes. 
Desarrolla prototipos de experiencias de juego  para integrar narrativa, interacción y experiencia del usuario en propuestas cohenrentes, a partir del trabajo interdisciplinar. </t>
  </si>
  <si>
    <t>1. Fundamentos del diseño de juegos
2. Narrativa interactiva
3. Prototipado y desarrollo iterativo
4. Producción y trabajo colaborativo</t>
  </si>
  <si>
    <t>Animación en 3D</t>
  </si>
  <si>
    <t>Reconoce los elementos de la realización audiovisual para incorporarlos en la configuración de proyectos animados en tres dimensiones, según las condiciones del contexto.
Explora posibilidades técnicas y conceptuales para ejecutar proyectos animados en tres dimensiones.</t>
  </si>
  <si>
    <t>1. Contexto de la animación en tres dimensiones
2. Nurbs
3. Elementos para la animación
4. Preproducción y producción de proyecto animado</t>
  </si>
  <si>
    <t>Ilustración para Medios</t>
  </si>
  <si>
    <t>Identifica los requerimientos y necesidades de los proyectos ilustrados para solucionar problemas de diseño, acorde con los medios de salida del proyecto.
Aplica los recursos y técnicas de ilustración adecuadas para satisfacer las necesidades de proyectos de ilustración, usuarios y el contexto.</t>
  </si>
  <si>
    <t>1. Fundamentos de la ilustración para medios
2. Dirección de proyecto de ilustración
3. Producción del proyecto ilustrado
4. El rol del ilustrador en la profesión</t>
  </si>
  <si>
    <t>Ingeniería de Software I</t>
  </si>
  <si>
    <t>Reconoce las fases del ciclo de vida del software para desarrollar soluciones de software en un contexto de un caso de estudio.
Modela soluciones usando el lenguaje unificado de modelado (UML) y patrones de diseño para construir un producto de software de acuerdo a las reglas de negocio definidas.
Implementa prototipos funcionales de software para aplicar buenas prácticas de desarrollo de software en un contexto de un caso de estudio.</t>
  </si>
  <si>
    <t>1. Conceptos básicos de la ingeniería de software
2. Metodologías y modelos de proceso
3. Generalidades de calidad de software
4. Patrones de software</t>
  </si>
  <si>
    <t>Investigación Creación</t>
  </si>
  <si>
    <t>Relaciona tipologías de investigación a través de la concreción de ideas para formular proyectos de investigación-creación.
Vincula el diseño con métodos y técnicas de investigación para generar propuestas de solución a problemas de diseño.
Incorpora en los procesos creativos los conceptos teóricos y las habilidades investigativas para construir propuestas de investigación-creación.</t>
  </si>
  <si>
    <t xml:space="preserve">1. ¿Qué es la investigación-creación?
2. Concepción de ideas y planeación
3. Definición y desarrollo
4. Escenarios de divulgación </t>
  </si>
  <si>
    <t>Taller de Diseño Estratégico</t>
  </si>
  <si>
    <t>Establece el nivel de inserción del diseño de una organización o comunidad, para diseñar un proyecto factible y viable. 
Interpreta metodologías de investigación cualitativa y de diseño para aplicarlas en la generación de propuestas de diseño.</t>
  </si>
  <si>
    <t>1. Inserción estratégica del diseño: metodologías de análisis social y organizacional
2. Campos de acción desde el diseño: metodologías de diseño
3. Gestión de proyectos de diseño
4. Emprendimiento a través del diseño</t>
  </si>
  <si>
    <t>Taller Interactivo</t>
  </si>
  <si>
    <t>Aplica conceptos creativos para desarrollar soluciones de diseño interactivo innovadoras que respondan a problemáticas reales y satisfagan las necesidades del usuario.</t>
  </si>
  <si>
    <t>1. Diseño y realidad 
2.Imagen y texto como dimensiones de expresión 
3. La percepción y los sentidos 
4. Trabajo colaborativo</t>
  </si>
  <si>
    <t>Electiva 1</t>
  </si>
  <si>
    <t>Electiva 2</t>
  </si>
  <si>
    <t>Proyecto para Medios Digitales</t>
  </si>
  <si>
    <t>Identifica necesidades y requerimientos del planteamiento de diseño para desarrollar proyectos digitales eficientes, eficaces y asertivos.
Integra conocimientos de planeación estratégica, diseño de experiencia de usuario, arquitectura de la información, interfaz de usuario, desarrollo de prototipos digitales (Front-end, Back-end) para implementar proyectos de diseño acordes con las necesidades del contexto.</t>
  </si>
  <si>
    <t>1. Planeación estratégica de soluciones digitales
2. Diseño de experiencia de usuario y arquitectura de la información
3. Diseño de interfaz de usuario</t>
  </si>
  <si>
    <t>Proyecto Aplicado</t>
  </si>
  <si>
    <t>Aplica conocimientos teóricos y técnicos del diseño, así como éticos y de responsabilidad social, para resolver problemas según el contexto de aplicación.
Propone soluciones innovadoras a problemas reales derivados del análisis de información y el estudio del entorno social, para generar propuestas de diseño gráfico que solucionen problemas o atiendan a satisfacer necesidades del contexto.</t>
  </si>
  <si>
    <t>1. Identificación, diagnóstico y rastreo
2. Planteamiento de la ruta proyectual
3. Desarrollo de la propuesta de diseño
4. Implementación y evaluación</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</si>
  <si>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casos/Interlocución con organizaciones/Trabajo de campo/Elaboración de informes o documentos técnicos</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</si>
  <si>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</si>
  <si>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</si>
  <si>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</si>
  <si>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</si>
  <si>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</si>
  <si>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</si>
  <si>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</si>
  <si>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</si>
  <si>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</si>
  <si>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</si>
  <si>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</si>
  <si>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</si>
  <si>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</si>
  <si>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</si>
  <si>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</si>
  <si>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</si>
  <si>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</si>
  <si>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</si>
  <si>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</si>
  <si>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Diseñar</t>
  </si>
  <si>
    <t>Establecer</t>
  </si>
  <si>
    <t>Evaluar</t>
  </si>
  <si>
    <t>Fiscalizar</t>
  </si>
  <si>
    <t>Formular</t>
  </si>
  <si>
    <t>Generar</t>
  </si>
  <si>
    <t>Hacer</t>
  </si>
  <si>
    <t>Implementar</t>
  </si>
  <si>
    <t>Liderar</t>
  </si>
  <si>
    <t>Modelar</t>
  </si>
  <si>
    <t>Participar</t>
  </si>
  <si>
    <t>Planear</t>
  </si>
  <si>
    <t>Presidir</t>
  </si>
  <si>
    <t>Producir</t>
  </si>
  <si>
    <t>Resolver</t>
  </si>
  <si>
    <t>Sistematizar</t>
  </si>
  <si>
    <t>Supervisar</t>
  </si>
  <si>
    <t>Transformar</t>
  </si>
  <si>
    <t>Validar</t>
  </si>
  <si>
    <t>Verificar</t>
  </si>
  <si>
    <t>Garantizar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</si>
  <si>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</si>
  <si>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</si>
  <si>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</si>
  <si>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</si>
  <si>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</si>
  <si>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</si>
  <si>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</si>
  <si>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</si>
  <si>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</si>
  <si>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</si>
  <si>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</si>
  <si>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</si>
  <si>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</si>
  <si>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</si>
  <si>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</si>
  <si>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</si>
  <si>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</si>
  <si>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</si>
  <si>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SíntesisBAK</t>
  </si>
  <si>
    <t>EvaluaciónBAK</t>
  </si>
  <si>
    <t>ImitaciónBAK</t>
  </si>
  <si>
    <t>PrecisiónBAK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</si>
  <si>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</si>
  <si>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</si>
  <si>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</si>
  <si>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</si>
  <si>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</si>
  <si>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</si>
  <si>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</si>
  <si>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</si>
  <si>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</si>
  <si>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</si>
  <si>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</si>
  <si>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</si>
  <si>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</si>
  <si>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</si>
  <si>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</si>
  <si>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</si>
  <si>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</si>
  <si>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</si>
  <si>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</si>
  <si>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</si>
  <si>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</si>
  <si>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</si>
  <si>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</si>
  <si>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</si>
  <si>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</si>
  <si>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</si>
  <si>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</si>
  <si>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</si>
  <si>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</si>
  <si>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</si>
  <si>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</si>
  <si>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</si>
  <si>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</si>
  <si>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</si>
  <si>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</si>
  <si>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</si>
  <si>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</si>
  <si>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</si>
  <si>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</si>
  <si>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</si>
  <si>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</si>
  <si>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</si>
  <si>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</si>
  <si>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</si>
  <si>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</si>
  <si>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</si>
  <si>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</si>
  <si>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</si>
  <si>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</si>
  <si>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</si>
  <si>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</si>
  <si>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</si>
  <si>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</si>
  <si>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</si>
  <si>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</si>
  <si>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</si>
  <si>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</si>
  <si>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</si>
  <si>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</si>
  <si>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</si>
  <si>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</si>
  <si>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</si>
  <si>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</si>
  <si>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</si>
  <si>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</si>
  <si>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</si>
  <si>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</si>
  <si>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</si>
  <si>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</si>
  <si>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</si>
  <si>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</si>
  <si>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</si>
  <si>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</si>
  <si>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</si>
  <si>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</si>
  <si>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</si>
  <si>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</si>
  <si>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</si>
  <si>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</si>
  <si>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</si>
  <si>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</si>
  <si>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</si>
  <si>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</si>
  <si>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</si>
  <si>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</si>
  <si>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</si>
  <si>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</si>
  <si>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</si>
  <si>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</si>
  <si>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</si>
  <si>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</si>
  <si>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</si>
  <si>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</si>
  <si>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</si>
  <si>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</si>
  <si>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</si>
  <si>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</si>
  <si>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</si>
  <si>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</si>
  <si>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</si>
  <si>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</si>
  <si>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</si>
  <si>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</si>
  <si>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</si>
  <si>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</si>
  <si>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</si>
  <si>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</si>
  <si>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</si>
  <si>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</si>
  <si>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</si>
  <si>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</si>
  <si>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</si>
  <si>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</si>
  <si>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</si>
  <si>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</si>
  <si>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</si>
  <si>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</si>
  <si>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</si>
  <si>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</si>
  <si>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</si>
  <si>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</si>
  <si>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</si>
  <si>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</si>
  <si>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</si>
  <si>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</si>
  <si>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</si>
  <si>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</si>
  <si>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</si>
  <si>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</si>
  <si>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</si>
  <si>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</si>
  <si>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</si>
  <si>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</si>
  <si>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</si>
  <si>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</si>
  <si>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</si>
  <si>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</si>
  <si>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</si>
  <si>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</si>
  <si>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</si>
  <si>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</si>
  <si>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</si>
  <si>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</si>
  <si>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</si>
  <si>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</si>
  <si>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</si>
  <si>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</si>
  <si>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</si>
  <si>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</si>
  <si>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</si>
  <si>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</si>
  <si>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</si>
  <si>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</si>
  <si>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</si>
  <si>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</si>
  <si>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</si>
  <si>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</si>
  <si>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</si>
  <si>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</si>
  <si>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</si>
  <si>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</si>
  <si>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</si>
  <si>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</si>
  <si>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</si>
  <si>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</si>
  <si>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</si>
  <si>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</si>
  <si>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</si>
  <si>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</si>
  <si>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</si>
  <si>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</si>
  <si>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</si>
  <si>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</si>
  <si>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</si>
  <si>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</si>
  <si>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</si>
  <si>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</si>
  <si>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</si>
  <si>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</si>
  <si>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</si>
  <si>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</si>
  <si>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</si>
  <si>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</si>
  <si>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</si>
  <si>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</si>
  <si>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</si>
  <si>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</si>
  <si>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</si>
  <si>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</si>
  <si>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</si>
  <si>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</si>
  <si>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</si>
  <si>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</si>
  <si>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</si>
  <si>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</si>
  <si>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</si>
  <si>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</si>
  <si>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</si>
  <si>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</si>
  <si>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</si>
  <si>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</si>
  <si>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</si>
  <si>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</si>
  <si>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</si>
  <si>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</si>
  <si>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</si>
  <si>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</si>
  <si>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</si>
  <si>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</si>
  <si>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</si>
  <si>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</si>
  <si>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</si>
  <si>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</si>
  <si>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Entallar</t>
  </si>
  <si>
    <t>Enumerar</t>
  </si>
  <si>
    <t>Convocar</t>
  </si>
  <si>
    <t>Preguntar</t>
  </si>
  <si>
    <t>Entregar</t>
  </si>
  <si>
    <t>Omitir</t>
  </si>
  <si>
    <t>Parafrasear</t>
  </si>
  <si>
    <t>Manipular</t>
  </si>
  <si>
    <t>Visualizar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</si>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</sst>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i/>
      <sz val="11"/>
      <color theme="1"/>
      <name val="Gill Sans MT"/>
      <family val="2"/>
    </font>
    <font>
      <b/>
      <sz val="10"/>
      <color theme="1"/>
      <name val="Gill Sans MT"/>
      <family val="2"/>
    </font>
    <font>
      <b/>
      <sz val="10"/>
      <color rgb="FF000000"/>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3">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s>
  <cellStyleXfs count="2">
    <xf numFmtId="0" fontId="0" fillId="0" borderId="0"/>
    <xf numFmtId="0" fontId="17" fillId="0" borderId="0" applyNumberFormat="0" applyFill="0" applyBorder="0" applyAlignment="0" applyProtection="0"/>
  </cellStyleXfs>
  <cellXfs count="172">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6" xfId="0" applyFont="1" applyFill="1" applyBorder="1" applyAlignment="1">
      <alignment horizontal="center" vertical="center" wrapText="1"/>
    </xf>
    <xf numFmtId="0" fontId="3" fillId="0" borderId="8" xfId="0" applyFont="1" applyBorder="1" applyAlignment="1">
      <alignment horizontal="left"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5" xfId="0" applyFont="1" applyBorder="1" applyAlignment="1">
      <alignment vertical="center" wrapText="1"/>
    </xf>
    <xf numFmtId="0" fontId="0" fillId="0" borderId="5"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3" xfId="0" applyFont="1" applyBorder="1"/>
    <xf numFmtId="0" fontId="3" fillId="0" borderId="14" xfId="0" applyFont="1" applyBorder="1"/>
    <xf numFmtId="0" fontId="7" fillId="0" borderId="0" xfId="0" applyFont="1"/>
    <xf numFmtId="0" fontId="7" fillId="8" borderId="0" xfId="0" applyFont="1" applyFill="1"/>
    <xf numFmtId="0" fontId="7" fillId="0" borderId="13" xfId="0" applyFont="1" applyBorder="1"/>
    <xf numFmtId="0" fontId="7"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6" borderId="0" xfId="0" applyFont="1" applyFill="1"/>
    <xf numFmtId="0" fontId="7" fillId="8" borderId="13"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4"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0" fillId="0" borderId="7"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8" xfId="0" applyFont="1" applyBorder="1" applyAlignment="1">
      <alignment horizontal="left" vertical="center" wrapText="1"/>
    </xf>
    <xf numFmtId="0" fontId="11" fillId="0" borderId="8" xfId="0" applyFont="1" applyBorder="1" applyAlignment="1">
      <alignment vertical="center" wrapText="1"/>
    </xf>
    <xf numFmtId="0" fontId="11" fillId="0" borderId="7" xfId="0" applyFont="1" applyBorder="1" applyAlignment="1">
      <alignment vertical="center" wrapText="1"/>
    </xf>
    <xf numFmtId="0" fontId="13" fillId="0" borderId="7" xfId="0" applyFont="1" applyBorder="1" applyAlignment="1">
      <alignment horizontal="left" vertical="center" wrapText="1"/>
    </xf>
    <xf numFmtId="0" fontId="11" fillId="0" borderId="7" xfId="0" applyFont="1" applyBorder="1" applyAlignment="1">
      <alignment horizontal="left" vertical="center" wrapText="1"/>
    </xf>
    <xf numFmtId="0" fontId="13" fillId="0" borderId="19" xfId="0" applyFont="1" applyBorder="1" applyAlignment="1">
      <alignment horizontal="left" vertical="center" wrapText="1"/>
    </xf>
    <xf numFmtId="0" fontId="11" fillId="0" borderId="19" xfId="0" applyFont="1" applyBorder="1" applyAlignment="1">
      <alignment vertical="center" wrapText="1"/>
    </xf>
    <xf numFmtId="0" fontId="3" fillId="0" borderId="0" xfId="0" applyFont="1" applyAlignment="1">
      <alignment horizontal="left" vertical="center"/>
    </xf>
    <xf numFmtId="0" fontId="3" fillId="0" borderId="7" xfId="0" applyFont="1" applyBorder="1" applyAlignment="1">
      <alignment horizontal="left" vertical="center"/>
    </xf>
    <xf numFmtId="0" fontId="11" fillId="0" borderId="19" xfId="0" applyFont="1" applyBorder="1" applyAlignment="1">
      <alignment horizontal="left" vertical="center" wrapText="1"/>
    </xf>
    <xf numFmtId="0" fontId="3" fillId="7" borderId="20" xfId="0" applyFont="1" applyFill="1" applyBorder="1" applyAlignment="1">
      <alignment horizontal="left" vertical="center" wrapText="1"/>
    </xf>
    <xf numFmtId="0" fontId="3" fillId="7" borderId="20"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0" xfId="0" applyFont="1" applyFill="1" applyBorder="1" applyAlignment="1">
      <alignment horizontal="left" vertical="center" wrapText="1"/>
    </xf>
    <xf numFmtId="0" fontId="3" fillId="7" borderId="20" xfId="0" applyFont="1" applyFill="1" applyBorder="1" applyAlignment="1">
      <alignment horizontal="center" vertical="center"/>
    </xf>
    <xf numFmtId="49" fontId="3" fillId="7" borderId="20" xfId="0" applyNumberFormat="1" applyFont="1" applyFill="1" applyBorder="1" applyAlignment="1">
      <alignment horizontal="left" vertical="center" wrapText="1"/>
    </xf>
    <xf numFmtId="0" fontId="11" fillId="12" borderId="20"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19" xfId="0" applyFont="1" applyBorder="1" applyAlignment="1">
      <alignment horizontal="left" vertical="center"/>
    </xf>
    <xf numFmtId="0" fontId="3" fillId="0" borderId="0" xfId="0" applyFont="1" applyAlignment="1">
      <alignment horizontal="left"/>
    </xf>
    <xf numFmtId="0" fontId="3" fillId="12" borderId="20" xfId="0" applyFont="1" applyFill="1" applyBorder="1" applyAlignment="1">
      <alignment horizontal="left" vertical="center"/>
    </xf>
    <xf numFmtId="0" fontId="3" fillId="12" borderId="20" xfId="0" applyFont="1" applyFill="1" applyBorder="1" applyAlignment="1">
      <alignment horizontal="center" vertical="center"/>
    </xf>
    <xf numFmtId="0" fontId="3" fillId="12" borderId="20" xfId="0" applyFont="1" applyFill="1" applyBorder="1" applyAlignment="1">
      <alignment horizontal="center" vertical="center" wrapText="1"/>
    </xf>
    <xf numFmtId="0" fontId="3" fillId="12" borderId="20" xfId="0" applyFont="1" applyFill="1" applyBorder="1" applyAlignment="1">
      <alignment horizontal="left" vertical="center" wrapText="1"/>
    </xf>
    <xf numFmtId="0" fontId="11" fillId="12" borderId="20"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1"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6" xfId="0" applyFont="1" applyFill="1" applyBorder="1" applyAlignment="1">
      <alignment horizontal="center" vertical="center" wrapText="1"/>
    </xf>
    <xf numFmtId="0" fontId="3" fillId="0" borderId="8" xfId="0" applyFont="1" applyBorder="1" applyAlignment="1">
      <alignment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14" fillId="2" borderId="2" xfId="0" applyFont="1" applyFill="1" applyBorder="1" applyAlignment="1">
      <alignment horizontal="center"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3" fillId="0" borderId="8" xfId="0" applyFont="1" applyBorder="1" applyAlignment="1">
      <alignment horizontal="center" vertical="center" wrapText="1"/>
    </xf>
    <xf numFmtId="0" fontId="13" fillId="0" borderId="0" xfId="0" applyFont="1" applyAlignment="1">
      <alignment horizontal="center" vertical="center" wrapText="1"/>
    </xf>
    <xf numFmtId="0" fontId="13" fillId="0" borderId="7" xfId="0" applyFont="1" applyBorder="1" applyAlignment="1">
      <alignment horizontal="center" vertical="center" wrapText="1"/>
    </xf>
    <xf numFmtId="0" fontId="11" fillId="0" borderId="19" xfId="0" applyFont="1" applyBorder="1" applyAlignment="1">
      <alignment horizontal="center" vertical="center"/>
    </xf>
    <xf numFmtId="0" fontId="11" fillId="0" borderId="0" xfId="0" applyFont="1" applyAlignment="1">
      <alignment horizontal="center" vertical="center"/>
    </xf>
    <xf numFmtId="0" fontId="11" fillId="0" borderId="7" xfId="0" applyFont="1" applyBorder="1" applyAlignment="1">
      <alignment horizontal="center" vertical="center"/>
    </xf>
    <xf numFmtId="0" fontId="11" fillId="0" borderId="19" xfId="0" applyFont="1" applyBorder="1" applyAlignment="1">
      <alignment horizontal="left" vertical="center" wrapText="1"/>
    </xf>
    <xf numFmtId="0" fontId="11" fillId="0" borderId="0" xfId="0" applyFont="1" applyAlignment="1">
      <alignment horizontal="left" vertical="center" wrapText="1"/>
    </xf>
    <xf numFmtId="0" fontId="11" fillId="0" borderId="7" xfId="0" applyFont="1" applyBorder="1" applyAlignment="1">
      <alignment horizontal="left" vertical="center" wrapText="1"/>
    </xf>
    <xf numFmtId="0" fontId="11" fillId="0" borderId="19" xfId="0" applyFont="1" applyBorder="1" applyAlignment="1">
      <alignment horizontal="center" vertical="center" wrapText="1"/>
    </xf>
    <xf numFmtId="0" fontId="11" fillId="0" borderId="0" xfId="0" applyFont="1" applyAlignment="1">
      <alignment horizontal="center" vertical="center" wrapText="1"/>
    </xf>
    <xf numFmtId="0" fontId="11" fillId="0" borderId="7"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19" xfId="0" applyFont="1" applyBorder="1" applyAlignment="1">
      <alignment horizontal="left" vertical="center" wrapText="1"/>
    </xf>
    <xf numFmtId="0" fontId="13" fillId="0" borderId="0" xfId="0" applyFont="1" applyAlignment="1">
      <alignment horizontal="left" vertical="center" wrapText="1"/>
    </xf>
    <xf numFmtId="0" fontId="11" fillId="0" borderId="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9" xfId="0" applyFont="1" applyBorder="1" applyAlignment="1">
      <alignment horizontal="left" vertical="center" wrapText="1"/>
    </xf>
    <xf numFmtId="0" fontId="3" fillId="0" borderId="7" xfId="0" applyFont="1" applyBorder="1" applyAlignment="1">
      <alignment horizontal="left" vertical="center" wrapText="1"/>
    </xf>
    <xf numFmtId="0" fontId="19" fillId="9" borderId="2" xfId="0" applyFont="1" applyFill="1" applyBorder="1" applyAlignment="1">
      <alignment horizontal="center" vertical="center" wrapText="1"/>
    </xf>
    <xf numFmtId="0" fontId="3" fillId="0" borderId="0" xfId="0" applyFont="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5" fillId="4" borderId="18"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8" xfId="0" applyFont="1" applyFill="1" applyBorder="1" applyAlignment="1">
      <alignment horizontal="center"/>
    </xf>
    <xf numFmtId="0" fontId="4" fillId="4" borderId="12" xfId="0" applyFont="1" applyFill="1" applyBorder="1" applyAlignment="1">
      <alignment horizontal="center"/>
    </xf>
    <xf numFmtId="0" fontId="30" fillId="0" borderId="0" xfId="0" applyFont="1" applyAlignment="1">
      <alignment horizontal="center" vertical="center"/>
    </xf>
    <xf numFmtId="0" fontId="31" fillId="0" borderId="0" xfId="0" applyFont="1" applyAlignment="1">
      <alignment horizontal="center" vertical="center" wrapText="1"/>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gomezva_poligran_edu_co/Documents/2023-2/Reforzamiento%202023/05.Formato%20programas%20reforzamiento%20-%20Pregrado%20Ing%20Telecomunicaciones.xlsx" TargetMode="External"/><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personal/rgomezva_poligran_edu_co/Documents/2023-2/Reforzamiento%202023/05.Formato%20programas%20reforzamiento%20-%20Pregrado%20Ing%20Telecomunicacione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poligran-my.sharepoint.com/personal/mgcely_poligran_edu_co/Documents/Grabaciones/Escritorio/05_ReformaCurricular/FIDI/FormatoRA_IngSistemas_PBOG.xlsx" TargetMode="External"/><Relationship Id="rId2" Type="http://schemas.microsoft.com/office/2019/04/relationships/externalLinkLongPath" Target="FormatoRA_IngSistemas_PBOG.xlsx?FF62EE1C" TargetMode="External"/><Relationship Id="rId1" Type="http://schemas.openxmlformats.org/officeDocument/2006/relationships/externalLinkPath" Target="file:///\\FF62EE1C\FormatoRA_IngSistemas_PB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Paso1 Analisis perfil egreso"/>
      <sheetName val="Paso 2 Redacción competen"/>
      <sheetName val="Paso 3 Redacción RA"/>
      <sheetName val="Paso 4 Estrategias mesocurricu"/>
      <sheetName val="Paso 3 Redacción RA - Backup "/>
      <sheetName val="Paso 5 Estrategias micro"/>
      <sheetName val="Taxonomía para competencias"/>
      <sheetName val="Taxonomias para RA"/>
      <sheetName val="Paso 3 Redacción RA "/>
      <sheetName val="Paso 5 Estrategias microcurricu"/>
    </sheetNames>
    <sheetDataSet>
      <sheetData sheetId="0"/>
      <sheetData sheetId="1"/>
      <sheetData sheetId="2"/>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9" totalsRowShown="0" headerRowDxfId="148" dataDxfId="147">
  <autoFilter ref="B1:B39" xr:uid="{362A7F4C-394D-4A63-8C31-6F5A9FA00CF6}"/>
  <sortState xmlns:xlrd2="http://schemas.microsoft.com/office/spreadsheetml/2017/richdata2" ref="B2:B31">
    <sortCondition ref="B2:B31"/>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70" totalsRowShown="0" headerRowDxfId="100" dataDxfId="99">
  <autoFilter ref="AA3:AA70"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4" totalsRowShown="0" headerRowDxfId="97" dataDxfId="96">
  <autoFilter ref="AB3:AB64"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tabSelected="1" zoomScale="90" zoomScaleNormal="90" workbookViewId="0"/>
  </sheetViews>
  <sheetFormatPr defaultColWidth="76.28515625" defaultRowHeight="16.5"/>
  <cols>
    <col min="1" max="1" width="21.140625" style="2" customWidth="1"/>
    <col min="2" max="2" width="16.7109375" style="2" customWidth="1"/>
    <col min="3" max="3" width="50.85546875" style="2" customWidth="1"/>
    <col min="4" max="4" width="63.140625" style="2" customWidth="1"/>
    <col min="5" max="5" width="44.42578125" style="2" customWidth="1"/>
    <col min="6" max="6" width="50.28515625" customWidth="1"/>
    <col min="7" max="7" width="51.28515625" customWidth="1"/>
    <col min="8" max="8" width="30.28515625" style="2" customWidth="1"/>
    <col min="9" max="9" width="35.28515625" style="2" customWidth="1"/>
    <col min="10" max="10" width="33.42578125" style="2" customWidth="1"/>
    <col min="11" max="11" width="45.5703125" style="2" customWidth="1"/>
    <col min="12" max="16384" width="76.28515625" style="2"/>
  </cols>
  <sheetData>
    <row r="1" spans="1:11" s="35" customFormat="1" ht="39">
      <c r="A1" s="38" t="s">
        <v>0</v>
      </c>
      <c r="B1" s="38" t="s">
        <v>1</v>
      </c>
      <c r="C1" s="38" t="s">
        <v>2</v>
      </c>
      <c r="D1" s="38" t="s">
        <v>3</v>
      </c>
      <c r="E1" s="136" t="s">
        <v>4</v>
      </c>
      <c r="F1" s="136"/>
      <c r="G1" s="136"/>
      <c r="H1" s="136" t="s">
        <v>5</v>
      </c>
      <c r="I1" s="136"/>
      <c r="J1" s="136"/>
      <c r="K1" s="38" t="s">
        <v>6</v>
      </c>
    </row>
    <row r="2" spans="1:11" s="29" customFormat="1">
      <c r="A2" s="40" t="s">
        <v>7</v>
      </c>
      <c r="B2" s="40" t="s">
        <v>8</v>
      </c>
      <c r="C2" s="40" t="s">
        <v>9</v>
      </c>
      <c r="D2" s="46" t="s">
        <v>10</v>
      </c>
      <c r="E2" s="132" t="s">
        <v>11</v>
      </c>
      <c r="F2" s="132" t="s">
        <v>12</v>
      </c>
      <c r="G2" s="132" t="s">
        <v>13</v>
      </c>
      <c r="H2" s="48" t="s">
        <v>14</v>
      </c>
      <c r="I2" s="48" t="s">
        <v>15</v>
      </c>
      <c r="J2" s="48" t="s">
        <v>16</v>
      </c>
      <c r="K2" s="47" t="s">
        <v>17</v>
      </c>
    </row>
    <row r="3" spans="1:11" s="4" customFormat="1" ht="47.1" customHeight="1">
      <c r="A3" s="134" t="s">
        <v>18</v>
      </c>
      <c r="B3" s="134" t="s">
        <v>19</v>
      </c>
      <c r="C3" s="134" t="s">
        <v>20</v>
      </c>
      <c r="D3" s="134" t="s">
        <v>21</v>
      </c>
      <c r="E3" s="133" t="s">
        <v>22</v>
      </c>
      <c r="F3" s="133" t="s">
        <v>23</v>
      </c>
      <c r="G3" s="133" t="s">
        <v>24</v>
      </c>
      <c r="H3" s="137" t="s">
        <v>25</v>
      </c>
      <c r="I3" s="137" t="s">
        <v>26</v>
      </c>
      <c r="J3" s="137" t="s">
        <v>27</v>
      </c>
      <c r="K3" s="134" t="s">
        <v>28</v>
      </c>
    </row>
    <row r="4" spans="1:11" s="4" customFormat="1" ht="39.6" customHeight="1">
      <c r="A4" s="135"/>
      <c r="B4" s="135"/>
      <c r="C4" s="135"/>
      <c r="D4" s="135"/>
      <c r="E4" s="4" t="s">
        <v>29</v>
      </c>
      <c r="F4" s="4" t="s">
        <v>30</v>
      </c>
      <c r="G4" s="4" t="s">
        <v>31</v>
      </c>
      <c r="H4" s="138"/>
      <c r="I4" s="138"/>
      <c r="J4" s="138"/>
      <c r="K4" s="135"/>
    </row>
    <row r="5" spans="1:11" s="4" customFormat="1" ht="44.1" customHeight="1">
      <c r="A5" s="135"/>
      <c r="B5" s="135"/>
      <c r="C5" s="135"/>
      <c r="D5" s="135"/>
      <c r="E5" s="34" t="s">
        <v>32</v>
      </c>
      <c r="F5" s="34" t="s">
        <v>33</v>
      </c>
      <c r="G5" s="34" t="s">
        <v>34</v>
      </c>
      <c r="H5" s="138"/>
      <c r="I5" s="138"/>
      <c r="J5" s="138"/>
      <c r="K5" s="135"/>
    </row>
    <row r="6" spans="1:11" s="4" customFormat="1" ht="46.5" customHeight="1" thickBot="1">
      <c r="A6" s="135"/>
      <c r="B6" s="135"/>
      <c r="C6" s="135"/>
      <c r="D6" s="135"/>
      <c r="E6" s="34" t="s">
        <v>35</v>
      </c>
      <c r="F6" s="4" t="s">
        <v>36</v>
      </c>
      <c r="G6" s="4" t="s">
        <v>37</v>
      </c>
      <c r="H6" s="138"/>
      <c r="I6" s="138"/>
      <c r="J6" s="138"/>
      <c r="K6" s="135"/>
    </row>
    <row r="7" spans="1:11" s="4" customFormat="1" ht="78.599999999999994" customHeight="1">
      <c r="A7" s="135"/>
      <c r="B7" s="135"/>
      <c r="C7" s="135"/>
      <c r="D7" s="135"/>
      <c r="E7" s="98" t="s">
        <v>38</v>
      </c>
      <c r="F7" s="98" t="s">
        <v>39</v>
      </c>
      <c r="G7" s="98" t="s">
        <v>40</v>
      </c>
      <c r="H7" s="138"/>
      <c r="I7" s="138"/>
      <c r="J7" s="138"/>
      <c r="K7" s="135"/>
    </row>
    <row r="8" spans="1:11" s="4" customFormat="1">
      <c r="C8" s="34"/>
      <c r="D8" s="131"/>
      <c r="E8" s="34"/>
      <c r="F8" s="34"/>
      <c r="G8" s="34"/>
      <c r="H8" s="5"/>
    </row>
    <row r="9" spans="1:11" ht="21">
      <c r="D9" s="28"/>
      <c r="E9" s="8"/>
      <c r="F9" s="8"/>
      <c r="H9" s="3"/>
    </row>
    <row r="10" spans="1:11" ht="21">
      <c r="D10" s="28"/>
      <c r="E10" s="8"/>
      <c r="F10" s="8"/>
      <c r="H10" s="3"/>
    </row>
    <row r="11" spans="1:11" ht="21">
      <c r="C11" s="30"/>
      <c r="D11" s="28"/>
      <c r="E11" s="30"/>
      <c r="F11" s="30"/>
      <c r="H11" s="3"/>
    </row>
    <row r="12" spans="1:11" ht="21">
      <c r="D12" s="28"/>
      <c r="E12" s="8"/>
      <c r="F12" s="8"/>
      <c r="H12" s="3"/>
    </row>
    <row r="13" spans="1:11" ht="21">
      <c r="C13" s="4"/>
      <c r="D13" s="28"/>
      <c r="E13" s="10"/>
      <c r="F13" s="2"/>
      <c r="H13" s="3"/>
    </row>
    <row r="14" spans="1:11" ht="21">
      <c r="D14" s="28"/>
      <c r="E14" s="8"/>
    </row>
    <row r="15" spans="1:11" ht="21">
      <c r="D15" s="28"/>
    </row>
    <row r="16" spans="1:11" ht="21">
      <c r="D16" s="28"/>
    </row>
    <row r="17" spans="4:4" ht="21">
      <c r="D17" s="28"/>
    </row>
    <row r="18" spans="4:4" ht="21">
      <c r="D18" s="28"/>
    </row>
    <row r="19" spans="4:4" ht="21">
      <c r="D19" s="28"/>
    </row>
    <row r="20" spans="4:4" ht="21">
      <c r="D20" s="28"/>
    </row>
    <row r="21" spans="4:4" ht="21">
      <c r="D21" s="28"/>
    </row>
    <row r="22" spans="4:4" ht="21">
      <c r="D22" s="28"/>
    </row>
  </sheetData>
  <mergeCells count="10">
    <mergeCell ref="K3:K7"/>
    <mergeCell ref="E1:G1"/>
    <mergeCell ref="H1:J1"/>
    <mergeCell ref="A3:A7"/>
    <mergeCell ref="B3:B7"/>
    <mergeCell ref="C3:C7"/>
    <mergeCell ref="D3:D7"/>
    <mergeCell ref="H3:H7"/>
    <mergeCell ref="I3:I7"/>
    <mergeCell ref="J3:J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6"/>
  <sheetViews>
    <sheetView zoomScale="80" zoomScaleNormal="80" workbookViewId="0">
      <selection sqref="A1:G1"/>
    </sheetView>
  </sheetViews>
  <sheetFormatPr defaultColWidth="11.42578125" defaultRowHeight="16.5"/>
  <cols>
    <col min="1" max="1" width="19" style="6" customWidth="1"/>
    <col min="2" max="2" width="23" style="6" customWidth="1"/>
    <col min="3" max="3" width="27" style="6" customWidth="1"/>
    <col min="4" max="4" width="32.7109375" style="6" customWidth="1"/>
    <col min="5" max="5" width="41.85546875" style="6" customWidth="1"/>
    <col min="6" max="6" width="78.5703125" style="6" customWidth="1"/>
    <col min="7" max="7" width="24" style="6" customWidth="1"/>
    <col min="8" max="16384" width="11.42578125" style="6"/>
  </cols>
  <sheetData>
    <row r="1" spans="1:7" s="2" customFormat="1">
      <c r="A1" s="139" t="s">
        <v>41</v>
      </c>
      <c r="B1" s="140"/>
      <c r="C1" s="140"/>
      <c r="D1" s="140"/>
      <c r="E1" s="140"/>
      <c r="F1" s="140"/>
      <c r="G1" s="140"/>
    </row>
    <row r="2" spans="1:7" s="39" customFormat="1" ht="78">
      <c r="A2" s="36" t="s">
        <v>42</v>
      </c>
      <c r="B2" s="37" t="s">
        <v>43</v>
      </c>
      <c r="C2" s="37" t="s">
        <v>44</v>
      </c>
      <c r="D2" s="37" t="s">
        <v>45</v>
      </c>
      <c r="E2" s="37" t="s">
        <v>46</v>
      </c>
      <c r="F2" s="38" t="s">
        <v>47</v>
      </c>
      <c r="G2" s="38" t="s">
        <v>48</v>
      </c>
    </row>
    <row r="3" spans="1:7" s="41" customFormat="1">
      <c r="A3" s="60" t="s">
        <v>49</v>
      </c>
      <c r="B3" s="61" t="s">
        <v>50</v>
      </c>
      <c r="C3" s="61" t="s">
        <v>51</v>
      </c>
      <c r="D3" s="61" t="s">
        <v>52</v>
      </c>
      <c r="E3" s="61" t="s">
        <v>53</v>
      </c>
      <c r="F3" s="50" t="s">
        <v>54</v>
      </c>
      <c r="G3" s="50" t="s">
        <v>55</v>
      </c>
    </row>
    <row r="4" spans="1:7" ht="49.5">
      <c r="A4" s="6">
        <v>1</v>
      </c>
      <c r="B4" s="5" t="s">
        <v>56</v>
      </c>
      <c r="C4" s="5" t="s">
        <v>22</v>
      </c>
      <c r="D4" s="5" t="s">
        <v>23</v>
      </c>
      <c r="E4" s="5" t="s">
        <v>24</v>
      </c>
      <c r="F4" s="51" t="s">
        <v>57</v>
      </c>
      <c r="G4" s="6" t="s">
        <v>58</v>
      </c>
    </row>
    <row r="5" spans="1:7" ht="49.5">
      <c r="A5" s="6">
        <v>2</v>
      </c>
      <c r="B5" s="5" t="s">
        <v>59</v>
      </c>
      <c r="C5" s="5" t="s">
        <v>29</v>
      </c>
      <c r="D5" s="5" t="s">
        <v>30</v>
      </c>
      <c r="E5" s="5" t="s">
        <v>31</v>
      </c>
      <c r="F5" s="5" t="s">
        <v>60</v>
      </c>
      <c r="G5" s="6" t="s">
        <v>58</v>
      </c>
    </row>
    <row r="6" spans="1:7" ht="49.5">
      <c r="A6" s="6">
        <v>3</v>
      </c>
      <c r="B6" s="5" t="s">
        <v>61</v>
      </c>
      <c r="C6" s="5" t="s">
        <v>32</v>
      </c>
      <c r="D6" s="5" t="s">
        <v>33</v>
      </c>
      <c r="E6" s="5" t="s">
        <v>34</v>
      </c>
      <c r="F6" s="5" t="s">
        <v>62</v>
      </c>
      <c r="G6" s="6" t="s">
        <v>58</v>
      </c>
    </row>
    <row r="7" spans="1:7" ht="50.1" thickBot="1">
      <c r="A7" s="88">
        <v>4</v>
      </c>
      <c r="B7" s="87" t="s">
        <v>63</v>
      </c>
      <c r="C7" s="87" t="s">
        <v>35</v>
      </c>
      <c r="D7" s="87" t="s">
        <v>36</v>
      </c>
      <c r="E7" s="87" t="s">
        <v>37</v>
      </c>
      <c r="F7" s="87" t="s">
        <v>64</v>
      </c>
      <c r="G7" s="88" t="s">
        <v>58</v>
      </c>
    </row>
    <row r="8" spans="1:7" ht="66">
      <c r="A8" s="6">
        <v>5</v>
      </c>
      <c r="B8" s="34" t="s">
        <v>65</v>
      </c>
      <c r="C8" s="5" t="s">
        <v>38</v>
      </c>
      <c r="D8" s="34" t="s">
        <v>39</v>
      </c>
      <c r="E8" s="34" t="s">
        <v>66</v>
      </c>
      <c r="F8" s="34" t="s">
        <v>67</v>
      </c>
      <c r="G8" s="6" t="s">
        <v>68</v>
      </c>
    </row>
    <row r="9" spans="1:7">
      <c r="B9" s="5"/>
      <c r="C9" s="32"/>
      <c r="D9" s="33"/>
      <c r="E9" s="33"/>
      <c r="F9" s="5"/>
    </row>
    <row r="10" spans="1:7">
      <c r="C10" s="31"/>
      <c r="D10" s="31"/>
      <c r="E10" s="31"/>
    </row>
    <row r="14" spans="1:7">
      <c r="C14" s="31"/>
      <c r="D14" s="15"/>
      <c r="E14" s="15"/>
    </row>
    <row r="15" spans="1:7">
      <c r="C15" s="31"/>
      <c r="D15" s="15"/>
      <c r="E15" s="15"/>
    </row>
    <row r="16" spans="1:7">
      <c r="C16" s="31"/>
      <c r="D16" s="15"/>
      <c r="E16" s="15"/>
    </row>
  </sheetData>
  <mergeCells count="1">
    <mergeCell ref="A1:G1"/>
  </mergeCells>
  <dataValidations count="1">
    <dataValidation type="list" allowBlank="1" showInputMessage="1" showErrorMessage="1" sqref="B8:B12"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5EADCC8E-A021-41D2-A781-82D42FE181E0}">
          <x14:formula1>
            <xm:f>'Paso1 Analisis perfil egreso'!$E$3:$E$8</xm:f>
          </x14:formula1>
          <xm:sqref>C8</xm:sqref>
        </x14:dataValidation>
        <x14:dataValidation type="list" allowBlank="1" showInputMessage="1" showErrorMessage="1" xr:uid="{33DE93D0-28B9-435A-9EE1-5F80FDE293A1}">
          <x14:formula1>
            <xm:f>'Paso1 Analisis perfil egreso'!$E$3:$E$6</xm:f>
          </x14:formula1>
          <xm:sqref>C4:C7</xm:sqref>
        </x14:dataValidation>
        <x14:dataValidation type="list" allowBlank="1" showInputMessage="1" showErrorMessage="1" xr:uid="{3C1335EA-E30A-48A9-8DE3-62AB20AEC6F8}">
          <x14:formula1>
            <xm:f>'Paso1 Analisis perfil egreso'!$F$3:$F$6</xm:f>
          </x14:formula1>
          <xm:sqref>D4:D7</xm:sqref>
        </x14:dataValidation>
        <x14:dataValidation type="list" allowBlank="1" showInputMessage="1" showErrorMessage="1" xr:uid="{F1A9972E-6BF7-4178-8E41-9207D698E7F5}">
          <x14:formula1>
            <xm:f>'Paso1 Analisis perfil egreso'!$G$3:$G$6</xm:f>
          </x14:formula1>
          <xm:sqref>E4:E7</xm:sqref>
        </x14:dataValidation>
        <x14:dataValidation type="list" allowBlank="1" showInputMessage="1" showErrorMessage="1" xr:uid="{67CCD9FD-C355-4093-9DBF-5B728297BE25}">
          <x14:formula1>
            <xm:f>'Taxonomía para competencias'!$B$2:$B$58</xm:f>
          </x14:formula1>
          <xm:sqref>B13</xm:sqref>
        </x14:dataValidation>
        <x14:dataValidation type="list" allowBlank="1" showInputMessage="1" showErrorMessage="1" xr:uid="{27BB9EA1-A522-436A-B320-3844B1FF49FC}">
          <x14:formula1>
            <xm:f>'Taxonomía para competencias'!$B$2:$B$49</xm:f>
          </x14:formula1>
          <xm:sqref>B4:B7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8"/>
  <sheetViews>
    <sheetView zoomScale="90" zoomScaleNormal="90" workbookViewId="0"/>
  </sheetViews>
  <sheetFormatPr defaultColWidth="11.42578125" defaultRowHeight="16.5"/>
  <cols>
    <col min="1" max="1" width="93.28515625" style="5" customWidth="1"/>
    <col min="2" max="2" width="23.140625" style="6" customWidth="1"/>
    <col min="3" max="3" width="25" style="5" customWidth="1"/>
    <col min="4" max="4" width="29.28515625" style="5" customWidth="1"/>
    <col min="5" max="5" width="26.42578125" style="5" customWidth="1"/>
    <col min="6" max="6" width="21.28515625" style="5" customWidth="1"/>
    <col min="7" max="7" width="21.28515625" style="7" customWidth="1"/>
    <col min="8" max="8" width="21.28515625" style="91" customWidth="1"/>
    <col min="9" max="9" width="80" style="9" customWidth="1"/>
    <col min="10" max="10" width="97.140625" style="5" customWidth="1"/>
    <col min="11" max="16384" width="11.42578125" style="5"/>
  </cols>
  <sheetData>
    <row r="1" spans="1:10" s="83" customFormat="1" ht="51.95">
      <c r="A1" s="81" t="s">
        <v>69</v>
      </c>
      <c r="B1" s="81" t="s">
        <v>70</v>
      </c>
      <c r="C1" s="37" t="s">
        <v>71</v>
      </c>
      <c r="D1" s="82" t="s">
        <v>72</v>
      </c>
      <c r="E1" s="82" t="s">
        <v>73</v>
      </c>
      <c r="F1" s="37" t="s">
        <v>74</v>
      </c>
      <c r="G1" s="37" t="s">
        <v>75</v>
      </c>
      <c r="H1" s="37" t="s">
        <v>76</v>
      </c>
      <c r="I1" s="81" t="s">
        <v>77</v>
      </c>
    </row>
    <row r="2" spans="1:10" s="86" customFormat="1">
      <c r="A2" s="84" t="s">
        <v>78</v>
      </c>
      <c r="B2" s="84" t="s">
        <v>79</v>
      </c>
      <c r="C2" s="61" t="s">
        <v>80</v>
      </c>
      <c r="D2" s="85" t="s">
        <v>81</v>
      </c>
      <c r="E2" s="85" t="s">
        <v>82</v>
      </c>
      <c r="F2" s="61" t="s">
        <v>83</v>
      </c>
      <c r="G2" s="61" t="s">
        <v>84</v>
      </c>
      <c r="H2" s="61" t="s">
        <v>85</v>
      </c>
      <c r="I2" s="84" t="s">
        <v>86</v>
      </c>
    </row>
    <row r="3" spans="1:10" ht="49.5">
      <c r="A3" s="5" t="s">
        <v>57</v>
      </c>
      <c r="B3" s="6">
        <v>1</v>
      </c>
      <c r="C3" s="5" t="s">
        <v>11</v>
      </c>
      <c r="D3" s="5" t="s">
        <v>22</v>
      </c>
      <c r="E3" s="5" t="s">
        <v>87</v>
      </c>
      <c r="F3" s="9" t="s">
        <v>88</v>
      </c>
      <c r="G3" s="9" t="s">
        <v>89</v>
      </c>
      <c r="H3" s="5" t="s">
        <v>90</v>
      </c>
      <c r="I3" s="34" t="s">
        <v>91</v>
      </c>
      <c r="J3" s="27"/>
    </row>
    <row r="4" spans="1:10" ht="49.5">
      <c r="A4" s="5" t="s">
        <v>57</v>
      </c>
      <c r="B4" s="6">
        <v>3</v>
      </c>
      <c r="C4" s="5" t="s">
        <v>12</v>
      </c>
      <c r="D4" s="5" t="s">
        <v>23</v>
      </c>
      <c r="E4" s="5" t="s">
        <v>87</v>
      </c>
      <c r="F4" s="9" t="s">
        <v>92</v>
      </c>
      <c r="G4" s="9" t="s">
        <v>93</v>
      </c>
      <c r="H4" s="5" t="s">
        <v>94</v>
      </c>
      <c r="I4" s="34" t="s">
        <v>95</v>
      </c>
    </row>
    <row r="5" spans="1:10" ht="50.1" thickBot="1">
      <c r="A5" s="87" t="s">
        <v>57</v>
      </c>
      <c r="B5" s="88">
        <v>4</v>
      </c>
      <c r="C5" s="87" t="s">
        <v>13</v>
      </c>
      <c r="D5" s="87" t="s">
        <v>96</v>
      </c>
      <c r="E5" s="87" t="s">
        <v>87</v>
      </c>
      <c r="F5" s="89" t="s">
        <v>97</v>
      </c>
      <c r="G5" s="89" t="s">
        <v>98</v>
      </c>
      <c r="H5" s="87" t="s">
        <v>99</v>
      </c>
      <c r="I5" s="94" t="s">
        <v>100</v>
      </c>
    </row>
    <row r="6" spans="1:10" ht="49.5">
      <c r="A6" s="5" t="s">
        <v>60</v>
      </c>
      <c r="B6" s="6">
        <v>5</v>
      </c>
      <c r="C6" s="5" t="s">
        <v>11</v>
      </c>
      <c r="D6" s="5" t="s">
        <v>29</v>
      </c>
      <c r="E6" s="5" t="s">
        <v>87</v>
      </c>
      <c r="F6" s="9" t="s">
        <v>88</v>
      </c>
      <c r="G6" s="9" t="s">
        <v>89</v>
      </c>
      <c r="H6" s="5" t="s">
        <v>101</v>
      </c>
      <c r="I6" s="34" t="s">
        <v>102</v>
      </c>
    </row>
    <row r="7" spans="1:10" ht="49.5">
      <c r="A7" s="5" t="s">
        <v>60</v>
      </c>
      <c r="B7" s="6">
        <v>6</v>
      </c>
      <c r="C7" s="5" t="s">
        <v>12</v>
      </c>
      <c r="D7" s="5" t="s">
        <v>30</v>
      </c>
      <c r="E7" s="5" t="s">
        <v>87</v>
      </c>
      <c r="F7" s="9" t="s">
        <v>92</v>
      </c>
      <c r="G7" s="9" t="s">
        <v>93</v>
      </c>
      <c r="H7" s="5" t="s">
        <v>103</v>
      </c>
      <c r="I7" s="34" t="s">
        <v>104</v>
      </c>
    </row>
    <row r="8" spans="1:10" ht="66.599999999999994" thickBot="1">
      <c r="A8" s="87" t="s">
        <v>60</v>
      </c>
      <c r="B8" s="88">
        <v>4</v>
      </c>
      <c r="C8" s="87" t="s">
        <v>13</v>
      </c>
      <c r="D8" s="87" t="s">
        <v>31</v>
      </c>
      <c r="E8" s="87" t="s">
        <v>87</v>
      </c>
      <c r="F8" s="89" t="s">
        <v>97</v>
      </c>
      <c r="G8" s="89" t="s">
        <v>98</v>
      </c>
      <c r="H8" s="87" t="s">
        <v>99</v>
      </c>
      <c r="I8" s="94" t="s">
        <v>100</v>
      </c>
      <c r="J8" s="90"/>
    </row>
    <row r="9" spans="1:10" ht="33">
      <c r="A9" s="5" t="s">
        <v>62</v>
      </c>
      <c r="B9" s="6">
        <v>1</v>
      </c>
      <c r="C9" s="5" t="s">
        <v>11</v>
      </c>
      <c r="D9" s="5" t="s">
        <v>32</v>
      </c>
      <c r="E9" s="5" t="s">
        <v>87</v>
      </c>
      <c r="F9" s="9" t="s">
        <v>88</v>
      </c>
      <c r="G9" s="9" t="s">
        <v>105</v>
      </c>
      <c r="H9" s="5" t="s">
        <v>90</v>
      </c>
      <c r="I9" s="34" t="s">
        <v>91</v>
      </c>
    </row>
    <row r="10" spans="1:10" ht="42.6" customHeight="1">
      <c r="A10" s="5" t="s">
        <v>62</v>
      </c>
      <c r="B10" s="6">
        <v>6</v>
      </c>
      <c r="C10" s="5" t="s">
        <v>12</v>
      </c>
      <c r="D10" s="5" t="s">
        <v>33</v>
      </c>
      <c r="E10" s="5" t="s">
        <v>87</v>
      </c>
      <c r="F10" s="9" t="s">
        <v>92</v>
      </c>
      <c r="G10" s="9" t="s">
        <v>93</v>
      </c>
      <c r="H10" s="5" t="s">
        <v>103</v>
      </c>
      <c r="I10" s="34" t="s">
        <v>104</v>
      </c>
    </row>
    <row r="11" spans="1:10" ht="46.5" customHeight="1" thickBot="1">
      <c r="A11" s="87" t="s">
        <v>62</v>
      </c>
      <c r="B11" s="88">
        <v>4</v>
      </c>
      <c r="C11" s="87" t="s">
        <v>13</v>
      </c>
      <c r="D11" s="87" t="s">
        <v>34</v>
      </c>
      <c r="E11" s="87" t="s">
        <v>87</v>
      </c>
      <c r="F11" s="89" t="s">
        <v>97</v>
      </c>
      <c r="G11" s="89" t="s">
        <v>98</v>
      </c>
      <c r="H11" s="87" t="s">
        <v>99</v>
      </c>
      <c r="I11" s="94" t="s">
        <v>100</v>
      </c>
      <c r="J11" s="90"/>
    </row>
    <row r="12" spans="1:10" ht="33">
      <c r="A12" s="5" t="s">
        <v>64</v>
      </c>
      <c r="B12" s="6">
        <v>7</v>
      </c>
      <c r="C12" s="5" t="s">
        <v>11</v>
      </c>
      <c r="D12" s="5" t="s">
        <v>106</v>
      </c>
      <c r="E12" s="5" t="s">
        <v>87</v>
      </c>
      <c r="F12" s="9" t="s">
        <v>88</v>
      </c>
      <c r="G12" s="9" t="s">
        <v>89</v>
      </c>
      <c r="H12" s="5" t="s">
        <v>107</v>
      </c>
      <c r="I12" s="34" t="s">
        <v>108</v>
      </c>
    </row>
    <row r="13" spans="1:10" ht="33">
      <c r="A13" s="5" t="s">
        <v>64</v>
      </c>
      <c r="B13" s="6">
        <v>3</v>
      </c>
      <c r="C13" s="5" t="s">
        <v>12</v>
      </c>
      <c r="D13" s="5" t="s">
        <v>36</v>
      </c>
      <c r="E13" s="5" t="s">
        <v>87</v>
      </c>
      <c r="F13" s="9" t="s">
        <v>92</v>
      </c>
      <c r="G13" s="9" t="s">
        <v>93</v>
      </c>
      <c r="H13" s="5" t="s">
        <v>94</v>
      </c>
      <c r="I13" s="34" t="s">
        <v>95</v>
      </c>
    </row>
    <row r="14" spans="1:10" ht="50.1" thickBot="1">
      <c r="A14" s="87" t="s">
        <v>64</v>
      </c>
      <c r="B14" s="88">
        <v>4</v>
      </c>
      <c r="C14" s="87" t="s">
        <v>13</v>
      </c>
      <c r="D14" s="87" t="s">
        <v>37</v>
      </c>
      <c r="E14" s="87" t="s">
        <v>87</v>
      </c>
      <c r="F14" s="89" t="s">
        <v>97</v>
      </c>
      <c r="G14" s="89" t="s">
        <v>98</v>
      </c>
      <c r="H14" s="87" t="s">
        <v>99</v>
      </c>
      <c r="I14" s="94" t="s">
        <v>100</v>
      </c>
      <c r="J14" s="90"/>
    </row>
    <row r="15" spans="1:10" ht="49.5">
      <c r="A15" s="5" t="s">
        <v>67</v>
      </c>
      <c r="B15" s="6">
        <v>2</v>
      </c>
      <c r="C15" s="5" t="s">
        <v>11</v>
      </c>
      <c r="D15" s="5" t="s">
        <v>38</v>
      </c>
      <c r="E15" s="5" t="s">
        <v>109</v>
      </c>
      <c r="F15" s="9" t="s">
        <v>110</v>
      </c>
      <c r="G15" s="9" t="s">
        <v>111</v>
      </c>
      <c r="H15" s="5" t="s">
        <v>112</v>
      </c>
      <c r="I15" s="34" t="s">
        <v>113</v>
      </c>
      <c r="J15" s="90"/>
    </row>
    <row r="16" spans="1:10">
      <c r="A16" s="4"/>
      <c r="F16" s="9"/>
      <c r="G16" s="9"/>
      <c r="H16" s="5"/>
      <c r="I16" s="4"/>
      <c r="J16" s="90"/>
    </row>
    <row r="17" spans="1:9">
      <c r="A17" s="4"/>
      <c r="F17" s="9"/>
      <c r="G17" s="9"/>
      <c r="H17" s="5"/>
      <c r="I17" s="4"/>
    </row>
    <row r="18" spans="1:9">
      <c r="A18" s="4"/>
      <c r="F18" s="9"/>
      <c r="G18" s="9"/>
      <c r="H18" s="5"/>
      <c r="I18" s="4"/>
    </row>
    <row r="19" spans="1:9">
      <c r="A19" s="4"/>
      <c r="F19" s="9"/>
      <c r="G19" s="9"/>
      <c r="H19" s="5"/>
      <c r="I19" s="4"/>
    </row>
    <row r="20" spans="1:9">
      <c r="A20" s="4"/>
      <c r="F20" s="9"/>
      <c r="G20" s="9"/>
      <c r="H20" s="5"/>
      <c r="I20" s="4"/>
    </row>
    <row r="21" spans="1:9">
      <c r="A21" s="4"/>
      <c r="F21" s="9"/>
      <c r="G21" s="9"/>
      <c r="H21" s="5"/>
      <c r="I21" s="4"/>
    </row>
    <row r="22" spans="1:9">
      <c r="A22" s="4"/>
      <c r="H22" s="5"/>
      <c r="I22" s="4"/>
    </row>
    <row r="23" spans="1:9">
      <c r="A23" s="4"/>
      <c r="I23" s="4"/>
    </row>
    <row r="24" spans="1:9">
      <c r="A24" s="4"/>
      <c r="I24" s="4"/>
    </row>
    <row r="25" spans="1:9">
      <c r="A25" s="4"/>
    </row>
    <row r="26" spans="1:9">
      <c r="A26" s="4"/>
    </row>
    <row r="27" spans="1:9">
      <c r="A27" s="4"/>
    </row>
    <row r="28" spans="1:9">
      <c r="A28" s="4"/>
    </row>
  </sheetData>
  <autoFilter ref="A2:K15" xr:uid="{94AAF649-42F4-466A-BE11-44357078F961}"/>
  <dataValidations count="5">
    <dataValidation type="list" allowBlank="1" showInputMessage="1" showErrorMessage="1" sqref="H3:H15" xr:uid="{EF7E0087-1A07-4340-9A8A-E18F2705EAA5}">
      <formula1>INDIRECT($G3)</formula1>
    </dataValidation>
    <dataValidation type="list" allowBlank="1" showInputMessage="1" showErrorMessage="1" sqref="G3:G15" xr:uid="{C824F632-68FF-A845-8310-1160831D753F}">
      <formula1>INDIRECT($F3)</formula1>
    </dataValidation>
    <dataValidation type="list" allowBlank="1" showInputMessage="1" showErrorMessage="1" sqref="F3:F15" xr:uid="{A432778F-7D53-8543-B7B7-9CEB372333AB}">
      <formula1>INDIRECT($E3)</formula1>
    </dataValidation>
    <dataValidation type="list" allowBlank="1" showInputMessage="1" showErrorMessage="1" sqref="D3:D15" xr:uid="{7E1D182A-6AF9-A04C-9AFE-674494F658A5}">
      <formula1>INDIRECT($C3)</formula1>
    </dataValidation>
    <dataValidation type="list" allowBlank="1" showInputMessage="1" showErrorMessage="1" sqref="C3:C15"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E3:E15</xm:sqref>
        </x14:dataValidation>
        <x14:dataValidation type="list" allowBlank="1" showInputMessage="1" showErrorMessage="1" xr:uid="{98578F6C-C527-A048-93A4-A8514981207B}">
          <x14:formula1>
            <xm:f>'Paso 2 Redacción competen'!$F$4:$F$8</xm:f>
          </x14:formula1>
          <xm:sqref>A3:A15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1.95">
      <c r="A1" s="44" t="s">
        <v>69</v>
      </c>
      <c r="B1" s="44" t="s">
        <v>70</v>
      </c>
      <c r="C1" s="52" t="s">
        <v>71</v>
      </c>
      <c r="D1" s="53" t="s">
        <v>72</v>
      </c>
      <c r="E1" s="53" t="s">
        <v>73</v>
      </c>
      <c r="F1" s="52" t="s">
        <v>74</v>
      </c>
      <c r="G1" s="52" t="s">
        <v>75</v>
      </c>
      <c r="H1" s="52" t="s">
        <v>76</v>
      </c>
      <c r="I1" s="44" t="s">
        <v>77</v>
      </c>
      <c r="J1" s="45"/>
    </row>
    <row r="2" spans="1:11" ht="16.5">
      <c r="A2" s="62" t="s">
        <v>78</v>
      </c>
      <c r="B2" s="59" t="s">
        <v>79</v>
      </c>
      <c r="C2" s="63" t="s">
        <v>80</v>
      </c>
      <c r="D2" s="54" t="s">
        <v>81</v>
      </c>
      <c r="E2" s="54" t="s">
        <v>82</v>
      </c>
      <c r="F2" s="63" t="s">
        <v>83</v>
      </c>
      <c r="G2" s="63" t="s">
        <v>84</v>
      </c>
      <c r="H2" s="63" t="s">
        <v>85</v>
      </c>
      <c r="I2" s="59" t="s">
        <v>86</v>
      </c>
      <c r="J2" s="64"/>
    </row>
    <row r="3" spans="1:11" ht="136.5" hidden="1" customHeight="1">
      <c r="A3" s="4" t="s">
        <v>114</v>
      </c>
      <c r="B3" s="6">
        <v>1</v>
      </c>
      <c r="C3" s="5" t="s">
        <v>11</v>
      </c>
      <c r="D3" s="5" t="s">
        <v>115</v>
      </c>
      <c r="E3" s="5" t="s">
        <v>87</v>
      </c>
      <c r="F3" s="9" t="s">
        <v>88</v>
      </c>
      <c r="G3" s="9" t="s">
        <v>116</v>
      </c>
      <c r="H3" s="5" t="s">
        <v>112</v>
      </c>
      <c r="I3" s="34" t="s">
        <v>117</v>
      </c>
      <c r="J3" s="27"/>
    </row>
    <row r="4" spans="1:11" ht="142.5" hidden="1" customHeight="1">
      <c r="A4" s="4" t="s">
        <v>114</v>
      </c>
      <c r="B4" s="6">
        <v>4</v>
      </c>
      <c r="C4" s="5" t="s">
        <v>12</v>
      </c>
      <c r="D4" s="5" t="s">
        <v>118</v>
      </c>
      <c r="E4" s="5" t="s">
        <v>87</v>
      </c>
      <c r="F4" s="9" t="s">
        <v>92</v>
      </c>
      <c r="G4" s="9" t="s">
        <v>119</v>
      </c>
      <c r="H4" s="5" t="s">
        <v>56</v>
      </c>
      <c r="I4" s="34" t="s">
        <v>120</v>
      </c>
    </row>
    <row r="5" spans="1:11" ht="126" hidden="1" customHeight="1">
      <c r="A5" s="4" t="s">
        <v>114</v>
      </c>
      <c r="B5" s="6">
        <v>7</v>
      </c>
      <c r="C5" s="5" t="s">
        <v>13</v>
      </c>
      <c r="D5" s="5" t="s">
        <v>121</v>
      </c>
      <c r="E5" s="5" t="s">
        <v>87</v>
      </c>
      <c r="F5" s="9" t="s">
        <v>97</v>
      </c>
      <c r="G5" s="9" t="s">
        <v>98</v>
      </c>
      <c r="H5" s="5" t="s">
        <v>99</v>
      </c>
      <c r="I5" s="34" t="s">
        <v>122</v>
      </c>
    </row>
    <row r="6" spans="1:11" ht="99">
      <c r="A6" s="4" t="s">
        <v>123</v>
      </c>
      <c r="B6" s="6">
        <v>1</v>
      </c>
      <c r="C6" s="5" t="s">
        <v>11</v>
      </c>
      <c r="D6" s="5" t="s">
        <v>124</v>
      </c>
      <c r="E6" s="5" t="s">
        <v>87</v>
      </c>
      <c r="F6" s="9" t="s">
        <v>88</v>
      </c>
      <c r="G6" s="9" t="s">
        <v>116</v>
      </c>
      <c r="H6" s="5" t="s">
        <v>112</v>
      </c>
      <c r="I6" s="34" t="s">
        <v>125</v>
      </c>
    </row>
    <row r="7" spans="1:11" ht="115.5">
      <c r="A7" s="4" t="s">
        <v>123</v>
      </c>
      <c r="B7" s="6">
        <v>5</v>
      </c>
      <c r="C7" s="5" t="s">
        <v>12</v>
      </c>
      <c r="D7" s="5" t="s">
        <v>126</v>
      </c>
      <c r="E7" s="5" t="s">
        <v>87</v>
      </c>
      <c r="F7" s="9" t="s">
        <v>92</v>
      </c>
      <c r="G7" s="9" t="s">
        <v>119</v>
      </c>
      <c r="H7" s="5" t="s">
        <v>56</v>
      </c>
      <c r="I7" s="34" t="s">
        <v>120</v>
      </c>
    </row>
    <row r="8" spans="1:11" ht="82.5">
      <c r="A8" s="4" t="s">
        <v>123</v>
      </c>
      <c r="B8" s="6">
        <v>7</v>
      </c>
      <c r="C8" s="5" t="s">
        <v>13</v>
      </c>
      <c r="D8" s="5" t="s">
        <v>121</v>
      </c>
      <c r="E8" s="5" t="s">
        <v>87</v>
      </c>
      <c r="F8" s="9" t="s">
        <v>97</v>
      </c>
      <c r="G8" s="9" t="s">
        <v>98</v>
      </c>
      <c r="H8" s="5" t="s">
        <v>99</v>
      </c>
      <c r="I8" s="34" t="s">
        <v>122</v>
      </c>
      <c r="J8" s="11"/>
    </row>
    <row r="9" spans="1:11" ht="99" hidden="1">
      <c r="A9" s="4" t="s">
        <v>127</v>
      </c>
      <c r="B9" s="6">
        <v>2</v>
      </c>
      <c r="C9" s="5" t="s">
        <v>11</v>
      </c>
      <c r="D9" s="5" t="s">
        <v>128</v>
      </c>
      <c r="E9" s="5" t="s">
        <v>87</v>
      </c>
      <c r="F9" s="9" t="s">
        <v>88</v>
      </c>
      <c r="G9" s="9" t="s">
        <v>116</v>
      </c>
      <c r="H9" s="5" t="s">
        <v>112</v>
      </c>
      <c r="I9" s="34" t="s">
        <v>125</v>
      </c>
      <c r="J9" s="11"/>
    </row>
    <row r="10" spans="1:11" ht="115.5" hidden="1">
      <c r="A10" s="4" t="s">
        <v>127</v>
      </c>
      <c r="B10" s="6">
        <v>6</v>
      </c>
      <c r="C10" s="5" t="s">
        <v>12</v>
      </c>
      <c r="D10" s="5" t="s">
        <v>129</v>
      </c>
      <c r="E10" s="5" t="s">
        <v>87</v>
      </c>
      <c r="F10" s="9" t="s">
        <v>92</v>
      </c>
      <c r="G10" s="9" t="s">
        <v>119</v>
      </c>
      <c r="H10" s="5" t="s">
        <v>56</v>
      </c>
      <c r="I10" s="34" t="s">
        <v>120</v>
      </c>
    </row>
    <row r="11" spans="1:11" ht="82.5" hidden="1">
      <c r="A11" s="56" t="s">
        <v>127</v>
      </c>
      <c r="B11" s="42">
        <v>7</v>
      </c>
      <c r="C11" s="43" t="s">
        <v>13</v>
      </c>
      <c r="D11" s="5" t="s">
        <v>130</v>
      </c>
      <c r="E11" s="43" t="s">
        <v>87</v>
      </c>
      <c r="F11" s="57" t="s">
        <v>97</v>
      </c>
      <c r="G11" s="57" t="s">
        <v>98</v>
      </c>
      <c r="H11" s="43" t="s">
        <v>99</v>
      </c>
      <c r="I11" s="34" t="s">
        <v>122</v>
      </c>
      <c r="J11" s="56"/>
      <c r="K11" s="49"/>
    </row>
    <row r="12" spans="1:11" ht="49.5" hidden="1">
      <c r="A12" s="4" t="s">
        <v>67</v>
      </c>
      <c r="B12" s="6">
        <v>3</v>
      </c>
      <c r="C12" s="5" t="s">
        <v>11</v>
      </c>
      <c r="D12" s="5" t="s">
        <v>38</v>
      </c>
      <c r="E12" s="5" t="s">
        <v>109</v>
      </c>
      <c r="F12" s="9" t="s">
        <v>110</v>
      </c>
      <c r="G12" s="9" t="s">
        <v>111</v>
      </c>
      <c r="H12" s="5" t="s">
        <v>112</v>
      </c>
      <c r="I12" s="55" t="s">
        <v>113</v>
      </c>
      <c r="J12" s="11"/>
    </row>
    <row r="13" spans="1:11" ht="16.5">
      <c r="A13" s="4"/>
      <c r="F13"/>
      <c r="G13"/>
      <c r="H13" s="5"/>
      <c r="I13" s="4"/>
      <c r="J13" s="11"/>
    </row>
    <row r="14" spans="1:11" ht="16.5">
      <c r="A14" s="4"/>
      <c r="F14"/>
      <c r="G14"/>
      <c r="H14" s="5"/>
      <c r="I14" s="4"/>
    </row>
    <row r="15" spans="1:11" ht="16.5">
      <c r="A15" s="4"/>
      <c r="F15"/>
      <c r="G15"/>
      <c r="H15" s="5"/>
      <c r="I15" s="4"/>
    </row>
    <row r="16" spans="1:11" ht="16.5">
      <c r="A16" s="4"/>
      <c r="F16"/>
      <c r="G16"/>
      <c r="H16" s="5"/>
      <c r="I16" s="4"/>
    </row>
    <row r="17" spans="1:9" ht="16.5">
      <c r="A17" s="4"/>
      <c r="F17"/>
      <c r="G17"/>
      <c r="H17" s="5"/>
      <c r="I17" s="4"/>
    </row>
    <row r="18" spans="1:9" ht="16.5">
      <c r="A18" s="4"/>
      <c r="F18"/>
      <c r="G18"/>
      <c r="H18" s="5"/>
      <c r="I18" s="4"/>
    </row>
    <row r="19" spans="1:9" ht="16.5">
      <c r="A19" s="4"/>
      <c r="H19" s="5"/>
      <c r="I19" s="4"/>
    </row>
    <row r="20" spans="1:9" ht="16.5">
      <c r="A20" s="4"/>
      <c r="I20" s="4"/>
    </row>
    <row r="21" spans="1:9" ht="16.5">
      <c r="A21" s="4"/>
      <c r="I21" s="4"/>
    </row>
    <row r="22" spans="1:9" ht="16.5">
      <c r="A22" s="4"/>
    </row>
    <row r="23" spans="1:9" ht="16.5">
      <c r="A23" s="4"/>
    </row>
    <row r="24" spans="1:9" ht="16.5">
      <c r="A24" s="4"/>
    </row>
    <row r="25" spans="1:9" ht="16.5">
      <c r="A25" s="4"/>
    </row>
    <row r="26" spans="1:9" ht="16.5"/>
    <row r="27" spans="1:9" ht="16.5"/>
    <row r="28" spans="1:9" ht="16.5"/>
    <row r="29" spans="1:9" ht="16.5"/>
    <row r="30" spans="1:9" ht="16.5"/>
    <row r="31" spans="1:9" ht="16.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competen'!$F$4:$F$8</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37"/>
  <sheetViews>
    <sheetView zoomScale="90" zoomScaleNormal="90" workbookViewId="0"/>
  </sheetViews>
  <sheetFormatPr defaultColWidth="10.7109375" defaultRowHeight="14.45"/>
  <cols>
    <col min="1" max="1" width="57.5703125" style="13" customWidth="1"/>
    <col min="2" max="2" width="51.28515625" style="13" customWidth="1"/>
    <col min="3" max="3" width="54.7109375" style="26" customWidth="1"/>
    <col min="4" max="5" width="46.42578125" style="26" customWidth="1"/>
    <col min="6" max="6" width="38.28515625" style="26" customWidth="1"/>
    <col min="7" max="16384" width="10.7109375" style="13"/>
  </cols>
  <sheetData>
    <row r="1" spans="1:6" s="91" customFormat="1" ht="51.95">
      <c r="A1" s="81" t="s">
        <v>131</v>
      </c>
      <c r="B1" s="81" t="s">
        <v>132</v>
      </c>
      <c r="C1" s="81" t="s">
        <v>133</v>
      </c>
      <c r="D1" s="81" t="s">
        <v>134</v>
      </c>
      <c r="E1" s="81" t="s">
        <v>135</v>
      </c>
      <c r="F1" s="81" t="s">
        <v>136</v>
      </c>
    </row>
    <row r="2" spans="1:6" s="91" customFormat="1" ht="33">
      <c r="A2" s="84" t="s">
        <v>137</v>
      </c>
      <c r="B2" s="84" t="s">
        <v>138</v>
      </c>
      <c r="C2" s="84" t="s">
        <v>139</v>
      </c>
      <c r="D2" s="84" t="s">
        <v>140</v>
      </c>
      <c r="E2" s="84" t="s">
        <v>141</v>
      </c>
      <c r="F2" s="84" t="s">
        <v>142</v>
      </c>
    </row>
    <row r="3" spans="1:6" ht="43.5" customHeight="1">
      <c r="A3" s="34" t="s">
        <v>91</v>
      </c>
      <c r="B3" s="141" t="s">
        <v>143</v>
      </c>
      <c r="C3" s="141" t="s">
        <v>144</v>
      </c>
      <c r="D3" s="92" t="s">
        <v>145</v>
      </c>
      <c r="E3" s="156" t="s">
        <v>146</v>
      </c>
      <c r="F3" s="93" t="s">
        <v>147</v>
      </c>
    </row>
    <row r="4" spans="1:6" ht="45" customHeight="1">
      <c r="A4" s="34" t="s">
        <v>104</v>
      </c>
      <c r="B4" s="142"/>
      <c r="C4" s="142"/>
      <c r="D4" s="58" t="s">
        <v>148</v>
      </c>
      <c r="E4" s="151"/>
      <c r="F4" s="4" t="s">
        <v>149</v>
      </c>
    </row>
    <row r="5" spans="1:6" ht="72" customHeight="1" thickBot="1">
      <c r="A5" s="94" t="s">
        <v>100</v>
      </c>
      <c r="B5" s="143"/>
      <c r="C5" s="143"/>
      <c r="D5" s="58" t="s">
        <v>150</v>
      </c>
      <c r="E5" s="152"/>
      <c r="F5" s="34" t="s">
        <v>151</v>
      </c>
    </row>
    <row r="6" spans="1:6" ht="55.5" customHeight="1">
      <c r="A6" s="34" t="s">
        <v>91</v>
      </c>
      <c r="B6" s="150" t="s">
        <v>152</v>
      </c>
      <c r="C6" s="153" t="s">
        <v>153</v>
      </c>
      <c r="D6" s="97" t="s">
        <v>148</v>
      </c>
      <c r="E6" s="153" t="s">
        <v>154</v>
      </c>
      <c r="F6" s="98" t="s">
        <v>149</v>
      </c>
    </row>
    <row r="7" spans="1:6" ht="66.599999999999994" customHeight="1">
      <c r="A7" s="34" t="s">
        <v>104</v>
      </c>
      <c r="B7" s="151"/>
      <c r="C7" s="142"/>
      <c r="D7" s="58" t="s">
        <v>145</v>
      </c>
      <c r="E7" s="142"/>
      <c r="F7" s="4" t="s">
        <v>147</v>
      </c>
    </row>
    <row r="8" spans="1:6" ht="67.5" customHeight="1" thickBot="1">
      <c r="A8" s="94" t="s">
        <v>100</v>
      </c>
      <c r="B8" s="152"/>
      <c r="C8" s="143"/>
      <c r="D8" s="95" t="s">
        <v>150</v>
      </c>
      <c r="E8" s="143"/>
      <c r="F8" s="94" t="s">
        <v>151</v>
      </c>
    </row>
    <row r="9" spans="1:6" ht="51.95" customHeight="1">
      <c r="A9" s="34" t="s">
        <v>95</v>
      </c>
      <c r="B9" s="151" t="s">
        <v>155</v>
      </c>
      <c r="C9" s="153" t="s">
        <v>156</v>
      </c>
      <c r="D9" s="58" t="s">
        <v>157</v>
      </c>
      <c r="E9" s="142" t="s">
        <v>158</v>
      </c>
      <c r="F9" s="80" t="s">
        <v>149</v>
      </c>
    </row>
    <row r="10" spans="1:6" ht="57" customHeight="1">
      <c r="A10" s="34" t="s">
        <v>102</v>
      </c>
      <c r="B10" s="151"/>
      <c r="C10" s="142"/>
      <c r="D10" s="58" t="s">
        <v>159</v>
      </c>
      <c r="E10" s="142"/>
      <c r="F10" s="80" t="s">
        <v>147</v>
      </c>
    </row>
    <row r="11" spans="1:6" ht="45" customHeight="1" thickBot="1">
      <c r="A11" s="94" t="s">
        <v>108</v>
      </c>
      <c r="B11" s="151"/>
      <c r="C11" s="143"/>
      <c r="D11" s="58" t="s">
        <v>150</v>
      </c>
      <c r="E11" s="142"/>
      <c r="F11" s="80" t="s">
        <v>151</v>
      </c>
    </row>
    <row r="12" spans="1:6" ht="33">
      <c r="A12" s="34" t="s">
        <v>108</v>
      </c>
      <c r="B12" s="150" t="s">
        <v>160</v>
      </c>
      <c r="C12" s="154" t="s">
        <v>161</v>
      </c>
      <c r="D12" s="97" t="s">
        <v>148</v>
      </c>
      <c r="E12" s="157" t="s">
        <v>162</v>
      </c>
      <c r="F12" s="98" t="s">
        <v>149</v>
      </c>
    </row>
    <row r="13" spans="1:6" ht="69" customHeight="1">
      <c r="A13" s="34" t="s">
        <v>100</v>
      </c>
      <c r="B13" s="151"/>
      <c r="C13" s="155"/>
      <c r="D13" s="58" t="s">
        <v>159</v>
      </c>
      <c r="E13" s="135"/>
      <c r="F13" s="34" t="s">
        <v>147</v>
      </c>
    </row>
    <row r="14" spans="1:6" ht="46.5" customHeight="1" thickBot="1">
      <c r="A14" s="94" t="s">
        <v>104</v>
      </c>
      <c r="B14" s="151"/>
      <c r="C14" s="155"/>
      <c r="D14" s="58" t="s">
        <v>150</v>
      </c>
      <c r="E14" s="158"/>
      <c r="F14" s="34" t="s">
        <v>151</v>
      </c>
    </row>
    <row r="15" spans="1:6" ht="134.1" customHeight="1">
      <c r="A15" s="34" t="s">
        <v>91</v>
      </c>
      <c r="B15" s="144" t="s">
        <v>163</v>
      </c>
      <c r="C15" s="147" t="s">
        <v>164</v>
      </c>
      <c r="D15" s="97" t="s">
        <v>148</v>
      </c>
      <c r="E15" s="157" t="s">
        <v>165</v>
      </c>
      <c r="F15" s="98" t="s">
        <v>149</v>
      </c>
    </row>
    <row r="16" spans="1:6" ht="134.1" customHeight="1">
      <c r="A16" s="34" t="s">
        <v>95</v>
      </c>
      <c r="B16" s="145"/>
      <c r="C16" s="148"/>
      <c r="D16" s="58"/>
      <c r="E16" s="135"/>
      <c r="F16" s="34"/>
    </row>
    <row r="17" spans="1:6" ht="134.1" customHeight="1">
      <c r="A17" s="34" t="s">
        <v>100</v>
      </c>
      <c r="B17" s="145"/>
      <c r="C17" s="148"/>
      <c r="D17" s="58"/>
      <c r="E17" s="135"/>
      <c r="F17" s="34"/>
    </row>
    <row r="18" spans="1:6" ht="134.1" customHeight="1">
      <c r="A18" s="34" t="s">
        <v>102</v>
      </c>
      <c r="B18" s="145"/>
      <c r="C18" s="148"/>
      <c r="D18" s="58"/>
      <c r="E18" s="135"/>
      <c r="F18" s="34"/>
    </row>
    <row r="19" spans="1:6" ht="120.95" customHeight="1">
      <c r="A19" s="34" t="s">
        <v>104</v>
      </c>
      <c r="B19" s="145"/>
      <c r="C19" s="148"/>
      <c r="D19" s="58" t="s">
        <v>159</v>
      </c>
      <c r="E19" s="135"/>
      <c r="F19" s="34" t="s">
        <v>147</v>
      </c>
    </row>
    <row r="20" spans="1:6" ht="125.1" customHeight="1" thickBot="1">
      <c r="A20" s="94" t="s">
        <v>108</v>
      </c>
      <c r="B20" s="146"/>
      <c r="C20" s="149"/>
      <c r="D20" s="95" t="s">
        <v>150</v>
      </c>
      <c r="E20" s="158"/>
      <c r="F20" s="94" t="s">
        <v>151</v>
      </c>
    </row>
    <row r="21" spans="1:6" ht="16.5">
      <c r="A21" s="34"/>
    </row>
    <row r="22" spans="1:6" ht="16.5">
      <c r="A22" s="34"/>
    </row>
    <row r="23" spans="1:6" ht="16.5">
      <c r="A23" s="34"/>
    </row>
    <row r="24" spans="1:6" ht="16.5">
      <c r="A24" s="34"/>
    </row>
    <row r="25" spans="1:6" ht="16.5">
      <c r="A25" s="34"/>
    </row>
    <row r="26" spans="1:6" ht="16.5">
      <c r="A26" s="34"/>
    </row>
    <row r="27" spans="1:6" ht="16.5">
      <c r="A27" s="34"/>
    </row>
    <row r="28" spans="1:6" ht="16.5">
      <c r="A28" s="34"/>
    </row>
    <row r="29" spans="1:6" ht="16.5">
      <c r="A29" s="34"/>
    </row>
    <row r="30" spans="1:6" ht="16.5">
      <c r="A30" s="34"/>
    </row>
    <row r="31" spans="1:6" ht="16.5">
      <c r="A31" s="34"/>
    </row>
    <row r="32" spans="1:6" ht="16.5">
      <c r="A32" s="34"/>
    </row>
    <row r="33" spans="1:1" ht="16.5">
      <c r="A33" s="34"/>
    </row>
    <row r="34" spans="1:1" ht="16.5">
      <c r="A34" s="34"/>
    </row>
    <row r="35" spans="1:1" ht="16.5">
      <c r="A35" s="34"/>
    </row>
    <row r="36" spans="1:1" ht="16.5">
      <c r="A36" s="34"/>
    </row>
    <row r="37" spans="1:1" ht="16.5">
      <c r="A37" s="34"/>
    </row>
  </sheetData>
  <mergeCells count="15">
    <mergeCell ref="E3:E5"/>
    <mergeCell ref="E6:E8"/>
    <mergeCell ref="E9:E11"/>
    <mergeCell ref="E12:E14"/>
    <mergeCell ref="E15:E20"/>
    <mergeCell ref="C3:C5"/>
    <mergeCell ref="B3:B5"/>
    <mergeCell ref="B15:B20"/>
    <mergeCell ref="C15:C20"/>
    <mergeCell ref="B6:B8"/>
    <mergeCell ref="C6:C8"/>
    <mergeCell ref="B9:B11"/>
    <mergeCell ref="B12:B14"/>
    <mergeCell ref="C12:C14"/>
    <mergeCell ref="C9:C11"/>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RA'!$I$3:$I$15</xm:f>
          </x14:formula1>
          <xm:sqref>A3:A37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24"/>
  <sheetViews>
    <sheetView zoomScale="58" zoomScaleNormal="58" workbookViewId="0">
      <pane ySplit="2" topLeftCell="A3" activePane="bottomLeft" state="frozen"/>
      <selection pane="bottomLeft"/>
      <selection activeCell="B1" sqref="B1"/>
    </sheetView>
  </sheetViews>
  <sheetFormatPr defaultColWidth="14.7109375" defaultRowHeight="16.5"/>
  <cols>
    <col min="1" max="1" width="14.7109375" style="1"/>
    <col min="2" max="2" width="120.140625" style="5" customWidth="1"/>
    <col min="3" max="3" width="18.42578125" style="7" customWidth="1"/>
    <col min="4" max="4" width="33.7109375" style="6" bestFit="1" customWidth="1"/>
    <col min="5" max="5" width="76.7109375" style="5" customWidth="1"/>
    <col min="6" max="6" width="12.7109375" style="7" customWidth="1"/>
    <col min="7" max="9" width="15.42578125" style="7" customWidth="1"/>
    <col min="10" max="10" width="13.140625" style="7" customWidth="1"/>
    <col min="11" max="11" width="23.85546875" style="7" customWidth="1"/>
    <col min="12" max="12" width="23.5703125" style="7" customWidth="1"/>
    <col min="13" max="13" width="13.140625" style="7" customWidth="1"/>
    <col min="14" max="14" width="38.85546875" style="5" customWidth="1"/>
    <col min="15" max="15" width="44" style="5" customWidth="1"/>
    <col min="16" max="16" width="42.5703125" style="5" customWidth="1"/>
    <col min="17" max="17" width="48" style="5" customWidth="1"/>
    <col min="18" max="18" width="4.140625" style="5" bestFit="1" customWidth="1"/>
    <col min="19" max="19" width="3.140625" style="5" bestFit="1" customWidth="1"/>
    <col min="20" max="20" width="14.7109375" style="14" customWidth="1"/>
    <col min="21" max="16384" width="14.7109375" style="7"/>
  </cols>
  <sheetData>
    <row r="1" spans="1:20" s="91" customFormat="1" ht="65.099999999999994">
      <c r="A1" s="81" t="s">
        <v>166</v>
      </c>
      <c r="B1" s="81" t="s">
        <v>167</v>
      </c>
      <c r="C1" s="81" t="s">
        <v>168</v>
      </c>
      <c r="D1" s="81" t="s">
        <v>169</v>
      </c>
      <c r="E1" s="81" t="s">
        <v>170</v>
      </c>
      <c r="F1" s="81" t="s">
        <v>171</v>
      </c>
      <c r="G1" s="161" t="s">
        <v>172</v>
      </c>
      <c r="H1" s="161"/>
      <c r="I1" s="161"/>
      <c r="J1" s="81" t="s">
        <v>173</v>
      </c>
      <c r="K1" s="81" t="s">
        <v>174</v>
      </c>
      <c r="L1" s="81" t="s">
        <v>175</v>
      </c>
      <c r="M1" s="81" t="s">
        <v>176</v>
      </c>
      <c r="N1" s="81" t="s">
        <v>177</v>
      </c>
      <c r="O1" s="81" t="s">
        <v>178</v>
      </c>
      <c r="P1" s="81" t="s">
        <v>179</v>
      </c>
      <c r="Q1" s="81" t="s">
        <v>180</v>
      </c>
      <c r="R1" s="109"/>
      <c r="S1" s="109"/>
    </row>
    <row r="2" spans="1:20" s="91" customFormat="1" ht="49.5" customHeight="1" thickBot="1">
      <c r="A2" s="84" t="s">
        <v>181</v>
      </c>
      <c r="B2" s="84" t="s">
        <v>137</v>
      </c>
      <c r="C2" s="84" t="s">
        <v>182</v>
      </c>
      <c r="D2" s="84" t="s">
        <v>183</v>
      </c>
      <c r="E2" s="84" t="s">
        <v>184</v>
      </c>
      <c r="F2" s="84" t="s">
        <v>185</v>
      </c>
      <c r="G2" s="84" t="s">
        <v>186</v>
      </c>
      <c r="H2" s="84" t="s">
        <v>187</v>
      </c>
      <c r="I2" s="84" t="s">
        <v>188</v>
      </c>
      <c r="J2" s="84" t="s">
        <v>189</v>
      </c>
      <c r="K2" s="84" t="s">
        <v>190</v>
      </c>
      <c r="L2" s="84" t="s">
        <v>191</v>
      </c>
      <c r="M2" s="84" t="s">
        <v>192</v>
      </c>
      <c r="N2" s="84" t="s">
        <v>193</v>
      </c>
      <c r="O2" s="84" t="s">
        <v>194</v>
      </c>
      <c r="P2" s="84" t="s">
        <v>195</v>
      </c>
      <c r="Q2" s="84" t="s">
        <v>196</v>
      </c>
      <c r="R2" s="110"/>
      <c r="S2" s="110"/>
    </row>
    <row r="3" spans="1:20" s="91" customFormat="1" ht="363.6" thickBot="1">
      <c r="A3" s="102" t="str">
        <f>_xlfn.XLOOKUP(B3,'Paso 3 Redacción RA'!I$3:I$15,'Paso 3 Redacción RA'!C$3:C$15,,0,1)</f>
        <v>Saber</v>
      </c>
      <c r="B3" s="102" t="s">
        <v>113</v>
      </c>
      <c r="C3" s="103">
        <v>1</v>
      </c>
      <c r="D3" s="104" t="s">
        <v>197</v>
      </c>
      <c r="E3" s="105" t="s">
        <v>198</v>
      </c>
      <c r="F3" s="103" t="s">
        <v>199</v>
      </c>
      <c r="G3" s="103" t="s">
        <v>200</v>
      </c>
      <c r="H3" s="103"/>
      <c r="I3" s="103"/>
      <c r="J3" s="103">
        <v>3</v>
      </c>
      <c r="K3" s="103">
        <f>16*J3</f>
        <v>48</v>
      </c>
      <c r="L3" s="103">
        <f>32*J3</f>
        <v>96</v>
      </c>
      <c r="M3" s="103">
        <f>SUM(K3:L3)</f>
        <v>144</v>
      </c>
      <c r="N3" s="107" t="s">
        <v>201</v>
      </c>
      <c r="O3" s="102" t="s">
        <v>202</v>
      </c>
      <c r="P3" s="105" t="s">
        <v>203</v>
      </c>
      <c r="Q3" s="102" t="s">
        <v>204</v>
      </c>
      <c r="R3" s="5"/>
      <c r="S3" s="5"/>
      <c r="T3" s="7"/>
    </row>
    <row r="4" spans="1:20" s="99" customFormat="1" ht="342.75">
      <c r="A4" s="105" t="str">
        <f>_xlfn.XLOOKUP(B4,'Paso 3 Redacción RA'!I$3:I$15,'Paso 3 Redacción RA'!C$3:C$15,,0,1)</f>
        <v>Saber</v>
      </c>
      <c r="B4" s="105" t="s">
        <v>113</v>
      </c>
      <c r="C4" s="104">
        <v>1</v>
      </c>
      <c r="D4" s="104" t="s">
        <v>205</v>
      </c>
      <c r="E4" s="105" t="s">
        <v>206</v>
      </c>
      <c r="F4" s="104" t="s">
        <v>199</v>
      </c>
      <c r="G4" s="103" t="s">
        <v>200</v>
      </c>
      <c r="H4" s="103"/>
      <c r="I4" s="103"/>
      <c r="J4" s="103">
        <v>3</v>
      </c>
      <c r="K4" s="103">
        <f>16*J4</f>
        <v>48</v>
      </c>
      <c r="L4" s="103">
        <f>32*J4</f>
        <v>96</v>
      </c>
      <c r="M4" s="103">
        <f>SUM(K4:L4)</f>
        <v>144</v>
      </c>
      <c r="N4" s="102" t="s">
        <v>207</v>
      </c>
      <c r="O4" s="102" t="s">
        <v>208</v>
      </c>
      <c r="P4" s="102" t="s">
        <v>209</v>
      </c>
      <c r="Q4" s="102" t="s">
        <v>204</v>
      </c>
      <c r="R4" s="5"/>
      <c r="S4" s="5"/>
      <c r="T4" s="112"/>
    </row>
    <row r="5" spans="1:20" s="99" customFormat="1" ht="45.95" customHeight="1">
      <c r="A5" s="99" t="str">
        <f>_xlfn.XLOOKUP(B5,'Paso 3 Redacción RA'!I$3:I$15,'Paso 3 Redacción RA'!C$3:C$15,,0,1)</f>
        <v>SaberHacer</v>
      </c>
      <c r="B5" s="80" t="s">
        <v>95</v>
      </c>
      <c r="C5" s="144" t="s">
        <v>210</v>
      </c>
      <c r="D5" s="135" t="s">
        <v>211</v>
      </c>
      <c r="E5" s="148" t="s">
        <v>212</v>
      </c>
      <c r="F5" s="135" t="s">
        <v>199</v>
      </c>
      <c r="G5" s="135"/>
      <c r="H5" s="135" t="s">
        <v>200</v>
      </c>
      <c r="I5" s="135"/>
      <c r="J5" s="135">
        <v>3</v>
      </c>
      <c r="K5" s="135">
        <f>16*J5</f>
        <v>48</v>
      </c>
      <c r="L5" s="135">
        <f>32*J5</f>
        <v>96</v>
      </c>
      <c r="M5" s="135">
        <f>SUM(K5:L5)</f>
        <v>144</v>
      </c>
      <c r="N5" s="138" t="s">
        <v>213</v>
      </c>
      <c r="O5" s="138" t="s">
        <v>214</v>
      </c>
      <c r="P5" s="138" t="s">
        <v>215</v>
      </c>
      <c r="Q5" s="138" t="s">
        <v>204</v>
      </c>
      <c r="R5" s="5"/>
      <c r="S5" s="5"/>
      <c r="T5" s="112"/>
    </row>
    <row r="6" spans="1:20" s="99" customFormat="1" ht="36.6" customHeight="1">
      <c r="A6" s="99" t="str">
        <f>_xlfn.XLOOKUP(B6,'Paso 3 Redacción RA'!I$3:I$15,'Paso 3 Redacción RA'!C$3:C$15,,0,1)</f>
        <v>SaberSer</v>
      </c>
      <c r="B6" s="80" t="s">
        <v>100</v>
      </c>
      <c r="C6" s="145"/>
      <c r="D6" s="135"/>
      <c r="E6" s="148"/>
      <c r="F6" s="135"/>
      <c r="G6" s="135"/>
      <c r="H6" s="135"/>
      <c r="I6" s="135"/>
      <c r="J6" s="135"/>
      <c r="K6" s="135"/>
      <c r="L6" s="135"/>
      <c r="M6" s="135"/>
      <c r="N6" s="138"/>
      <c r="O6" s="138"/>
      <c r="P6" s="138"/>
      <c r="Q6" s="138"/>
      <c r="R6" s="5"/>
      <c r="S6" s="5"/>
      <c r="T6" s="112"/>
    </row>
    <row r="7" spans="1:20" s="99" customFormat="1" ht="36" customHeight="1" thickBot="1">
      <c r="A7" s="100" t="str">
        <f>_xlfn.XLOOKUP(B7,'Paso 3 Redacción RA'!I$3:I$15,'Paso 3 Redacción RA'!C$3:C$15,,0,1)</f>
        <v>Saber</v>
      </c>
      <c r="B7" s="96" t="s">
        <v>108</v>
      </c>
      <c r="C7" s="146"/>
      <c r="D7" s="158"/>
      <c r="E7" s="149"/>
      <c r="F7" s="158"/>
      <c r="G7" s="158"/>
      <c r="H7" s="158"/>
      <c r="I7" s="158"/>
      <c r="J7" s="158"/>
      <c r="K7" s="158"/>
      <c r="L7" s="158"/>
      <c r="M7" s="158"/>
      <c r="N7" s="160"/>
      <c r="O7" s="160"/>
      <c r="P7" s="160"/>
      <c r="Q7" s="160"/>
      <c r="R7" s="5"/>
      <c r="S7" s="5"/>
      <c r="T7" s="112"/>
    </row>
    <row r="8" spans="1:20" s="99" customFormat="1" ht="33">
      <c r="A8" s="111" t="str">
        <f>_xlfn.XLOOKUP(B8,'Paso 3 Redacción RA'!I$3:I$15,'Paso 3 Redacción RA'!C$3:C$15,,0,1)</f>
        <v>SaberHacer</v>
      </c>
      <c r="B8" s="101" t="s">
        <v>95</v>
      </c>
      <c r="C8" s="144" t="s">
        <v>210</v>
      </c>
      <c r="D8" s="157" t="s">
        <v>216</v>
      </c>
      <c r="E8" s="147" t="s">
        <v>217</v>
      </c>
      <c r="F8" s="135" t="s">
        <v>199</v>
      </c>
      <c r="G8" s="157"/>
      <c r="H8" s="157" t="s">
        <v>200</v>
      </c>
      <c r="I8" s="157"/>
      <c r="J8" s="157">
        <v>3</v>
      </c>
      <c r="K8" s="157">
        <f>16*J8</f>
        <v>48</v>
      </c>
      <c r="L8" s="157">
        <f>32*J8</f>
        <v>96</v>
      </c>
      <c r="M8" s="157">
        <f>SUM(K8:L8)</f>
        <v>144</v>
      </c>
      <c r="N8" s="159" t="s">
        <v>218</v>
      </c>
      <c r="O8" s="138" t="s">
        <v>214</v>
      </c>
      <c r="P8" s="138" t="s">
        <v>215</v>
      </c>
      <c r="Q8" s="159" t="s">
        <v>204</v>
      </c>
      <c r="R8" s="5"/>
      <c r="S8" s="5"/>
      <c r="T8" s="112"/>
    </row>
    <row r="9" spans="1:20" s="99" customFormat="1" ht="33">
      <c r="A9" s="99" t="str">
        <f>_xlfn.XLOOKUP(B9,'Paso 3 Redacción RA'!I$3:I$15,'Paso 3 Redacción RA'!C$3:C$15,,0,1)</f>
        <v>SaberSer</v>
      </c>
      <c r="B9" s="80" t="s">
        <v>100</v>
      </c>
      <c r="C9" s="145"/>
      <c r="D9" s="135"/>
      <c r="E9" s="148"/>
      <c r="F9" s="135"/>
      <c r="G9" s="135"/>
      <c r="H9" s="135"/>
      <c r="I9" s="135"/>
      <c r="J9" s="135"/>
      <c r="K9" s="135"/>
      <c r="L9" s="135"/>
      <c r="M9" s="135"/>
      <c r="N9" s="138"/>
      <c r="O9" s="138"/>
      <c r="P9" s="138"/>
      <c r="Q9" s="138"/>
      <c r="R9" s="5"/>
      <c r="S9" s="5"/>
      <c r="T9" s="112"/>
    </row>
    <row r="10" spans="1:20" s="99" customFormat="1" ht="32.450000000000003" customHeight="1" thickBot="1">
      <c r="A10" s="100" t="str">
        <f>_xlfn.XLOOKUP(B10,'Paso 3 Redacción RA'!I$3:I$15,'Paso 3 Redacción RA'!C$3:C$15,,0,1)</f>
        <v>Saber</v>
      </c>
      <c r="B10" s="96" t="s">
        <v>108</v>
      </c>
      <c r="C10" s="146"/>
      <c r="D10" s="158"/>
      <c r="E10" s="149"/>
      <c r="F10" s="158"/>
      <c r="G10" s="158"/>
      <c r="H10" s="158"/>
      <c r="I10" s="158"/>
      <c r="J10" s="158"/>
      <c r="K10" s="158"/>
      <c r="L10" s="158"/>
      <c r="M10" s="158"/>
      <c r="N10" s="160"/>
      <c r="O10" s="160"/>
      <c r="P10" s="160"/>
      <c r="Q10" s="160"/>
      <c r="R10" s="5"/>
      <c r="S10" s="5"/>
      <c r="T10" s="112"/>
    </row>
    <row r="11" spans="1:20" s="5" customFormat="1" ht="50.45" customHeight="1">
      <c r="A11" s="111" t="str">
        <f>_xlfn.XLOOKUP(B11,'Paso 3 Redacción RA'!I$3:I$15,'Paso 3 Redacción RA'!C$3:C$15,,0,1)</f>
        <v>Saber</v>
      </c>
      <c r="B11" s="101" t="s">
        <v>91</v>
      </c>
      <c r="C11" s="150" t="s">
        <v>210</v>
      </c>
      <c r="D11" s="150" t="s">
        <v>219</v>
      </c>
      <c r="E11" s="148" t="s">
        <v>220</v>
      </c>
      <c r="F11" s="135" t="s">
        <v>199</v>
      </c>
      <c r="G11" s="151"/>
      <c r="H11" s="151" t="s">
        <v>200</v>
      </c>
      <c r="I11" s="151"/>
      <c r="J11" s="151">
        <v>4</v>
      </c>
      <c r="K11" s="151">
        <f>16*J11</f>
        <v>64</v>
      </c>
      <c r="L11" s="151">
        <f>32*J11</f>
        <v>128</v>
      </c>
      <c r="M11" s="151">
        <f>SUM(K11:L11)</f>
        <v>192</v>
      </c>
      <c r="N11" s="147" t="s">
        <v>221</v>
      </c>
      <c r="O11" s="138" t="s">
        <v>214</v>
      </c>
      <c r="P11" s="138" t="s">
        <v>215</v>
      </c>
      <c r="Q11" s="148" t="s">
        <v>204</v>
      </c>
      <c r="R11" s="80"/>
      <c r="S11" s="80"/>
      <c r="T11" s="3"/>
    </row>
    <row r="12" spans="1:20" s="5" customFormat="1" ht="50.45" customHeight="1">
      <c r="A12" s="99" t="str">
        <f>_xlfn.XLOOKUP(B12,'Paso 3 Redacción RA'!I$3:I$15,'Paso 3 Redacción RA'!C$3:C$15,,0,1)</f>
        <v>SaberSer</v>
      </c>
      <c r="B12" s="80" t="s">
        <v>100</v>
      </c>
      <c r="C12" s="151"/>
      <c r="D12" s="151"/>
      <c r="E12" s="148"/>
      <c r="F12" s="135"/>
      <c r="G12" s="151"/>
      <c r="H12" s="151"/>
      <c r="I12" s="151"/>
      <c r="J12" s="151"/>
      <c r="K12" s="151"/>
      <c r="L12" s="151"/>
      <c r="M12" s="151"/>
      <c r="N12" s="148"/>
      <c r="O12" s="138"/>
      <c r="P12" s="138"/>
      <c r="Q12" s="148"/>
      <c r="R12" s="80"/>
      <c r="S12" s="80"/>
      <c r="T12" s="3"/>
    </row>
    <row r="13" spans="1:20" s="5" customFormat="1" ht="45.95" customHeight="1" thickBot="1">
      <c r="A13" s="100" t="str">
        <f>_xlfn.XLOOKUP(B13,'Paso 3 Redacción RA'!I$3:I$15,'Paso 3 Redacción RA'!C$3:C$15,,0,1)</f>
        <v>Saber</v>
      </c>
      <c r="B13" s="96" t="s">
        <v>102</v>
      </c>
      <c r="C13" s="152"/>
      <c r="D13" s="152"/>
      <c r="E13" s="148"/>
      <c r="F13" s="158"/>
      <c r="G13" s="151"/>
      <c r="H13" s="151"/>
      <c r="I13" s="151"/>
      <c r="J13" s="151"/>
      <c r="K13" s="151"/>
      <c r="L13" s="151"/>
      <c r="M13" s="151"/>
      <c r="N13" s="149"/>
      <c r="O13" s="160"/>
      <c r="P13" s="160"/>
      <c r="Q13" s="148"/>
      <c r="R13" s="80"/>
      <c r="S13" s="80"/>
      <c r="T13" s="3"/>
    </row>
    <row r="14" spans="1:20" s="5" customFormat="1" ht="38.450000000000003" customHeight="1">
      <c r="A14" s="111" t="str">
        <f>_xlfn.XLOOKUP(B14,'Paso 3 Redacción RA'!I$3:I$15,'Paso 3 Redacción RA'!C$3:C$15,,0,1)</f>
        <v>Saber</v>
      </c>
      <c r="B14" s="101" t="s">
        <v>91</v>
      </c>
      <c r="C14" s="150" t="s">
        <v>210</v>
      </c>
      <c r="D14" s="150" t="s">
        <v>222</v>
      </c>
      <c r="E14" s="147" t="s">
        <v>223</v>
      </c>
      <c r="F14" s="135" t="s">
        <v>224</v>
      </c>
      <c r="G14" s="150"/>
      <c r="H14" s="150" t="s">
        <v>200</v>
      </c>
      <c r="I14" s="150"/>
      <c r="J14" s="150">
        <v>2</v>
      </c>
      <c r="K14" s="150">
        <f>16*J14</f>
        <v>32</v>
      </c>
      <c r="L14" s="150">
        <f>32*J14</f>
        <v>64</v>
      </c>
      <c r="M14" s="150">
        <f>SUM(K14:L14)</f>
        <v>96</v>
      </c>
      <c r="N14" s="147" t="s">
        <v>225</v>
      </c>
      <c r="O14" s="138" t="s">
        <v>214</v>
      </c>
      <c r="P14" s="138" t="s">
        <v>215</v>
      </c>
      <c r="Q14" s="147" t="s">
        <v>204</v>
      </c>
      <c r="R14" s="80"/>
      <c r="S14" s="80"/>
      <c r="T14" s="3"/>
    </row>
    <row r="15" spans="1:20" s="5" customFormat="1" ht="33.950000000000003" customHeight="1">
      <c r="A15" s="99" t="str">
        <f>_xlfn.XLOOKUP(B15,'Paso 3 Redacción RA'!I$3:I$15,'Paso 3 Redacción RA'!C$3:C$15,,0,1)</f>
        <v>SaberSer</v>
      </c>
      <c r="B15" s="80" t="s">
        <v>100</v>
      </c>
      <c r="C15" s="151"/>
      <c r="D15" s="151"/>
      <c r="E15" s="148"/>
      <c r="F15" s="135"/>
      <c r="G15" s="151"/>
      <c r="H15" s="151"/>
      <c r="I15" s="151"/>
      <c r="J15" s="151"/>
      <c r="K15" s="151"/>
      <c r="L15" s="151"/>
      <c r="M15" s="151"/>
      <c r="N15" s="148"/>
      <c r="O15" s="138"/>
      <c r="P15" s="138"/>
      <c r="Q15" s="148"/>
      <c r="R15" s="80"/>
      <c r="S15" s="80"/>
      <c r="T15" s="3"/>
    </row>
    <row r="16" spans="1:20" s="5" customFormat="1" ht="32.1" customHeight="1">
      <c r="A16" s="100" t="str">
        <f>_xlfn.XLOOKUP(B16,'Paso 3 Redacción RA'!I$3:I$15,'Paso 3 Redacción RA'!C$3:C$15,,0,1)</f>
        <v>Saber</v>
      </c>
      <c r="B16" s="96" t="s">
        <v>102</v>
      </c>
      <c r="C16" s="152"/>
      <c r="D16" s="152"/>
      <c r="E16" s="148"/>
      <c r="F16" s="158"/>
      <c r="G16" s="151"/>
      <c r="H16" s="151"/>
      <c r="I16" s="151"/>
      <c r="J16" s="151"/>
      <c r="K16" s="151"/>
      <c r="L16" s="151"/>
      <c r="M16" s="151"/>
      <c r="N16" s="148"/>
      <c r="O16" s="160"/>
      <c r="P16" s="160"/>
      <c r="Q16" s="148"/>
      <c r="R16" s="80">
        <f>SUM(J3:J16)</f>
        <v>18</v>
      </c>
      <c r="S16" s="80">
        <f>COUNTA(D3:D16)</f>
        <v>6</v>
      </c>
      <c r="T16" s="3"/>
    </row>
    <row r="17" spans="1:20" s="99" customFormat="1" ht="328.5">
      <c r="A17" s="105" t="str">
        <f>_xlfn.XLOOKUP(B17,'Paso 3 Redacción RA'!I$3:I$15,'Paso 3 Redacción RA'!C$3:C$15,,0,1)</f>
        <v>Saber</v>
      </c>
      <c r="B17" s="105" t="s">
        <v>113</v>
      </c>
      <c r="C17" s="104">
        <v>2</v>
      </c>
      <c r="D17" s="104" t="s">
        <v>226</v>
      </c>
      <c r="E17" s="105" t="s">
        <v>227</v>
      </c>
      <c r="F17" s="103" t="s">
        <v>199</v>
      </c>
      <c r="G17" s="104" t="s">
        <v>200</v>
      </c>
      <c r="H17" s="104"/>
      <c r="I17" s="104"/>
      <c r="J17" s="103">
        <v>3</v>
      </c>
      <c r="K17" s="103">
        <f>16*J17</f>
        <v>48</v>
      </c>
      <c r="L17" s="103">
        <f>32*J17</f>
        <v>96</v>
      </c>
      <c r="M17" s="103">
        <f>SUM(K17:L17)</f>
        <v>144</v>
      </c>
      <c r="N17" s="105" t="s">
        <v>228</v>
      </c>
      <c r="O17" s="105" t="s">
        <v>229</v>
      </c>
      <c r="P17" s="105" t="s">
        <v>230</v>
      </c>
      <c r="Q17" s="102" t="s">
        <v>204</v>
      </c>
      <c r="R17" s="5"/>
      <c r="S17" s="5"/>
      <c r="T17" s="112"/>
    </row>
    <row r="18" spans="1:20" ht="27" customHeight="1">
      <c r="A18" s="111" t="str">
        <f>_xlfn.XLOOKUP(B18,'Paso 3 Redacción RA'!I$3:I$15,'Paso 3 Redacción RA'!C$3:C$15,,0,1)</f>
        <v>SaberHacer</v>
      </c>
      <c r="B18" s="101" t="s">
        <v>95</v>
      </c>
      <c r="C18" s="157">
        <v>2</v>
      </c>
      <c r="D18" s="157" t="s">
        <v>231</v>
      </c>
      <c r="E18" s="147" t="s">
        <v>232</v>
      </c>
      <c r="F18" s="157" t="s">
        <v>199</v>
      </c>
      <c r="G18" s="157"/>
      <c r="H18" s="157" t="s">
        <v>200</v>
      </c>
      <c r="I18" s="157"/>
      <c r="J18" s="157">
        <v>3</v>
      </c>
      <c r="K18" s="157">
        <f>16*J18</f>
        <v>48</v>
      </c>
      <c r="L18" s="157">
        <f>32*J18</f>
        <v>96</v>
      </c>
      <c r="M18" s="157">
        <f>SUM(K18:L18)</f>
        <v>144</v>
      </c>
      <c r="N18" s="159" t="s">
        <v>233</v>
      </c>
      <c r="O18" s="138" t="s">
        <v>214</v>
      </c>
      <c r="P18" s="159" t="s">
        <v>215</v>
      </c>
      <c r="Q18" s="159" t="s">
        <v>204</v>
      </c>
      <c r="T18" s="112"/>
    </row>
    <row r="19" spans="1:20" ht="32.450000000000003" customHeight="1">
      <c r="A19" s="99" t="str">
        <f>_xlfn.XLOOKUP(B19,'Paso 3 Redacción RA'!I$3:I$15,'Paso 3 Redacción RA'!C$3:C$15,,0,1)</f>
        <v>SaberSer</v>
      </c>
      <c r="B19" s="80" t="s">
        <v>100</v>
      </c>
      <c r="C19" s="135"/>
      <c r="D19" s="135"/>
      <c r="E19" s="148"/>
      <c r="F19" s="135"/>
      <c r="G19" s="135"/>
      <c r="H19" s="135"/>
      <c r="I19" s="135"/>
      <c r="J19" s="135"/>
      <c r="K19" s="135"/>
      <c r="L19" s="135"/>
      <c r="M19" s="135"/>
      <c r="N19" s="138"/>
      <c r="O19" s="138"/>
      <c r="P19" s="138"/>
      <c r="Q19" s="138"/>
      <c r="T19" s="112"/>
    </row>
    <row r="20" spans="1:20" ht="32.450000000000003" customHeight="1" thickBot="1">
      <c r="A20" s="100" t="str">
        <f>_xlfn.XLOOKUP(B20,'Paso 3 Redacción RA'!I$3:I$15,'Paso 3 Redacción RA'!C$3:C$15,,0,1)</f>
        <v>SaberHacer</v>
      </c>
      <c r="B20" s="96" t="s">
        <v>104</v>
      </c>
      <c r="C20" s="158"/>
      <c r="D20" s="158"/>
      <c r="E20" s="149"/>
      <c r="F20" s="158"/>
      <c r="G20" s="158"/>
      <c r="H20" s="158"/>
      <c r="I20" s="158"/>
      <c r="J20" s="158"/>
      <c r="K20" s="158"/>
      <c r="L20" s="158"/>
      <c r="M20" s="158"/>
      <c r="N20" s="160"/>
      <c r="O20" s="160"/>
      <c r="P20" s="160"/>
      <c r="Q20" s="160"/>
      <c r="T20" s="112"/>
    </row>
    <row r="21" spans="1:20" s="99" customFormat="1" ht="33">
      <c r="A21" s="111" t="str">
        <f>_xlfn.XLOOKUP(B21,'Paso 3 Redacción RA'!I$3:I$15,'Paso 3 Redacción RA'!C$3:C$15,,0,1)</f>
        <v>Saber</v>
      </c>
      <c r="B21" s="101" t="s">
        <v>91</v>
      </c>
      <c r="C21" s="157">
        <v>2</v>
      </c>
      <c r="D21" s="157" t="s">
        <v>234</v>
      </c>
      <c r="E21" s="147" t="s">
        <v>235</v>
      </c>
      <c r="F21" s="157" t="s">
        <v>199</v>
      </c>
      <c r="G21" s="157"/>
      <c r="H21" s="157" t="s">
        <v>200</v>
      </c>
      <c r="I21" s="157"/>
      <c r="J21" s="157">
        <v>3</v>
      </c>
      <c r="K21" s="157">
        <f>16*J21</f>
        <v>48</v>
      </c>
      <c r="L21" s="157">
        <f>32*J21</f>
        <v>96</v>
      </c>
      <c r="M21" s="157">
        <f>SUM(K21:L21)</f>
        <v>144</v>
      </c>
      <c r="N21" s="159" t="s">
        <v>236</v>
      </c>
      <c r="O21" s="138" t="s">
        <v>214</v>
      </c>
      <c r="P21" s="159" t="s">
        <v>215</v>
      </c>
      <c r="Q21" s="159" t="s">
        <v>204</v>
      </c>
      <c r="R21" s="5"/>
      <c r="S21" s="5"/>
      <c r="T21" s="112"/>
    </row>
    <row r="22" spans="1:20" s="99" customFormat="1" ht="30.95" customHeight="1">
      <c r="A22" s="99" t="str">
        <f>_xlfn.XLOOKUP(B22,'Paso 3 Redacción RA'!I$3:I$15,'Paso 3 Redacción RA'!C$3:C$15,,0,1)</f>
        <v>SaberHacer</v>
      </c>
      <c r="B22" s="80" t="s">
        <v>95</v>
      </c>
      <c r="C22" s="135"/>
      <c r="D22" s="135"/>
      <c r="E22" s="148"/>
      <c r="F22" s="135"/>
      <c r="G22" s="135"/>
      <c r="H22" s="135"/>
      <c r="I22" s="135"/>
      <c r="J22" s="135"/>
      <c r="K22" s="135"/>
      <c r="L22" s="135"/>
      <c r="M22" s="135"/>
      <c r="N22" s="138"/>
      <c r="O22" s="138"/>
      <c r="P22" s="138"/>
      <c r="Q22" s="138"/>
      <c r="R22" s="5"/>
      <c r="S22" s="5"/>
      <c r="T22" s="112"/>
    </row>
    <row r="23" spans="1:20" s="99" customFormat="1" ht="34.5" customHeight="1" thickBot="1">
      <c r="A23" s="100" t="str">
        <f>_xlfn.XLOOKUP(B23,'Paso 3 Redacción RA'!I$3:I$15,'Paso 3 Redacción RA'!C$3:C$15,,0,1)</f>
        <v>SaberSer</v>
      </c>
      <c r="B23" s="96" t="s">
        <v>100</v>
      </c>
      <c r="C23" s="158"/>
      <c r="D23" s="158"/>
      <c r="E23" s="149"/>
      <c r="F23" s="158"/>
      <c r="G23" s="158"/>
      <c r="H23" s="158"/>
      <c r="I23" s="158"/>
      <c r="J23" s="158"/>
      <c r="K23" s="158"/>
      <c r="L23" s="158"/>
      <c r="M23" s="158"/>
      <c r="N23" s="160"/>
      <c r="O23" s="160"/>
      <c r="P23" s="160"/>
      <c r="Q23" s="160"/>
      <c r="R23" s="5"/>
      <c r="S23" s="5"/>
      <c r="T23" s="112"/>
    </row>
    <row r="24" spans="1:20" s="99" customFormat="1" ht="33">
      <c r="A24" s="99" t="str">
        <f>_xlfn.XLOOKUP(B24,'Paso 3 Redacción RA'!I$3:I$15,'Paso 3 Redacción RA'!C$3:C$15,,0,1)</f>
        <v>SaberHacer</v>
      </c>
      <c r="B24" s="101" t="s">
        <v>95</v>
      </c>
      <c r="C24" s="157">
        <v>2</v>
      </c>
      <c r="D24" s="157" t="s">
        <v>237</v>
      </c>
      <c r="E24" s="147" t="s">
        <v>238</v>
      </c>
      <c r="F24" s="157" t="s">
        <v>199</v>
      </c>
      <c r="G24" s="157"/>
      <c r="H24" s="157" t="s">
        <v>200</v>
      </c>
      <c r="I24" s="157"/>
      <c r="J24" s="157">
        <v>3</v>
      </c>
      <c r="K24" s="157">
        <f>16*J24</f>
        <v>48</v>
      </c>
      <c r="L24" s="157">
        <f>32*J24</f>
        <v>96</v>
      </c>
      <c r="M24" s="157">
        <f>SUM(K24:L24)</f>
        <v>144</v>
      </c>
      <c r="N24" s="159" t="s">
        <v>239</v>
      </c>
      <c r="O24" s="138" t="s">
        <v>214</v>
      </c>
      <c r="P24" s="159" t="s">
        <v>215</v>
      </c>
      <c r="Q24" s="159" t="s">
        <v>204</v>
      </c>
      <c r="R24" s="5"/>
      <c r="S24" s="5"/>
      <c r="T24" s="112"/>
    </row>
    <row r="25" spans="1:20" s="99" customFormat="1" ht="33">
      <c r="A25" s="99" t="str">
        <f>_xlfn.XLOOKUP(B25,'Paso 3 Redacción RA'!I$3:I$15,'Paso 3 Redacción RA'!C$3:C$15,,0,1)</f>
        <v>SaberSer</v>
      </c>
      <c r="B25" s="80" t="s">
        <v>100</v>
      </c>
      <c r="C25" s="135"/>
      <c r="D25" s="135"/>
      <c r="E25" s="148"/>
      <c r="F25" s="135"/>
      <c r="G25" s="135"/>
      <c r="H25" s="135"/>
      <c r="I25" s="135"/>
      <c r="J25" s="135"/>
      <c r="K25" s="135"/>
      <c r="L25" s="135"/>
      <c r="M25" s="135"/>
      <c r="N25" s="138"/>
      <c r="O25" s="138"/>
      <c r="P25" s="138"/>
      <c r="Q25" s="138"/>
      <c r="R25" s="5"/>
      <c r="S25" s="5"/>
      <c r="T25" s="112"/>
    </row>
    <row r="26" spans="1:20" s="99" customFormat="1" ht="33.6" customHeight="1" thickBot="1">
      <c r="A26" s="100" t="str">
        <f>_xlfn.XLOOKUP(B26,'Paso 3 Redacción RA'!I$3:I$15,'Paso 3 Redacción RA'!C$3:C$15,,0,1)</f>
        <v>Saber</v>
      </c>
      <c r="B26" s="96" t="s">
        <v>108</v>
      </c>
      <c r="C26" s="158"/>
      <c r="D26" s="158"/>
      <c r="E26" s="148"/>
      <c r="F26" s="158"/>
      <c r="G26" s="135"/>
      <c r="H26" s="135"/>
      <c r="I26" s="135"/>
      <c r="J26" s="135"/>
      <c r="K26" s="135"/>
      <c r="L26" s="135"/>
      <c r="M26" s="158"/>
      <c r="N26" s="138"/>
      <c r="O26" s="160"/>
      <c r="P26" s="160"/>
      <c r="Q26" s="138"/>
      <c r="R26" s="5"/>
      <c r="S26" s="5"/>
      <c r="T26" s="112"/>
    </row>
    <row r="27" spans="1:20" s="99" customFormat="1" ht="56.45" customHeight="1">
      <c r="A27" s="111" t="str">
        <f>_xlfn.XLOOKUP(B27,'Paso 3 Redacción RA'!I$3:I$15,'Paso 3 Redacción RA'!C$3:C$15,,0,1)</f>
        <v>Saber</v>
      </c>
      <c r="B27" s="80" t="s">
        <v>91</v>
      </c>
      <c r="C27" s="157">
        <v>2</v>
      </c>
      <c r="D27" s="157" t="s">
        <v>240</v>
      </c>
      <c r="E27" s="147" t="s">
        <v>241</v>
      </c>
      <c r="F27" s="157" t="s">
        <v>199</v>
      </c>
      <c r="G27" s="157"/>
      <c r="H27" s="157" t="s">
        <v>200</v>
      </c>
      <c r="I27" s="157"/>
      <c r="J27" s="157">
        <v>3</v>
      </c>
      <c r="K27" s="157">
        <f>16*J27</f>
        <v>48</v>
      </c>
      <c r="L27" s="157">
        <f>32*J27</f>
        <v>96</v>
      </c>
      <c r="M27" s="157">
        <f>SUM(K27:L27)</f>
        <v>144</v>
      </c>
      <c r="N27" s="159" t="s">
        <v>242</v>
      </c>
      <c r="O27" s="138" t="s">
        <v>214</v>
      </c>
      <c r="P27" s="159" t="s">
        <v>215</v>
      </c>
      <c r="Q27" s="159" t="s">
        <v>204</v>
      </c>
      <c r="R27" s="5"/>
      <c r="S27" s="5"/>
      <c r="T27" s="112"/>
    </row>
    <row r="28" spans="1:20" s="99" customFormat="1" ht="45.95" customHeight="1">
      <c r="A28" s="99" t="str">
        <f>_xlfn.XLOOKUP(B28,'Paso 3 Redacción RA'!I$3:I$15,'Paso 3 Redacción RA'!C$3:C$15,,0,1)</f>
        <v>Saber</v>
      </c>
      <c r="B28" s="80" t="s">
        <v>102</v>
      </c>
      <c r="C28" s="135"/>
      <c r="D28" s="135"/>
      <c r="E28" s="148"/>
      <c r="F28" s="135"/>
      <c r="G28" s="135"/>
      <c r="H28" s="135"/>
      <c r="I28" s="135"/>
      <c r="J28" s="135"/>
      <c r="K28" s="135"/>
      <c r="L28" s="135"/>
      <c r="M28" s="135"/>
      <c r="N28" s="138"/>
      <c r="O28" s="138"/>
      <c r="P28" s="138"/>
      <c r="Q28" s="138"/>
      <c r="R28" s="5"/>
      <c r="S28" s="5"/>
      <c r="T28" s="112"/>
    </row>
    <row r="29" spans="1:20" s="99" customFormat="1" ht="49.5" customHeight="1" thickBot="1">
      <c r="A29" s="100" t="str">
        <f>_xlfn.XLOOKUP(B29,'Paso 3 Redacción RA'!I$3:I$15,'Paso 3 Redacción RA'!C$3:C$15,,0,1)</f>
        <v>Saber</v>
      </c>
      <c r="B29" s="96" t="s">
        <v>108</v>
      </c>
      <c r="C29" s="158"/>
      <c r="D29" s="158"/>
      <c r="E29" s="148"/>
      <c r="F29" s="158"/>
      <c r="G29" s="135"/>
      <c r="H29" s="135"/>
      <c r="I29" s="135"/>
      <c r="J29" s="135"/>
      <c r="K29" s="135"/>
      <c r="L29" s="135"/>
      <c r="M29" s="158"/>
      <c r="N29" s="138"/>
      <c r="O29" s="160"/>
      <c r="P29" s="160"/>
      <c r="Q29" s="138"/>
      <c r="S29" s="5"/>
      <c r="T29" s="112"/>
    </row>
    <row r="30" spans="1:20" s="99" customFormat="1" ht="36" customHeight="1">
      <c r="A30" s="111" t="str">
        <f>_xlfn.XLOOKUP(B30,'Paso 3 Redacción RA'!I$3:I$15,'Paso 3 Redacción RA'!C$3:C$15,,0,1)</f>
        <v>SaberHacer</v>
      </c>
      <c r="B30" s="101" t="s">
        <v>95</v>
      </c>
      <c r="C30" s="157">
        <v>2</v>
      </c>
      <c r="D30" s="157" t="s">
        <v>243</v>
      </c>
      <c r="E30" s="147" t="s">
        <v>244</v>
      </c>
      <c r="F30" s="157" t="s">
        <v>199</v>
      </c>
      <c r="G30" s="157"/>
      <c r="H30" s="157" t="s">
        <v>200</v>
      </c>
      <c r="I30" s="157"/>
      <c r="J30" s="157">
        <v>3</v>
      </c>
      <c r="K30" s="157">
        <f>16*J30</f>
        <v>48</v>
      </c>
      <c r="L30" s="157">
        <f>32*J30</f>
        <v>96</v>
      </c>
      <c r="M30" s="157">
        <f>SUM(K30:L30)</f>
        <v>144</v>
      </c>
      <c r="N30" s="159" t="s">
        <v>245</v>
      </c>
      <c r="O30" s="138" t="s">
        <v>214</v>
      </c>
      <c r="P30" s="159" t="s">
        <v>215</v>
      </c>
      <c r="Q30" s="159" t="s">
        <v>204</v>
      </c>
      <c r="R30" s="5"/>
      <c r="S30" s="5"/>
      <c r="T30" s="112"/>
    </row>
    <row r="31" spans="1:20" s="99" customFormat="1" ht="28.5" customHeight="1">
      <c r="A31" s="99" t="str">
        <f>_xlfn.XLOOKUP(B31,'Paso 3 Redacción RA'!I$3:I$15,'Paso 3 Redacción RA'!C$3:C$15,,0,1)</f>
        <v>SaberSer</v>
      </c>
      <c r="B31" s="80" t="s">
        <v>100</v>
      </c>
      <c r="C31" s="135"/>
      <c r="D31" s="135"/>
      <c r="E31" s="148"/>
      <c r="F31" s="135"/>
      <c r="G31" s="135"/>
      <c r="H31" s="135"/>
      <c r="I31" s="135"/>
      <c r="J31" s="135"/>
      <c r="K31" s="135"/>
      <c r="L31" s="135"/>
      <c r="M31" s="135"/>
      <c r="N31" s="138"/>
      <c r="O31" s="138"/>
      <c r="P31" s="138"/>
      <c r="Q31" s="138"/>
      <c r="R31" s="5"/>
      <c r="S31" s="5"/>
      <c r="T31" s="112"/>
    </row>
    <row r="32" spans="1:20" s="99" customFormat="1" ht="24.6" customHeight="1" thickBot="1">
      <c r="A32" s="100" t="str">
        <f>_xlfn.XLOOKUP(B32,'Paso 3 Redacción RA'!I$3:I$15,'Paso 3 Redacción RA'!C$3:C$15,,0,1)</f>
        <v>Saber</v>
      </c>
      <c r="B32" s="96" t="s">
        <v>108</v>
      </c>
      <c r="C32" s="158"/>
      <c r="D32" s="158"/>
      <c r="E32" s="148"/>
      <c r="F32" s="158"/>
      <c r="G32" s="135"/>
      <c r="H32" s="135"/>
      <c r="I32" s="135"/>
      <c r="J32" s="135"/>
      <c r="K32" s="135"/>
      <c r="L32" s="135"/>
      <c r="M32" s="158"/>
      <c r="N32" s="138"/>
      <c r="O32" s="160"/>
      <c r="P32" s="160"/>
      <c r="Q32" s="138"/>
      <c r="R32" s="5">
        <f>SUM(J17:J30)</f>
        <v>18</v>
      </c>
      <c r="S32" s="5">
        <f>COUNTA(D17:D32)</f>
        <v>6</v>
      </c>
      <c r="T32" s="112"/>
    </row>
    <row r="33" spans="1:20" s="99" customFormat="1" ht="363.6" thickBot="1">
      <c r="A33" s="105" t="str">
        <f>_xlfn.XLOOKUP(B33,'Paso 3 Redacción RA'!I$3:I$15,'Paso 3 Redacción RA'!C$3:C$15,,0,1)</f>
        <v>Saber</v>
      </c>
      <c r="B33" s="105" t="s">
        <v>113</v>
      </c>
      <c r="C33" s="104">
        <v>3</v>
      </c>
      <c r="D33" s="104" t="s">
        <v>246</v>
      </c>
      <c r="E33" s="105" t="s">
        <v>247</v>
      </c>
      <c r="F33" s="103" t="s">
        <v>199</v>
      </c>
      <c r="G33" s="104" t="s">
        <v>200</v>
      </c>
      <c r="H33" s="104"/>
      <c r="I33" s="104"/>
      <c r="J33" s="103">
        <v>3</v>
      </c>
      <c r="K33" s="103">
        <f>16*J33</f>
        <v>48</v>
      </c>
      <c r="L33" s="103">
        <f>32*J33</f>
        <v>96</v>
      </c>
      <c r="M33" s="103">
        <f>SUM(K33:L33)</f>
        <v>144</v>
      </c>
      <c r="N33" s="102" t="s">
        <v>248</v>
      </c>
      <c r="O33" s="105" t="s">
        <v>249</v>
      </c>
      <c r="P33" s="105" t="s">
        <v>230</v>
      </c>
      <c r="Q33" s="102" t="s">
        <v>204</v>
      </c>
      <c r="R33" s="5"/>
      <c r="S33" s="5"/>
      <c r="T33" s="112"/>
    </row>
    <row r="34" spans="1:20" s="99" customFormat="1" ht="396.6" thickBot="1">
      <c r="A34" s="105" t="str">
        <f>_xlfn.XLOOKUP(B34,'Paso 3 Redacción RA'!I$3:I$15,'Paso 3 Redacción RA'!C$3:C$15,,0,1)</f>
        <v>Saber</v>
      </c>
      <c r="B34" s="105" t="s">
        <v>113</v>
      </c>
      <c r="C34" s="104">
        <v>3</v>
      </c>
      <c r="D34" s="104" t="s">
        <v>250</v>
      </c>
      <c r="E34" s="105" t="s">
        <v>251</v>
      </c>
      <c r="F34" s="103" t="s">
        <v>199</v>
      </c>
      <c r="G34" s="103" t="s">
        <v>200</v>
      </c>
      <c r="H34" s="103"/>
      <c r="I34" s="103"/>
      <c r="J34" s="106">
        <v>3</v>
      </c>
      <c r="K34" s="103">
        <f>16*J34</f>
        <v>48</v>
      </c>
      <c r="L34" s="103">
        <f>32*J34</f>
        <v>96</v>
      </c>
      <c r="M34" s="103">
        <f>SUM(K34:L34)</f>
        <v>144</v>
      </c>
      <c r="N34" s="102" t="s">
        <v>252</v>
      </c>
      <c r="O34" s="102" t="s">
        <v>253</v>
      </c>
      <c r="P34" s="102" t="s">
        <v>254</v>
      </c>
      <c r="Q34" s="102" t="s">
        <v>204</v>
      </c>
      <c r="R34" s="5"/>
      <c r="S34" s="5"/>
      <c r="T34" s="112"/>
    </row>
    <row r="35" spans="1:20" s="99" customFormat="1" ht="33">
      <c r="A35" s="111" t="str">
        <f>_xlfn.XLOOKUP(B35,'Paso 3 Redacción RA'!I$3:I$15,'Paso 3 Redacción RA'!C$3:C$15,,0,1)</f>
        <v>SaberHacer</v>
      </c>
      <c r="B35" s="101" t="s">
        <v>95</v>
      </c>
      <c r="C35" s="157">
        <v>3</v>
      </c>
      <c r="D35" s="157" t="s">
        <v>255</v>
      </c>
      <c r="E35" s="147" t="s">
        <v>256</v>
      </c>
      <c r="F35" s="157" t="s">
        <v>199</v>
      </c>
      <c r="G35" s="157"/>
      <c r="H35" s="157" t="s">
        <v>200</v>
      </c>
      <c r="I35" s="157"/>
      <c r="J35" s="157">
        <v>3</v>
      </c>
      <c r="K35" s="157">
        <f>16*J35</f>
        <v>48</v>
      </c>
      <c r="L35" s="157">
        <f>32*J35</f>
        <v>96</v>
      </c>
      <c r="M35" s="157">
        <f>SUM(K35:L35)</f>
        <v>144</v>
      </c>
      <c r="N35" s="159" t="s">
        <v>257</v>
      </c>
      <c r="O35" s="138" t="s">
        <v>214</v>
      </c>
      <c r="P35" s="159" t="s">
        <v>215</v>
      </c>
      <c r="Q35" s="159" t="s">
        <v>204</v>
      </c>
      <c r="R35" s="5"/>
      <c r="S35" s="5"/>
      <c r="T35" s="112"/>
    </row>
    <row r="36" spans="1:20" s="99" customFormat="1" ht="33">
      <c r="A36" s="99" t="str">
        <f>_xlfn.XLOOKUP(B36,'Paso 3 Redacción RA'!I$3:I$15,'Paso 3 Redacción RA'!C$3:C$15,,0,1)</f>
        <v>Saber</v>
      </c>
      <c r="B36" s="80" t="s">
        <v>102</v>
      </c>
      <c r="C36" s="135"/>
      <c r="D36" s="135"/>
      <c r="E36" s="148"/>
      <c r="F36" s="135"/>
      <c r="G36" s="135"/>
      <c r="H36" s="135"/>
      <c r="I36" s="135"/>
      <c r="J36" s="135"/>
      <c r="K36" s="135"/>
      <c r="L36" s="135"/>
      <c r="M36" s="135"/>
      <c r="N36" s="138"/>
      <c r="O36" s="138"/>
      <c r="P36" s="138"/>
      <c r="Q36" s="138"/>
      <c r="R36" s="5"/>
      <c r="S36" s="5"/>
      <c r="T36" s="112"/>
    </row>
    <row r="37" spans="1:20" s="99" customFormat="1" ht="17.100000000000001" thickBot="1">
      <c r="A37" s="100" t="str">
        <f>_xlfn.XLOOKUP(B37,'Paso 3 Redacción RA'!I$3:I$15,'Paso 3 Redacción RA'!C$3:C$15,,0,1)</f>
        <v>SaberHacer</v>
      </c>
      <c r="B37" s="96" t="s">
        <v>104</v>
      </c>
      <c r="C37" s="158"/>
      <c r="D37" s="158"/>
      <c r="E37" s="149"/>
      <c r="F37" s="158"/>
      <c r="G37" s="158"/>
      <c r="H37" s="158"/>
      <c r="I37" s="158"/>
      <c r="J37" s="158"/>
      <c r="K37" s="158"/>
      <c r="L37" s="158"/>
      <c r="M37" s="158"/>
      <c r="N37" s="160"/>
      <c r="O37" s="160"/>
      <c r="P37" s="160"/>
      <c r="Q37" s="160"/>
      <c r="R37" s="5"/>
      <c r="S37" s="5"/>
      <c r="T37" s="112"/>
    </row>
    <row r="38" spans="1:20" s="99" customFormat="1" ht="29.45" customHeight="1">
      <c r="A38" s="111" t="str">
        <f>_xlfn.XLOOKUP(B38,'Paso 3 Redacción RA'!I$3:I$15,'Paso 3 Redacción RA'!C$3:C$15,,0,1)</f>
        <v>Saber</v>
      </c>
      <c r="B38" s="101" t="s">
        <v>91</v>
      </c>
      <c r="C38" s="157">
        <v>3</v>
      </c>
      <c r="D38" s="157" t="s">
        <v>258</v>
      </c>
      <c r="E38" s="159" t="s">
        <v>259</v>
      </c>
      <c r="F38" s="157" t="s">
        <v>199</v>
      </c>
      <c r="G38" s="157"/>
      <c r="H38" s="157" t="s">
        <v>200</v>
      </c>
      <c r="I38" s="157"/>
      <c r="J38" s="157">
        <v>3</v>
      </c>
      <c r="K38" s="157">
        <f>16*J38</f>
        <v>48</v>
      </c>
      <c r="L38" s="157">
        <f>32*J38</f>
        <v>96</v>
      </c>
      <c r="M38" s="157">
        <f>SUM(K38:L38)</f>
        <v>144</v>
      </c>
      <c r="N38" s="159" t="s">
        <v>260</v>
      </c>
      <c r="O38" s="138" t="s">
        <v>214</v>
      </c>
      <c r="P38" s="159" t="s">
        <v>215</v>
      </c>
      <c r="Q38" s="159" t="s">
        <v>204</v>
      </c>
      <c r="R38" s="5"/>
      <c r="S38" s="5"/>
      <c r="T38" s="112"/>
    </row>
    <row r="39" spans="1:20" s="99" customFormat="1" ht="34.5" customHeight="1">
      <c r="A39" s="99" t="str">
        <f>_xlfn.XLOOKUP(B39,'Paso 3 Redacción RA'!I$3:I$15,'Paso 3 Redacción RA'!C$3:C$15,,0,1)</f>
        <v>SaberHacer</v>
      </c>
      <c r="B39" s="80" t="s">
        <v>95</v>
      </c>
      <c r="C39" s="135"/>
      <c r="D39" s="135"/>
      <c r="E39" s="138"/>
      <c r="F39" s="135"/>
      <c r="G39" s="135"/>
      <c r="H39" s="135"/>
      <c r="I39" s="135"/>
      <c r="J39" s="135"/>
      <c r="K39" s="135"/>
      <c r="L39" s="135"/>
      <c r="M39" s="135"/>
      <c r="N39" s="138"/>
      <c r="O39" s="138"/>
      <c r="P39" s="138"/>
      <c r="Q39" s="138"/>
      <c r="R39" s="5"/>
      <c r="S39" s="5"/>
      <c r="T39" s="112"/>
    </row>
    <row r="40" spans="1:20" s="99" customFormat="1" ht="34.5" customHeight="1" thickBot="1">
      <c r="A40" s="100" t="str">
        <f>_xlfn.XLOOKUP(B40,'Paso 3 Redacción RA'!I$3:I$15,'Paso 3 Redacción RA'!C$3:C$15,,0,1)</f>
        <v>SaberSer</v>
      </c>
      <c r="B40" s="96" t="s">
        <v>100</v>
      </c>
      <c r="C40" s="158"/>
      <c r="D40" s="158"/>
      <c r="E40" s="160"/>
      <c r="F40" s="158"/>
      <c r="G40" s="158"/>
      <c r="H40" s="158"/>
      <c r="I40" s="158"/>
      <c r="J40" s="158"/>
      <c r="K40" s="158"/>
      <c r="L40" s="158"/>
      <c r="M40" s="158"/>
      <c r="N40" s="160"/>
      <c r="O40" s="160"/>
      <c r="P40" s="160"/>
      <c r="Q40" s="160"/>
      <c r="R40" s="5"/>
      <c r="S40" s="5"/>
      <c r="T40" s="112"/>
    </row>
    <row r="41" spans="1:20" s="99" customFormat="1" ht="34.5" customHeight="1">
      <c r="A41" s="111" t="str">
        <f>_xlfn.XLOOKUP(B41,'Paso 3 Redacción RA'!I$3:I$15,'Paso 3 Redacción RA'!C$3:C$15,,0,1)</f>
        <v>Saber</v>
      </c>
      <c r="B41" s="80" t="s">
        <v>91</v>
      </c>
      <c r="C41" s="157">
        <v>3</v>
      </c>
      <c r="D41" s="157" t="s">
        <v>261</v>
      </c>
      <c r="E41" s="147" t="s">
        <v>262</v>
      </c>
      <c r="F41" s="135" t="s">
        <v>199</v>
      </c>
      <c r="G41" s="135"/>
      <c r="H41" s="135" t="s">
        <v>200</v>
      </c>
      <c r="I41" s="135"/>
      <c r="J41" s="135">
        <v>3</v>
      </c>
      <c r="K41" s="157">
        <f>16*J41</f>
        <v>48</v>
      </c>
      <c r="L41" s="157">
        <f>32*J41</f>
        <v>96</v>
      </c>
      <c r="M41" s="157">
        <f>SUM(K41:L41)</f>
        <v>144</v>
      </c>
      <c r="N41" s="159" t="s">
        <v>263</v>
      </c>
      <c r="O41" s="138" t="s">
        <v>214</v>
      </c>
      <c r="P41" s="159" t="s">
        <v>215</v>
      </c>
      <c r="Q41" s="157"/>
      <c r="R41" s="5"/>
      <c r="S41" s="5"/>
      <c r="T41" s="112"/>
    </row>
    <row r="42" spans="1:20" s="99" customFormat="1" ht="30.95" customHeight="1">
      <c r="A42" s="99" t="str">
        <f>_xlfn.XLOOKUP(B42,'Paso 3 Redacción RA'!I$3:I$15,'Paso 3 Redacción RA'!C$3:C$15,,0,1)</f>
        <v>SaberHacer</v>
      </c>
      <c r="B42" s="80" t="s">
        <v>95</v>
      </c>
      <c r="C42" s="135"/>
      <c r="D42" s="135"/>
      <c r="E42" s="148"/>
      <c r="F42" s="135"/>
      <c r="G42" s="135"/>
      <c r="H42" s="135"/>
      <c r="I42" s="135"/>
      <c r="J42" s="135"/>
      <c r="K42" s="135"/>
      <c r="L42" s="135"/>
      <c r="M42" s="135"/>
      <c r="N42" s="138"/>
      <c r="O42" s="138"/>
      <c r="P42" s="138"/>
      <c r="Q42" s="135"/>
      <c r="R42" s="5"/>
      <c r="S42" s="5"/>
      <c r="T42" s="112"/>
    </row>
    <row r="43" spans="1:20" s="99" customFormat="1" ht="32.1" customHeight="1" thickBot="1">
      <c r="A43" s="100" t="str">
        <f>_xlfn.XLOOKUP(B43,'Paso 3 Redacción RA'!I$3:I$15,'Paso 3 Redacción RA'!C$3:C$15,,0,1)</f>
        <v>SaberSer</v>
      </c>
      <c r="B43" s="80" t="s">
        <v>100</v>
      </c>
      <c r="C43" s="158"/>
      <c r="D43" s="158"/>
      <c r="E43" s="149"/>
      <c r="F43" s="158"/>
      <c r="G43" s="158"/>
      <c r="H43" s="158"/>
      <c r="I43" s="158"/>
      <c r="J43" s="158"/>
      <c r="K43" s="158"/>
      <c r="L43" s="158"/>
      <c r="M43" s="158"/>
      <c r="N43" s="160"/>
      <c r="O43" s="160"/>
      <c r="P43" s="160"/>
      <c r="Q43" s="158"/>
      <c r="R43" s="5"/>
      <c r="S43" s="5"/>
      <c r="T43" s="112"/>
    </row>
    <row r="44" spans="1:20" s="99" customFormat="1" ht="46.5" customHeight="1">
      <c r="A44" s="111" t="str">
        <f>_xlfn.XLOOKUP(B44,'Paso 3 Redacción RA'!I$3:I$15,'Paso 3 Redacción RA'!C$3:C$15,,0,1)</f>
        <v>Saber</v>
      </c>
      <c r="B44" s="101" t="s">
        <v>91</v>
      </c>
      <c r="C44" s="157">
        <v>3</v>
      </c>
      <c r="D44" s="157" t="s">
        <v>264</v>
      </c>
      <c r="E44" s="147" t="s">
        <v>265</v>
      </c>
      <c r="F44" s="157" t="s">
        <v>199</v>
      </c>
      <c r="G44" s="157"/>
      <c r="H44" s="157" t="s">
        <v>200</v>
      </c>
      <c r="I44" s="157"/>
      <c r="J44" s="157">
        <v>3</v>
      </c>
      <c r="K44" s="157">
        <f>16*J44</f>
        <v>48</v>
      </c>
      <c r="L44" s="157">
        <f>32*J44</f>
        <v>96</v>
      </c>
      <c r="M44" s="157">
        <f>SUM(K44:L44)</f>
        <v>144</v>
      </c>
      <c r="N44" s="159" t="s">
        <v>266</v>
      </c>
      <c r="O44" s="138" t="s">
        <v>214</v>
      </c>
      <c r="P44" s="159" t="s">
        <v>215</v>
      </c>
      <c r="Q44" s="159" t="s">
        <v>204</v>
      </c>
      <c r="R44" s="5"/>
      <c r="S44" s="5"/>
      <c r="T44" s="112"/>
    </row>
    <row r="45" spans="1:20" s="99" customFormat="1" ht="36.6" customHeight="1">
      <c r="A45" s="99" t="str">
        <f>_xlfn.XLOOKUP(B45,'Paso 3 Redacción RA'!I$3:I$15,'Paso 3 Redacción RA'!C$3:C$15,,0,1)</f>
        <v>Saber</v>
      </c>
      <c r="B45" s="80" t="s">
        <v>102</v>
      </c>
      <c r="C45" s="135"/>
      <c r="D45" s="135"/>
      <c r="E45" s="148"/>
      <c r="F45" s="135"/>
      <c r="G45" s="135"/>
      <c r="H45" s="135"/>
      <c r="I45" s="135"/>
      <c r="J45" s="135"/>
      <c r="K45" s="135"/>
      <c r="L45" s="135"/>
      <c r="M45" s="135"/>
      <c r="N45" s="138"/>
      <c r="O45" s="138"/>
      <c r="P45" s="138"/>
      <c r="Q45" s="138"/>
      <c r="R45" s="5"/>
      <c r="S45" s="5"/>
      <c r="T45" s="112"/>
    </row>
    <row r="46" spans="1:20" s="99" customFormat="1" ht="54.95" customHeight="1" thickBot="1">
      <c r="A46" s="100" t="str">
        <f>_xlfn.XLOOKUP(B46,'Paso 3 Redacción RA'!I$3:I$15,'Paso 3 Redacción RA'!C$3:C$15,,0,1)</f>
        <v>SaberSer</v>
      </c>
      <c r="B46" s="96" t="s">
        <v>100</v>
      </c>
      <c r="C46" s="158"/>
      <c r="D46" s="158"/>
      <c r="E46" s="148"/>
      <c r="F46" s="135"/>
      <c r="G46" s="135"/>
      <c r="H46" s="135"/>
      <c r="I46" s="135"/>
      <c r="J46" s="135"/>
      <c r="K46" s="135"/>
      <c r="L46" s="135"/>
      <c r="M46" s="158"/>
      <c r="N46" s="138"/>
      <c r="O46" s="160"/>
      <c r="P46" s="160"/>
      <c r="Q46" s="138"/>
      <c r="R46" s="5">
        <f>SUM(J33:J46)</f>
        <v>18</v>
      </c>
      <c r="S46" s="5">
        <f>COUNTA(D33:D46)</f>
        <v>6</v>
      </c>
      <c r="T46" s="112"/>
    </row>
    <row r="47" spans="1:20" s="99" customFormat="1" ht="363.6" thickBot="1">
      <c r="A47" s="105" t="str">
        <f>_xlfn.XLOOKUP(B47,'Paso 3 Redacción RA'!I$3:I$15,'Paso 3 Redacción RA'!C$3:C$15,,0,1)</f>
        <v>Saber</v>
      </c>
      <c r="B47" s="105" t="s">
        <v>113</v>
      </c>
      <c r="C47" s="104">
        <v>4</v>
      </c>
      <c r="D47" s="104" t="s">
        <v>267</v>
      </c>
      <c r="E47" s="105" t="s">
        <v>268</v>
      </c>
      <c r="F47" s="103" t="s">
        <v>199</v>
      </c>
      <c r="G47" s="104" t="s">
        <v>200</v>
      </c>
      <c r="H47" s="104" t="s">
        <v>269</v>
      </c>
      <c r="I47" s="104"/>
      <c r="J47" s="104">
        <v>3</v>
      </c>
      <c r="K47" s="103">
        <f>16*J47</f>
        <v>48</v>
      </c>
      <c r="L47" s="103">
        <f>32*J47</f>
        <v>96</v>
      </c>
      <c r="M47" s="103">
        <f>SUM(K47:L47)</f>
        <v>144</v>
      </c>
      <c r="N47" s="105" t="s">
        <v>270</v>
      </c>
      <c r="O47" s="105" t="s">
        <v>249</v>
      </c>
      <c r="P47" s="105" t="s">
        <v>230</v>
      </c>
      <c r="Q47" s="102" t="s">
        <v>204</v>
      </c>
      <c r="R47" s="5"/>
      <c r="S47" s="5"/>
      <c r="T47" s="112"/>
    </row>
    <row r="48" spans="1:20" s="99" customFormat="1" ht="39.6" customHeight="1">
      <c r="A48" s="111" t="str">
        <f>_xlfn.XLOOKUP(B48,'Paso 3 Redacción RA'!I$3:I$15,'Paso 3 Redacción RA'!C$3:C$15,,0,1)</f>
        <v>Saber</v>
      </c>
      <c r="B48" s="101" t="s">
        <v>91</v>
      </c>
      <c r="C48" s="157">
        <v>4</v>
      </c>
      <c r="D48" s="157" t="s">
        <v>271</v>
      </c>
      <c r="E48" s="147" t="s">
        <v>272</v>
      </c>
      <c r="F48" s="157" t="s">
        <v>199</v>
      </c>
      <c r="G48" s="157"/>
      <c r="H48" s="157" t="s">
        <v>200</v>
      </c>
      <c r="I48" s="157"/>
      <c r="J48" s="157">
        <v>3</v>
      </c>
      <c r="K48" s="157">
        <f>16*J48</f>
        <v>48</v>
      </c>
      <c r="L48" s="157">
        <f>32*J48</f>
        <v>96</v>
      </c>
      <c r="M48" s="157">
        <f>SUM(K48:L48)</f>
        <v>144</v>
      </c>
      <c r="N48" s="159" t="s">
        <v>273</v>
      </c>
      <c r="O48" s="138" t="s">
        <v>214</v>
      </c>
      <c r="P48" s="159" t="s">
        <v>215</v>
      </c>
      <c r="Q48" s="159" t="s">
        <v>204</v>
      </c>
      <c r="R48" s="5"/>
      <c r="S48" s="5"/>
      <c r="T48" s="112"/>
    </row>
    <row r="49" spans="1:20" s="99" customFormat="1" ht="41.45" customHeight="1">
      <c r="A49" s="99" t="str">
        <f>_xlfn.XLOOKUP(B49,'Paso 3 Redacción RA'!I$3:I$15,'Paso 3 Redacción RA'!C$3:C$15,,0,1)</f>
        <v>SaberHacer</v>
      </c>
      <c r="B49" s="80" t="s">
        <v>95</v>
      </c>
      <c r="C49" s="135"/>
      <c r="D49" s="135"/>
      <c r="E49" s="148"/>
      <c r="F49" s="135"/>
      <c r="G49" s="135"/>
      <c r="H49" s="135"/>
      <c r="I49" s="135"/>
      <c r="J49" s="135"/>
      <c r="K49" s="135"/>
      <c r="L49" s="135"/>
      <c r="M49" s="135"/>
      <c r="N49" s="138"/>
      <c r="O49" s="138"/>
      <c r="P49" s="138"/>
      <c r="Q49" s="138"/>
      <c r="R49" s="5"/>
      <c r="S49" s="5"/>
      <c r="T49" s="112"/>
    </row>
    <row r="50" spans="1:20" s="99" customFormat="1" ht="39.950000000000003" customHeight="1" thickBot="1">
      <c r="A50" s="100" t="str">
        <f>_xlfn.XLOOKUP(B50,'Paso 3 Redacción RA'!I$3:I$15,'Paso 3 Redacción RA'!C$3:C$15,,0,1)</f>
        <v>SaberHacer</v>
      </c>
      <c r="B50" s="96" t="s">
        <v>104</v>
      </c>
      <c r="C50" s="158"/>
      <c r="D50" s="158"/>
      <c r="E50" s="149"/>
      <c r="F50" s="158"/>
      <c r="G50" s="158"/>
      <c r="H50" s="158"/>
      <c r="I50" s="158"/>
      <c r="J50" s="158"/>
      <c r="K50" s="158"/>
      <c r="L50" s="158"/>
      <c r="M50" s="158"/>
      <c r="N50" s="160"/>
      <c r="O50" s="160"/>
      <c r="P50" s="160"/>
      <c r="Q50" s="160"/>
      <c r="R50" s="5"/>
      <c r="S50" s="5"/>
      <c r="T50" s="112"/>
    </row>
    <row r="51" spans="1:20" s="99" customFormat="1" ht="33">
      <c r="A51" s="111" t="str">
        <f>_xlfn.XLOOKUP(B51,'Paso 3 Redacción RA'!I$3:I$15,'Paso 3 Redacción RA'!C$3:C$15,,0,1)</f>
        <v>SaberHacer</v>
      </c>
      <c r="B51" s="101" t="s">
        <v>95</v>
      </c>
      <c r="C51" s="157">
        <v>4</v>
      </c>
      <c r="D51" s="157" t="s">
        <v>274</v>
      </c>
      <c r="E51" s="147" t="s">
        <v>275</v>
      </c>
      <c r="F51" s="157" t="s">
        <v>199</v>
      </c>
      <c r="G51" s="157"/>
      <c r="H51" s="157" t="s">
        <v>200</v>
      </c>
      <c r="I51" s="157"/>
      <c r="J51" s="157">
        <v>3</v>
      </c>
      <c r="K51" s="157">
        <f>16*J51</f>
        <v>48</v>
      </c>
      <c r="L51" s="157">
        <f>32*J51</f>
        <v>96</v>
      </c>
      <c r="M51" s="157">
        <f>SUM(K51:L51)</f>
        <v>144</v>
      </c>
      <c r="N51" s="159" t="s">
        <v>276</v>
      </c>
      <c r="O51" s="138" t="s">
        <v>214</v>
      </c>
      <c r="P51" s="159" t="s">
        <v>215</v>
      </c>
      <c r="Q51" s="159" t="s">
        <v>204</v>
      </c>
      <c r="R51" s="5"/>
      <c r="S51" s="5"/>
      <c r="T51" s="112"/>
    </row>
    <row r="52" spans="1:20" s="99" customFormat="1" ht="33">
      <c r="A52" s="99" t="str">
        <f>_xlfn.XLOOKUP(B52,'Paso 3 Redacción RA'!I$3:I$15,'Paso 3 Redacción RA'!C$3:C$15,,0,1)</f>
        <v>SaberSer</v>
      </c>
      <c r="B52" s="80" t="s">
        <v>100</v>
      </c>
      <c r="C52" s="135"/>
      <c r="D52" s="135"/>
      <c r="E52" s="148"/>
      <c r="F52" s="135"/>
      <c r="G52" s="135"/>
      <c r="H52" s="135"/>
      <c r="I52" s="135"/>
      <c r="J52" s="135"/>
      <c r="K52" s="135"/>
      <c r="L52" s="135"/>
      <c r="M52" s="135"/>
      <c r="N52" s="138"/>
      <c r="O52" s="138"/>
      <c r="P52" s="138"/>
      <c r="Q52" s="138"/>
      <c r="R52" s="5"/>
      <c r="S52" s="5"/>
      <c r="T52" s="112"/>
    </row>
    <row r="53" spans="1:20" s="99" customFormat="1" ht="37.5" customHeight="1" thickBot="1">
      <c r="A53" s="100" t="str">
        <f>_xlfn.XLOOKUP(B53,'Paso 3 Redacción RA'!I$3:I$15,'Paso 3 Redacción RA'!C$3:C$15,,0,1)</f>
        <v>SaberHacer</v>
      </c>
      <c r="B53" s="96" t="s">
        <v>104</v>
      </c>
      <c r="C53" s="158"/>
      <c r="D53" s="158"/>
      <c r="E53" s="149"/>
      <c r="F53" s="158"/>
      <c r="G53" s="158"/>
      <c r="H53" s="158"/>
      <c r="I53" s="158"/>
      <c r="J53" s="158"/>
      <c r="K53" s="158"/>
      <c r="L53" s="158"/>
      <c r="M53" s="158"/>
      <c r="N53" s="160"/>
      <c r="O53" s="160"/>
      <c r="P53" s="160"/>
      <c r="Q53" s="160"/>
      <c r="R53" s="5"/>
      <c r="S53" s="5"/>
      <c r="T53" s="112"/>
    </row>
    <row r="54" spans="1:20" s="99" customFormat="1" ht="71.099999999999994" customHeight="1">
      <c r="A54" s="111" t="str">
        <f>_xlfn.XLOOKUP(B54,'Paso 3 Redacción RA'!I$3:I$15,'Paso 3 Redacción RA'!C$3:C$15,,0,1)</f>
        <v>SaberHacer</v>
      </c>
      <c r="B54" s="101" t="s">
        <v>95</v>
      </c>
      <c r="C54" s="157">
        <v>4</v>
      </c>
      <c r="D54" s="157" t="s">
        <v>277</v>
      </c>
      <c r="E54" s="147" t="s">
        <v>278</v>
      </c>
      <c r="F54" s="157" t="s">
        <v>199</v>
      </c>
      <c r="G54" s="157"/>
      <c r="H54" s="157" t="s">
        <v>200</v>
      </c>
      <c r="I54" s="157"/>
      <c r="J54" s="157">
        <v>4</v>
      </c>
      <c r="K54" s="157">
        <f>16*J54</f>
        <v>64</v>
      </c>
      <c r="L54" s="157">
        <f>32*J54</f>
        <v>128</v>
      </c>
      <c r="M54" s="157">
        <f>SUM(K54:L54)</f>
        <v>192</v>
      </c>
      <c r="N54" s="159" t="s">
        <v>279</v>
      </c>
      <c r="O54" s="138" t="s">
        <v>214</v>
      </c>
      <c r="P54" s="159" t="s">
        <v>215</v>
      </c>
      <c r="Q54" s="159" t="s">
        <v>204</v>
      </c>
      <c r="R54" s="5"/>
      <c r="S54" s="5"/>
      <c r="T54" s="112"/>
    </row>
    <row r="55" spans="1:20" s="99" customFormat="1" ht="33.6" customHeight="1">
      <c r="A55" s="99" t="str">
        <f>_xlfn.XLOOKUP(B55,'Paso 3 Redacción RA'!I$3:I$15,'Paso 3 Redacción RA'!C$3:C$15,,0,1)</f>
        <v>SaberSer</v>
      </c>
      <c r="B55" s="80" t="s">
        <v>100</v>
      </c>
      <c r="C55" s="135"/>
      <c r="D55" s="135"/>
      <c r="E55" s="148"/>
      <c r="F55" s="135"/>
      <c r="G55" s="135"/>
      <c r="H55" s="135"/>
      <c r="I55" s="135"/>
      <c r="J55" s="135"/>
      <c r="K55" s="135"/>
      <c r="L55" s="135"/>
      <c r="M55" s="135"/>
      <c r="N55" s="138"/>
      <c r="O55" s="138"/>
      <c r="P55" s="138"/>
      <c r="Q55" s="138"/>
      <c r="R55" s="5"/>
      <c r="S55" s="5"/>
      <c r="T55" s="112"/>
    </row>
    <row r="56" spans="1:20" s="99" customFormat="1" ht="38.1" customHeight="1" thickBot="1">
      <c r="A56" s="100" t="str">
        <f>_xlfn.XLOOKUP(B56,'Paso 3 Redacción RA'!I$3:I$15,'Paso 3 Redacción RA'!C$3:C$15,,0,1)</f>
        <v>SaberHacer</v>
      </c>
      <c r="B56" s="96" t="s">
        <v>104</v>
      </c>
      <c r="C56" s="158"/>
      <c r="D56" s="158"/>
      <c r="E56" s="149"/>
      <c r="F56" s="158"/>
      <c r="G56" s="158"/>
      <c r="H56" s="158"/>
      <c r="I56" s="158"/>
      <c r="J56" s="158"/>
      <c r="K56" s="158"/>
      <c r="L56" s="158"/>
      <c r="M56" s="158"/>
      <c r="N56" s="160"/>
      <c r="O56" s="160"/>
      <c r="P56" s="160"/>
      <c r="Q56" s="160"/>
      <c r="R56" s="5"/>
      <c r="S56" s="5"/>
      <c r="T56" s="112"/>
    </row>
    <row r="57" spans="1:20" s="99" customFormat="1" ht="35.450000000000003" customHeight="1">
      <c r="A57" s="111" t="str">
        <f>_xlfn.XLOOKUP(B57,'Paso 3 Redacción RA'!I$3:I$15,'Paso 3 Redacción RA'!C$3:C$15,,0,1)</f>
        <v>SaberHacer</v>
      </c>
      <c r="B57" s="101" t="s">
        <v>95</v>
      </c>
      <c r="C57" s="157">
        <v>4</v>
      </c>
      <c r="D57" s="157" t="s">
        <v>280</v>
      </c>
      <c r="E57" s="147" t="s">
        <v>281</v>
      </c>
      <c r="F57" s="157" t="s">
        <v>199</v>
      </c>
      <c r="G57" s="157"/>
      <c r="H57" s="157" t="s">
        <v>200</v>
      </c>
      <c r="I57" s="157"/>
      <c r="J57" s="157">
        <v>4</v>
      </c>
      <c r="K57" s="157">
        <f>16*J57</f>
        <v>64</v>
      </c>
      <c r="L57" s="157">
        <f>32*J57</f>
        <v>128</v>
      </c>
      <c r="M57" s="157">
        <f>SUM(K57:L57)</f>
        <v>192</v>
      </c>
      <c r="N57" s="159" t="s">
        <v>282</v>
      </c>
      <c r="O57" s="138" t="s">
        <v>214</v>
      </c>
      <c r="P57" s="159" t="s">
        <v>215</v>
      </c>
      <c r="Q57" s="159" t="s">
        <v>204</v>
      </c>
      <c r="R57" s="5"/>
      <c r="S57" s="5"/>
      <c r="T57" s="112"/>
    </row>
    <row r="58" spans="1:20" s="99" customFormat="1" ht="35.450000000000003" customHeight="1">
      <c r="A58" s="99" t="str">
        <f>_xlfn.XLOOKUP(B58,'Paso 3 Redacción RA'!I$3:I$15,'Paso 3 Redacción RA'!C$3:C$15,,0,1)</f>
        <v>SaberSer</v>
      </c>
      <c r="B58" s="80" t="s">
        <v>100</v>
      </c>
      <c r="C58" s="135"/>
      <c r="D58" s="135"/>
      <c r="E58" s="148"/>
      <c r="F58" s="135"/>
      <c r="G58" s="135"/>
      <c r="H58" s="135"/>
      <c r="I58" s="135"/>
      <c r="J58" s="135"/>
      <c r="K58" s="135"/>
      <c r="L58" s="135"/>
      <c r="M58" s="135"/>
      <c r="N58" s="138"/>
      <c r="O58" s="138"/>
      <c r="P58" s="138"/>
      <c r="Q58" s="138"/>
      <c r="R58" s="5"/>
      <c r="S58" s="5"/>
      <c r="T58" s="112"/>
    </row>
    <row r="59" spans="1:20" s="99" customFormat="1" ht="24.6" customHeight="1" thickBot="1">
      <c r="A59" s="100" t="str">
        <f>_xlfn.XLOOKUP(B59,'Paso 3 Redacción RA'!I$3:I$15,'Paso 3 Redacción RA'!C$3:C$15,,0,1)</f>
        <v>SaberHacer</v>
      </c>
      <c r="B59" s="96" t="s">
        <v>104</v>
      </c>
      <c r="C59" s="158"/>
      <c r="D59" s="158"/>
      <c r="E59" s="149"/>
      <c r="F59" s="158"/>
      <c r="G59" s="158"/>
      <c r="H59" s="158"/>
      <c r="I59" s="158"/>
      <c r="J59" s="158"/>
      <c r="K59" s="158"/>
      <c r="L59" s="158"/>
      <c r="M59" s="158"/>
      <c r="N59" s="160"/>
      <c r="O59" s="160"/>
      <c r="P59" s="160"/>
      <c r="Q59" s="160"/>
      <c r="R59" s="5"/>
      <c r="S59" s="5"/>
      <c r="T59" s="112"/>
    </row>
    <row r="60" spans="1:20" s="99" customFormat="1" ht="36.950000000000003" customHeight="1">
      <c r="A60" s="111" t="str">
        <f>_xlfn.XLOOKUP(B60,'Paso 3 Redacción RA'!I$3:I$15,'Paso 3 Redacción RA'!C$3:C$15,,0,1)</f>
        <v>Saber</v>
      </c>
      <c r="B60" s="101" t="s">
        <v>91</v>
      </c>
      <c r="C60" s="157">
        <v>4</v>
      </c>
      <c r="D60" s="157" t="s">
        <v>283</v>
      </c>
      <c r="E60" s="147" t="s">
        <v>284</v>
      </c>
      <c r="F60" s="157" t="s">
        <v>199</v>
      </c>
      <c r="G60" s="157"/>
      <c r="H60" s="157" t="s">
        <v>200</v>
      </c>
      <c r="I60" s="157"/>
      <c r="J60" s="157">
        <v>3</v>
      </c>
      <c r="K60" s="157">
        <f>16*J60</f>
        <v>48</v>
      </c>
      <c r="L60" s="157">
        <f>32*J60</f>
        <v>96</v>
      </c>
      <c r="M60" s="157">
        <f>SUM(K60:L62)</f>
        <v>144</v>
      </c>
      <c r="N60" s="159" t="s">
        <v>285</v>
      </c>
      <c r="O60" s="138" t="s">
        <v>214</v>
      </c>
      <c r="P60" s="159" t="s">
        <v>215</v>
      </c>
      <c r="Q60" s="159" t="s">
        <v>204</v>
      </c>
      <c r="R60" s="5"/>
      <c r="S60" s="5"/>
      <c r="T60" s="112"/>
    </row>
    <row r="61" spans="1:20" s="99" customFormat="1" ht="34.5" customHeight="1">
      <c r="A61" s="99" t="str">
        <f>_xlfn.XLOOKUP(B61,'Paso 3 Redacción RA'!I$3:I$15,'Paso 3 Redacción RA'!C$3:C$15,,0,1)</f>
        <v>SaberHacer</v>
      </c>
      <c r="B61" s="80" t="s">
        <v>95</v>
      </c>
      <c r="C61" s="135"/>
      <c r="D61" s="135"/>
      <c r="E61" s="148"/>
      <c r="F61" s="135"/>
      <c r="G61" s="135"/>
      <c r="H61" s="135"/>
      <c r="I61" s="135"/>
      <c r="J61" s="135"/>
      <c r="K61" s="135"/>
      <c r="L61" s="135"/>
      <c r="M61" s="135"/>
      <c r="N61" s="138"/>
      <c r="O61" s="138"/>
      <c r="P61" s="138"/>
      <c r="Q61" s="138"/>
      <c r="R61" s="5"/>
      <c r="S61" s="5"/>
      <c r="T61" s="112"/>
    </row>
    <row r="62" spans="1:20" s="99" customFormat="1" ht="35.1" customHeight="1" thickBot="1">
      <c r="A62" s="100" t="str">
        <f>_xlfn.XLOOKUP(B62,'Paso 3 Redacción RA'!I$3:I$15,'Paso 3 Redacción RA'!C$3:C$15,,0,1)</f>
        <v>SaberHacer</v>
      </c>
      <c r="B62" s="96" t="s">
        <v>104</v>
      </c>
      <c r="C62" s="158"/>
      <c r="D62" s="158"/>
      <c r="E62" s="149"/>
      <c r="F62" s="158"/>
      <c r="G62" s="135"/>
      <c r="H62" s="135"/>
      <c r="I62" s="135"/>
      <c r="J62" s="135"/>
      <c r="K62" s="135"/>
      <c r="L62" s="135"/>
      <c r="M62" s="135"/>
      <c r="N62" s="160"/>
      <c r="O62" s="160"/>
      <c r="P62" s="160"/>
      <c r="Q62" s="138"/>
      <c r="R62" s="5">
        <f>SUM(J47:J62)</f>
        <v>20</v>
      </c>
      <c r="S62" s="5">
        <f>COUNTA(D47:D62)</f>
        <v>6</v>
      </c>
      <c r="T62" s="112"/>
    </row>
    <row r="63" spans="1:20" s="99" customFormat="1" ht="36.950000000000003" customHeight="1">
      <c r="A63" s="111" t="str">
        <f>_xlfn.XLOOKUP(B63,'Paso 3 Redacción RA'!I$3:I$15,'Paso 3 Redacción RA'!C$3:C$15,,0,1)</f>
        <v>Saber</v>
      </c>
      <c r="B63" s="101" t="s">
        <v>91</v>
      </c>
      <c r="C63" s="157">
        <v>5</v>
      </c>
      <c r="D63" s="157" t="s">
        <v>286</v>
      </c>
      <c r="E63" s="147" t="s">
        <v>287</v>
      </c>
      <c r="F63" s="157" t="s">
        <v>199</v>
      </c>
      <c r="G63" s="157"/>
      <c r="H63" s="157" t="s">
        <v>200</v>
      </c>
      <c r="I63" s="157"/>
      <c r="J63" s="157">
        <v>3</v>
      </c>
      <c r="K63" s="157">
        <f>16*J63</f>
        <v>48</v>
      </c>
      <c r="L63" s="157">
        <f>32*J63</f>
        <v>96</v>
      </c>
      <c r="M63" s="157">
        <f>SUM(K63:L63)</f>
        <v>144</v>
      </c>
      <c r="N63" s="159" t="s">
        <v>288</v>
      </c>
      <c r="O63" s="138" t="s">
        <v>214</v>
      </c>
      <c r="P63" s="159" t="s">
        <v>215</v>
      </c>
      <c r="Q63" s="159" t="s">
        <v>204</v>
      </c>
      <c r="R63" s="5"/>
      <c r="S63" s="5"/>
      <c r="T63" s="112"/>
    </row>
    <row r="64" spans="1:20" s="99" customFormat="1" ht="36" customHeight="1">
      <c r="A64" s="99" t="str">
        <f>_xlfn.XLOOKUP(B64,'Paso 3 Redacción RA'!I$3:I$15,'Paso 3 Redacción RA'!C$3:C$15,,0,1)</f>
        <v>SaberHacer</v>
      </c>
      <c r="B64" s="80" t="s">
        <v>95</v>
      </c>
      <c r="C64" s="135"/>
      <c r="D64" s="135"/>
      <c r="E64" s="148"/>
      <c r="F64" s="135"/>
      <c r="G64" s="135"/>
      <c r="H64" s="135"/>
      <c r="I64" s="135"/>
      <c r="J64" s="135"/>
      <c r="K64" s="135"/>
      <c r="L64" s="135"/>
      <c r="M64" s="135"/>
      <c r="N64" s="138"/>
      <c r="O64" s="138"/>
      <c r="P64" s="138"/>
      <c r="Q64" s="138"/>
      <c r="R64" s="5"/>
      <c r="S64" s="5"/>
      <c r="T64" s="112"/>
    </row>
    <row r="65" spans="1:20" s="99" customFormat="1" ht="36.6" customHeight="1" thickBot="1">
      <c r="A65" s="100" t="str">
        <f>_xlfn.XLOOKUP(B65,'Paso 3 Redacción RA'!I$3:I$15,'Paso 3 Redacción RA'!C$3:C$15,,0,1)</f>
        <v>SaberSer</v>
      </c>
      <c r="B65" s="96" t="s">
        <v>100</v>
      </c>
      <c r="C65" s="158"/>
      <c r="D65" s="158"/>
      <c r="E65" s="149"/>
      <c r="F65" s="158"/>
      <c r="G65" s="158"/>
      <c r="H65" s="158"/>
      <c r="I65" s="158"/>
      <c r="J65" s="158"/>
      <c r="K65" s="158"/>
      <c r="L65" s="158"/>
      <c r="M65" s="158"/>
      <c r="N65" s="160"/>
      <c r="O65" s="160"/>
      <c r="P65" s="160"/>
      <c r="Q65" s="160"/>
      <c r="R65" s="5"/>
      <c r="S65" s="5"/>
      <c r="T65" s="112"/>
    </row>
    <row r="66" spans="1:20" s="99" customFormat="1" ht="33">
      <c r="A66" s="111" t="str">
        <f>_xlfn.XLOOKUP(B66,'Paso 3 Redacción RA'!I$3:I$15,'Paso 3 Redacción RA'!C$3:C$15,,0,1)</f>
        <v>SaberHacer</v>
      </c>
      <c r="B66" s="101" t="s">
        <v>95</v>
      </c>
      <c r="C66" s="157">
        <v>5</v>
      </c>
      <c r="D66" s="157" t="s">
        <v>289</v>
      </c>
      <c r="E66" s="147" t="s">
        <v>290</v>
      </c>
      <c r="F66" s="157" t="s">
        <v>199</v>
      </c>
      <c r="G66" s="157"/>
      <c r="H66" s="157" t="s">
        <v>200</v>
      </c>
      <c r="I66" s="157"/>
      <c r="J66" s="157">
        <v>3</v>
      </c>
      <c r="K66" s="157">
        <f>16*J66</f>
        <v>48</v>
      </c>
      <c r="L66" s="157">
        <f>32*J66</f>
        <v>96</v>
      </c>
      <c r="M66" s="157">
        <f>SUM(K66:L66)</f>
        <v>144</v>
      </c>
      <c r="N66" s="159" t="s">
        <v>291</v>
      </c>
      <c r="O66" s="138" t="s">
        <v>214</v>
      </c>
      <c r="P66" s="159" t="s">
        <v>215</v>
      </c>
      <c r="Q66" s="159" t="s">
        <v>204</v>
      </c>
      <c r="R66" s="5"/>
      <c r="S66" s="5"/>
      <c r="T66" s="112"/>
    </row>
    <row r="67" spans="1:20" s="99" customFormat="1" ht="32.1" customHeight="1">
      <c r="A67" s="99" t="str">
        <f>_xlfn.XLOOKUP(B67,'Paso 3 Redacción RA'!I$3:I$15,'Paso 3 Redacción RA'!C$3:C$15,,0,1)</f>
        <v>SaberSer</v>
      </c>
      <c r="B67" s="80" t="s">
        <v>100</v>
      </c>
      <c r="C67" s="135"/>
      <c r="D67" s="135"/>
      <c r="E67" s="148"/>
      <c r="F67" s="135"/>
      <c r="G67" s="135"/>
      <c r="H67" s="135"/>
      <c r="I67" s="135"/>
      <c r="J67" s="135"/>
      <c r="K67" s="135"/>
      <c r="L67" s="135"/>
      <c r="M67" s="135"/>
      <c r="N67" s="138"/>
      <c r="O67" s="138"/>
      <c r="P67" s="138"/>
      <c r="Q67" s="138"/>
      <c r="R67" s="5"/>
      <c r="S67" s="5"/>
      <c r="T67" s="112"/>
    </row>
    <row r="68" spans="1:20" s="99" customFormat="1" ht="54" customHeight="1" thickBot="1">
      <c r="A68" s="100" t="str">
        <f>_xlfn.XLOOKUP(B68,'Paso 3 Redacción RA'!I$3:I$15,'Paso 3 Redacción RA'!C$3:C$15,,0,1)</f>
        <v>SaberHacer</v>
      </c>
      <c r="B68" s="96" t="s">
        <v>104</v>
      </c>
      <c r="C68" s="158"/>
      <c r="D68" s="158"/>
      <c r="E68" s="149"/>
      <c r="F68" s="158"/>
      <c r="G68" s="158"/>
      <c r="H68" s="158"/>
      <c r="I68" s="158"/>
      <c r="J68" s="158"/>
      <c r="K68" s="158"/>
      <c r="L68" s="158"/>
      <c r="M68" s="158"/>
      <c r="N68" s="160"/>
      <c r="O68" s="160"/>
      <c r="P68" s="160"/>
      <c r="Q68" s="160"/>
      <c r="R68" s="5"/>
      <c r="S68" s="5"/>
      <c r="T68" s="112"/>
    </row>
    <row r="69" spans="1:20" s="99" customFormat="1" ht="33.6" customHeight="1">
      <c r="A69" s="111" t="str">
        <f>_xlfn.XLOOKUP(B69,'Paso 3 Redacción RA'!I$3:I$15,'Paso 3 Redacción RA'!C$3:C$15,,0,1)</f>
        <v>SaberHacer</v>
      </c>
      <c r="B69" s="101" t="s">
        <v>95</v>
      </c>
      <c r="C69" s="157">
        <v>5</v>
      </c>
      <c r="D69" s="157" t="s">
        <v>292</v>
      </c>
      <c r="E69" s="147" t="s">
        <v>293</v>
      </c>
      <c r="F69" s="157" t="s">
        <v>199</v>
      </c>
      <c r="G69" s="157"/>
      <c r="H69" s="157" t="s">
        <v>200</v>
      </c>
      <c r="I69" s="157"/>
      <c r="J69" s="157">
        <v>3</v>
      </c>
      <c r="K69" s="157">
        <f>16*J69</f>
        <v>48</v>
      </c>
      <c r="L69" s="157">
        <f>32*J69</f>
        <v>96</v>
      </c>
      <c r="M69" s="157">
        <f>SUM(K69:L69)</f>
        <v>144</v>
      </c>
      <c r="N69" s="159" t="s">
        <v>294</v>
      </c>
      <c r="O69" s="138" t="s">
        <v>214</v>
      </c>
      <c r="P69" s="159" t="s">
        <v>215</v>
      </c>
      <c r="Q69" s="159" t="s">
        <v>204</v>
      </c>
      <c r="R69" s="5"/>
      <c r="S69" s="5"/>
      <c r="T69" s="112"/>
    </row>
    <row r="70" spans="1:20" s="99" customFormat="1" ht="33.6" customHeight="1">
      <c r="A70" s="99" t="str">
        <f>_xlfn.XLOOKUP(B70,'Paso 3 Redacción RA'!I$3:I$15,'Paso 3 Redacción RA'!C$3:C$15,,0,1)</f>
        <v>SaberSer</v>
      </c>
      <c r="B70" s="80" t="s">
        <v>100</v>
      </c>
      <c r="C70" s="135"/>
      <c r="D70" s="135"/>
      <c r="E70" s="148"/>
      <c r="F70" s="135"/>
      <c r="G70" s="135"/>
      <c r="H70" s="135"/>
      <c r="I70" s="135"/>
      <c r="J70" s="135"/>
      <c r="K70" s="135"/>
      <c r="L70" s="135"/>
      <c r="M70" s="135"/>
      <c r="N70" s="138"/>
      <c r="O70" s="138"/>
      <c r="P70" s="138"/>
      <c r="Q70" s="138"/>
      <c r="R70" s="5"/>
      <c r="S70" s="5"/>
      <c r="T70" s="112"/>
    </row>
    <row r="71" spans="1:20" s="99" customFormat="1" ht="34.5" customHeight="1" thickBot="1">
      <c r="A71" s="100" t="str">
        <f>_xlfn.XLOOKUP(B71,'Paso 3 Redacción RA'!I$3:I$15,'Paso 3 Redacción RA'!C$3:C$15,,0,1)</f>
        <v>SaberHacer</v>
      </c>
      <c r="B71" s="96" t="s">
        <v>104</v>
      </c>
      <c r="C71" s="158"/>
      <c r="D71" s="158"/>
      <c r="E71" s="149"/>
      <c r="F71" s="158"/>
      <c r="G71" s="158"/>
      <c r="H71" s="158"/>
      <c r="I71" s="158"/>
      <c r="J71" s="158"/>
      <c r="K71" s="158"/>
      <c r="L71" s="158"/>
      <c r="M71" s="158"/>
      <c r="N71" s="160"/>
      <c r="O71" s="160"/>
      <c r="P71" s="160"/>
      <c r="Q71" s="160"/>
      <c r="S71" s="5"/>
      <c r="T71" s="112"/>
    </row>
    <row r="72" spans="1:20" s="99" customFormat="1" ht="32.450000000000003" customHeight="1">
      <c r="A72" s="111" t="str">
        <f>_xlfn.XLOOKUP(B72,'Paso 3 Redacción RA'!I$3:I$15,'Paso 3 Redacción RA'!C$3:C$15,,0,1)</f>
        <v>Saber</v>
      </c>
      <c r="B72" s="101" t="s">
        <v>91</v>
      </c>
      <c r="C72" s="157">
        <v>5</v>
      </c>
      <c r="D72" s="157" t="s">
        <v>295</v>
      </c>
      <c r="E72" s="147" t="s">
        <v>296</v>
      </c>
      <c r="F72" s="157" t="s">
        <v>199</v>
      </c>
      <c r="G72" s="157"/>
      <c r="H72" s="157" t="s">
        <v>200</v>
      </c>
      <c r="I72" s="157"/>
      <c r="J72" s="157">
        <v>3</v>
      </c>
      <c r="K72" s="157">
        <f>16*J72</f>
        <v>48</v>
      </c>
      <c r="L72" s="157">
        <f>32*J72</f>
        <v>96</v>
      </c>
      <c r="M72" s="157">
        <f>SUM(K72:L72)</f>
        <v>144</v>
      </c>
      <c r="N72" s="159" t="s">
        <v>297</v>
      </c>
      <c r="O72" s="138" t="s">
        <v>214</v>
      </c>
      <c r="P72" s="159" t="s">
        <v>215</v>
      </c>
      <c r="Q72" s="159" t="s">
        <v>204</v>
      </c>
      <c r="R72" s="5"/>
      <c r="S72" s="5"/>
      <c r="T72" s="112"/>
    </row>
    <row r="73" spans="1:20" s="99" customFormat="1" ht="32.450000000000003" customHeight="1">
      <c r="A73" s="99" t="str">
        <f>_xlfn.XLOOKUP(B73,'Paso 3 Redacción RA'!I$3:I$15,'Paso 3 Redacción RA'!C$3:C$15,,0,1)</f>
        <v>SaberHacer</v>
      </c>
      <c r="B73" s="80" t="s">
        <v>95</v>
      </c>
      <c r="C73" s="135"/>
      <c r="D73" s="135"/>
      <c r="E73" s="148"/>
      <c r="F73" s="135"/>
      <c r="G73" s="135"/>
      <c r="H73" s="135"/>
      <c r="I73" s="135"/>
      <c r="J73" s="135"/>
      <c r="K73" s="135"/>
      <c r="L73" s="135"/>
      <c r="M73" s="135"/>
      <c r="N73" s="138"/>
      <c r="O73" s="138"/>
      <c r="P73" s="138"/>
      <c r="Q73" s="138"/>
      <c r="R73" s="5"/>
      <c r="S73" s="5"/>
      <c r="T73" s="112"/>
    </row>
    <row r="74" spans="1:20" s="99" customFormat="1" ht="32.1" customHeight="1" thickBot="1">
      <c r="A74" s="100" t="str">
        <f>_xlfn.XLOOKUP(B74,'Paso 3 Redacción RA'!I$3:I$15,'Paso 3 Redacción RA'!C$3:C$15,,0,1)</f>
        <v>SaberSer</v>
      </c>
      <c r="B74" s="96" t="s">
        <v>100</v>
      </c>
      <c r="C74" s="158"/>
      <c r="D74" s="158"/>
      <c r="E74" s="149"/>
      <c r="F74" s="158"/>
      <c r="G74" s="158"/>
      <c r="H74" s="158"/>
      <c r="I74" s="158"/>
      <c r="J74" s="158"/>
      <c r="K74" s="158"/>
      <c r="L74" s="158"/>
      <c r="M74" s="158"/>
      <c r="N74" s="160"/>
      <c r="O74" s="160"/>
      <c r="P74" s="160"/>
      <c r="Q74" s="160"/>
      <c r="R74" s="5"/>
      <c r="S74" s="5"/>
      <c r="T74" s="112"/>
    </row>
    <row r="75" spans="1:20" s="99" customFormat="1" ht="33.6" customHeight="1">
      <c r="A75" s="111" t="str">
        <f>_xlfn.XLOOKUP(B75,'Paso 3 Redacción RA'!I$3:I$15,'Paso 3 Redacción RA'!C$3:C$15,,0,1)</f>
        <v>SaberSer</v>
      </c>
      <c r="B75" s="101" t="s">
        <v>100</v>
      </c>
      <c r="C75" s="157">
        <v>5</v>
      </c>
      <c r="D75" s="157" t="s">
        <v>298</v>
      </c>
      <c r="E75" s="147" t="s">
        <v>299</v>
      </c>
      <c r="F75" s="157" t="s">
        <v>199</v>
      </c>
      <c r="G75" s="157"/>
      <c r="H75" s="157" t="s">
        <v>200</v>
      </c>
      <c r="I75" s="157"/>
      <c r="J75" s="157">
        <v>3</v>
      </c>
      <c r="K75" s="157">
        <f>16*J75</f>
        <v>48</v>
      </c>
      <c r="L75" s="157">
        <f>32*J75</f>
        <v>96</v>
      </c>
      <c r="M75" s="157">
        <f>SUM(K75:L75)</f>
        <v>144</v>
      </c>
      <c r="N75" s="159" t="s">
        <v>300</v>
      </c>
      <c r="O75" s="138" t="s">
        <v>214</v>
      </c>
      <c r="P75" s="159" t="s">
        <v>215</v>
      </c>
      <c r="Q75" s="159" t="s">
        <v>204</v>
      </c>
      <c r="R75" s="5"/>
      <c r="S75" s="5"/>
      <c r="T75" s="112"/>
    </row>
    <row r="76" spans="1:20" s="99" customFormat="1" ht="33.6" customHeight="1">
      <c r="A76" s="99" t="str">
        <f>_xlfn.XLOOKUP(B76,'Paso 3 Redacción RA'!I$3:I$15,'Paso 3 Redacción RA'!C$3:C$15,,0,1)</f>
        <v>Saber</v>
      </c>
      <c r="B76" s="80" t="s">
        <v>102</v>
      </c>
      <c r="C76" s="135"/>
      <c r="D76" s="135"/>
      <c r="E76" s="148"/>
      <c r="F76" s="135"/>
      <c r="G76" s="135"/>
      <c r="H76" s="135"/>
      <c r="I76" s="135"/>
      <c r="J76" s="135"/>
      <c r="K76" s="135"/>
      <c r="L76" s="135"/>
      <c r="M76" s="135"/>
      <c r="N76" s="138"/>
      <c r="O76" s="138"/>
      <c r="P76" s="138"/>
      <c r="Q76" s="138"/>
      <c r="R76" s="5"/>
      <c r="S76" s="5"/>
      <c r="T76" s="112"/>
    </row>
    <row r="77" spans="1:20" s="99" customFormat="1" ht="33" customHeight="1" thickBot="1">
      <c r="A77" s="100" t="str">
        <f>_xlfn.XLOOKUP(B77,'Paso 3 Redacción RA'!I$3:I$15,'Paso 3 Redacción RA'!C$3:C$15,,0,1)</f>
        <v>SaberHacer</v>
      </c>
      <c r="B77" s="96" t="s">
        <v>104</v>
      </c>
      <c r="C77" s="158"/>
      <c r="D77" s="158"/>
      <c r="E77" s="149"/>
      <c r="F77" s="158"/>
      <c r="G77" s="135"/>
      <c r="H77" s="135"/>
      <c r="I77" s="135"/>
      <c r="J77" s="135"/>
      <c r="K77" s="135"/>
      <c r="L77" s="135"/>
      <c r="M77" s="135"/>
      <c r="N77" s="138"/>
      <c r="O77" s="160"/>
      <c r="P77" s="160"/>
      <c r="Q77" s="138"/>
      <c r="R77" s="5"/>
      <c r="S77" s="5"/>
      <c r="T77" s="112"/>
    </row>
    <row r="78" spans="1:20" s="99" customFormat="1" ht="32.1" customHeight="1">
      <c r="A78" s="111" t="str">
        <f>_xlfn.XLOOKUP(B78,'Paso 3 Redacción RA'!I$3:I$15,'Paso 3 Redacción RA'!C$3:C$15,,0,1)</f>
        <v>Saber</v>
      </c>
      <c r="B78" s="101" t="s">
        <v>91</v>
      </c>
      <c r="C78" s="157">
        <v>5</v>
      </c>
      <c r="D78" s="157" t="s">
        <v>301</v>
      </c>
      <c r="E78" s="147" t="s">
        <v>302</v>
      </c>
      <c r="F78" s="157" t="s">
        <v>224</v>
      </c>
      <c r="G78" s="157"/>
      <c r="H78" s="157" t="s">
        <v>200</v>
      </c>
      <c r="I78" s="157"/>
      <c r="J78" s="157">
        <v>3</v>
      </c>
      <c r="K78" s="157">
        <f>16*J78</f>
        <v>48</v>
      </c>
      <c r="L78" s="157">
        <f>32*J78</f>
        <v>96</v>
      </c>
      <c r="M78" s="157">
        <f>SUM(K78:L78)</f>
        <v>144</v>
      </c>
      <c r="N78" s="159" t="s">
        <v>303</v>
      </c>
      <c r="O78" s="138" t="s">
        <v>214</v>
      </c>
      <c r="P78" s="159" t="s">
        <v>215</v>
      </c>
      <c r="Q78" s="159" t="s">
        <v>204</v>
      </c>
      <c r="R78" s="5"/>
      <c r="S78" s="5"/>
      <c r="T78" s="112"/>
    </row>
    <row r="79" spans="1:20" s="99" customFormat="1" ht="36.6" customHeight="1">
      <c r="A79" s="99" t="str">
        <f>_xlfn.XLOOKUP(B79,'Paso 3 Redacción RA'!I$3:I$15,'Paso 3 Redacción RA'!C$3:C$15,,0,1)</f>
        <v>SaberHacer</v>
      </c>
      <c r="B79" s="80" t="s">
        <v>95</v>
      </c>
      <c r="C79" s="135"/>
      <c r="D79" s="135"/>
      <c r="E79" s="148"/>
      <c r="F79" s="135"/>
      <c r="G79" s="135"/>
      <c r="H79" s="135"/>
      <c r="I79" s="135"/>
      <c r="J79" s="135"/>
      <c r="K79" s="135"/>
      <c r="L79" s="135"/>
      <c r="M79" s="135"/>
      <c r="N79" s="138"/>
      <c r="O79" s="138"/>
      <c r="P79" s="138"/>
      <c r="Q79" s="138"/>
      <c r="R79" s="5"/>
      <c r="S79" s="5"/>
      <c r="T79" s="112"/>
    </row>
    <row r="80" spans="1:20" s="99" customFormat="1" ht="51" customHeight="1" thickBot="1">
      <c r="A80" s="100" t="str">
        <f>_xlfn.XLOOKUP(B80,'Paso 3 Redacción RA'!I$3:I$15,'Paso 3 Redacción RA'!C$3:C$15,,0,1)</f>
        <v>SaberSer</v>
      </c>
      <c r="B80" s="96" t="s">
        <v>100</v>
      </c>
      <c r="C80" s="158"/>
      <c r="D80" s="158"/>
      <c r="E80" s="149"/>
      <c r="F80" s="158"/>
      <c r="G80" s="158"/>
      <c r="H80" s="158"/>
      <c r="I80" s="158"/>
      <c r="J80" s="158"/>
      <c r="K80" s="158"/>
      <c r="L80" s="158"/>
      <c r="M80" s="158"/>
      <c r="N80" s="160"/>
      <c r="O80" s="160"/>
      <c r="P80" s="160"/>
      <c r="Q80" s="160"/>
      <c r="R80" s="5">
        <f>SUM(J63:J80)</f>
        <v>18</v>
      </c>
      <c r="S80" s="5">
        <f>COUNTA(D63:D80)</f>
        <v>6</v>
      </c>
      <c r="T80" s="112"/>
    </row>
    <row r="81" spans="1:20" s="99" customFormat="1" ht="44.1" customHeight="1">
      <c r="A81" s="111" t="str">
        <f>_xlfn.XLOOKUP(B81,'Paso 3 Redacción RA'!I$3:I$15,'Paso 3 Redacción RA'!C$3:C$15,,0,1)</f>
        <v>Saber</v>
      </c>
      <c r="B81" s="101" t="s">
        <v>91</v>
      </c>
      <c r="C81" s="157">
        <v>6</v>
      </c>
      <c r="D81" s="157" t="s">
        <v>304</v>
      </c>
      <c r="E81" s="147" t="s">
        <v>305</v>
      </c>
      <c r="F81" s="157" t="s">
        <v>199</v>
      </c>
      <c r="G81" s="157"/>
      <c r="H81" s="157" t="s">
        <v>200</v>
      </c>
      <c r="I81" s="157"/>
      <c r="J81" s="157">
        <v>3</v>
      </c>
      <c r="K81" s="157">
        <f>16*J81</f>
        <v>48</v>
      </c>
      <c r="L81" s="157">
        <f>32*J81</f>
        <v>96</v>
      </c>
      <c r="M81" s="157">
        <f>SUM(K81:L81)</f>
        <v>144</v>
      </c>
      <c r="N81" s="159" t="s">
        <v>306</v>
      </c>
      <c r="O81" s="138" t="s">
        <v>214</v>
      </c>
      <c r="P81" s="159" t="s">
        <v>215</v>
      </c>
      <c r="Q81" s="159" t="s">
        <v>204</v>
      </c>
      <c r="R81" s="5"/>
      <c r="S81" s="5"/>
      <c r="T81" s="112"/>
    </row>
    <row r="82" spans="1:20" s="99" customFormat="1" ht="47.45" customHeight="1">
      <c r="A82" s="99" t="str">
        <f>_xlfn.XLOOKUP(B82,'Paso 3 Redacción RA'!I$3:I$15,'Paso 3 Redacción RA'!C$3:C$15,,0,1)</f>
        <v>SaberSer</v>
      </c>
      <c r="B82" s="80" t="s">
        <v>100</v>
      </c>
      <c r="C82" s="135"/>
      <c r="D82" s="135"/>
      <c r="E82" s="148"/>
      <c r="F82" s="135"/>
      <c r="G82" s="135"/>
      <c r="H82" s="135"/>
      <c r="I82" s="135"/>
      <c r="J82" s="135"/>
      <c r="K82" s="135"/>
      <c r="L82" s="135"/>
      <c r="M82" s="135"/>
      <c r="N82" s="138"/>
      <c r="O82" s="138"/>
      <c r="P82" s="138"/>
      <c r="Q82" s="138"/>
      <c r="R82" s="5"/>
      <c r="S82" s="5"/>
      <c r="T82" s="112"/>
    </row>
    <row r="83" spans="1:20" s="99" customFormat="1" ht="47.1" customHeight="1" thickBot="1">
      <c r="A83" s="100" t="str">
        <f>_xlfn.XLOOKUP(B83,'Paso 3 Redacción RA'!I$3:I$15,'Paso 3 Redacción RA'!C$3:C$15,,0,1)</f>
        <v>SaberHacer</v>
      </c>
      <c r="B83" s="96" t="s">
        <v>104</v>
      </c>
      <c r="C83" s="158"/>
      <c r="D83" s="158"/>
      <c r="E83" s="149"/>
      <c r="F83" s="158"/>
      <c r="G83" s="158"/>
      <c r="H83" s="158"/>
      <c r="I83" s="158"/>
      <c r="J83" s="158"/>
      <c r="K83" s="158"/>
      <c r="L83" s="158"/>
      <c r="M83" s="158"/>
      <c r="N83" s="160"/>
      <c r="O83" s="160"/>
      <c r="P83" s="160"/>
      <c r="Q83" s="160"/>
      <c r="R83" s="5"/>
      <c r="S83" s="5"/>
      <c r="T83" s="112"/>
    </row>
    <row r="84" spans="1:20" s="99" customFormat="1" ht="33.950000000000003" customHeight="1">
      <c r="A84" s="111" t="str">
        <f>_xlfn.XLOOKUP(B84,'Paso 3 Redacción RA'!I$3:I$15,'Paso 3 Redacción RA'!C$3:C$15,,0,1)</f>
        <v>SaberHacer</v>
      </c>
      <c r="B84" s="101" t="s">
        <v>95</v>
      </c>
      <c r="C84" s="157">
        <v>6</v>
      </c>
      <c r="D84" s="157" t="s">
        <v>307</v>
      </c>
      <c r="E84" s="147" t="s">
        <v>308</v>
      </c>
      <c r="F84" s="157" t="s">
        <v>199</v>
      </c>
      <c r="G84" s="157"/>
      <c r="H84" s="157" t="s">
        <v>200</v>
      </c>
      <c r="I84" s="157"/>
      <c r="J84" s="157">
        <v>4</v>
      </c>
      <c r="K84" s="157">
        <f>16*J84</f>
        <v>64</v>
      </c>
      <c r="L84" s="157">
        <f>32*J84</f>
        <v>128</v>
      </c>
      <c r="M84" s="157">
        <f>SUM(K84:L84)</f>
        <v>192</v>
      </c>
      <c r="N84" s="159" t="s">
        <v>309</v>
      </c>
      <c r="O84" s="138" t="s">
        <v>214</v>
      </c>
      <c r="P84" s="159" t="s">
        <v>215</v>
      </c>
      <c r="Q84" s="159" t="s">
        <v>204</v>
      </c>
      <c r="R84" s="5"/>
      <c r="S84" s="5"/>
      <c r="T84" s="112"/>
    </row>
    <row r="85" spans="1:20" s="99" customFormat="1" ht="33.950000000000003" customHeight="1">
      <c r="A85" s="99" t="str">
        <f>_xlfn.XLOOKUP(B85,'Paso 3 Redacción RA'!I$3:I$15,'Paso 3 Redacción RA'!C$3:C$15,,0,1)</f>
        <v>SaberSer</v>
      </c>
      <c r="B85" s="80" t="s">
        <v>100</v>
      </c>
      <c r="C85" s="135"/>
      <c r="D85" s="135"/>
      <c r="E85" s="148"/>
      <c r="F85" s="135"/>
      <c r="G85" s="135"/>
      <c r="H85" s="135"/>
      <c r="I85" s="135"/>
      <c r="J85" s="135"/>
      <c r="K85" s="135"/>
      <c r="L85" s="135"/>
      <c r="M85" s="135"/>
      <c r="N85" s="138"/>
      <c r="O85" s="138"/>
      <c r="P85" s="138"/>
      <c r="Q85" s="138"/>
      <c r="R85" s="5"/>
      <c r="S85" s="5"/>
      <c r="T85" s="112"/>
    </row>
    <row r="86" spans="1:20" s="99" customFormat="1" ht="33" customHeight="1" thickBot="1">
      <c r="A86" s="100" t="str">
        <f>_xlfn.XLOOKUP(B86,'Paso 3 Redacción RA'!I$3:I$15,'Paso 3 Redacción RA'!C$3:C$15,,0,1)</f>
        <v>SaberHacer</v>
      </c>
      <c r="B86" s="96" t="s">
        <v>104</v>
      </c>
      <c r="C86" s="158"/>
      <c r="D86" s="158"/>
      <c r="E86" s="149"/>
      <c r="F86" s="158"/>
      <c r="G86" s="158"/>
      <c r="H86" s="158"/>
      <c r="I86" s="158"/>
      <c r="J86" s="158"/>
      <c r="K86" s="158"/>
      <c r="L86" s="158"/>
      <c r="M86" s="158"/>
      <c r="N86" s="160"/>
      <c r="O86" s="160"/>
      <c r="P86" s="160"/>
      <c r="Q86" s="160"/>
      <c r="R86" s="5"/>
      <c r="S86" s="5"/>
      <c r="T86" s="112"/>
    </row>
    <row r="87" spans="1:20" s="99" customFormat="1" ht="31.5" customHeight="1">
      <c r="A87" s="111" t="str">
        <f>_xlfn.XLOOKUP(B87,'Paso 3 Redacción RA'!I$3:I$15,'Paso 3 Redacción RA'!C$3:C$15,,0,1)</f>
        <v>SaberHacer</v>
      </c>
      <c r="B87" s="101" t="s">
        <v>95</v>
      </c>
      <c r="C87" s="157">
        <v>6</v>
      </c>
      <c r="D87" s="157" t="s">
        <v>310</v>
      </c>
      <c r="E87" s="147" t="s">
        <v>311</v>
      </c>
      <c r="F87" s="157" t="s">
        <v>199</v>
      </c>
      <c r="G87" s="157"/>
      <c r="H87" s="157" t="s">
        <v>200</v>
      </c>
      <c r="I87" s="157"/>
      <c r="J87" s="157">
        <v>3</v>
      </c>
      <c r="K87" s="157">
        <f>16*J87</f>
        <v>48</v>
      </c>
      <c r="L87" s="157">
        <f>32*J87</f>
        <v>96</v>
      </c>
      <c r="M87" s="157">
        <f>SUM(K87:L87)</f>
        <v>144</v>
      </c>
      <c r="N87" s="159" t="s">
        <v>312</v>
      </c>
      <c r="O87" s="138" t="s">
        <v>214</v>
      </c>
      <c r="P87" s="159" t="s">
        <v>215</v>
      </c>
      <c r="Q87" s="159" t="s">
        <v>204</v>
      </c>
      <c r="R87" s="5"/>
      <c r="S87" s="5"/>
      <c r="T87" s="112"/>
    </row>
    <row r="88" spans="1:20" s="99" customFormat="1" ht="31.5" customHeight="1">
      <c r="A88" s="99" t="str">
        <f>_xlfn.XLOOKUP(B88,'Paso 3 Redacción RA'!I$3:I$15,'Paso 3 Redacción RA'!C$3:C$15,,0,1)</f>
        <v>SaberSer</v>
      </c>
      <c r="B88" s="80" t="s">
        <v>100</v>
      </c>
      <c r="C88" s="135"/>
      <c r="D88" s="135"/>
      <c r="E88" s="148"/>
      <c r="F88" s="135"/>
      <c r="G88" s="135"/>
      <c r="H88" s="135"/>
      <c r="I88" s="135"/>
      <c r="J88" s="135"/>
      <c r="K88" s="135"/>
      <c r="L88" s="135"/>
      <c r="M88" s="135"/>
      <c r="N88" s="138"/>
      <c r="O88" s="138"/>
      <c r="P88" s="138"/>
      <c r="Q88" s="138"/>
      <c r="R88" s="5"/>
      <c r="S88" s="5"/>
      <c r="T88" s="112"/>
    </row>
    <row r="89" spans="1:20" s="99" customFormat="1" ht="31.5" customHeight="1" thickBot="1">
      <c r="A89" s="100" t="str">
        <f>_xlfn.XLOOKUP(B89,'Paso 3 Redacción RA'!I$3:I$15,'Paso 3 Redacción RA'!C$3:C$15,,0,1)</f>
        <v>SaberHacer</v>
      </c>
      <c r="B89" s="96" t="s">
        <v>104</v>
      </c>
      <c r="C89" s="158"/>
      <c r="D89" s="158"/>
      <c r="E89" s="149"/>
      <c r="F89" s="158"/>
      <c r="G89" s="158"/>
      <c r="H89" s="158"/>
      <c r="I89" s="158"/>
      <c r="J89" s="158"/>
      <c r="K89" s="158"/>
      <c r="L89" s="158"/>
      <c r="M89" s="158"/>
      <c r="N89" s="160"/>
      <c r="O89" s="160"/>
      <c r="P89" s="160"/>
      <c r="Q89" s="160"/>
      <c r="R89" s="5"/>
      <c r="S89" s="5"/>
      <c r="T89" s="112"/>
    </row>
    <row r="90" spans="1:20" s="99" customFormat="1" ht="48.6" customHeight="1">
      <c r="A90" s="111" t="str">
        <f>_xlfn.XLOOKUP(B90,'Paso 3 Redacción RA'!I$3:I$15,'Paso 3 Redacción RA'!C$3:C$15,,0,1)</f>
        <v>Saber</v>
      </c>
      <c r="B90" s="101" t="s">
        <v>91</v>
      </c>
      <c r="C90" s="157">
        <v>6</v>
      </c>
      <c r="D90" s="157" t="s">
        <v>313</v>
      </c>
      <c r="E90" s="147" t="s">
        <v>314</v>
      </c>
      <c r="F90" s="157" t="s">
        <v>199</v>
      </c>
      <c r="G90" s="157"/>
      <c r="H90" s="157" t="s">
        <v>200</v>
      </c>
      <c r="I90" s="157"/>
      <c r="J90" s="157">
        <v>3</v>
      </c>
      <c r="K90" s="157">
        <f>16*J90</f>
        <v>48</v>
      </c>
      <c r="L90" s="157">
        <f>32*J90</f>
        <v>96</v>
      </c>
      <c r="M90" s="157">
        <f>SUM(K90:L90)</f>
        <v>144</v>
      </c>
      <c r="N90" s="159" t="s">
        <v>315</v>
      </c>
      <c r="O90" s="138" t="s">
        <v>214</v>
      </c>
      <c r="P90" s="159" t="s">
        <v>215</v>
      </c>
      <c r="Q90" s="159" t="s">
        <v>204</v>
      </c>
      <c r="R90" s="5"/>
      <c r="S90" s="5"/>
      <c r="T90" s="112"/>
    </row>
    <row r="91" spans="1:20" s="99" customFormat="1" ht="48.6" customHeight="1">
      <c r="A91" s="99" t="str">
        <f>_xlfn.XLOOKUP(B91,'Paso 3 Redacción RA'!I$3:I$15,'Paso 3 Redacción RA'!C$3:C$15,,0,1)</f>
        <v>Saber</v>
      </c>
      <c r="B91" s="80" t="s">
        <v>102</v>
      </c>
      <c r="C91" s="135"/>
      <c r="D91" s="135"/>
      <c r="E91" s="148"/>
      <c r="F91" s="135"/>
      <c r="G91" s="135"/>
      <c r="H91" s="135"/>
      <c r="I91" s="135"/>
      <c r="J91" s="135"/>
      <c r="K91" s="135"/>
      <c r="L91" s="135"/>
      <c r="M91" s="135"/>
      <c r="N91" s="138"/>
      <c r="O91" s="138"/>
      <c r="P91" s="138"/>
      <c r="Q91" s="138"/>
      <c r="R91" s="5"/>
      <c r="S91" s="5"/>
      <c r="T91" s="112"/>
    </row>
    <row r="92" spans="1:20" s="99" customFormat="1" ht="49.5" customHeight="1" thickBot="1">
      <c r="A92" s="100" t="str">
        <f>_xlfn.XLOOKUP(B92,'Paso 3 Redacción RA'!I$3:I$15,'Paso 3 Redacción RA'!C$3:C$15,,0,1)</f>
        <v>SaberHacer</v>
      </c>
      <c r="B92" s="96" t="s">
        <v>104</v>
      </c>
      <c r="C92" s="158"/>
      <c r="D92" s="158"/>
      <c r="E92" s="149"/>
      <c r="F92" s="158"/>
      <c r="G92" s="158"/>
      <c r="H92" s="158"/>
      <c r="I92" s="158"/>
      <c r="J92" s="158"/>
      <c r="K92" s="158"/>
      <c r="L92" s="158"/>
      <c r="M92" s="158"/>
      <c r="N92" s="160"/>
      <c r="O92" s="160"/>
      <c r="P92" s="160"/>
      <c r="Q92" s="160"/>
      <c r="R92" s="5"/>
      <c r="S92" s="5"/>
      <c r="T92" s="112"/>
    </row>
    <row r="93" spans="1:20" s="99" customFormat="1" ht="43.5" customHeight="1">
      <c r="A93" s="111" t="str">
        <f>_xlfn.XLOOKUP(B93,'Paso 3 Redacción RA'!I$3:I$15,'Paso 3 Redacción RA'!C$3:C$15,,0,1)</f>
        <v>Saber</v>
      </c>
      <c r="B93" s="101" t="s">
        <v>91</v>
      </c>
      <c r="C93" s="157">
        <v>6</v>
      </c>
      <c r="D93" s="157" t="s">
        <v>316</v>
      </c>
      <c r="E93" s="147" t="s">
        <v>317</v>
      </c>
      <c r="F93" s="157" t="s">
        <v>199</v>
      </c>
      <c r="G93" s="157"/>
      <c r="H93" s="157" t="s">
        <v>200</v>
      </c>
      <c r="I93" s="157"/>
      <c r="J93" s="157">
        <v>3</v>
      </c>
      <c r="K93" s="157">
        <f>16*J93</f>
        <v>48</v>
      </c>
      <c r="L93" s="157">
        <f>32*J93</f>
        <v>96</v>
      </c>
      <c r="M93" s="157">
        <f>SUM(K93:L93)</f>
        <v>144</v>
      </c>
      <c r="N93" s="159" t="s">
        <v>318</v>
      </c>
      <c r="O93" s="138" t="s">
        <v>214</v>
      </c>
      <c r="P93" s="159" t="s">
        <v>215</v>
      </c>
      <c r="Q93" s="159" t="s">
        <v>204</v>
      </c>
      <c r="R93" s="5"/>
      <c r="S93" s="5"/>
      <c r="T93" s="112"/>
    </row>
    <row r="94" spans="1:20" s="99" customFormat="1" ht="42" customHeight="1">
      <c r="A94" s="99" t="str">
        <f>_xlfn.XLOOKUP(B94,'Paso 3 Redacción RA'!I$3:I$15,'Paso 3 Redacción RA'!C$3:C$15,,0,1)</f>
        <v>SaberSer</v>
      </c>
      <c r="B94" s="80" t="s">
        <v>100</v>
      </c>
      <c r="C94" s="135"/>
      <c r="D94" s="135"/>
      <c r="E94" s="148"/>
      <c r="F94" s="135"/>
      <c r="G94" s="135"/>
      <c r="H94" s="135"/>
      <c r="I94" s="135"/>
      <c r="J94" s="135"/>
      <c r="K94" s="135"/>
      <c r="L94" s="135"/>
      <c r="M94" s="135"/>
      <c r="N94" s="138"/>
      <c r="O94" s="138"/>
      <c r="P94" s="138"/>
      <c r="Q94" s="138"/>
      <c r="R94" s="5"/>
      <c r="S94" s="5"/>
      <c r="T94" s="112"/>
    </row>
    <row r="95" spans="1:20" s="99" customFormat="1" ht="48.95" customHeight="1" thickBot="1">
      <c r="A95" s="100" t="str">
        <f>_xlfn.XLOOKUP(B95,'Paso 3 Redacción RA'!I$3:I$15,'Paso 3 Redacción RA'!C$3:C$15,,0,1)</f>
        <v>SaberHacer</v>
      </c>
      <c r="B95" s="96" t="s">
        <v>104</v>
      </c>
      <c r="C95" s="158"/>
      <c r="D95" s="158"/>
      <c r="E95" s="149"/>
      <c r="F95" s="158"/>
      <c r="G95" s="158"/>
      <c r="H95" s="158"/>
      <c r="I95" s="158"/>
      <c r="J95" s="158"/>
      <c r="K95" s="158"/>
      <c r="L95" s="158"/>
      <c r="M95" s="158"/>
      <c r="N95" s="160"/>
      <c r="O95" s="160"/>
      <c r="P95" s="160"/>
      <c r="Q95" s="160"/>
      <c r="R95" s="5">
        <f>SUM(J81:J95)</f>
        <v>16</v>
      </c>
      <c r="S95" s="5">
        <f>COUNTA(D81:D95)</f>
        <v>5</v>
      </c>
      <c r="T95" s="112"/>
    </row>
    <row r="96" spans="1:20" s="99" customFormat="1" ht="33.950000000000003" customHeight="1">
      <c r="A96" s="111" t="str">
        <f>_xlfn.XLOOKUP(B96,'Paso 3 Redacción RA'!I$3:I$15,'Paso 3 Redacción RA'!C$3:C$15,,0,1)</f>
        <v>SaberSer</v>
      </c>
      <c r="B96" s="101" t="s">
        <v>100</v>
      </c>
      <c r="C96" s="157">
        <v>7</v>
      </c>
      <c r="D96" s="157" t="s">
        <v>319</v>
      </c>
      <c r="E96" s="147" t="s">
        <v>320</v>
      </c>
      <c r="F96" s="157" t="s">
        <v>199</v>
      </c>
      <c r="G96" s="157"/>
      <c r="H96" s="157" t="s">
        <v>200</v>
      </c>
      <c r="I96" s="157"/>
      <c r="J96" s="157">
        <v>6</v>
      </c>
      <c r="K96" s="157">
        <f>16*J96</f>
        <v>96</v>
      </c>
      <c r="L96" s="157">
        <f>32*J96</f>
        <v>192</v>
      </c>
      <c r="M96" s="157">
        <f>SUM(K96:L96)</f>
        <v>288</v>
      </c>
      <c r="N96" s="159" t="s">
        <v>321</v>
      </c>
      <c r="O96" s="138" t="s">
        <v>214</v>
      </c>
      <c r="P96" s="159" t="s">
        <v>215</v>
      </c>
      <c r="Q96" s="159" t="s">
        <v>204</v>
      </c>
      <c r="R96" s="5"/>
      <c r="S96" s="5"/>
      <c r="T96" s="112"/>
    </row>
    <row r="97" spans="1:20" s="99" customFormat="1" ht="30.95" customHeight="1">
      <c r="A97" s="99" t="str">
        <f>_xlfn.XLOOKUP(B97,'Paso 3 Redacción RA'!I$3:I$15,'Paso 3 Redacción RA'!C$3:C$15,,0,1)</f>
        <v>SaberHacer</v>
      </c>
      <c r="B97" s="80" t="s">
        <v>104</v>
      </c>
      <c r="C97" s="135"/>
      <c r="D97" s="135"/>
      <c r="E97" s="148"/>
      <c r="F97" s="135"/>
      <c r="G97" s="135"/>
      <c r="H97" s="135"/>
      <c r="I97" s="135"/>
      <c r="J97" s="135"/>
      <c r="K97" s="135"/>
      <c r="L97" s="135"/>
      <c r="M97" s="135"/>
      <c r="N97" s="138"/>
      <c r="O97" s="138"/>
      <c r="P97" s="138"/>
      <c r="Q97" s="138"/>
      <c r="R97" s="5"/>
      <c r="S97" s="5"/>
      <c r="T97" s="112"/>
    </row>
    <row r="98" spans="1:20" s="99" customFormat="1" ht="26.45" customHeight="1" thickBot="1">
      <c r="A98" s="100" t="str">
        <f>_xlfn.XLOOKUP(B98,'Paso 3 Redacción RA'!I$3:I$15,'Paso 3 Redacción RA'!C$3:C$15,,0,1)</f>
        <v>Saber</v>
      </c>
      <c r="B98" s="96" t="s">
        <v>108</v>
      </c>
      <c r="C98" s="158"/>
      <c r="D98" s="158"/>
      <c r="E98" s="149"/>
      <c r="F98" s="158"/>
      <c r="G98" s="158"/>
      <c r="H98" s="158"/>
      <c r="I98" s="158"/>
      <c r="J98" s="158"/>
      <c r="K98" s="158"/>
      <c r="L98" s="158"/>
      <c r="M98" s="158"/>
      <c r="N98" s="160"/>
      <c r="O98" s="160"/>
      <c r="P98" s="160"/>
      <c r="Q98" s="160"/>
      <c r="S98" s="5"/>
      <c r="T98" s="112"/>
    </row>
    <row r="99" spans="1:20" s="99" customFormat="1" ht="32.450000000000003" customHeight="1">
      <c r="A99" s="111" t="str">
        <f>_xlfn.XLOOKUP(B99,'Paso 3 Redacción RA'!I$3:I$15,'Paso 3 Redacción RA'!C$3:C$15,,0,1)</f>
        <v>SaberHacer</v>
      </c>
      <c r="B99" s="101" t="s">
        <v>95</v>
      </c>
      <c r="C99" s="157">
        <v>7</v>
      </c>
      <c r="D99" s="157" t="s">
        <v>322</v>
      </c>
      <c r="E99" s="147" t="s">
        <v>323</v>
      </c>
      <c r="F99" s="157" t="s">
        <v>199</v>
      </c>
      <c r="G99" s="157"/>
      <c r="H99" s="157" t="s">
        <v>200</v>
      </c>
      <c r="I99" s="157"/>
      <c r="J99" s="157">
        <v>4</v>
      </c>
      <c r="K99" s="157">
        <f>16*J99</f>
        <v>64</v>
      </c>
      <c r="L99" s="157">
        <f>32*J99</f>
        <v>128</v>
      </c>
      <c r="M99" s="157">
        <f>SUM(K99:L99)</f>
        <v>192</v>
      </c>
      <c r="N99" s="159" t="s">
        <v>324</v>
      </c>
      <c r="O99" s="138" t="s">
        <v>214</v>
      </c>
      <c r="P99" s="159" t="s">
        <v>215</v>
      </c>
      <c r="Q99" s="159" t="s">
        <v>204</v>
      </c>
      <c r="R99" s="5"/>
      <c r="S99" s="5"/>
      <c r="T99" s="112"/>
    </row>
    <row r="100" spans="1:20" s="99" customFormat="1" ht="32.450000000000003" customHeight="1">
      <c r="A100" s="99" t="str">
        <f>_xlfn.XLOOKUP(B100,'Paso 3 Redacción RA'!I$3:I$15,'Paso 3 Redacción RA'!C$3:C$15,,0,1)</f>
        <v>SaberSer</v>
      </c>
      <c r="B100" s="80" t="s">
        <v>100</v>
      </c>
      <c r="C100" s="135"/>
      <c r="D100" s="135"/>
      <c r="E100" s="148"/>
      <c r="F100" s="135"/>
      <c r="G100" s="135"/>
      <c r="H100" s="135"/>
      <c r="I100" s="135"/>
      <c r="J100" s="135"/>
      <c r="K100" s="135"/>
      <c r="L100" s="135"/>
      <c r="M100" s="135"/>
      <c r="N100" s="138"/>
      <c r="O100" s="138"/>
      <c r="P100" s="138"/>
      <c r="Q100" s="138"/>
      <c r="R100" s="5"/>
      <c r="S100" s="5"/>
      <c r="T100" s="112"/>
    </row>
    <row r="101" spans="1:20" s="99" customFormat="1" ht="45" customHeight="1" thickBot="1">
      <c r="A101" s="100" t="str">
        <f>_xlfn.XLOOKUP(B101,'Paso 3 Redacción RA'!I$3:I$15,'Paso 3 Redacción RA'!C$3:C$15,,0,1)</f>
        <v>SaberSer</v>
      </c>
      <c r="B101" s="96" t="s">
        <v>100</v>
      </c>
      <c r="C101" s="158"/>
      <c r="D101" s="158"/>
      <c r="E101" s="149"/>
      <c r="F101" s="158"/>
      <c r="G101" s="158"/>
      <c r="H101" s="158"/>
      <c r="I101" s="158"/>
      <c r="J101" s="158"/>
      <c r="K101" s="158"/>
      <c r="L101" s="158"/>
      <c r="M101" s="158"/>
      <c r="N101" s="160"/>
      <c r="O101" s="160"/>
      <c r="P101" s="160"/>
      <c r="Q101" s="160"/>
      <c r="R101" s="5"/>
      <c r="S101" s="5"/>
      <c r="T101" s="112"/>
    </row>
    <row r="102" spans="1:20" s="99" customFormat="1" ht="17.100000000000001" thickBot="1">
      <c r="A102" s="113"/>
      <c r="B102" s="108"/>
      <c r="C102" s="114">
        <v>7</v>
      </c>
      <c r="D102" s="115" t="s">
        <v>325</v>
      </c>
      <c r="E102" s="108"/>
      <c r="F102" s="113"/>
      <c r="G102" s="117"/>
      <c r="H102" s="117"/>
      <c r="I102" s="117" t="s">
        <v>200</v>
      </c>
      <c r="J102" s="114">
        <v>3</v>
      </c>
      <c r="K102" s="114">
        <f>16*J102</f>
        <v>48</v>
      </c>
      <c r="L102" s="114">
        <f>32*J102</f>
        <v>96</v>
      </c>
      <c r="M102" s="114">
        <f>SUM(K102:L102)</f>
        <v>144</v>
      </c>
      <c r="N102" s="116"/>
      <c r="O102" s="116"/>
      <c r="P102" s="116"/>
      <c r="Q102" s="116"/>
      <c r="R102" s="5"/>
      <c r="S102" s="5"/>
      <c r="T102" s="112"/>
    </row>
    <row r="103" spans="1:20" s="99" customFormat="1" ht="17.100000000000001" thickBot="1">
      <c r="A103" s="113"/>
      <c r="B103" s="108"/>
      <c r="C103" s="114">
        <v>7</v>
      </c>
      <c r="D103" s="115" t="s">
        <v>326</v>
      </c>
      <c r="E103" s="108"/>
      <c r="F103" s="113"/>
      <c r="G103" s="117"/>
      <c r="H103" s="117"/>
      <c r="I103" s="117" t="s">
        <v>200</v>
      </c>
      <c r="J103" s="114">
        <v>3</v>
      </c>
      <c r="K103" s="114">
        <f>16*J103</f>
        <v>48</v>
      </c>
      <c r="L103" s="114">
        <f>32*J103</f>
        <v>96</v>
      </c>
      <c r="M103" s="114">
        <f>SUM(K103:L103)</f>
        <v>144</v>
      </c>
      <c r="N103" s="116"/>
      <c r="O103" s="116"/>
      <c r="P103" s="116"/>
      <c r="Q103" s="116"/>
      <c r="R103" s="5">
        <f>SUM(J96:J103)</f>
        <v>16</v>
      </c>
      <c r="S103" s="5">
        <f>COUNTA(D96:D103)</f>
        <v>4</v>
      </c>
      <c r="T103" s="112"/>
    </row>
    <row r="104" spans="1:20" s="99" customFormat="1" ht="40.5" customHeight="1">
      <c r="A104" s="111" t="str">
        <f>_xlfn.XLOOKUP(B104,'Paso 3 Redacción RA'!I$3:I$15,'Paso 3 Redacción RA'!C$3:C$15,,0,1)</f>
        <v>Saber</v>
      </c>
      <c r="B104" s="101" t="s">
        <v>91</v>
      </c>
      <c r="C104" s="157">
        <v>8</v>
      </c>
      <c r="D104" s="157" t="s">
        <v>327</v>
      </c>
      <c r="E104" s="147" t="s">
        <v>328</v>
      </c>
      <c r="F104" s="157" t="s">
        <v>199</v>
      </c>
      <c r="G104" s="157"/>
      <c r="H104" s="157" t="s">
        <v>200</v>
      </c>
      <c r="I104" s="157"/>
      <c r="J104" s="157">
        <v>3</v>
      </c>
      <c r="K104" s="157">
        <f>16*J104</f>
        <v>48</v>
      </c>
      <c r="L104" s="157">
        <f>32*J104</f>
        <v>96</v>
      </c>
      <c r="M104" s="157">
        <f>SUM(K104:L104)</f>
        <v>144</v>
      </c>
      <c r="N104" s="159" t="s">
        <v>329</v>
      </c>
      <c r="O104" s="138" t="s">
        <v>214</v>
      </c>
      <c r="P104" s="159" t="s">
        <v>215</v>
      </c>
      <c r="Q104" s="159" t="s">
        <v>204</v>
      </c>
      <c r="R104" s="5"/>
      <c r="S104" s="5"/>
      <c r="T104" s="112"/>
    </row>
    <row r="105" spans="1:20" s="99" customFormat="1" ht="41.45" customHeight="1">
      <c r="A105" s="99" t="str">
        <f>_xlfn.XLOOKUP(B105,'Paso 3 Redacción RA'!I$3:I$15,'Paso 3 Redacción RA'!C$3:C$15,,0,1)</f>
        <v>SaberHacer</v>
      </c>
      <c r="B105" s="80" t="s">
        <v>95</v>
      </c>
      <c r="C105" s="135"/>
      <c r="D105" s="135"/>
      <c r="E105" s="148"/>
      <c r="F105" s="135"/>
      <c r="G105" s="135"/>
      <c r="H105" s="135"/>
      <c r="I105" s="135"/>
      <c r="J105" s="135"/>
      <c r="K105" s="135"/>
      <c r="L105" s="135"/>
      <c r="M105" s="135"/>
      <c r="N105" s="138"/>
      <c r="O105" s="138"/>
      <c r="P105" s="138"/>
      <c r="Q105" s="138"/>
      <c r="R105" s="5"/>
      <c r="S105" s="5"/>
      <c r="T105" s="112"/>
    </row>
    <row r="106" spans="1:20" s="99" customFormat="1" ht="41.1" customHeight="1" thickBot="1">
      <c r="A106" s="100" t="str">
        <f>_xlfn.XLOOKUP(B106,'Paso 3 Redacción RA'!I$3:I$15,'Paso 3 Redacción RA'!C$3:C$15,,0,1)</f>
        <v>Saber</v>
      </c>
      <c r="B106" s="96" t="s">
        <v>108</v>
      </c>
      <c r="C106" s="158"/>
      <c r="D106" s="158"/>
      <c r="E106" s="149"/>
      <c r="F106" s="158"/>
      <c r="G106" s="158"/>
      <c r="H106" s="158"/>
      <c r="I106" s="158"/>
      <c r="J106" s="158"/>
      <c r="K106" s="158"/>
      <c r="L106" s="158"/>
      <c r="M106" s="158"/>
      <c r="N106" s="160"/>
      <c r="O106" s="160"/>
      <c r="P106" s="160"/>
      <c r="Q106" s="160"/>
      <c r="S106" s="5"/>
      <c r="T106" s="112"/>
    </row>
    <row r="107" spans="1:20" s="99" customFormat="1" ht="51.6" customHeight="1">
      <c r="A107" s="111" t="str">
        <f>_xlfn.XLOOKUP(B107,'Paso 3 Redacción RA'!I$3:I$15,'Paso 3 Redacción RA'!C$3:C$15,,0,1)</f>
        <v>Saber</v>
      </c>
      <c r="B107" s="101" t="s">
        <v>91</v>
      </c>
      <c r="C107" s="157">
        <v>8</v>
      </c>
      <c r="D107" s="157" t="s">
        <v>330</v>
      </c>
      <c r="E107" s="147" t="s">
        <v>331</v>
      </c>
      <c r="F107" s="157" t="s">
        <v>199</v>
      </c>
      <c r="G107" s="157"/>
      <c r="H107" s="157" t="s">
        <v>200</v>
      </c>
      <c r="I107" s="157"/>
      <c r="J107" s="157">
        <v>6</v>
      </c>
      <c r="K107" s="157">
        <f>16*J107</f>
        <v>96</v>
      </c>
      <c r="L107" s="157">
        <f>32*J107</f>
        <v>192</v>
      </c>
      <c r="M107" s="157">
        <f>SUM(K107:L107)</f>
        <v>288</v>
      </c>
      <c r="N107" s="159" t="s">
        <v>332</v>
      </c>
      <c r="O107" s="138" t="s">
        <v>333</v>
      </c>
      <c r="P107" s="159" t="s">
        <v>215</v>
      </c>
      <c r="Q107" s="159" t="s">
        <v>204</v>
      </c>
      <c r="R107" s="5"/>
      <c r="S107" s="5"/>
      <c r="T107" s="112"/>
    </row>
    <row r="108" spans="1:20" s="99" customFormat="1" ht="51.6" customHeight="1">
      <c r="A108" s="99" t="str">
        <f>_xlfn.XLOOKUP(B108,'Paso 3 Redacción RA'!I$3:I$15,'Paso 3 Redacción RA'!C$3:C$15,,0,1)</f>
        <v>SaberHacer</v>
      </c>
      <c r="B108" s="80" t="s">
        <v>95</v>
      </c>
      <c r="C108" s="135"/>
      <c r="D108" s="135"/>
      <c r="E108" s="148"/>
      <c r="F108" s="135"/>
      <c r="G108" s="135"/>
      <c r="H108" s="135"/>
      <c r="I108" s="135"/>
      <c r="J108" s="135"/>
      <c r="K108" s="135"/>
      <c r="L108" s="135"/>
      <c r="M108" s="135"/>
      <c r="N108" s="138"/>
      <c r="O108" s="138"/>
      <c r="P108" s="138"/>
      <c r="Q108" s="138"/>
      <c r="R108" s="5"/>
      <c r="S108" s="5"/>
      <c r="T108" s="112"/>
    </row>
    <row r="109" spans="1:20" s="99" customFormat="1" ht="39" customHeight="1" thickBot="1">
      <c r="A109" s="100" t="str">
        <f>_xlfn.XLOOKUP(B109,'Paso 3 Redacción RA'!I$3:I$15,'Paso 3 Redacción RA'!C$3:C$15,,0,1)</f>
        <v>Saber</v>
      </c>
      <c r="B109" s="96" t="s">
        <v>108</v>
      </c>
      <c r="C109" s="158"/>
      <c r="D109" s="158"/>
      <c r="E109" s="149"/>
      <c r="F109" s="158"/>
      <c r="G109" s="158"/>
      <c r="H109" s="158"/>
      <c r="I109" s="158"/>
      <c r="J109" s="158"/>
      <c r="K109" s="158"/>
      <c r="L109" s="158"/>
      <c r="M109" s="158"/>
      <c r="N109" s="160"/>
      <c r="O109" s="160"/>
      <c r="P109" s="160"/>
      <c r="Q109" s="160"/>
      <c r="R109" s="5"/>
      <c r="S109" s="5"/>
      <c r="T109" s="112"/>
    </row>
    <row r="110" spans="1:20" s="99" customFormat="1" ht="17.100000000000001" thickBot="1">
      <c r="A110" s="113"/>
      <c r="B110" s="108"/>
      <c r="C110" s="114">
        <v>8</v>
      </c>
      <c r="D110" s="115" t="s">
        <v>334</v>
      </c>
      <c r="E110" s="108"/>
      <c r="F110" s="113"/>
      <c r="G110" s="117"/>
      <c r="H110" s="117"/>
      <c r="I110" s="117" t="s">
        <v>200</v>
      </c>
      <c r="J110" s="114">
        <v>3</v>
      </c>
      <c r="K110" s="114">
        <f>16*J110</f>
        <v>48</v>
      </c>
      <c r="L110" s="114">
        <f>32*J110</f>
        <v>96</v>
      </c>
      <c r="M110" s="114">
        <f>SUM(K110:L110)</f>
        <v>144</v>
      </c>
      <c r="N110" s="116"/>
      <c r="O110" s="116"/>
      <c r="P110" s="116"/>
      <c r="Q110" s="116"/>
      <c r="R110" s="5"/>
      <c r="S110" s="5"/>
      <c r="T110" s="112"/>
    </row>
    <row r="111" spans="1:20" s="99" customFormat="1" ht="17.100000000000001" thickBot="1">
      <c r="A111" s="113"/>
      <c r="B111" s="108"/>
      <c r="C111" s="114">
        <v>8</v>
      </c>
      <c r="D111" s="115" t="s">
        <v>335</v>
      </c>
      <c r="E111" s="116"/>
      <c r="F111" s="113"/>
      <c r="G111" s="117"/>
      <c r="H111" s="117"/>
      <c r="I111" s="117" t="s">
        <v>200</v>
      </c>
      <c r="J111" s="114">
        <v>3</v>
      </c>
      <c r="K111" s="114">
        <f>16*J111</f>
        <v>48</v>
      </c>
      <c r="L111" s="114">
        <f>32*J111</f>
        <v>96</v>
      </c>
      <c r="M111" s="114">
        <f>SUM(K111:L111)</f>
        <v>144</v>
      </c>
      <c r="N111" s="116"/>
      <c r="O111" s="116"/>
      <c r="P111" s="116"/>
      <c r="Q111" s="116"/>
      <c r="R111" s="5">
        <f>SUM(J104:J111)</f>
        <v>15</v>
      </c>
      <c r="S111" s="5">
        <f>COUNTA(D104:D111)</f>
        <v>4</v>
      </c>
      <c r="T111" s="112"/>
    </row>
    <row r="112" spans="1:20" s="121" customFormat="1" ht="24.75">
      <c r="A112" s="118"/>
      <c r="B112" s="119"/>
      <c r="C112" s="120" t="s">
        <v>336</v>
      </c>
      <c r="D112" s="170">
        <f>COUNTA(D3:D111)</f>
        <v>43</v>
      </c>
      <c r="E112" s="122"/>
      <c r="F112" s="123"/>
      <c r="G112" s="123"/>
      <c r="H112" s="123"/>
      <c r="I112" s="124" t="s">
        <v>337</v>
      </c>
      <c r="J112" s="171">
        <f>SUM(J3:J111)</f>
        <v>139</v>
      </c>
      <c r="K112" s="129"/>
      <c r="L112" s="39"/>
      <c r="M112" s="123"/>
      <c r="N112" s="122"/>
      <c r="O112" s="122"/>
      <c r="P112" s="122"/>
      <c r="Q112" s="122"/>
      <c r="R112" s="122">
        <f>SUM(R3:R111)</f>
        <v>139</v>
      </c>
      <c r="S112" s="122">
        <f>SUM(S3:S111)</f>
        <v>43</v>
      </c>
      <c r="T112" s="126"/>
    </row>
    <row r="113" spans="1:20" s="121" customFormat="1" ht="48">
      <c r="A113" s="118"/>
      <c r="B113" s="119"/>
      <c r="C113" s="123"/>
      <c r="D113" s="123"/>
      <c r="E113" s="122"/>
      <c r="F113" s="123"/>
      <c r="G113" s="123"/>
      <c r="H113" s="123"/>
      <c r="I113" s="127" t="s">
        <v>338</v>
      </c>
      <c r="J113" s="125">
        <f>SUM(J47,J34,J33,J17,J3:J4)</f>
        <v>18</v>
      </c>
      <c r="K113" s="129"/>
      <c r="L113" s="123"/>
      <c r="M113" s="123"/>
      <c r="N113" s="122"/>
      <c r="O113" s="122"/>
      <c r="P113" s="122"/>
      <c r="Q113" s="122"/>
      <c r="R113" s="122"/>
      <c r="S113" s="122"/>
      <c r="T113" s="126"/>
    </row>
    <row r="114" spans="1:20" s="121" customFormat="1" ht="48">
      <c r="A114" s="128"/>
      <c r="B114" s="119"/>
      <c r="C114" s="123"/>
      <c r="D114" s="123"/>
      <c r="E114" s="122"/>
      <c r="F114" s="123"/>
      <c r="G114" s="123"/>
      <c r="H114" s="123"/>
      <c r="I114" s="127" t="s">
        <v>339</v>
      </c>
      <c r="J114" s="125">
        <f>SUM(J104:J109,J63:J101,J48:J62,J35:J46,J18:J32,J5:J16)</f>
        <v>109</v>
      </c>
      <c r="K114" s="129"/>
      <c r="L114" s="123"/>
      <c r="M114" s="123"/>
      <c r="N114" s="122"/>
      <c r="O114" s="122"/>
      <c r="P114" s="122"/>
      <c r="Q114" s="122"/>
      <c r="R114" s="122"/>
      <c r="S114" s="122"/>
      <c r="T114" s="126"/>
    </row>
    <row r="115" spans="1:20" s="121" customFormat="1" ht="32.1">
      <c r="A115" s="128"/>
      <c r="B115" s="119"/>
      <c r="C115" s="123"/>
      <c r="D115" s="123"/>
      <c r="F115" s="123"/>
      <c r="G115" s="123"/>
      <c r="H115" s="123"/>
      <c r="I115" s="127" t="s">
        <v>340</v>
      </c>
      <c r="J115" s="123">
        <f>SUM(J110:J111,J102:J103)</f>
        <v>12</v>
      </c>
      <c r="K115" s="130"/>
      <c r="L115" s="123"/>
      <c r="M115" s="123"/>
      <c r="N115" s="122"/>
      <c r="O115" s="122"/>
      <c r="P115" s="122"/>
      <c r="Q115" s="122"/>
      <c r="R115" s="122"/>
      <c r="S115" s="122"/>
      <c r="T115" s="126"/>
    </row>
    <row r="116" spans="1:20">
      <c r="C116" s="6"/>
      <c r="F116" s="6"/>
      <c r="G116" s="6"/>
      <c r="H116" s="6"/>
      <c r="I116" s="6"/>
      <c r="J116" s="6"/>
      <c r="K116" s="6"/>
      <c r="L116" s="6"/>
      <c r="M116" s="6"/>
    </row>
    <row r="117" spans="1:20">
      <c r="C117" s="6"/>
      <c r="F117" s="6"/>
      <c r="G117" s="6"/>
      <c r="H117" s="6"/>
      <c r="I117" s="6"/>
      <c r="J117" s="6"/>
      <c r="K117" s="6"/>
      <c r="L117" s="6"/>
      <c r="M117" s="6"/>
    </row>
    <row r="118" spans="1:20">
      <c r="C118" s="6"/>
      <c r="F118" s="6"/>
      <c r="G118" s="6"/>
      <c r="H118" s="6"/>
      <c r="I118" s="6"/>
      <c r="J118" s="6"/>
      <c r="K118" s="6"/>
      <c r="L118" s="6"/>
      <c r="M118" s="6"/>
    </row>
    <row r="119" spans="1:20">
      <c r="C119" s="6"/>
      <c r="F119" s="6"/>
      <c r="G119" s="6"/>
      <c r="H119" s="6"/>
      <c r="I119" s="6"/>
      <c r="J119" s="6"/>
      <c r="K119" s="6"/>
      <c r="L119" s="6"/>
      <c r="M119" s="6"/>
    </row>
    <row r="120" spans="1:20">
      <c r="C120" s="6"/>
      <c r="F120" s="6"/>
      <c r="G120" s="6"/>
      <c r="H120" s="6"/>
      <c r="I120" s="6"/>
      <c r="J120" s="6"/>
      <c r="K120" s="6"/>
      <c r="L120" s="6"/>
      <c r="M120" s="6"/>
    </row>
    <row r="121" spans="1:20">
      <c r="C121" s="6"/>
      <c r="F121" s="6"/>
      <c r="G121" s="6"/>
      <c r="H121" s="6"/>
      <c r="I121" s="6"/>
      <c r="J121" s="6"/>
      <c r="K121" s="6"/>
      <c r="L121" s="6"/>
      <c r="M121" s="6"/>
    </row>
    <row r="122" spans="1:20">
      <c r="C122" s="6"/>
      <c r="F122" s="6"/>
      <c r="G122" s="6"/>
      <c r="H122" s="6"/>
      <c r="I122" s="6"/>
      <c r="J122" s="6"/>
      <c r="K122" s="6"/>
      <c r="L122" s="6"/>
      <c r="M122" s="6"/>
    </row>
    <row r="124" spans="1:20">
      <c r="E124" s="122"/>
    </row>
  </sheetData>
  <autoFilter ref="A2:R115" xr:uid="{F0EE195A-FBC9-4847-94C9-3ADDAD335674}"/>
  <mergeCells count="496">
    <mergeCell ref="Q41:Q43"/>
    <mergeCell ref="P41:P43"/>
    <mergeCell ref="O41:O43"/>
    <mergeCell ref="N41:N43"/>
    <mergeCell ref="C41:C43"/>
    <mergeCell ref="D41:D43"/>
    <mergeCell ref="E41:E43"/>
    <mergeCell ref="F41:F43"/>
    <mergeCell ref="G41:G43"/>
    <mergeCell ref="H41:H43"/>
    <mergeCell ref="I41:I43"/>
    <mergeCell ref="J41:J43"/>
    <mergeCell ref="K41:K43"/>
    <mergeCell ref="G1:I1"/>
    <mergeCell ref="P11:P13"/>
    <mergeCell ref="P5:P7"/>
    <mergeCell ref="M27:M29"/>
    <mergeCell ref="H27:H29"/>
    <mergeCell ref="M21:M23"/>
    <mergeCell ref="N21:N23"/>
    <mergeCell ref="O21:O23"/>
    <mergeCell ref="P21:P23"/>
    <mergeCell ref="P24:P26"/>
    <mergeCell ref="K14:K16"/>
    <mergeCell ref="L14:L16"/>
    <mergeCell ref="M14:M16"/>
    <mergeCell ref="N14:N16"/>
    <mergeCell ref="O14:O16"/>
    <mergeCell ref="P14:P16"/>
    <mergeCell ref="N11:N13"/>
    <mergeCell ref="O11:O13"/>
    <mergeCell ref="J18:J20"/>
    <mergeCell ref="I18:I20"/>
    <mergeCell ref="H18:H20"/>
    <mergeCell ref="M8:M10"/>
    <mergeCell ref="N8:N10"/>
    <mergeCell ref="O8:O10"/>
    <mergeCell ref="Q5:Q7"/>
    <mergeCell ref="H5:H7"/>
    <mergeCell ref="I5:I7"/>
    <mergeCell ref="J5:J7"/>
    <mergeCell ref="K5:K7"/>
    <mergeCell ref="L5:L7"/>
    <mergeCell ref="P8:P10"/>
    <mergeCell ref="Q8:Q10"/>
    <mergeCell ref="Q11:Q13"/>
    <mergeCell ref="H11:H13"/>
    <mergeCell ref="I11:I13"/>
    <mergeCell ref="J11:J13"/>
    <mergeCell ref="K11:K13"/>
    <mergeCell ref="L11:L13"/>
    <mergeCell ref="M11:M13"/>
    <mergeCell ref="M5:M7"/>
    <mergeCell ref="N5:N7"/>
    <mergeCell ref="O5:O7"/>
    <mergeCell ref="H8:H10"/>
    <mergeCell ref="I8:I10"/>
    <mergeCell ref="J8:J10"/>
    <mergeCell ref="K8:K10"/>
    <mergeCell ref="L8:L10"/>
    <mergeCell ref="C5:C7"/>
    <mergeCell ref="E5:E7"/>
    <mergeCell ref="F5:F7"/>
    <mergeCell ref="G5:G7"/>
    <mergeCell ref="C14:C16"/>
    <mergeCell ref="C8:C10"/>
    <mergeCell ref="G8:G10"/>
    <mergeCell ref="F21:F23"/>
    <mergeCell ref="G21:G23"/>
    <mergeCell ref="D8:D10"/>
    <mergeCell ref="D5:D7"/>
    <mergeCell ref="E8:E10"/>
    <mergeCell ref="F8:F10"/>
    <mergeCell ref="C21:C23"/>
    <mergeCell ref="D21:D23"/>
    <mergeCell ref="E21:E23"/>
    <mergeCell ref="D14:D16"/>
    <mergeCell ref="E14:E16"/>
    <mergeCell ref="F14:F16"/>
    <mergeCell ref="G14:G16"/>
    <mergeCell ref="E11:E13"/>
    <mergeCell ref="F11:F13"/>
    <mergeCell ref="G11:G13"/>
    <mergeCell ref="I24:I26"/>
    <mergeCell ref="J24:J26"/>
    <mergeCell ref="K24:K26"/>
    <mergeCell ref="L24:L26"/>
    <mergeCell ref="D27:D29"/>
    <mergeCell ref="E27:E29"/>
    <mergeCell ref="F27:F29"/>
    <mergeCell ref="G27:G29"/>
    <mergeCell ref="C27:C29"/>
    <mergeCell ref="G24:G26"/>
    <mergeCell ref="C24:C26"/>
    <mergeCell ref="D24:D26"/>
    <mergeCell ref="E24:E26"/>
    <mergeCell ref="F24:F26"/>
    <mergeCell ref="M24:M26"/>
    <mergeCell ref="N24:N26"/>
    <mergeCell ref="O24:O26"/>
    <mergeCell ref="H30:H32"/>
    <mergeCell ref="I30:I32"/>
    <mergeCell ref="J30:J32"/>
    <mergeCell ref="K30:K32"/>
    <mergeCell ref="L30:L32"/>
    <mergeCell ref="Q21:Q23"/>
    <mergeCell ref="N27:N29"/>
    <mergeCell ref="O27:O29"/>
    <mergeCell ref="P27:P29"/>
    <mergeCell ref="Q27:Q29"/>
    <mergeCell ref="H21:H23"/>
    <mergeCell ref="I21:I23"/>
    <mergeCell ref="J21:J23"/>
    <mergeCell ref="K21:K23"/>
    <mergeCell ref="L21:L23"/>
    <mergeCell ref="I27:I29"/>
    <mergeCell ref="J27:J29"/>
    <mergeCell ref="K27:K29"/>
    <mergeCell ref="L27:L29"/>
    <mergeCell ref="Q24:Q26"/>
    <mergeCell ref="H24:H26"/>
    <mergeCell ref="Q30:Q32"/>
    <mergeCell ref="M35:M37"/>
    <mergeCell ref="N35:N37"/>
    <mergeCell ref="O35:O37"/>
    <mergeCell ref="P35:P37"/>
    <mergeCell ref="C30:C32"/>
    <mergeCell ref="D30:D32"/>
    <mergeCell ref="E30:E32"/>
    <mergeCell ref="F30:F32"/>
    <mergeCell ref="G30:G32"/>
    <mergeCell ref="F35:F37"/>
    <mergeCell ref="G35:G37"/>
    <mergeCell ref="C35:C37"/>
    <mergeCell ref="D35:D37"/>
    <mergeCell ref="E35:E37"/>
    <mergeCell ref="M30:M32"/>
    <mergeCell ref="N30:N32"/>
    <mergeCell ref="O30:O32"/>
    <mergeCell ref="P30:P32"/>
    <mergeCell ref="Q51:Q53"/>
    <mergeCell ref="C44:C46"/>
    <mergeCell ref="D44:D46"/>
    <mergeCell ref="E44:E46"/>
    <mergeCell ref="F44:F46"/>
    <mergeCell ref="G44:G46"/>
    <mergeCell ref="H44:H46"/>
    <mergeCell ref="I44:I46"/>
    <mergeCell ref="J44:J46"/>
    <mergeCell ref="K44:K46"/>
    <mergeCell ref="L44:L46"/>
    <mergeCell ref="M44:M46"/>
    <mergeCell ref="N44:N46"/>
    <mergeCell ref="O44:O46"/>
    <mergeCell ref="P44:P46"/>
    <mergeCell ref="Q44:Q46"/>
    <mergeCell ref="L51:L53"/>
    <mergeCell ref="M51:M53"/>
    <mergeCell ref="I51:I53"/>
    <mergeCell ref="J51:J53"/>
    <mergeCell ref="K51:K53"/>
    <mergeCell ref="P51:P53"/>
    <mergeCell ref="C38:C40"/>
    <mergeCell ref="D38:D40"/>
    <mergeCell ref="E38:E40"/>
    <mergeCell ref="F38:F40"/>
    <mergeCell ref="G38:G40"/>
    <mergeCell ref="H38:H40"/>
    <mergeCell ref="I38:I40"/>
    <mergeCell ref="J38:J40"/>
    <mergeCell ref="K38:K40"/>
    <mergeCell ref="P38:P40"/>
    <mergeCell ref="H35:H37"/>
    <mergeCell ref="I35:I37"/>
    <mergeCell ref="J35:J37"/>
    <mergeCell ref="K35:K37"/>
    <mergeCell ref="L35:L37"/>
    <mergeCell ref="Q38:Q40"/>
    <mergeCell ref="Q48:Q50"/>
    <mergeCell ref="H48:H50"/>
    <mergeCell ref="I48:I50"/>
    <mergeCell ref="J48:J50"/>
    <mergeCell ref="K48:K50"/>
    <mergeCell ref="L48:L50"/>
    <mergeCell ref="M48:M50"/>
    <mergeCell ref="N48:N50"/>
    <mergeCell ref="O48:O50"/>
    <mergeCell ref="P48:P50"/>
    <mergeCell ref="L38:L40"/>
    <mergeCell ref="M38:M40"/>
    <mergeCell ref="N38:N40"/>
    <mergeCell ref="O38:O40"/>
    <mergeCell ref="Q35:Q37"/>
    <mergeCell ref="L41:L43"/>
    <mergeCell ref="M41:M43"/>
    <mergeCell ref="Q60:Q62"/>
    <mergeCell ref="H60:H62"/>
    <mergeCell ref="I60:I62"/>
    <mergeCell ref="J60:J62"/>
    <mergeCell ref="K60:K62"/>
    <mergeCell ref="L60:L62"/>
    <mergeCell ref="C48:C50"/>
    <mergeCell ref="D48:D50"/>
    <mergeCell ref="E48:E50"/>
    <mergeCell ref="F48:F50"/>
    <mergeCell ref="G48:G50"/>
    <mergeCell ref="C60:C62"/>
    <mergeCell ref="D60:D62"/>
    <mergeCell ref="E60:E62"/>
    <mergeCell ref="F60:F62"/>
    <mergeCell ref="G60:G62"/>
    <mergeCell ref="N51:N53"/>
    <mergeCell ref="O51:O53"/>
    <mergeCell ref="C51:C53"/>
    <mergeCell ref="D51:D53"/>
    <mergeCell ref="E51:E53"/>
    <mergeCell ref="F51:F53"/>
    <mergeCell ref="G51:G53"/>
    <mergeCell ref="H51:H53"/>
    <mergeCell ref="Q57:Q59"/>
    <mergeCell ref="H57:H59"/>
    <mergeCell ref="I57:I59"/>
    <mergeCell ref="J57:J59"/>
    <mergeCell ref="K57:K59"/>
    <mergeCell ref="L57:L59"/>
    <mergeCell ref="C57:C59"/>
    <mergeCell ref="D57:D59"/>
    <mergeCell ref="E57:E59"/>
    <mergeCell ref="F57:F59"/>
    <mergeCell ref="G57:G59"/>
    <mergeCell ref="C96:C98"/>
    <mergeCell ref="D96:D98"/>
    <mergeCell ref="E96:E98"/>
    <mergeCell ref="F96:F98"/>
    <mergeCell ref="G96:G98"/>
    <mergeCell ref="M57:M59"/>
    <mergeCell ref="N57:N59"/>
    <mergeCell ref="O57:O59"/>
    <mergeCell ref="P57:P59"/>
    <mergeCell ref="M96:M98"/>
    <mergeCell ref="N96:N98"/>
    <mergeCell ref="O96:O98"/>
    <mergeCell ref="P96:P98"/>
    <mergeCell ref="M60:M62"/>
    <mergeCell ref="N60:N62"/>
    <mergeCell ref="O60:O62"/>
    <mergeCell ref="P60:P62"/>
    <mergeCell ref="H96:H98"/>
    <mergeCell ref="I96:I98"/>
    <mergeCell ref="J96:J98"/>
    <mergeCell ref="K96:K98"/>
    <mergeCell ref="L96:L98"/>
    <mergeCell ref="C87:C89"/>
    <mergeCell ref="D87:D89"/>
    <mergeCell ref="G66:G68"/>
    <mergeCell ref="C84:C86"/>
    <mergeCell ref="D84:D86"/>
    <mergeCell ref="E84:E86"/>
    <mergeCell ref="F84:F86"/>
    <mergeCell ref="G84:G86"/>
    <mergeCell ref="E66:E68"/>
    <mergeCell ref="F66:F68"/>
    <mergeCell ref="C81:C83"/>
    <mergeCell ref="D81:D83"/>
    <mergeCell ref="E81:E83"/>
    <mergeCell ref="F81:F83"/>
    <mergeCell ref="G81:G83"/>
    <mergeCell ref="C78:C80"/>
    <mergeCell ref="D78:D80"/>
    <mergeCell ref="E78:E80"/>
    <mergeCell ref="Q75:Q77"/>
    <mergeCell ref="H75:H77"/>
    <mergeCell ref="I75:I77"/>
    <mergeCell ref="J75:J77"/>
    <mergeCell ref="K75:K77"/>
    <mergeCell ref="L75:L77"/>
    <mergeCell ref="E87:E89"/>
    <mergeCell ref="F87:F89"/>
    <mergeCell ref="G87:G89"/>
    <mergeCell ref="F75:F77"/>
    <mergeCell ref="G75:G77"/>
    <mergeCell ref="E75:E77"/>
    <mergeCell ref="Q87:Q89"/>
    <mergeCell ref="H87:H89"/>
    <mergeCell ref="I87:I89"/>
    <mergeCell ref="J87:J89"/>
    <mergeCell ref="K87:K89"/>
    <mergeCell ref="L87:L89"/>
    <mergeCell ref="M87:M89"/>
    <mergeCell ref="N87:N89"/>
    <mergeCell ref="O87:O89"/>
    <mergeCell ref="P87:P89"/>
    <mergeCell ref="F78:F80"/>
    <mergeCell ref="G78:G80"/>
    <mergeCell ref="Q72:Q74"/>
    <mergeCell ref="H72:H74"/>
    <mergeCell ref="I72:I74"/>
    <mergeCell ref="J72:J74"/>
    <mergeCell ref="K72:K74"/>
    <mergeCell ref="L72:L74"/>
    <mergeCell ref="Q63:Q65"/>
    <mergeCell ref="H63:H65"/>
    <mergeCell ref="I63:I65"/>
    <mergeCell ref="J63:J65"/>
    <mergeCell ref="K63:K65"/>
    <mergeCell ref="L63:L65"/>
    <mergeCell ref="M63:M65"/>
    <mergeCell ref="N63:N65"/>
    <mergeCell ref="O63:O65"/>
    <mergeCell ref="P63:P65"/>
    <mergeCell ref="M66:M68"/>
    <mergeCell ref="N66:N68"/>
    <mergeCell ref="O66:O68"/>
    <mergeCell ref="P66:P68"/>
    <mergeCell ref="M72:M74"/>
    <mergeCell ref="N72:N74"/>
    <mergeCell ref="O72:O74"/>
    <mergeCell ref="P72:P74"/>
    <mergeCell ref="Q69:Q71"/>
    <mergeCell ref="H69:H71"/>
    <mergeCell ref="I69:I71"/>
    <mergeCell ref="J69:J71"/>
    <mergeCell ref="K69:K71"/>
    <mergeCell ref="L69:L71"/>
    <mergeCell ref="C63:C65"/>
    <mergeCell ref="D63:D65"/>
    <mergeCell ref="E63:E65"/>
    <mergeCell ref="F63:F65"/>
    <mergeCell ref="G63:G65"/>
    <mergeCell ref="C69:C71"/>
    <mergeCell ref="D69:D71"/>
    <mergeCell ref="E69:E71"/>
    <mergeCell ref="F69:F71"/>
    <mergeCell ref="G69:G71"/>
    <mergeCell ref="Q66:Q68"/>
    <mergeCell ref="H66:H68"/>
    <mergeCell ref="I66:I68"/>
    <mergeCell ref="J66:J68"/>
    <mergeCell ref="K66:K68"/>
    <mergeCell ref="L66:L68"/>
    <mergeCell ref="C66:C68"/>
    <mergeCell ref="D66:D68"/>
    <mergeCell ref="Q54:Q56"/>
    <mergeCell ref="H54:H56"/>
    <mergeCell ref="I54:I56"/>
    <mergeCell ref="J54:J56"/>
    <mergeCell ref="K54:K56"/>
    <mergeCell ref="L54:L56"/>
    <mergeCell ref="C54:C56"/>
    <mergeCell ref="D54:D56"/>
    <mergeCell ref="E54:E56"/>
    <mergeCell ref="F54:F56"/>
    <mergeCell ref="G54:G56"/>
    <mergeCell ref="M54:M56"/>
    <mergeCell ref="N54:N56"/>
    <mergeCell ref="O54:O56"/>
    <mergeCell ref="P54:P56"/>
    <mergeCell ref="M69:M71"/>
    <mergeCell ref="N69:N71"/>
    <mergeCell ref="O69:O71"/>
    <mergeCell ref="P69:P71"/>
    <mergeCell ref="C72:C74"/>
    <mergeCell ref="D72:D74"/>
    <mergeCell ref="E72:E74"/>
    <mergeCell ref="F72:F74"/>
    <mergeCell ref="G72:G74"/>
    <mergeCell ref="N78:N80"/>
    <mergeCell ref="O78:O80"/>
    <mergeCell ref="P78:P80"/>
    <mergeCell ref="M75:M77"/>
    <mergeCell ref="N75:N77"/>
    <mergeCell ref="O75:O77"/>
    <mergeCell ref="P75:P77"/>
    <mergeCell ref="C75:C77"/>
    <mergeCell ref="D75:D77"/>
    <mergeCell ref="Q84:Q86"/>
    <mergeCell ref="H84:H86"/>
    <mergeCell ref="I84:I86"/>
    <mergeCell ref="J84:J86"/>
    <mergeCell ref="K84:K86"/>
    <mergeCell ref="L84:L86"/>
    <mergeCell ref="Q81:Q83"/>
    <mergeCell ref="H81:H83"/>
    <mergeCell ref="I81:I83"/>
    <mergeCell ref="J81:J83"/>
    <mergeCell ref="K81:K83"/>
    <mergeCell ref="L81:L83"/>
    <mergeCell ref="M81:M83"/>
    <mergeCell ref="N81:N83"/>
    <mergeCell ref="O81:O83"/>
    <mergeCell ref="P81:P83"/>
    <mergeCell ref="M84:M86"/>
    <mergeCell ref="N84:N86"/>
    <mergeCell ref="O84:O86"/>
    <mergeCell ref="P84:P86"/>
    <mergeCell ref="Q78:Q80"/>
    <mergeCell ref="H78:H80"/>
    <mergeCell ref="I78:I80"/>
    <mergeCell ref="J78:J80"/>
    <mergeCell ref="K78:K80"/>
    <mergeCell ref="L78:L80"/>
    <mergeCell ref="M78:M80"/>
    <mergeCell ref="H99:H101"/>
    <mergeCell ref="I99:I101"/>
    <mergeCell ref="J99:J101"/>
    <mergeCell ref="K99:K101"/>
    <mergeCell ref="L99:L101"/>
    <mergeCell ref="M93:M95"/>
    <mergeCell ref="N93:N95"/>
    <mergeCell ref="O93:O95"/>
    <mergeCell ref="P93:P95"/>
    <mergeCell ref="Q99:Q101"/>
    <mergeCell ref="Q96:Q98"/>
    <mergeCell ref="Q93:Q95"/>
    <mergeCell ref="H93:H95"/>
    <mergeCell ref="I93:I95"/>
    <mergeCell ref="J93:J95"/>
    <mergeCell ref="K93:K95"/>
    <mergeCell ref="L93:L95"/>
    <mergeCell ref="C99:C101"/>
    <mergeCell ref="D99:D101"/>
    <mergeCell ref="E99:E101"/>
    <mergeCell ref="F99:F101"/>
    <mergeCell ref="G99:G101"/>
    <mergeCell ref="M99:M101"/>
    <mergeCell ref="N99:N101"/>
    <mergeCell ref="O99:O101"/>
    <mergeCell ref="P99:P101"/>
    <mergeCell ref="C90:C92"/>
    <mergeCell ref="D90:D92"/>
    <mergeCell ref="E90:E92"/>
    <mergeCell ref="F90:F92"/>
    <mergeCell ref="G90:G92"/>
    <mergeCell ref="C93:C95"/>
    <mergeCell ref="D93:D95"/>
    <mergeCell ref="E93:E95"/>
    <mergeCell ref="F93:F95"/>
    <mergeCell ref="G93:G95"/>
    <mergeCell ref="M90:M92"/>
    <mergeCell ref="N90:N92"/>
    <mergeCell ref="O90:O92"/>
    <mergeCell ref="P90:P92"/>
    <mergeCell ref="Q90:Q92"/>
    <mergeCell ref="H90:H92"/>
    <mergeCell ref="I90:I92"/>
    <mergeCell ref="J90:J92"/>
    <mergeCell ref="K90:K92"/>
    <mergeCell ref="L90:L92"/>
    <mergeCell ref="M107:M109"/>
    <mergeCell ref="N107:N109"/>
    <mergeCell ref="O107:O109"/>
    <mergeCell ref="P107:P109"/>
    <mergeCell ref="Q107:Q109"/>
    <mergeCell ref="M104:M106"/>
    <mergeCell ref="N104:N106"/>
    <mergeCell ref="O104:O106"/>
    <mergeCell ref="P104:P106"/>
    <mergeCell ref="Q104:Q106"/>
    <mergeCell ref="H107:H109"/>
    <mergeCell ref="I107:I109"/>
    <mergeCell ref="J107:J109"/>
    <mergeCell ref="K107:K109"/>
    <mergeCell ref="L107:L109"/>
    <mergeCell ref="C107:C109"/>
    <mergeCell ref="D107:D109"/>
    <mergeCell ref="E107:E109"/>
    <mergeCell ref="F107:F109"/>
    <mergeCell ref="G107:G109"/>
    <mergeCell ref="H104:H106"/>
    <mergeCell ref="I104:I106"/>
    <mergeCell ref="J104:J106"/>
    <mergeCell ref="K104:K106"/>
    <mergeCell ref="L104:L106"/>
    <mergeCell ref="C104:C106"/>
    <mergeCell ref="D104:D106"/>
    <mergeCell ref="E104:E106"/>
    <mergeCell ref="F104:F106"/>
    <mergeCell ref="G104:G106"/>
    <mergeCell ref="Q18:Q20"/>
    <mergeCell ref="P18:P20"/>
    <mergeCell ref="O18:O20"/>
    <mergeCell ref="N18:N20"/>
    <mergeCell ref="M18:M20"/>
    <mergeCell ref="L18:L20"/>
    <mergeCell ref="K18:K20"/>
    <mergeCell ref="C11:C13"/>
    <mergeCell ref="D11:D13"/>
    <mergeCell ref="C18:C20"/>
    <mergeCell ref="D18:D20"/>
    <mergeCell ref="E18:E20"/>
    <mergeCell ref="F18:F20"/>
    <mergeCell ref="G18:G20"/>
    <mergeCell ref="Q14:Q16"/>
    <mergeCell ref="H14:H16"/>
    <mergeCell ref="I14:I16"/>
    <mergeCell ref="J14:J16"/>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RA'!$I$3:$I$15</xm:f>
          </x14:formula1>
          <xm:sqref>B3:B115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9"/>
  <sheetViews>
    <sheetView topLeftCell="A21" workbookViewId="0">
      <selection activeCell="B40" sqref="B40"/>
    </sheetView>
  </sheetViews>
  <sheetFormatPr defaultColWidth="9.140625" defaultRowHeight="14.45"/>
  <cols>
    <col min="2" max="2" width="29.28515625" customWidth="1"/>
  </cols>
  <sheetData>
    <row r="1" spans="2:2" ht="16.5">
      <c r="B1" s="1" t="s">
        <v>341</v>
      </c>
    </row>
    <row r="2" spans="2:2" ht="16.5">
      <c r="B2" s="1" t="s">
        <v>342</v>
      </c>
    </row>
    <row r="3" spans="2:2" ht="16.5">
      <c r="B3" s="1" t="s">
        <v>343</v>
      </c>
    </row>
    <row r="4" spans="2:2" ht="16.5">
      <c r="B4" s="1" t="s">
        <v>344</v>
      </c>
    </row>
    <row r="5" spans="2:2" ht="16.5">
      <c r="B5" s="1" t="s">
        <v>345</v>
      </c>
    </row>
    <row r="6" spans="2:2" ht="16.5">
      <c r="B6" s="1" t="s">
        <v>346</v>
      </c>
    </row>
    <row r="7" spans="2:2" ht="16.5">
      <c r="B7" s="1" t="s">
        <v>347</v>
      </c>
    </row>
    <row r="8" spans="2:2" ht="16.5">
      <c r="B8" s="1" t="s">
        <v>348</v>
      </c>
    </row>
    <row r="9" spans="2:2" ht="16.5">
      <c r="B9" s="1" t="s">
        <v>349</v>
      </c>
    </row>
    <row r="10" spans="2:2" ht="16.5">
      <c r="B10" s="1" t="s">
        <v>350</v>
      </c>
    </row>
    <row r="11" spans="2:2" ht="16.5">
      <c r="B11" s="1" t="s">
        <v>351</v>
      </c>
    </row>
    <row r="12" spans="2:2" ht="16.5">
      <c r="B12" s="1" t="s">
        <v>103</v>
      </c>
    </row>
    <row r="13" spans="2:2" ht="16.5">
      <c r="B13" s="1" t="s">
        <v>352</v>
      </c>
    </row>
    <row r="14" spans="2:2" ht="16.5">
      <c r="B14" s="1" t="s">
        <v>353</v>
      </c>
    </row>
    <row r="15" spans="2:2" ht="16.5">
      <c r="B15" s="1" t="s">
        <v>61</v>
      </c>
    </row>
    <row r="16" spans="2:2" ht="16.5">
      <c r="B16" s="1" t="s">
        <v>354</v>
      </c>
    </row>
    <row r="17" spans="2:2" ht="16.5">
      <c r="B17" s="1" t="s">
        <v>355</v>
      </c>
    </row>
    <row r="18" spans="2:2" ht="16.5">
      <c r="B18" s="1" t="s">
        <v>356</v>
      </c>
    </row>
    <row r="19" spans="2:2" ht="16.5">
      <c r="B19" s="1" t="s">
        <v>357</v>
      </c>
    </row>
    <row r="20" spans="2:2" ht="16.5">
      <c r="B20" s="1" t="s">
        <v>358</v>
      </c>
    </row>
    <row r="21" spans="2:2" ht="16.5">
      <c r="B21" s="1" t="s">
        <v>63</v>
      </c>
    </row>
    <row r="22" spans="2:2" ht="16.5">
      <c r="B22" s="1" t="s">
        <v>359</v>
      </c>
    </row>
    <row r="23" spans="2:2" ht="16.5">
      <c r="B23" s="1" t="s">
        <v>360</v>
      </c>
    </row>
    <row r="24" spans="2:2" ht="16.5">
      <c r="B24" s="1" t="s">
        <v>361</v>
      </c>
    </row>
    <row r="25" spans="2:2" ht="16.5">
      <c r="B25" s="1" t="s">
        <v>362</v>
      </c>
    </row>
    <row r="26" spans="2:2" ht="16.5">
      <c r="B26" s="1" t="s">
        <v>363</v>
      </c>
    </row>
    <row r="27" spans="2:2" ht="16.5">
      <c r="B27" s="1" t="s">
        <v>364</v>
      </c>
    </row>
    <row r="28" spans="2:2" ht="16.5">
      <c r="B28" s="1" t="s">
        <v>365</v>
      </c>
    </row>
    <row r="29" spans="2:2" ht="16.5">
      <c r="B29" s="1" t="s">
        <v>366</v>
      </c>
    </row>
    <row r="30" spans="2:2" ht="16.5">
      <c r="B30" s="1" t="s">
        <v>367</v>
      </c>
    </row>
    <row r="31" spans="2:2" ht="16.5">
      <c r="B31" s="1" t="s">
        <v>368</v>
      </c>
    </row>
    <row r="32" spans="2:2" ht="16.5">
      <c r="B32" s="1" t="s">
        <v>369</v>
      </c>
    </row>
    <row r="33" spans="2:2" ht="16.5">
      <c r="B33" s="1" t="s">
        <v>370</v>
      </c>
    </row>
    <row r="34" spans="2:2" ht="16.5">
      <c r="B34" s="1" t="s">
        <v>371</v>
      </c>
    </row>
    <row r="35" spans="2:2" ht="16.5">
      <c r="B35" s="1" t="s">
        <v>372</v>
      </c>
    </row>
    <row r="36" spans="2:2" ht="16.5">
      <c r="B36" s="1" t="s">
        <v>373</v>
      </c>
    </row>
    <row r="37" spans="2:2" ht="16.5">
      <c r="B37" s="1" t="s">
        <v>90</v>
      </c>
    </row>
    <row r="38" spans="2:2" ht="16.5">
      <c r="B38" s="1" t="s">
        <v>59</v>
      </c>
    </row>
    <row r="39" spans="2:2" ht="16.5">
      <c r="B39" s="1" t="s">
        <v>56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U1" zoomScale="110" zoomScaleNormal="110" workbookViewId="0">
      <selection activeCell="AA9" sqref="AA9"/>
    </sheetView>
  </sheetViews>
  <sheetFormatPr defaultColWidth="9.140625" defaultRowHeight="16.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ht="17.100000000000001" thickBot="1">
      <c r="A1" s="1"/>
      <c r="B1" s="1"/>
      <c r="C1" s="1"/>
      <c r="D1" s="1"/>
      <c r="E1" s="1"/>
      <c r="F1" s="1"/>
      <c r="G1" s="1"/>
      <c r="H1" s="1"/>
      <c r="I1" s="1"/>
      <c r="J1" s="1"/>
      <c r="K1" s="1"/>
      <c r="L1" s="1"/>
      <c r="M1" s="1"/>
      <c r="N1" s="1"/>
      <c r="O1" s="1"/>
      <c r="P1" s="1"/>
      <c r="Q1" s="1"/>
      <c r="R1" s="1"/>
      <c r="S1" s="162" t="s">
        <v>374</v>
      </c>
      <c r="T1" s="162"/>
      <c r="U1" s="162"/>
      <c r="V1" s="162"/>
      <c r="W1" s="162"/>
      <c r="X1" s="162"/>
      <c r="Y1" s="162"/>
      <c r="Z1" s="162"/>
      <c r="AA1" s="162"/>
      <c r="AB1" s="162"/>
      <c r="AC1" s="162"/>
      <c r="AD1" s="162"/>
      <c r="AE1" s="162"/>
      <c r="AF1" s="162"/>
      <c r="AG1" s="162"/>
      <c r="AH1" s="14"/>
      <c r="AI1" s="14"/>
      <c r="AJ1" s="14"/>
      <c r="AK1" s="1"/>
      <c r="AL1" s="162" t="s">
        <v>375</v>
      </c>
      <c r="AM1" s="162"/>
      <c r="AN1" s="162"/>
      <c r="AO1" s="162"/>
      <c r="AP1" s="162"/>
      <c r="AQ1" s="162"/>
      <c r="AR1" s="14"/>
      <c r="AS1" s="14"/>
      <c r="AT1" s="162" t="s">
        <v>376</v>
      </c>
      <c r="AU1" s="162"/>
      <c r="AV1" s="162"/>
      <c r="AW1" s="162"/>
      <c r="AX1" s="162"/>
      <c r="AY1" s="162"/>
      <c r="AZ1" s="14"/>
      <c r="BA1" s="1"/>
      <c r="BB1" s="1"/>
      <c r="BC1" s="14"/>
    </row>
    <row r="2" spans="1:55">
      <c r="A2" s="1"/>
      <c r="B2" s="1"/>
      <c r="C2" s="1"/>
      <c r="D2" s="1"/>
      <c r="E2" s="1"/>
      <c r="F2" s="1"/>
      <c r="G2" s="1"/>
      <c r="H2" s="1"/>
      <c r="I2" s="1"/>
      <c r="J2" s="1"/>
      <c r="K2" s="1"/>
      <c r="L2" s="162" t="s">
        <v>377</v>
      </c>
      <c r="M2" s="162"/>
      <c r="N2" s="162"/>
      <c r="O2" s="162"/>
      <c r="P2" s="162"/>
      <c r="Q2" s="162"/>
      <c r="R2" s="1"/>
      <c r="S2" s="163" t="s">
        <v>378</v>
      </c>
      <c r="T2" s="164"/>
      <c r="U2" s="164"/>
      <c r="V2" s="164"/>
      <c r="W2" s="164"/>
      <c r="X2" s="165"/>
      <c r="Y2" s="166" t="s">
        <v>379</v>
      </c>
      <c r="Z2" s="167"/>
      <c r="AA2" s="167"/>
      <c r="AB2" s="168"/>
      <c r="AC2" s="166" t="s">
        <v>380</v>
      </c>
      <c r="AD2" s="167"/>
      <c r="AE2" s="167"/>
      <c r="AF2" s="167"/>
      <c r="AG2" s="169"/>
      <c r="AH2" s="14"/>
      <c r="AI2" s="14"/>
      <c r="AJ2" s="14"/>
      <c r="AK2" s="1"/>
      <c r="AL2" s="162"/>
      <c r="AM2" s="162"/>
      <c r="AN2" s="162"/>
      <c r="AO2" s="162"/>
      <c r="AP2" s="162"/>
      <c r="AQ2" s="162"/>
      <c r="AR2" s="14"/>
      <c r="AS2" s="14"/>
      <c r="AT2" s="14"/>
      <c r="AU2" s="14"/>
      <c r="AV2" s="14"/>
      <c r="AW2" s="14"/>
      <c r="AX2" s="14"/>
      <c r="AY2" s="14"/>
      <c r="AZ2" s="14"/>
      <c r="BA2" s="1"/>
      <c r="BB2" s="1"/>
      <c r="BC2" s="14"/>
    </row>
    <row r="3" spans="1:55">
      <c r="A3" s="1" t="s">
        <v>381</v>
      </c>
      <c r="B3" s="1"/>
      <c r="C3" s="1" t="s">
        <v>87</v>
      </c>
      <c r="D3" s="1" t="s">
        <v>382</v>
      </c>
      <c r="E3" s="1" t="s">
        <v>383</v>
      </c>
      <c r="F3" s="1"/>
      <c r="G3" s="1" t="s">
        <v>110</v>
      </c>
      <c r="H3" s="1" t="s">
        <v>384</v>
      </c>
      <c r="I3" s="1" t="s">
        <v>385</v>
      </c>
      <c r="J3" s="1"/>
      <c r="K3" s="1"/>
      <c r="L3" s="1" t="s">
        <v>386</v>
      </c>
      <c r="M3" s="1" t="s">
        <v>111</v>
      </c>
      <c r="N3" s="1" t="s">
        <v>387</v>
      </c>
      <c r="O3" s="1" t="s">
        <v>388</v>
      </c>
      <c r="P3" s="1" t="s">
        <v>389</v>
      </c>
      <c r="Q3" s="1" t="s">
        <v>390</v>
      </c>
      <c r="R3" s="1"/>
      <c r="S3" s="65" t="s">
        <v>391</v>
      </c>
      <c r="T3" s="1" t="s">
        <v>116</v>
      </c>
      <c r="U3" s="1" t="s">
        <v>89</v>
      </c>
      <c r="V3" s="1" t="s">
        <v>105</v>
      </c>
      <c r="W3" s="1" t="s">
        <v>392</v>
      </c>
      <c r="X3" s="1" t="s">
        <v>393</v>
      </c>
      <c r="Y3" s="65" t="s">
        <v>394</v>
      </c>
      <c r="Z3" s="1" t="s">
        <v>119</v>
      </c>
      <c r="AA3" s="1" t="s">
        <v>395</v>
      </c>
      <c r="AB3" s="1" t="s">
        <v>93</v>
      </c>
      <c r="AC3" s="65" t="s">
        <v>396</v>
      </c>
      <c r="AD3" s="1" t="s">
        <v>397</v>
      </c>
      <c r="AE3" s="1" t="s">
        <v>98</v>
      </c>
      <c r="AF3" s="1" t="s">
        <v>398</v>
      </c>
      <c r="AG3" s="66" t="s">
        <v>399</v>
      </c>
      <c r="AH3" s="1"/>
      <c r="AI3" s="1"/>
      <c r="AJ3" s="1"/>
      <c r="AK3" s="1"/>
      <c r="AL3" s="145" t="s">
        <v>400</v>
      </c>
      <c r="AM3" s="145"/>
      <c r="AN3" s="145"/>
      <c r="AO3" s="145" t="s">
        <v>401</v>
      </c>
      <c r="AP3" s="145"/>
      <c r="AQ3" s="145"/>
      <c r="AR3" s="15"/>
      <c r="AS3" s="15"/>
      <c r="AT3" s="15"/>
      <c r="AU3" s="15"/>
      <c r="AV3" s="15"/>
      <c r="AW3" s="15"/>
      <c r="AX3" s="15"/>
      <c r="AY3" s="15"/>
      <c r="AZ3" s="15"/>
      <c r="BA3" s="1"/>
      <c r="BB3" s="1"/>
      <c r="BC3" s="15"/>
    </row>
    <row r="4" spans="1:55">
      <c r="A4" s="1" t="s">
        <v>109</v>
      </c>
      <c r="B4" s="1"/>
      <c r="C4" s="1" t="s">
        <v>88</v>
      </c>
      <c r="D4" s="1" t="s">
        <v>402</v>
      </c>
      <c r="E4" s="1" t="s">
        <v>403</v>
      </c>
      <c r="F4" s="1"/>
      <c r="G4" s="1" t="s">
        <v>386</v>
      </c>
      <c r="H4" s="1" t="s">
        <v>386</v>
      </c>
      <c r="I4" s="1" t="s">
        <v>386</v>
      </c>
      <c r="J4" s="1"/>
      <c r="K4" s="1"/>
      <c r="L4" s="1" t="s">
        <v>404</v>
      </c>
      <c r="M4" s="1" t="s">
        <v>346</v>
      </c>
      <c r="N4" s="1" t="s">
        <v>56</v>
      </c>
      <c r="O4" s="1" t="s">
        <v>405</v>
      </c>
      <c r="P4" s="1" t="s">
        <v>406</v>
      </c>
      <c r="Q4" s="1" t="s">
        <v>407</v>
      </c>
      <c r="R4" s="1"/>
      <c r="S4" s="65" t="s">
        <v>404</v>
      </c>
      <c r="T4" s="1" t="s">
        <v>346</v>
      </c>
      <c r="U4" s="1" t="s">
        <v>56</v>
      </c>
      <c r="V4" s="1" t="s">
        <v>405</v>
      </c>
      <c r="W4" s="1" t="s">
        <v>406</v>
      </c>
      <c r="X4" s="1" t="s">
        <v>407</v>
      </c>
      <c r="Y4" s="65" t="s">
        <v>408</v>
      </c>
      <c r="Z4" s="1" t="s">
        <v>409</v>
      </c>
      <c r="AA4" s="1" t="s">
        <v>410</v>
      </c>
      <c r="AB4" s="1" t="s">
        <v>411</v>
      </c>
      <c r="AC4" s="65" t="s">
        <v>412</v>
      </c>
      <c r="AD4" s="1" t="s">
        <v>408</v>
      </c>
      <c r="AE4" s="1" t="s">
        <v>412</v>
      </c>
      <c r="AF4" s="1" t="s">
        <v>413</v>
      </c>
      <c r="AG4" s="66" t="s">
        <v>414</v>
      </c>
      <c r="AH4" s="1"/>
      <c r="AI4" s="1"/>
      <c r="AJ4" s="1"/>
      <c r="AK4" s="1"/>
      <c r="AL4" s="16" t="s">
        <v>415</v>
      </c>
      <c r="AM4" s="16" t="s">
        <v>416</v>
      </c>
      <c r="AN4" s="16" t="s">
        <v>417</v>
      </c>
      <c r="AO4" s="16" t="s">
        <v>418</v>
      </c>
      <c r="AP4" s="17" t="s">
        <v>419</v>
      </c>
      <c r="AQ4" s="16" t="s">
        <v>420</v>
      </c>
      <c r="AR4" s="15"/>
      <c r="AS4" s="15"/>
      <c r="AT4" s="1" t="s">
        <v>421</v>
      </c>
      <c r="AU4" s="1" t="s">
        <v>422</v>
      </c>
      <c r="AV4" s="1" t="s">
        <v>423</v>
      </c>
      <c r="AW4" s="1" t="s">
        <v>424</v>
      </c>
      <c r="AX4" s="1" t="s">
        <v>425</v>
      </c>
      <c r="AY4" s="1" t="s">
        <v>426</v>
      </c>
      <c r="AZ4" s="15"/>
      <c r="BA4" s="1"/>
      <c r="BB4" s="1"/>
      <c r="BC4" s="15"/>
    </row>
    <row r="5" spans="1:55">
      <c r="A5" s="1" t="s">
        <v>87</v>
      </c>
      <c r="B5" s="1"/>
      <c r="C5" s="1" t="s">
        <v>92</v>
      </c>
      <c r="D5" s="1" t="s">
        <v>427</v>
      </c>
      <c r="E5" s="1" t="s">
        <v>428</v>
      </c>
      <c r="F5" s="1"/>
      <c r="G5" s="1" t="s">
        <v>111</v>
      </c>
      <c r="H5" s="1" t="s">
        <v>111</v>
      </c>
      <c r="I5" s="1" t="s">
        <v>111</v>
      </c>
      <c r="J5" s="1"/>
      <c r="K5" s="1"/>
      <c r="L5" s="1" t="s">
        <v>429</v>
      </c>
      <c r="M5" s="1" t="s">
        <v>430</v>
      </c>
      <c r="N5" s="1" t="s">
        <v>431</v>
      </c>
      <c r="O5" s="1" t="s">
        <v>65</v>
      </c>
      <c r="P5" s="1" t="s">
        <v>343</v>
      </c>
      <c r="Q5" s="1" t="s">
        <v>432</v>
      </c>
      <c r="R5" s="1"/>
      <c r="S5" s="65" t="s">
        <v>429</v>
      </c>
      <c r="T5" s="1" t="s">
        <v>430</v>
      </c>
      <c r="U5" s="1" t="s">
        <v>431</v>
      </c>
      <c r="V5" s="1" t="s">
        <v>65</v>
      </c>
      <c r="W5" s="1" t="s">
        <v>343</v>
      </c>
      <c r="X5" s="1" t="s">
        <v>432</v>
      </c>
      <c r="Y5" s="65" t="s">
        <v>406</v>
      </c>
      <c r="Z5" s="1" t="s">
        <v>405</v>
      </c>
      <c r="AA5" s="1" t="s">
        <v>433</v>
      </c>
      <c r="AB5" s="1" t="s">
        <v>434</v>
      </c>
      <c r="AC5" s="65" t="s">
        <v>435</v>
      </c>
      <c r="AD5" s="1" t="s">
        <v>436</v>
      </c>
      <c r="AE5" s="67" t="s">
        <v>437</v>
      </c>
      <c r="AF5" s="1" t="s">
        <v>438</v>
      </c>
      <c r="AG5" s="66" t="s">
        <v>439</v>
      </c>
      <c r="AH5" s="1"/>
      <c r="AI5" s="1"/>
      <c r="AJ5" s="1"/>
      <c r="AK5" s="1"/>
      <c r="AL5" s="18" t="s">
        <v>440</v>
      </c>
      <c r="AM5" s="18" t="s">
        <v>441</v>
      </c>
      <c r="AN5" s="18" t="s">
        <v>433</v>
      </c>
      <c r="AO5" s="18" t="s">
        <v>442</v>
      </c>
      <c r="AP5" s="18" t="s">
        <v>406</v>
      </c>
      <c r="AQ5" s="18" t="s">
        <v>103</v>
      </c>
      <c r="AR5" s="18"/>
      <c r="AS5" s="18"/>
      <c r="AT5" s="19" t="s">
        <v>440</v>
      </c>
      <c r="AU5" s="20" t="s">
        <v>346</v>
      </c>
      <c r="AV5" s="19" t="s">
        <v>442</v>
      </c>
      <c r="AW5" s="19" t="s">
        <v>433</v>
      </c>
      <c r="AX5" s="20" t="s">
        <v>412</v>
      </c>
      <c r="AY5" s="20" t="s">
        <v>412</v>
      </c>
      <c r="AZ5" s="18"/>
      <c r="BA5" s="1"/>
      <c r="BB5" s="1"/>
      <c r="BC5" s="18"/>
    </row>
    <row r="6" spans="1:55">
      <c r="A6" s="1" t="s">
        <v>382</v>
      </c>
      <c r="B6" s="1"/>
      <c r="C6" s="1" t="s">
        <v>97</v>
      </c>
      <c r="D6" s="1" t="s">
        <v>443</v>
      </c>
      <c r="E6" s="1" t="s">
        <v>444</v>
      </c>
      <c r="F6" s="1"/>
      <c r="G6" s="1" t="s">
        <v>387</v>
      </c>
      <c r="H6" s="1" t="s">
        <v>387</v>
      </c>
      <c r="I6" s="1" t="s">
        <v>387</v>
      </c>
      <c r="J6" s="1"/>
      <c r="K6" s="1"/>
      <c r="L6" s="1" t="s">
        <v>445</v>
      </c>
      <c r="M6" s="1" t="s">
        <v>446</v>
      </c>
      <c r="N6" s="1" t="s">
        <v>101</v>
      </c>
      <c r="O6" s="1" t="s">
        <v>447</v>
      </c>
      <c r="P6" s="1" t="s">
        <v>411</v>
      </c>
      <c r="Q6" s="1" t="s">
        <v>448</v>
      </c>
      <c r="R6" s="1"/>
      <c r="S6" s="65" t="s">
        <v>445</v>
      </c>
      <c r="T6" s="1" t="s">
        <v>446</v>
      </c>
      <c r="U6" s="1" t="s">
        <v>101</v>
      </c>
      <c r="V6" s="1" t="s">
        <v>447</v>
      </c>
      <c r="W6" s="1" t="s">
        <v>411</v>
      </c>
      <c r="X6" s="1" t="s">
        <v>448</v>
      </c>
      <c r="Y6" s="65" t="s">
        <v>449</v>
      </c>
      <c r="Z6" s="1" t="s">
        <v>449</v>
      </c>
      <c r="AA6" s="1" t="s">
        <v>406</v>
      </c>
      <c r="AB6" s="1" t="s">
        <v>441</v>
      </c>
      <c r="AC6" s="65" t="s">
        <v>450</v>
      </c>
      <c r="AD6" s="1" t="s">
        <v>440</v>
      </c>
      <c r="AE6" s="1" t="s">
        <v>440</v>
      </c>
      <c r="AF6" s="1" t="s">
        <v>411</v>
      </c>
      <c r="AG6" s="66" t="s">
        <v>451</v>
      </c>
      <c r="AH6" s="1"/>
      <c r="AI6" s="1"/>
      <c r="AJ6" s="1"/>
      <c r="AK6" s="1"/>
      <c r="AL6" s="18" t="s">
        <v>445</v>
      </c>
      <c r="AM6" s="18" t="s">
        <v>452</v>
      </c>
      <c r="AN6" s="18" t="s">
        <v>442</v>
      </c>
      <c r="AO6" s="18" t="s">
        <v>405</v>
      </c>
      <c r="AP6" s="18" t="s">
        <v>453</v>
      </c>
      <c r="AQ6" s="18" t="s">
        <v>454</v>
      </c>
      <c r="AR6" s="18"/>
      <c r="AS6" s="18"/>
      <c r="AT6" s="21" t="s">
        <v>445</v>
      </c>
      <c r="AU6" s="22" t="s">
        <v>430</v>
      </c>
      <c r="AV6" s="20" t="s">
        <v>405</v>
      </c>
      <c r="AW6" s="21" t="s">
        <v>442</v>
      </c>
      <c r="AX6" s="22" t="s">
        <v>413</v>
      </c>
      <c r="AY6" s="20" t="s">
        <v>437</v>
      </c>
      <c r="AZ6" s="18"/>
      <c r="BA6" s="1"/>
      <c r="BB6" s="1"/>
      <c r="BC6" s="18"/>
    </row>
    <row r="7" spans="1:55">
      <c r="A7" s="1" t="s">
        <v>383</v>
      </c>
      <c r="B7" s="1"/>
      <c r="C7" s="1"/>
      <c r="D7" s="1" t="s">
        <v>455</v>
      </c>
      <c r="E7" s="1"/>
      <c r="F7" s="1"/>
      <c r="G7" s="1" t="s">
        <v>388</v>
      </c>
      <c r="H7" s="1" t="s">
        <v>388</v>
      </c>
      <c r="I7" s="1" t="s">
        <v>388</v>
      </c>
      <c r="J7" s="1"/>
      <c r="K7" s="1"/>
      <c r="L7" s="1" t="s">
        <v>456</v>
      </c>
      <c r="M7" s="1" t="s">
        <v>347</v>
      </c>
      <c r="N7" s="1" t="s">
        <v>457</v>
      </c>
      <c r="O7" s="1" t="s">
        <v>458</v>
      </c>
      <c r="P7" s="1" t="s">
        <v>411</v>
      </c>
      <c r="Q7" s="1" t="s">
        <v>459</v>
      </c>
      <c r="R7" s="1"/>
      <c r="S7" s="65" t="s">
        <v>456</v>
      </c>
      <c r="T7" s="1" t="s">
        <v>347</v>
      </c>
      <c r="U7" s="1" t="s">
        <v>457</v>
      </c>
      <c r="V7" s="1" t="s">
        <v>458</v>
      </c>
      <c r="W7" s="1" t="s">
        <v>411</v>
      </c>
      <c r="X7" s="1" t="s">
        <v>459</v>
      </c>
      <c r="Y7" s="65" t="s">
        <v>459</v>
      </c>
      <c r="Z7" s="1" t="s">
        <v>460</v>
      </c>
      <c r="AA7" s="1" t="s">
        <v>449</v>
      </c>
      <c r="AB7" s="1" t="s">
        <v>461</v>
      </c>
      <c r="AC7" s="65" t="s">
        <v>56</v>
      </c>
      <c r="AD7" s="1" t="s">
        <v>462</v>
      </c>
      <c r="AE7" s="1" t="s">
        <v>463</v>
      </c>
      <c r="AF7" s="1" t="s">
        <v>464</v>
      </c>
      <c r="AG7" s="66" t="s">
        <v>465</v>
      </c>
      <c r="AH7" s="1"/>
      <c r="AI7" s="1"/>
      <c r="AJ7" s="1"/>
      <c r="AK7" s="1"/>
      <c r="AL7" s="18" t="s">
        <v>466</v>
      </c>
      <c r="AM7" s="18" t="s">
        <v>467</v>
      </c>
      <c r="AN7" s="18" t="s">
        <v>447</v>
      </c>
      <c r="AO7" s="18" t="s">
        <v>468</v>
      </c>
      <c r="AP7" s="18" t="s">
        <v>451</v>
      </c>
      <c r="AQ7" s="18" t="s">
        <v>469</v>
      </c>
      <c r="AR7" s="18"/>
      <c r="AS7" s="18"/>
      <c r="AT7" s="19" t="s">
        <v>466</v>
      </c>
      <c r="AU7" s="1" t="s">
        <v>441</v>
      </c>
      <c r="AV7" s="22" t="s">
        <v>65</v>
      </c>
      <c r="AW7" s="20" t="s">
        <v>56</v>
      </c>
      <c r="AX7" s="20" t="s">
        <v>437</v>
      </c>
      <c r="AY7" s="20" t="s">
        <v>439</v>
      </c>
      <c r="AZ7" s="18"/>
      <c r="BA7" s="1"/>
      <c r="BB7" s="1"/>
      <c r="BC7" s="18"/>
    </row>
    <row r="8" spans="1:55">
      <c r="A8" s="1"/>
      <c r="B8" s="1"/>
      <c r="C8" s="1"/>
      <c r="D8" s="1"/>
      <c r="E8" s="1"/>
      <c r="F8" s="1"/>
      <c r="G8" s="1" t="s">
        <v>389</v>
      </c>
      <c r="H8" s="1" t="s">
        <v>389</v>
      </c>
      <c r="I8" s="1" t="s">
        <v>389</v>
      </c>
      <c r="J8" s="1"/>
      <c r="K8" s="1"/>
      <c r="L8" s="1" t="s">
        <v>470</v>
      </c>
      <c r="M8" s="1" t="s">
        <v>471</v>
      </c>
      <c r="N8" s="1" t="s">
        <v>348</v>
      </c>
      <c r="O8" s="1" t="s">
        <v>452</v>
      </c>
      <c r="P8" s="1" t="s">
        <v>472</v>
      </c>
      <c r="Q8" s="1" t="s">
        <v>473</v>
      </c>
      <c r="R8" s="1"/>
      <c r="S8" s="65" t="s">
        <v>470</v>
      </c>
      <c r="T8" s="1" t="s">
        <v>471</v>
      </c>
      <c r="U8" s="1" t="s">
        <v>348</v>
      </c>
      <c r="V8" s="1" t="s">
        <v>452</v>
      </c>
      <c r="W8" s="1" t="s">
        <v>472</v>
      </c>
      <c r="X8" s="1" t="s">
        <v>473</v>
      </c>
      <c r="Y8" s="65" t="s">
        <v>65</v>
      </c>
      <c r="Z8" s="1" t="s">
        <v>56</v>
      </c>
      <c r="AA8" s="1" t="s">
        <v>474</v>
      </c>
      <c r="AB8" s="1" t="s">
        <v>475</v>
      </c>
      <c r="AC8" s="65" t="s">
        <v>476</v>
      </c>
      <c r="AD8" s="67" t="s">
        <v>344</v>
      </c>
      <c r="AE8" s="1" t="s">
        <v>477</v>
      </c>
      <c r="AF8" s="1" t="s">
        <v>478</v>
      </c>
      <c r="AG8" s="66" t="s">
        <v>458</v>
      </c>
      <c r="AH8" s="1"/>
      <c r="AI8" s="1"/>
      <c r="AJ8" s="1"/>
      <c r="AK8" s="1"/>
      <c r="AL8" s="18" t="s">
        <v>470</v>
      </c>
      <c r="AM8" s="18" t="s">
        <v>479</v>
      </c>
      <c r="AN8" s="18" t="s">
        <v>458</v>
      </c>
      <c r="AO8" s="18" t="s">
        <v>480</v>
      </c>
      <c r="AP8" s="18" t="s">
        <v>481</v>
      </c>
      <c r="AQ8" s="18" t="s">
        <v>482</v>
      </c>
      <c r="AR8" s="18"/>
      <c r="AS8" s="18"/>
      <c r="AT8" s="21" t="s">
        <v>470</v>
      </c>
      <c r="AU8" s="20" t="s">
        <v>446</v>
      </c>
      <c r="AV8" s="20" t="s">
        <v>56</v>
      </c>
      <c r="AW8" s="19" t="s">
        <v>447</v>
      </c>
      <c r="AX8" s="22" t="s">
        <v>439</v>
      </c>
      <c r="AY8" s="20" t="s">
        <v>463</v>
      </c>
      <c r="AZ8" s="18"/>
      <c r="BA8" s="1"/>
      <c r="BB8" s="1"/>
      <c r="BC8" s="18"/>
    </row>
    <row r="9" spans="1:55">
      <c r="A9" s="1"/>
      <c r="B9" s="1"/>
      <c r="C9" s="1"/>
      <c r="D9" s="1"/>
      <c r="E9" s="1"/>
      <c r="F9" s="1"/>
      <c r="G9" s="1" t="s">
        <v>390</v>
      </c>
      <c r="H9" s="1" t="s">
        <v>390</v>
      </c>
      <c r="I9" s="1" t="s">
        <v>390</v>
      </c>
      <c r="J9" s="1"/>
      <c r="K9" s="1"/>
      <c r="L9" s="1" t="s">
        <v>351</v>
      </c>
      <c r="M9" s="1" t="s">
        <v>483</v>
      </c>
      <c r="N9" s="1" t="s">
        <v>484</v>
      </c>
      <c r="O9" s="1" t="s">
        <v>478</v>
      </c>
      <c r="P9" s="1" t="s">
        <v>485</v>
      </c>
      <c r="Q9" s="1" t="s">
        <v>344</v>
      </c>
      <c r="R9" s="1"/>
      <c r="S9" s="65" t="s">
        <v>351</v>
      </c>
      <c r="T9" s="1" t="s">
        <v>483</v>
      </c>
      <c r="U9" s="67" t="s">
        <v>484</v>
      </c>
      <c r="V9" s="1" t="s">
        <v>478</v>
      </c>
      <c r="W9" s="1" t="s">
        <v>485</v>
      </c>
      <c r="X9" s="1" t="s">
        <v>344</v>
      </c>
      <c r="Y9" s="65" t="s">
        <v>56</v>
      </c>
      <c r="Z9" s="1" t="s">
        <v>411</v>
      </c>
      <c r="AA9" s="1" t="s">
        <v>486</v>
      </c>
      <c r="AB9" s="1" t="s">
        <v>457</v>
      </c>
      <c r="AC9" s="65" t="s">
        <v>476</v>
      </c>
      <c r="AD9" s="1" t="s">
        <v>487</v>
      </c>
      <c r="AE9" s="1" t="s">
        <v>488</v>
      </c>
      <c r="AF9" s="1" t="s">
        <v>489</v>
      </c>
      <c r="AG9" s="66" t="s">
        <v>490</v>
      </c>
      <c r="AH9" s="1"/>
      <c r="AI9" s="1"/>
      <c r="AJ9" s="1"/>
      <c r="AK9" s="1"/>
      <c r="AL9" s="18" t="s">
        <v>351</v>
      </c>
      <c r="AM9" s="18" t="s">
        <v>491</v>
      </c>
      <c r="AN9" s="18" t="s">
        <v>464</v>
      </c>
      <c r="AO9" s="18" t="s">
        <v>458</v>
      </c>
      <c r="AP9" s="18" t="s">
        <v>492</v>
      </c>
      <c r="AQ9" s="18" t="s">
        <v>493</v>
      </c>
      <c r="AR9" s="18"/>
      <c r="AS9" s="18"/>
      <c r="AT9" s="19" t="s">
        <v>351</v>
      </c>
      <c r="AU9" s="21" t="s">
        <v>452</v>
      </c>
      <c r="AV9" s="20" t="s">
        <v>468</v>
      </c>
      <c r="AW9" s="22" t="s">
        <v>431</v>
      </c>
      <c r="AX9" s="22" t="s">
        <v>440</v>
      </c>
      <c r="AY9" s="22" t="s">
        <v>477</v>
      </c>
      <c r="AZ9" s="18"/>
      <c r="BA9" s="1"/>
      <c r="BB9" s="1"/>
      <c r="BC9" s="18"/>
    </row>
    <row r="10" spans="1:55">
      <c r="A10" s="1"/>
      <c r="B10" s="1"/>
      <c r="C10" s="1"/>
      <c r="D10" s="1"/>
      <c r="E10" s="1"/>
      <c r="F10" s="1"/>
      <c r="G10" s="1"/>
      <c r="H10" s="1"/>
      <c r="I10" s="1"/>
      <c r="J10" s="1"/>
      <c r="K10" s="1"/>
      <c r="L10" s="1" t="s">
        <v>494</v>
      </c>
      <c r="M10" s="1" t="s">
        <v>495</v>
      </c>
      <c r="N10" s="1" t="s">
        <v>479</v>
      </c>
      <c r="O10" s="1" t="s">
        <v>467</v>
      </c>
      <c r="P10" s="1" t="s">
        <v>447</v>
      </c>
      <c r="Q10" s="1" t="s">
        <v>345</v>
      </c>
      <c r="R10" s="1"/>
      <c r="S10" s="65" t="s">
        <v>494</v>
      </c>
      <c r="T10" s="1" t="s">
        <v>495</v>
      </c>
      <c r="U10" s="1" t="s">
        <v>479</v>
      </c>
      <c r="V10" s="1" t="s">
        <v>467</v>
      </c>
      <c r="W10" s="1" t="s">
        <v>447</v>
      </c>
      <c r="X10" s="1" t="s">
        <v>345</v>
      </c>
      <c r="Y10" s="65" t="s">
        <v>496</v>
      </c>
      <c r="Z10" s="1" t="s">
        <v>475</v>
      </c>
      <c r="AA10" s="1" t="s">
        <v>475</v>
      </c>
      <c r="AB10" s="1" t="s">
        <v>348</v>
      </c>
      <c r="AC10" s="65" t="s">
        <v>497</v>
      </c>
      <c r="AD10" s="1" t="s">
        <v>441</v>
      </c>
      <c r="AE10" s="1" t="s">
        <v>451</v>
      </c>
      <c r="AF10" s="1" t="s">
        <v>498</v>
      </c>
      <c r="AG10" s="66" t="s">
        <v>499</v>
      </c>
      <c r="AH10" s="1"/>
      <c r="AI10" s="1"/>
      <c r="AJ10" s="1"/>
      <c r="AK10" s="1"/>
      <c r="AL10" s="18" t="s">
        <v>494</v>
      </c>
      <c r="AM10" s="18" t="s">
        <v>500</v>
      </c>
      <c r="AN10" s="18" t="s">
        <v>501</v>
      </c>
      <c r="AO10" s="18" t="s">
        <v>502</v>
      </c>
      <c r="AP10" s="18" t="s">
        <v>101</v>
      </c>
      <c r="AQ10" s="18" t="s">
        <v>362</v>
      </c>
      <c r="AR10" s="18"/>
      <c r="AS10" s="18"/>
      <c r="AT10" s="21" t="s">
        <v>494</v>
      </c>
      <c r="AU10" s="22" t="s">
        <v>347</v>
      </c>
      <c r="AV10" s="22" t="s">
        <v>480</v>
      </c>
      <c r="AW10" s="21" t="s">
        <v>458</v>
      </c>
      <c r="AX10" s="22" t="s">
        <v>463</v>
      </c>
      <c r="AY10" s="20" t="s">
        <v>488</v>
      </c>
      <c r="AZ10" s="18"/>
      <c r="BA10" s="1"/>
      <c r="BB10" s="1"/>
      <c r="BC10" s="18"/>
    </row>
    <row r="11" spans="1:55">
      <c r="A11" s="1"/>
      <c r="B11" s="1"/>
      <c r="C11" s="1"/>
      <c r="D11" s="1"/>
      <c r="E11" s="1"/>
      <c r="F11" s="1"/>
      <c r="G11" s="1" t="s">
        <v>402</v>
      </c>
      <c r="H11" s="1" t="s">
        <v>427</v>
      </c>
      <c r="I11" s="1" t="s">
        <v>503</v>
      </c>
      <c r="J11" s="1" t="s">
        <v>455</v>
      </c>
      <c r="K11" s="1"/>
      <c r="L11" s="1" t="s">
        <v>479</v>
      </c>
      <c r="M11" s="1" t="s">
        <v>504</v>
      </c>
      <c r="N11" s="1" t="s">
        <v>505</v>
      </c>
      <c r="O11" s="1" t="s">
        <v>483</v>
      </c>
      <c r="P11" s="1" t="s">
        <v>457</v>
      </c>
      <c r="Q11" s="1" t="s">
        <v>506</v>
      </c>
      <c r="R11" s="1"/>
      <c r="S11" s="65" t="s">
        <v>479</v>
      </c>
      <c r="T11" s="1" t="s">
        <v>504</v>
      </c>
      <c r="U11" s="1" t="s">
        <v>505</v>
      </c>
      <c r="V11" s="1" t="s">
        <v>483</v>
      </c>
      <c r="W11" s="1" t="s">
        <v>457</v>
      </c>
      <c r="X11" s="1" t="s">
        <v>506</v>
      </c>
      <c r="Y11" s="65" t="s">
        <v>411</v>
      </c>
      <c r="Z11" s="1" t="s">
        <v>348</v>
      </c>
      <c r="AA11" s="1" t="s">
        <v>507</v>
      </c>
      <c r="AB11" s="1" t="s">
        <v>508</v>
      </c>
      <c r="AC11" s="75" t="s">
        <v>465</v>
      </c>
      <c r="AD11" s="1" t="s">
        <v>490</v>
      </c>
      <c r="AE11" s="1" t="s">
        <v>476</v>
      </c>
      <c r="AF11" s="68" t="s">
        <v>351</v>
      </c>
      <c r="AG11" s="66" t="s">
        <v>509</v>
      </c>
      <c r="AH11" s="1"/>
      <c r="AI11" s="1"/>
      <c r="AJ11" s="1"/>
      <c r="AK11" s="1"/>
      <c r="AL11" s="18" t="s">
        <v>510</v>
      </c>
      <c r="AM11" s="18" t="s">
        <v>511</v>
      </c>
      <c r="AN11" s="18" t="s">
        <v>479</v>
      </c>
      <c r="AO11" s="18" t="s">
        <v>452</v>
      </c>
      <c r="AP11" s="18" t="s">
        <v>452</v>
      </c>
      <c r="AQ11" s="18" t="s">
        <v>512</v>
      </c>
      <c r="AR11" s="18"/>
      <c r="AS11" s="18"/>
      <c r="AT11" s="19" t="s">
        <v>510</v>
      </c>
      <c r="AU11" s="19" t="s">
        <v>467</v>
      </c>
      <c r="AV11" s="20" t="s">
        <v>447</v>
      </c>
      <c r="AW11" s="20" t="s">
        <v>101</v>
      </c>
      <c r="AX11" s="22" t="s">
        <v>477</v>
      </c>
      <c r="AY11" s="20" t="s">
        <v>438</v>
      </c>
      <c r="AZ11" s="18"/>
      <c r="BA11" s="1"/>
      <c r="BB11" s="1"/>
      <c r="BC11" s="18"/>
    </row>
    <row r="12" spans="1:55">
      <c r="A12" s="1"/>
      <c r="B12" s="1"/>
      <c r="C12" s="1"/>
      <c r="D12" s="1"/>
      <c r="E12" s="1"/>
      <c r="F12" s="1"/>
      <c r="G12" s="1" t="s">
        <v>415</v>
      </c>
      <c r="H12" s="1" t="s">
        <v>415</v>
      </c>
      <c r="I12" s="1" t="s">
        <v>415</v>
      </c>
      <c r="J12" s="1" t="s">
        <v>415</v>
      </c>
      <c r="K12" s="1"/>
      <c r="L12" s="1" t="s">
        <v>513</v>
      </c>
      <c r="M12" s="1" t="s">
        <v>513</v>
      </c>
      <c r="N12" s="1" t="s">
        <v>514</v>
      </c>
      <c r="O12" s="1" t="s">
        <v>489</v>
      </c>
      <c r="P12" s="1" t="s">
        <v>515</v>
      </c>
      <c r="Q12" s="1" t="s">
        <v>447</v>
      </c>
      <c r="R12" s="1"/>
      <c r="S12" s="65" t="s">
        <v>513</v>
      </c>
      <c r="T12" s="1" t="s">
        <v>513</v>
      </c>
      <c r="U12" s="1" t="s">
        <v>514</v>
      </c>
      <c r="V12" s="1" t="s">
        <v>489</v>
      </c>
      <c r="W12" s="1" t="s">
        <v>515</v>
      </c>
      <c r="X12" s="1" t="s">
        <v>447</v>
      </c>
      <c r="Y12" s="65" t="s">
        <v>344</v>
      </c>
      <c r="Z12" s="1" t="s">
        <v>516</v>
      </c>
      <c r="AA12" s="1" t="s">
        <v>517</v>
      </c>
      <c r="AB12" s="1" t="s">
        <v>518</v>
      </c>
      <c r="AC12" s="65" t="s">
        <v>441</v>
      </c>
      <c r="AD12" s="1" t="s">
        <v>347</v>
      </c>
      <c r="AE12" s="1" t="s">
        <v>462</v>
      </c>
      <c r="AF12" s="68" t="s">
        <v>519</v>
      </c>
      <c r="AG12" s="66" t="s">
        <v>348</v>
      </c>
      <c r="AH12" s="1"/>
      <c r="AI12" s="1"/>
      <c r="AJ12" s="1"/>
      <c r="AK12" s="1"/>
      <c r="AL12" s="18" t="s">
        <v>520</v>
      </c>
      <c r="AM12" s="18" t="s">
        <v>521</v>
      </c>
      <c r="AN12" s="18" t="s">
        <v>103</v>
      </c>
      <c r="AO12" s="18" t="s">
        <v>522</v>
      </c>
      <c r="AP12" s="18" t="s">
        <v>523</v>
      </c>
      <c r="AQ12" s="18" t="s">
        <v>524</v>
      </c>
      <c r="AR12" s="18"/>
      <c r="AS12" s="18"/>
      <c r="AT12" s="21" t="s">
        <v>520</v>
      </c>
      <c r="AU12" s="20" t="s">
        <v>471</v>
      </c>
      <c r="AV12" s="22" t="s">
        <v>431</v>
      </c>
      <c r="AW12" s="22" t="s">
        <v>457</v>
      </c>
      <c r="AX12" s="20" t="s">
        <v>488</v>
      </c>
      <c r="AY12" s="22" t="s">
        <v>476</v>
      </c>
      <c r="AZ12" s="18"/>
      <c r="BA12" s="1"/>
      <c r="BB12" s="1"/>
      <c r="BC12" s="18"/>
    </row>
    <row r="13" spans="1:55">
      <c r="A13" s="1"/>
      <c r="B13" s="1"/>
      <c r="C13" s="1"/>
      <c r="D13" s="1"/>
      <c r="E13" s="1"/>
      <c r="F13" s="1"/>
      <c r="G13" s="1" t="s">
        <v>416</v>
      </c>
      <c r="H13" s="1" t="s">
        <v>416</v>
      </c>
      <c r="I13" s="1" t="s">
        <v>416</v>
      </c>
      <c r="J13" s="1" t="s">
        <v>416</v>
      </c>
      <c r="K13" s="1"/>
      <c r="L13" s="1" t="s">
        <v>520</v>
      </c>
      <c r="M13" s="1" t="s">
        <v>519</v>
      </c>
      <c r="N13" s="1" t="s">
        <v>525</v>
      </c>
      <c r="O13" s="1" t="s">
        <v>504</v>
      </c>
      <c r="P13" s="1" t="s">
        <v>526</v>
      </c>
      <c r="Q13" s="1" t="s">
        <v>527</v>
      </c>
      <c r="R13" s="1"/>
      <c r="S13" s="65" t="s">
        <v>520</v>
      </c>
      <c r="T13" s="1" t="s">
        <v>519</v>
      </c>
      <c r="U13" s="1" t="s">
        <v>525</v>
      </c>
      <c r="V13" s="1" t="s">
        <v>504</v>
      </c>
      <c r="W13" s="1" t="s">
        <v>526</v>
      </c>
      <c r="X13" s="1" t="s">
        <v>527</v>
      </c>
      <c r="Y13" s="65" t="s">
        <v>528</v>
      </c>
      <c r="Z13" s="1" t="s">
        <v>514</v>
      </c>
      <c r="AA13" s="1" t="s">
        <v>529</v>
      </c>
      <c r="AB13" s="1" t="s">
        <v>530</v>
      </c>
      <c r="AC13" s="65" t="s">
        <v>348</v>
      </c>
      <c r="AD13" s="1" t="s">
        <v>349</v>
      </c>
      <c r="AE13" s="1" t="s">
        <v>531</v>
      </c>
      <c r="AF13" s="68" t="s">
        <v>505</v>
      </c>
      <c r="AG13" s="66" t="s">
        <v>532</v>
      </c>
      <c r="AH13" s="1"/>
      <c r="AI13" s="1"/>
      <c r="AJ13" s="1"/>
      <c r="AK13" s="1"/>
      <c r="AL13" s="18" t="s">
        <v>533</v>
      </c>
      <c r="AM13" s="18" t="s">
        <v>534</v>
      </c>
      <c r="AN13" s="18" t="s">
        <v>535</v>
      </c>
      <c r="AO13" s="18" t="s">
        <v>536</v>
      </c>
      <c r="AP13" s="18" t="s">
        <v>457</v>
      </c>
      <c r="AQ13" s="18" t="s">
        <v>537</v>
      </c>
      <c r="AR13" s="18"/>
      <c r="AS13" s="18"/>
      <c r="AT13" s="19" t="s">
        <v>533</v>
      </c>
      <c r="AU13" s="22" t="s">
        <v>483</v>
      </c>
      <c r="AV13" s="22" t="s">
        <v>458</v>
      </c>
      <c r="AW13" s="20" t="s">
        <v>348</v>
      </c>
      <c r="AX13" s="22" t="s">
        <v>438</v>
      </c>
      <c r="AY13" s="20" t="s">
        <v>462</v>
      </c>
      <c r="AZ13" s="18"/>
      <c r="BA13" s="1"/>
      <c r="BB13" s="1"/>
      <c r="BC13" s="18"/>
    </row>
    <row r="14" spans="1:55">
      <c r="A14" s="1"/>
      <c r="B14" s="1"/>
      <c r="C14" s="1"/>
      <c r="D14" s="1"/>
      <c r="E14" s="1"/>
      <c r="F14" s="1"/>
      <c r="G14" s="1" t="s">
        <v>417</v>
      </c>
      <c r="H14" s="1" t="s">
        <v>417</v>
      </c>
      <c r="I14" s="1" t="s">
        <v>417</v>
      </c>
      <c r="J14" s="1" t="s">
        <v>417</v>
      </c>
      <c r="K14" s="1"/>
      <c r="L14" s="1" t="s">
        <v>538</v>
      </c>
      <c r="M14" s="1" t="s">
        <v>514</v>
      </c>
      <c r="N14" s="1" t="s">
        <v>353</v>
      </c>
      <c r="O14" s="1" t="s">
        <v>539</v>
      </c>
      <c r="P14" s="1" t="s">
        <v>464</v>
      </c>
      <c r="Q14" s="1" t="s">
        <v>540</v>
      </c>
      <c r="R14" s="1"/>
      <c r="S14" s="65" t="s">
        <v>538</v>
      </c>
      <c r="T14" s="1" t="s">
        <v>514</v>
      </c>
      <c r="U14" s="78" t="s">
        <v>353</v>
      </c>
      <c r="V14" s="1" t="s">
        <v>539</v>
      </c>
      <c r="W14" s="1" t="s">
        <v>464</v>
      </c>
      <c r="X14" s="1" t="s">
        <v>540</v>
      </c>
      <c r="Y14" s="65" t="s">
        <v>492</v>
      </c>
      <c r="Z14" s="1" t="s">
        <v>541</v>
      </c>
      <c r="AA14" s="1" t="s">
        <v>542</v>
      </c>
      <c r="AB14" s="1" t="s">
        <v>541</v>
      </c>
      <c r="AC14" s="65" t="s">
        <v>529</v>
      </c>
      <c r="AD14" s="1" t="s">
        <v>543</v>
      </c>
      <c r="AE14" s="1" t="s">
        <v>544</v>
      </c>
      <c r="AF14" s="1" t="s">
        <v>545</v>
      </c>
      <c r="AG14" s="66" t="s">
        <v>546</v>
      </c>
      <c r="AH14" s="1"/>
      <c r="AI14" s="1"/>
      <c r="AJ14" s="1"/>
      <c r="AK14" s="1"/>
      <c r="AL14" s="18" t="s">
        <v>547</v>
      </c>
      <c r="AM14" s="18" t="s">
        <v>548</v>
      </c>
      <c r="AN14" s="18" t="s">
        <v>520</v>
      </c>
      <c r="AO14" s="18" t="s">
        <v>549</v>
      </c>
      <c r="AP14" s="18" t="s">
        <v>484</v>
      </c>
      <c r="AQ14" s="18" t="s">
        <v>550</v>
      </c>
      <c r="AR14" s="18"/>
      <c r="AS14" s="18"/>
      <c r="AT14" s="21" t="s">
        <v>547</v>
      </c>
      <c r="AU14" s="20" t="s">
        <v>495</v>
      </c>
      <c r="AV14" s="21" t="s">
        <v>502</v>
      </c>
      <c r="AW14" s="19" t="s">
        <v>464</v>
      </c>
      <c r="AX14" s="22" t="s">
        <v>451</v>
      </c>
      <c r="AY14" s="20" t="s">
        <v>531</v>
      </c>
      <c r="AZ14" s="18"/>
      <c r="BA14" s="1"/>
      <c r="BB14" s="1"/>
      <c r="BC14" s="18"/>
    </row>
    <row r="15" spans="1:55">
      <c r="A15" s="1"/>
      <c r="B15" s="1"/>
      <c r="C15" s="1"/>
      <c r="D15" s="1"/>
      <c r="E15" s="1"/>
      <c r="F15" s="1"/>
      <c r="G15" s="1" t="s">
        <v>418</v>
      </c>
      <c r="H15" s="1" t="s">
        <v>418</v>
      </c>
      <c r="I15" s="1" t="s">
        <v>418</v>
      </c>
      <c r="J15" s="1" t="s">
        <v>418</v>
      </c>
      <c r="K15" s="1"/>
      <c r="L15" s="1" t="s">
        <v>533</v>
      </c>
      <c r="M15" s="1" t="s">
        <v>491</v>
      </c>
      <c r="N15" s="1" t="s">
        <v>535</v>
      </c>
      <c r="O15" s="1" t="s">
        <v>103</v>
      </c>
      <c r="P15" s="1" t="s">
        <v>484</v>
      </c>
      <c r="Q15" s="1" t="s">
        <v>441</v>
      </c>
      <c r="R15" s="1"/>
      <c r="S15" s="65" t="s">
        <v>533</v>
      </c>
      <c r="T15" s="1" t="s">
        <v>491</v>
      </c>
      <c r="U15" s="1" t="s">
        <v>535</v>
      </c>
      <c r="V15" s="1" t="s">
        <v>103</v>
      </c>
      <c r="W15" s="1" t="s">
        <v>484</v>
      </c>
      <c r="X15" s="1" t="s">
        <v>441</v>
      </c>
      <c r="Y15" s="65" t="s">
        <v>452</v>
      </c>
      <c r="Z15" s="74" t="s">
        <v>352</v>
      </c>
      <c r="AA15" s="1" t="s">
        <v>352</v>
      </c>
      <c r="AB15" s="68" t="s">
        <v>353</v>
      </c>
      <c r="AC15" s="65" t="s">
        <v>470</v>
      </c>
      <c r="AD15" s="1" t="s">
        <v>551</v>
      </c>
      <c r="AE15" s="1" t="s">
        <v>465</v>
      </c>
      <c r="AF15" s="1" t="s">
        <v>552</v>
      </c>
      <c r="AG15" s="79" t="s">
        <v>553</v>
      </c>
      <c r="AH15" s="1"/>
      <c r="AI15" s="1"/>
      <c r="AJ15" s="1"/>
      <c r="AK15" s="1"/>
      <c r="AL15" s="18" t="s">
        <v>554</v>
      </c>
      <c r="AM15" s="18" t="s">
        <v>555</v>
      </c>
      <c r="AN15" s="18" t="s">
        <v>99</v>
      </c>
      <c r="AO15" s="18" t="s">
        <v>556</v>
      </c>
      <c r="AP15" s="18" t="s">
        <v>557</v>
      </c>
      <c r="AQ15" s="18" t="s">
        <v>558</v>
      </c>
      <c r="AR15" s="18"/>
      <c r="AS15" s="18"/>
      <c r="AT15" s="19" t="s">
        <v>554</v>
      </c>
      <c r="AU15" s="22" t="s">
        <v>504</v>
      </c>
      <c r="AV15" s="20" t="s">
        <v>101</v>
      </c>
      <c r="AW15" s="22" t="s">
        <v>484</v>
      </c>
      <c r="AX15" s="22" t="s">
        <v>476</v>
      </c>
      <c r="AY15" s="20" t="s">
        <v>544</v>
      </c>
      <c r="AZ15" s="18"/>
      <c r="BA15" s="1"/>
      <c r="BB15" s="1"/>
      <c r="BC15" s="18"/>
    </row>
    <row r="16" spans="1:55">
      <c r="A16" s="1"/>
      <c r="B16" s="1"/>
      <c r="C16" s="1"/>
      <c r="D16" s="1"/>
      <c r="E16" s="1"/>
      <c r="F16" s="1"/>
      <c r="G16" s="1" t="s">
        <v>419</v>
      </c>
      <c r="H16" s="1" t="s">
        <v>419</v>
      </c>
      <c r="I16" s="1" t="s">
        <v>419</v>
      </c>
      <c r="J16" s="1" t="s">
        <v>419</v>
      </c>
      <c r="K16" s="1"/>
      <c r="L16" s="1" t="s">
        <v>354</v>
      </c>
      <c r="M16" s="1" t="s">
        <v>353</v>
      </c>
      <c r="N16" s="1" t="s">
        <v>559</v>
      </c>
      <c r="O16" s="1" t="s">
        <v>560</v>
      </c>
      <c r="P16" s="1" t="s">
        <v>561</v>
      </c>
      <c r="Q16" s="1" t="s">
        <v>515</v>
      </c>
      <c r="R16" s="1"/>
      <c r="S16" s="65" t="s">
        <v>354</v>
      </c>
      <c r="T16" s="1" t="s">
        <v>353</v>
      </c>
      <c r="U16" s="1" t="s">
        <v>559</v>
      </c>
      <c r="V16" s="1" t="s">
        <v>560</v>
      </c>
      <c r="W16" s="67" t="s">
        <v>561</v>
      </c>
      <c r="X16" s="1" t="s">
        <v>515</v>
      </c>
      <c r="Y16" s="65" t="s">
        <v>562</v>
      </c>
      <c r="Z16" s="1" t="s">
        <v>563</v>
      </c>
      <c r="AA16" s="1" t="s">
        <v>564</v>
      </c>
      <c r="AB16" s="1" t="s">
        <v>565</v>
      </c>
      <c r="AC16" s="65" t="s">
        <v>560</v>
      </c>
      <c r="AD16" s="1" t="s">
        <v>470</v>
      </c>
      <c r="AE16" s="1" t="s">
        <v>566</v>
      </c>
      <c r="AF16" s="1" t="s">
        <v>567</v>
      </c>
      <c r="AG16" s="66" t="s">
        <v>551</v>
      </c>
      <c r="AH16" s="1"/>
      <c r="AI16" s="1"/>
      <c r="AJ16" s="1"/>
      <c r="AK16" s="1"/>
      <c r="AL16" s="18" t="s">
        <v>568</v>
      </c>
      <c r="AM16" s="18" t="s">
        <v>569</v>
      </c>
      <c r="AN16" s="18" t="s">
        <v>538</v>
      </c>
      <c r="AO16" s="18" t="s">
        <v>570</v>
      </c>
      <c r="AP16" s="18" t="s">
        <v>561</v>
      </c>
      <c r="AQ16" s="18" t="s">
        <v>571</v>
      </c>
      <c r="AR16" s="18"/>
      <c r="AS16" s="18"/>
      <c r="AT16" s="21" t="s">
        <v>568</v>
      </c>
      <c r="AU16" s="21" t="s">
        <v>479</v>
      </c>
      <c r="AV16" s="20" t="s">
        <v>452</v>
      </c>
      <c r="AW16" s="19" t="s">
        <v>479</v>
      </c>
      <c r="AX16" s="22" t="s">
        <v>462</v>
      </c>
      <c r="AY16" s="20" t="s">
        <v>465</v>
      </c>
      <c r="AZ16" s="18"/>
      <c r="BA16" s="1"/>
      <c r="BB16" s="1"/>
      <c r="BC16" s="18"/>
    </row>
    <row r="17" spans="7:55">
      <c r="G17" s="1" t="s">
        <v>420</v>
      </c>
      <c r="H17" s="1" t="s">
        <v>420</v>
      </c>
      <c r="I17" s="1" t="s">
        <v>420</v>
      </c>
      <c r="J17" s="1" t="s">
        <v>420</v>
      </c>
      <c r="K17" s="1"/>
      <c r="L17" s="1" t="s">
        <v>572</v>
      </c>
      <c r="M17" s="1" t="s">
        <v>354</v>
      </c>
      <c r="N17" s="1" t="s">
        <v>520</v>
      </c>
      <c r="O17" s="1" t="s">
        <v>573</v>
      </c>
      <c r="P17" s="1" t="s">
        <v>574</v>
      </c>
      <c r="Q17" s="1" t="s">
        <v>526</v>
      </c>
      <c r="R17" s="1"/>
      <c r="S17" s="65" t="s">
        <v>572</v>
      </c>
      <c r="T17" s="67" t="s">
        <v>354</v>
      </c>
      <c r="U17" s="1" t="s">
        <v>520</v>
      </c>
      <c r="V17" s="67" t="s">
        <v>573</v>
      </c>
      <c r="W17" s="1" t="s">
        <v>574</v>
      </c>
      <c r="X17" s="1" t="s">
        <v>526</v>
      </c>
      <c r="Y17" s="65" t="s">
        <v>575</v>
      </c>
      <c r="Z17" s="1" t="s">
        <v>535</v>
      </c>
      <c r="AA17" s="1" t="s">
        <v>570</v>
      </c>
      <c r="AB17" s="1" t="s">
        <v>576</v>
      </c>
      <c r="AC17" s="65" t="s">
        <v>541</v>
      </c>
      <c r="AD17" s="1" t="s">
        <v>479</v>
      </c>
      <c r="AE17" s="1" t="s">
        <v>441</v>
      </c>
      <c r="AF17" s="1" t="s">
        <v>577</v>
      </c>
      <c r="AG17" s="66" t="s">
        <v>529</v>
      </c>
      <c r="AH17" s="1"/>
      <c r="AI17" s="1"/>
      <c r="AJ17" s="1"/>
      <c r="AK17" s="1"/>
      <c r="AL17" s="18" t="s">
        <v>578</v>
      </c>
      <c r="AM17" s="18" t="s">
        <v>579</v>
      </c>
      <c r="AN17" s="18" t="s">
        <v>580</v>
      </c>
      <c r="AO17" s="18" t="s">
        <v>520</v>
      </c>
      <c r="AP17" s="18" t="s">
        <v>483</v>
      </c>
      <c r="AQ17" s="18" t="s">
        <v>581</v>
      </c>
      <c r="AR17" s="18"/>
      <c r="AS17" s="18"/>
      <c r="AT17" s="19" t="s">
        <v>578</v>
      </c>
      <c r="AU17" s="20" t="s">
        <v>513</v>
      </c>
      <c r="AV17" s="22" t="s">
        <v>457</v>
      </c>
      <c r="AW17" s="21" t="s">
        <v>103</v>
      </c>
      <c r="AX17" s="22" t="s">
        <v>411</v>
      </c>
      <c r="AY17" s="20" t="s">
        <v>458</v>
      </c>
      <c r="AZ17" s="18"/>
      <c r="BA17" s="1"/>
      <c r="BB17" s="1"/>
      <c r="BC17" s="18"/>
    </row>
    <row r="18" spans="7:55">
      <c r="G18" s="1"/>
      <c r="H18" s="1"/>
      <c r="I18" s="1"/>
      <c r="J18" s="1"/>
      <c r="K18" s="1"/>
      <c r="L18" s="1" t="s">
        <v>582</v>
      </c>
      <c r="M18" s="1" t="s">
        <v>582</v>
      </c>
      <c r="N18" s="1" t="s">
        <v>583</v>
      </c>
      <c r="O18" s="1" t="s">
        <v>549</v>
      </c>
      <c r="P18" s="1" t="s">
        <v>539</v>
      </c>
      <c r="Q18" s="1" t="s">
        <v>584</v>
      </c>
      <c r="R18" s="1"/>
      <c r="S18" s="65" t="s">
        <v>582</v>
      </c>
      <c r="T18" s="1" t="s">
        <v>582</v>
      </c>
      <c r="U18" s="1" t="s">
        <v>583</v>
      </c>
      <c r="V18" s="1" t="s">
        <v>549</v>
      </c>
      <c r="W18" s="1" t="s">
        <v>539</v>
      </c>
      <c r="X18" s="1" t="s">
        <v>584</v>
      </c>
      <c r="Y18" s="65" t="s">
        <v>348</v>
      </c>
      <c r="Z18" s="1" t="s">
        <v>576</v>
      </c>
      <c r="AA18" s="1" t="s">
        <v>576</v>
      </c>
      <c r="AB18" s="1" t="s">
        <v>585</v>
      </c>
      <c r="AC18" s="65" t="s">
        <v>352</v>
      </c>
      <c r="AD18" s="1" t="s">
        <v>491</v>
      </c>
      <c r="AE18" s="1" t="s">
        <v>586</v>
      </c>
      <c r="AF18" s="1" t="s">
        <v>357</v>
      </c>
      <c r="AG18" s="66" t="s">
        <v>525</v>
      </c>
      <c r="AH18" s="1"/>
      <c r="AI18" s="1"/>
      <c r="AJ18" s="1"/>
      <c r="AK18" s="1"/>
      <c r="AL18" s="18" t="s">
        <v>587</v>
      </c>
      <c r="AM18" s="18" t="s">
        <v>90</v>
      </c>
      <c r="AN18" s="18" t="s">
        <v>588</v>
      </c>
      <c r="AO18" s="18" t="s">
        <v>589</v>
      </c>
      <c r="AP18" s="18" t="s">
        <v>504</v>
      </c>
      <c r="AQ18" s="18" t="s">
        <v>590</v>
      </c>
      <c r="AR18" s="18"/>
      <c r="AS18" s="18"/>
      <c r="AT18" s="21" t="s">
        <v>587</v>
      </c>
      <c r="AU18" s="22" t="s">
        <v>519</v>
      </c>
      <c r="AV18" s="20" t="s">
        <v>348</v>
      </c>
      <c r="AW18" s="19" t="s">
        <v>505</v>
      </c>
      <c r="AX18" s="22" t="s">
        <v>531</v>
      </c>
      <c r="AY18" s="20" t="s">
        <v>441</v>
      </c>
      <c r="AZ18" s="18"/>
      <c r="BA18" s="1"/>
      <c r="BB18" s="1"/>
      <c r="BC18" s="18"/>
    </row>
    <row r="19" spans="7:55">
      <c r="G19" s="1" t="s">
        <v>403</v>
      </c>
      <c r="H19" s="1" t="s">
        <v>591</v>
      </c>
      <c r="I19" s="1" t="s">
        <v>444</v>
      </c>
      <c r="J19" s="1"/>
      <c r="K19" s="1"/>
      <c r="L19" s="1" t="s">
        <v>582</v>
      </c>
      <c r="M19" s="1" t="s">
        <v>521</v>
      </c>
      <c r="N19" s="1" t="s">
        <v>99</v>
      </c>
      <c r="O19" s="1" t="s">
        <v>545</v>
      </c>
      <c r="P19" s="1" t="s">
        <v>592</v>
      </c>
      <c r="Q19" s="1" t="s">
        <v>593</v>
      </c>
      <c r="R19" s="1"/>
      <c r="S19" s="65" t="s">
        <v>582</v>
      </c>
      <c r="T19" s="1" t="s">
        <v>521</v>
      </c>
      <c r="U19" s="1" t="s">
        <v>99</v>
      </c>
      <c r="V19" s="1" t="s">
        <v>545</v>
      </c>
      <c r="W19" s="1" t="s">
        <v>592</v>
      </c>
      <c r="X19" s="1" t="s">
        <v>593</v>
      </c>
      <c r="Y19" s="75" t="s">
        <v>484</v>
      </c>
      <c r="Z19" s="1" t="s">
        <v>594</v>
      </c>
      <c r="AA19" s="1" t="s">
        <v>595</v>
      </c>
      <c r="AB19" s="1" t="s">
        <v>99</v>
      </c>
      <c r="AC19" s="65" t="s">
        <v>556</v>
      </c>
      <c r="AD19" s="1" t="s">
        <v>556</v>
      </c>
      <c r="AE19" s="67" t="s">
        <v>596</v>
      </c>
      <c r="AF19" s="77" t="s">
        <v>112</v>
      </c>
      <c r="AG19" s="66" t="s">
        <v>556</v>
      </c>
      <c r="AH19" s="1"/>
      <c r="AI19" s="1"/>
      <c r="AJ19" s="1"/>
      <c r="AK19" s="1"/>
      <c r="AL19" s="18" t="s">
        <v>597</v>
      </c>
      <c r="AM19" s="18" t="s">
        <v>587</v>
      </c>
      <c r="AN19" s="18" t="s">
        <v>112</v>
      </c>
      <c r="AO19" s="18" t="s">
        <v>598</v>
      </c>
      <c r="AP19" s="18" t="s">
        <v>574</v>
      </c>
      <c r="AQ19" s="18" t="s">
        <v>599</v>
      </c>
      <c r="AR19" s="18"/>
      <c r="AS19" s="18"/>
      <c r="AT19" s="19" t="s">
        <v>597</v>
      </c>
      <c r="AU19" s="20" t="s">
        <v>514</v>
      </c>
      <c r="AV19" s="22" t="s">
        <v>478</v>
      </c>
      <c r="AW19" s="19" t="s">
        <v>514</v>
      </c>
      <c r="AX19" s="20" t="s">
        <v>544</v>
      </c>
      <c r="AY19" s="20" t="s">
        <v>499</v>
      </c>
      <c r="AZ19" s="18"/>
      <c r="BA19" s="1"/>
      <c r="BB19" s="1"/>
      <c r="BC19" s="18"/>
    </row>
    <row r="20" spans="7:55">
      <c r="G20" s="1" t="s">
        <v>421</v>
      </c>
      <c r="H20" s="1" t="s">
        <v>421</v>
      </c>
      <c r="I20" s="1" t="s">
        <v>421</v>
      </c>
      <c r="J20" s="1"/>
      <c r="K20" s="1"/>
      <c r="L20" s="1" t="s">
        <v>600</v>
      </c>
      <c r="M20" s="1" t="s">
        <v>601</v>
      </c>
      <c r="N20" s="1" t="s">
        <v>511</v>
      </c>
      <c r="O20" s="1" t="s">
        <v>525</v>
      </c>
      <c r="P20" s="1" t="s">
        <v>103</v>
      </c>
      <c r="Q20" s="1" t="s">
        <v>602</v>
      </c>
      <c r="R20" s="1"/>
      <c r="S20" s="65" t="s">
        <v>600</v>
      </c>
      <c r="T20" s="1" t="s">
        <v>601</v>
      </c>
      <c r="U20" s="1" t="s">
        <v>511</v>
      </c>
      <c r="V20" s="1" t="s">
        <v>525</v>
      </c>
      <c r="W20" s="1" t="s">
        <v>103</v>
      </c>
      <c r="X20" s="1" t="s">
        <v>602</v>
      </c>
      <c r="Y20" s="65" t="s">
        <v>543</v>
      </c>
      <c r="Z20" s="1" t="s">
        <v>603</v>
      </c>
      <c r="AA20" s="1" t="s">
        <v>604</v>
      </c>
      <c r="AB20" s="1" t="s">
        <v>605</v>
      </c>
      <c r="AC20" s="65" t="s">
        <v>520</v>
      </c>
      <c r="AD20" s="1" t="s">
        <v>520</v>
      </c>
      <c r="AE20" s="1" t="s">
        <v>606</v>
      </c>
      <c r="AF20" s="1" t="s">
        <v>607</v>
      </c>
      <c r="AG20" s="66" t="s">
        <v>595</v>
      </c>
      <c r="AH20" s="1"/>
      <c r="AI20" s="1"/>
      <c r="AJ20" s="1"/>
      <c r="AK20" s="1"/>
      <c r="AL20" s="18" t="s">
        <v>608</v>
      </c>
      <c r="AM20" s="18" t="s">
        <v>608</v>
      </c>
      <c r="AN20" s="18" t="s">
        <v>90</v>
      </c>
      <c r="AO20" s="18" t="s">
        <v>354</v>
      </c>
      <c r="AP20" s="18" t="s">
        <v>539</v>
      </c>
      <c r="AQ20" s="18" t="s">
        <v>370</v>
      </c>
      <c r="AR20" s="18"/>
      <c r="AS20" s="18"/>
      <c r="AT20" s="21" t="s">
        <v>608</v>
      </c>
      <c r="AU20" s="19" t="s">
        <v>491</v>
      </c>
      <c r="AV20" s="22" t="s">
        <v>484</v>
      </c>
      <c r="AW20" s="19" t="s">
        <v>525</v>
      </c>
      <c r="AX20" s="20" t="s">
        <v>465</v>
      </c>
      <c r="AY20" s="20" t="s">
        <v>596</v>
      </c>
      <c r="AZ20" s="18"/>
      <c r="BA20" s="1"/>
      <c r="BB20" s="1"/>
      <c r="BC20" s="18"/>
    </row>
    <row r="21" spans="7:55">
      <c r="G21" s="1" t="s">
        <v>422</v>
      </c>
      <c r="H21" s="1" t="s">
        <v>422</v>
      </c>
      <c r="I21" s="1" t="s">
        <v>422</v>
      </c>
      <c r="J21" s="1"/>
      <c r="K21" s="1"/>
      <c r="L21" s="1" t="s">
        <v>359</v>
      </c>
      <c r="M21" s="1" t="s">
        <v>534</v>
      </c>
      <c r="N21" s="1" t="s">
        <v>107</v>
      </c>
      <c r="O21" s="1" t="s">
        <v>556</v>
      </c>
      <c r="P21" s="1" t="s">
        <v>513</v>
      </c>
      <c r="Q21" s="1" t="s">
        <v>553</v>
      </c>
      <c r="R21" s="1"/>
      <c r="S21" s="69" t="s">
        <v>359</v>
      </c>
      <c r="T21" s="1" t="s">
        <v>534</v>
      </c>
      <c r="U21" s="1" t="s">
        <v>107</v>
      </c>
      <c r="V21" s="1" t="s">
        <v>556</v>
      </c>
      <c r="W21" s="1" t="s">
        <v>513</v>
      </c>
      <c r="X21" s="1" t="s">
        <v>553</v>
      </c>
      <c r="Y21" s="65" t="s">
        <v>467</v>
      </c>
      <c r="Z21" s="1" t="s">
        <v>538</v>
      </c>
      <c r="AA21" s="1" t="s">
        <v>604</v>
      </c>
      <c r="AB21" s="1" t="s">
        <v>609</v>
      </c>
      <c r="AC21" s="69" t="s">
        <v>99</v>
      </c>
      <c r="AD21" s="1" t="s">
        <v>610</v>
      </c>
      <c r="AE21" s="1" t="s">
        <v>611</v>
      </c>
      <c r="AF21" s="1" t="s">
        <v>612</v>
      </c>
      <c r="AG21" s="66" t="s">
        <v>613</v>
      </c>
      <c r="AH21" s="1"/>
      <c r="AI21" s="1"/>
      <c r="AJ21" s="1"/>
      <c r="AK21" s="1"/>
      <c r="AL21" s="18" t="s">
        <v>614</v>
      </c>
      <c r="AM21" s="18" t="s">
        <v>615</v>
      </c>
      <c r="AN21" s="18" t="s">
        <v>616</v>
      </c>
      <c r="AO21" s="18" t="s">
        <v>582</v>
      </c>
      <c r="AP21" s="18" t="s">
        <v>498</v>
      </c>
      <c r="AQ21" s="18" t="s">
        <v>617</v>
      </c>
      <c r="AR21" s="18"/>
      <c r="AS21" s="18"/>
      <c r="AT21" s="19" t="s">
        <v>614</v>
      </c>
      <c r="AU21" s="20" t="s">
        <v>353</v>
      </c>
      <c r="AV21" s="20" t="s">
        <v>467</v>
      </c>
      <c r="AW21" s="19" t="s">
        <v>353</v>
      </c>
      <c r="AX21" s="22" t="s">
        <v>566</v>
      </c>
      <c r="AY21" s="20" t="s">
        <v>348</v>
      </c>
      <c r="AZ21" s="18"/>
      <c r="BA21" s="1"/>
      <c r="BB21" s="1"/>
      <c r="BC21" s="18"/>
    </row>
    <row r="22" spans="7:55">
      <c r="G22" s="1" t="s">
        <v>423</v>
      </c>
      <c r="H22" s="1" t="s">
        <v>423</v>
      </c>
      <c r="I22" s="1" t="s">
        <v>423</v>
      </c>
      <c r="J22" s="1"/>
      <c r="K22" s="1"/>
      <c r="L22" s="1" t="s">
        <v>112</v>
      </c>
      <c r="M22" s="1" t="s">
        <v>567</v>
      </c>
      <c r="N22" s="1" t="s">
        <v>94</v>
      </c>
      <c r="O22" s="1" t="s">
        <v>94</v>
      </c>
      <c r="P22" s="1" t="s">
        <v>618</v>
      </c>
      <c r="Q22" s="1" t="s">
        <v>619</v>
      </c>
      <c r="R22" s="1"/>
      <c r="S22" s="65" t="s">
        <v>112</v>
      </c>
      <c r="T22" s="1" t="s">
        <v>567</v>
      </c>
      <c r="U22" s="1" t="s">
        <v>94</v>
      </c>
      <c r="V22" s="67" t="s">
        <v>94</v>
      </c>
      <c r="W22" s="1" t="s">
        <v>618</v>
      </c>
      <c r="X22" s="1" t="s">
        <v>619</v>
      </c>
      <c r="Y22" s="65" t="s">
        <v>553</v>
      </c>
      <c r="Z22" s="1" t="s">
        <v>582</v>
      </c>
      <c r="AA22" s="1" t="s">
        <v>620</v>
      </c>
      <c r="AB22" s="1" t="s">
        <v>613</v>
      </c>
      <c r="AC22" s="65" t="s">
        <v>621</v>
      </c>
      <c r="AD22" s="1" t="s">
        <v>621</v>
      </c>
      <c r="AE22" s="1" t="s">
        <v>622</v>
      </c>
      <c r="AF22" s="1" t="s">
        <v>623</v>
      </c>
      <c r="AG22" s="66" t="s">
        <v>624</v>
      </c>
      <c r="AH22" s="1"/>
      <c r="AI22" s="1"/>
      <c r="AJ22" s="1"/>
      <c r="AK22" s="1"/>
      <c r="AL22" s="18" t="s">
        <v>625</v>
      </c>
      <c r="AM22" s="18" t="s">
        <v>626</v>
      </c>
      <c r="AN22" s="18" t="s">
        <v>627</v>
      </c>
      <c r="AO22" s="18" t="s">
        <v>569</v>
      </c>
      <c r="AP22" s="18" t="s">
        <v>479</v>
      </c>
      <c r="AQ22" s="1"/>
      <c r="AR22" s="1"/>
      <c r="AS22" s="1"/>
      <c r="AT22" s="19" t="s">
        <v>615</v>
      </c>
      <c r="AU22" s="20" t="s">
        <v>500</v>
      </c>
      <c r="AV22" s="22" t="s">
        <v>522</v>
      </c>
      <c r="AW22" s="19" t="s">
        <v>535</v>
      </c>
      <c r="AX22" s="22" t="s">
        <v>458</v>
      </c>
      <c r="AY22" s="20" t="s">
        <v>464</v>
      </c>
      <c r="AZ22" s="1"/>
      <c r="BA22" s="1"/>
      <c r="BB22" s="1"/>
      <c r="BC22" s="1"/>
    </row>
    <row r="23" spans="7:55">
      <c r="G23" s="1" t="s">
        <v>424</v>
      </c>
      <c r="H23" s="1" t="s">
        <v>424</v>
      </c>
      <c r="I23" s="1" t="s">
        <v>424</v>
      </c>
      <c r="J23" s="1"/>
      <c r="K23" s="1"/>
      <c r="L23" s="1" t="s">
        <v>555</v>
      </c>
      <c r="M23" s="1" t="s">
        <v>548</v>
      </c>
      <c r="N23" s="1" t="s">
        <v>94</v>
      </c>
      <c r="O23" s="1" t="s">
        <v>582</v>
      </c>
      <c r="P23" s="1" t="s">
        <v>352</v>
      </c>
      <c r="Q23" s="1" t="s">
        <v>483</v>
      </c>
      <c r="R23" s="1"/>
      <c r="S23" s="65" t="s">
        <v>555</v>
      </c>
      <c r="T23" s="1" t="s">
        <v>548</v>
      </c>
      <c r="U23" s="1" t="s">
        <v>94</v>
      </c>
      <c r="V23" s="1" t="s">
        <v>582</v>
      </c>
      <c r="W23" s="1" t="s">
        <v>352</v>
      </c>
      <c r="X23" s="1" t="s">
        <v>483</v>
      </c>
      <c r="Y23" s="65" t="s">
        <v>350</v>
      </c>
      <c r="Z23" s="76" t="s">
        <v>628</v>
      </c>
      <c r="AA23" s="1" t="s">
        <v>589</v>
      </c>
      <c r="AB23" s="1" t="s">
        <v>629</v>
      </c>
      <c r="AC23" s="65" t="s">
        <v>630</v>
      </c>
      <c r="AD23" s="1" t="s">
        <v>631</v>
      </c>
      <c r="AE23" s="1" t="s">
        <v>632</v>
      </c>
      <c r="AF23" s="68" t="s">
        <v>537</v>
      </c>
      <c r="AG23" s="66" t="s">
        <v>633</v>
      </c>
      <c r="AH23" s="1"/>
      <c r="AI23" s="1"/>
      <c r="AJ23" s="1"/>
      <c r="AK23" s="1"/>
      <c r="AL23" s="18" t="s">
        <v>634</v>
      </c>
      <c r="AM23" s="18" t="s">
        <v>612</v>
      </c>
      <c r="AN23" s="18" t="s">
        <v>364</v>
      </c>
      <c r="AO23" s="18" t="s">
        <v>635</v>
      </c>
      <c r="AP23" s="18" t="s">
        <v>636</v>
      </c>
      <c r="AQ23" s="1"/>
      <c r="AR23" s="1"/>
      <c r="AS23" s="1"/>
      <c r="AT23" s="21" t="s">
        <v>625</v>
      </c>
      <c r="AU23" s="20" t="s">
        <v>511</v>
      </c>
      <c r="AV23" s="22" t="s">
        <v>483</v>
      </c>
      <c r="AW23" s="20" t="s">
        <v>559</v>
      </c>
      <c r="AX23" s="20" t="s">
        <v>441</v>
      </c>
      <c r="AY23" s="20" t="s">
        <v>478</v>
      </c>
      <c r="AZ23" s="1"/>
      <c r="BA23" s="1"/>
      <c r="BB23" s="1"/>
      <c r="BC23" s="1"/>
    </row>
    <row r="24" spans="7:55">
      <c r="G24" s="1" t="s">
        <v>425</v>
      </c>
      <c r="H24" s="1" t="s">
        <v>425</v>
      </c>
      <c r="I24" s="1" t="s">
        <v>425</v>
      </c>
      <c r="J24" s="1"/>
      <c r="K24" s="1"/>
      <c r="L24" s="1" t="s">
        <v>554</v>
      </c>
      <c r="M24" s="1" t="s">
        <v>359</v>
      </c>
      <c r="N24" s="1" t="s">
        <v>355</v>
      </c>
      <c r="O24" s="1" t="s">
        <v>637</v>
      </c>
      <c r="P24" s="1" t="s">
        <v>353</v>
      </c>
      <c r="Q24" s="1" t="s">
        <v>489</v>
      </c>
      <c r="R24" s="1"/>
      <c r="S24" s="65" t="s">
        <v>554</v>
      </c>
      <c r="T24" s="1" t="s">
        <v>359</v>
      </c>
      <c r="U24" s="1" t="s">
        <v>355</v>
      </c>
      <c r="V24" s="1" t="s">
        <v>637</v>
      </c>
      <c r="W24" s="67" t="s">
        <v>353</v>
      </c>
      <c r="X24" s="1" t="s">
        <v>489</v>
      </c>
      <c r="Y24" s="65" t="s">
        <v>517</v>
      </c>
      <c r="Z24" s="1" t="s">
        <v>534</v>
      </c>
      <c r="AA24" s="1" t="s">
        <v>638</v>
      </c>
      <c r="AB24" s="1" t="s">
        <v>639</v>
      </c>
      <c r="AC24" s="65" t="s">
        <v>107</v>
      </c>
      <c r="AD24" s="1" t="s">
        <v>359</v>
      </c>
      <c r="AE24" s="1" t="s">
        <v>520</v>
      </c>
      <c r="AF24" s="1" t="s">
        <v>640</v>
      </c>
      <c r="AG24" s="66" t="s">
        <v>641</v>
      </c>
      <c r="AH24" s="1"/>
      <c r="AI24" s="1"/>
      <c r="AJ24" s="1"/>
      <c r="AK24" s="1"/>
      <c r="AL24" s="18" t="s">
        <v>59</v>
      </c>
      <c r="AM24" s="18" t="s">
        <v>642</v>
      </c>
      <c r="AN24" s="18" t="s">
        <v>643</v>
      </c>
      <c r="AO24" s="18" t="s">
        <v>644</v>
      </c>
      <c r="AP24" s="18" t="s">
        <v>353</v>
      </c>
      <c r="AQ24" s="1"/>
      <c r="AR24" s="1"/>
      <c r="AS24" s="1"/>
      <c r="AT24" s="19" t="s">
        <v>634</v>
      </c>
      <c r="AU24" s="20" t="s">
        <v>354</v>
      </c>
      <c r="AV24" s="20" t="s">
        <v>489</v>
      </c>
      <c r="AW24" s="21" t="s">
        <v>520</v>
      </c>
      <c r="AX24" s="20" t="s">
        <v>490</v>
      </c>
      <c r="AY24" s="20" t="s">
        <v>532</v>
      </c>
      <c r="AZ24" s="1"/>
      <c r="BA24" s="1"/>
      <c r="BB24" s="1"/>
      <c r="BC24" s="1"/>
    </row>
    <row r="25" spans="7:55">
      <c r="G25" s="1" t="s">
        <v>645</v>
      </c>
      <c r="H25" s="1" t="s">
        <v>645</v>
      </c>
      <c r="I25" s="1" t="s">
        <v>645</v>
      </c>
      <c r="J25" s="1"/>
      <c r="K25" s="1"/>
      <c r="L25" s="1" t="s">
        <v>646</v>
      </c>
      <c r="M25" s="1" t="s">
        <v>112</v>
      </c>
      <c r="N25" s="1" t="s">
        <v>637</v>
      </c>
      <c r="O25" s="1" t="s">
        <v>635</v>
      </c>
      <c r="P25" s="1" t="s">
        <v>595</v>
      </c>
      <c r="Q25" s="1" t="s">
        <v>647</v>
      </c>
      <c r="R25" s="1"/>
      <c r="S25" s="65" t="s">
        <v>646</v>
      </c>
      <c r="T25" s="1" t="s">
        <v>112</v>
      </c>
      <c r="U25" s="1" t="s">
        <v>637</v>
      </c>
      <c r="V25" s="1" t="s">
        <v>635</v>
      </c>
      <c r="W25" s="1" t="s">
        <v>595</v>
      </c>
      <c r="X25" s="1" t="s">
        <v>647</v>
      </c>
      <c r="Y25" s="65" t="s">
        <v>648</v>
      </c>
      <c r="Z25" s="1" t="s">
        <v>567</v>
      </c>
      <c r="AA25" s="1" t="s">
        <v>649</v>
      </c>
      <c r="AB25" s="1" t="s">
        <v>650</v>
      </c>
      <c r="AC25" s="65" t="s">
        <v>355</v>
      </c>
      <c r="AD25" s="1" t="s">
        <v>651</v>
      </c>
      <c r="AE25" s="1" t="s">
        <v>99</v>
      </c>
      <c r="AF25" s="1" t="s">
        <v>59</v>
      </c>
      <c r="AG25" s="66" t="s">
        <v>363</v>
      </c>
      <c r="AH25" s="1"/>
      <c r="AI25" s="1"/>
      <c r="AJ25" s="1"/>
      <c r="AK25" s="1"/>
      <c r="AL25" s="18" t="s">
        <v>642</v>
      </c>
      <c r="AM25" s="18" t="s">
        <v>652</v>
      </c>
      <c r="AN25" s="18" t="s">
        <v>367</v>
      </c>
      <c r="AO25" s="18" t="s">
        <v>653</v>
      </c>
      <c r="AP25" s="18" t="s">
        <v>107</v>
      </c>
      <c r="AQ25" s="1"/>
      <c r="AR25" s="1"/>
      <c r="AS25" s="1"/>
      <c r="AT25" s="21" t="s">
        <v>59</v>
      </c>
      <c r="AU25" s="20" t="s">
        <v>582</v>
      </c>
      <c r="AV25" s="22" t="s">
        <v>504</v>
      </c>
      <c r="AW25" s="20" t="s">
        <v>583</v>
      </c>
      <c r="AX25" s="20" t="s">
        <v>586</v>
      </c>
      <c r="AY25" s="20" t="s">
        <v>546</v>
      </c>
      <c r="AZ25" s="1"/>
      <c r="BA25" s="1"/>
      <c r="BB25" s="1"/>
      <c r="BC25" s="1"/>
    </row>
    <row r="26" spans="7:55">
      <c r="G26" s="1"/>
      <c r="H26" s="1"/>
      <c r="I26" s="1"/>
      <c r="J26" s="1"/>
      <c r="K26" s="1"/>
      <c r="L26" s="1" t="s">
        <v>597</v>
      </c>
      <c r="M26" s="1" t="s">
        <v>651</v>
      </c>
      <c r="N26" s="1" t="s">
        <v>555</v>
      </c>
      <c r="O26" s="1" t="s">
        <v>654</v>
      </c>
      <c r="P26" s="1" t="s">
        <v>655</v>
      </c>
      <c r="Q26" s="1" t="s">
        <v>504</v>
      </c>
      <c r="R26" s="1"/>
      <c r="S26" s="65" t="s">
        <v>597</v>
      </c>
      <c r="T26" s="1" t="s">
        <v>651</v>
      </c>
      <c r="U26" s="1" t="s">
        <v>555</v>
      </c>
      <c r="V26" s="1" t="s">
        <v>654</v>
      </c>
      <c r="W26" s="1" t="s">
        <v>655</v>
      </c>
      <c r="X26" s="1" t="s">
        <v>504</v>
      </c>
      <c r="Y26" s="65" t="s">
        <v>479</v>
      </c>
      <c r="Z26" s="76" t="s">
        <v>656</v>
      </c>
      <c r="AA26" s="1" t="s">
        <v>354</v>
      </c>
      <c r="AB26" s="1" t="s">
        <v>359</v>
      </c>
      <c r="AC26" s="65" t="s">
        <v>582</v>
      </c>
      <c r="AD26" s="1" t="s">
        <v>657</v>
      </c>
      <c r="AE26" s="1" t="s">
        <v>655</v>
      </c>
      <c r="AF26" s="1" t="s">
        <v>642</v>
      </c>
      <c r="AG26" s="66" t="s">
        <v>658</v>
      </c>
      <c r="AH26" s="1"/>
      <c r="AI26" s="1"/>
      <c r="AJ26" s="1"/>
      <c r="AK26" s="1"/>
      <c r="AL26" s="18" t="s">
        <v>642</v>
      </c>
      <c r="AM26" s="18" t="s">
        <v>659</v>
      </c>
      <c r="AN26" s="18" t="s">
        <v>652</v>
      </c>
      <c r="AO26" s="18" t="s">
        <v>608</v>
      </c>
      <c r="AP26" s="18" t="s">
        <v>355</v>
      </c>
      <c r="AQ26" s="1"/>
      <c r="AR26" s="1"/>
      <c r="AS26" s="1"/>
      <c r="AT26" s="19" t="s">
        <v>642</v>
      </c>
      <c r="AU26" s="20" t="s">
        <v>521</v>
      </c>
      <c r="AV26" s="20" t="s">
        <v>539</v>
      </c>
      <c r="AW26" s="22" t="s">
        <v>99</v>
      </c>
      <c r="AX26" s="20" t="s">
        <v>499</v>
      </c>
      <c r="AY26" s="20" t="s">
        <v>489</v>
      </c>
      <c r="AZ26" s="1"/>
      <c r="BA26" s="1"/>
      <c r="BB26" s="1"/>
      <c r="BC26" s="1"/>
    </row>
    <row r="27" spans="7:55">
      <c r="G27" s="1"/>
      <c r="H27" s="1"/>
      <c r="I27" s="1"/>
      <c r="J27" s="1"/>
      <c r="K27" s="1"/>
      <c r="L27" s="1" t="s">
        <v>660</v>
      </c>
      <c r="M27" s="1" t="s">
        <v>569</v>
      </c>
      <c r="N27" s="1" t="s">
        <v>651</v>
      </c>
      <c r="O27" s="1" t="s">
        <v>644</v>
      </c>
      <c r="P27" s="1" t="s">
        <v>533</v>
      </c>
      <c r="Q27" s="1" t="s">
        <v>574</v>
      </c>
      <c r="R27" s="1"/>
      <c r="S27" s="65" t="s">
        <v>660</v>
      </c>
      <c r="T27" s="1" t="s">
        <v>569</v>
      </c>
      <c r="U27" s="1" t="s">
        <v>651</v>
      </c>
      <c r="V27" s="1" t="s">
        <v>644</v>
      </c>
      <c r="W27" s="1" t="s">
        <v>533</v>
      </c>
      <c r="X27" s="1" t="s">
        <v>574</v>
      </c>
      <c r="Y27" s="65" t="s">
        <v>560</v>
      </c>
      <c r="Z27" s="1" t="s">
        <v>359</v>
      </c>
      <c r="AA27" s="1" t="s">
        <v>661</v>
      </c>
      <c r="AB27" s="78" t="s">
        <v>360</v>
      </c>
      <c r="AC27" s="65" t="s">
        <v>656</v>
      </c>
      <c r="AD27" s="1" t="s">
        <v>662</v>
      </c>
      <c r="AE27" s="1" t="s">
        <v>621</v>
      </c>
      <c r="AF27" s="1" t="s">
        <v>663</v>
      </c>
      <c r="AG27" s="70" t="s">
        <v>664</v>
      </c>
      <c r="AH27" s="1"/>
      <c r="AI27" s="1"/>
      <c r="AJ27" s="1"/>
      <c r="AK27" s="1"/>
      <c r="AL27" s="18" t="s">
        <v>665</v>
      </c>
      <c r="AM27" s="18" t="s">
        <v>666</v>
      </c>
      <c r="AN27" s="18" t="s">
        <v>667</v>
      </c>
      <c r="AO27" s="18" t="s">
        <v>668</v>
      </c>
      <c r="AP27" s="18" t="s">
        <v>637</v>
      </c>
      <c r="AQ27" s="1"/>
      <c r="AR27" s="1"/>
      <c r="AS27" s="1"/>
      <c r="AT27" s="23" t="s">
        <v>665</v>
      </c>
      <c r="AU27" s="20" t="s">
        <v>601</v>
      </c>
      <c r="AV27" s="20" t="s">
        <v>479</v>
      </c>
      <c r="AW27" s="21" t="s">
        <v>538</v>
      </c>
      <c r="AX27" s="22" t="s">
        <v>509</v>
      </c>
      <c r="AY27" s="20" t="s">
        <v>632</v>
      </c>
      <c r="AZ27" s="1"/>
      <c r="BA27" s="1"/>
      <c r="BB27" s="1"/>
      <c r="BC27" s="1"/>
    </row>
    <row r="28" spans="7:55">
      <c r="G28" s="1"/>
      <c r="H28" s="1"/>
      <c r="I28" s="1"/>
      <c r="J28" s="1"/>
      <c r="K28" s="1"/>
      <c r="L28" s="1" t="s">
        <v>608</v>
      </c>
      <c r="M28" s="1" t="s">
        <v>90</v>
      </c>
      <c r="N28" s="1" t="s">
        <v>90</v>
      </c>
      <c r="O28" s="1" t="s">
        <v>554</v>
      </c>
      <c r="P28" s="1" t="s">
        <v>354</v>
      </c>
      <c r="Q28" s="1" t="s">
        <v>539</v>
      </c>
      <c r="R28" s="1"/>
      <c r="S28" s="65" t="s">
        <v>608</v>
      </c>
      <c r="T28" s="1" t="s">
        <v>90</v>
      </c>
      <c r="U28" s="1" t="s">
        <v>90</v>
      </c>
      <c r="V28" s="1" t="s">
        <v>554</v>
      </c>
      <c r="W28" s="1" t="s">
        <v>354</v>
      </c>
      <c r="X28" s="1" t="s">
        <v>539</v>
      </c>
      <c r="Y28" s="65" t="s">
        <v>541</v>
      </c>
      <c r="Z28" s="1" t="s">
        <v>112</v>
      </c>
      <c r="AA28" s="1" t="s">
        <v>669</v>
      </c>
      <c r="AB28" s="1" t="s">
        <v>670</v>
      </c>
      <c r="AC28" s="69" t="s">
        <v>359</v>
      </c>
      <c r="AD28" s="1" t="s">
        <v>671</v>
      </c>
      <c r="AE28" s="1" t="s">
        <v>107</v>
      </c>
      <c r="AF28" s="1" t="s">
        <v>652</v>
      </c>
      <c r="AG28" s="66" t="s">
        <v>672</v>
      </c>
      <c r="AH28" s="1"/>
      <c r="AI28" s="1"/>
      <c r="AJ28" s="1"/>
      <c r="AK28" s="1"/>
      <c r="AL28" s="18"/>
      <c r="AM28" s="18"/>
      <c r="AN28" s="18" t="s">
        <v>673</v>
      </c>
      <c r="AO28" s="18" t="s">
        <v>612</v>
      </c>
      <c r="AP28" s="18" t="s">
        <v>521</v>
      </c>
      <c r="AQ28" s="1"/>
      <c r="AR28" s="1"/>
      <c r="AS28" s="1"/>
      <c r="AT28" s="23"/>
      <c r="AU28" s="20" t="s">
        <v>534</v>
      </c>
      <c r="AV28" s="22" t="s">
        <v>103</v>
      </c>
      <c r="AW28" s="19" t="s">
        <v>580</v>
      </c>
      <c r="AX28" s="20" t="s">
        <v>596</v>
      </c>
      <c r="AY28" s="20" t="s">
        <v>529</v>
      </c>
      <c r="AZ28" s="1"/>
      <c r="BA28" s="1"/>
      <c r="BB28" s="1"/>
      <c r="BC28" s="1"/>
    </row>
    <row r="29" spans="7:55">
      <c r="G29" s="1"/>
      <c r="H29" s="1"/>
      <c r="I29" s="1"/>
      <c r="J29" s="1"/>
      <c r="K29" s="1"/>
      <c r="L29" s="1" t="s">
        <v>674</v>
      </c>
      <c r="M29" s="1" t="s">
        <v>654</v>
      </c>
      <c r="N29" s="1" t="s">
        <v>644</v>
      </c>
      <c r="O29" s="1" t="s">
        <v>675</v>
      </c>
      <c r="P29" s="1" t="s">
        <v>676</v>
      </c>
      <c r="Q29" s="1" t="s">
        <v>498</v>
      </c>
      <c r="R29" s="1"/>
      <c r="S29" s="65" t="s">
        <v>674</v>
      </c>
      <c r="T29" s="1" t="s">
        <v>654</v>
      </c>
      <c r="U29" s="1" t="s">
        <v>644</v>
      </c>
      <c r="V29" s="1" t="s">
        <v>675</v>
      </c>
      <c r="W29" s="1" t="s">
        <v>676</v>
      </c>
      <c r="X29" s="1" t="s">
        <v>498</v>
      </c>
      <c r="Y29" s="65" t="s">
        <v>564</v>
      </c>
      <c r="Z29" s="1" t="s">
        <v>635</v>
      </c>
      <c r="AA29" s="1" t="s">
        <v>567</v>
      </c>
      <c r="AB29" s="1" t="s">
        <v>635</v>
      </c>
      <c r="AC29" s="65" t="s">
        <v>677</v>
      </c>
      <c r="AD29" s="1" t="s">
        <v>634</v>
      </c>
      <c r="AE29" s="1" t="s">
        <v>669</v>
      </c>
      <c r="AF29" s="1" t="s">
        <v>678</v>
      </c>
      <c r="AG29" s="70" t="s">
        <v>372</v>
      </c>
      <c r="AH29" s="1"/>
      <c r="AI29" s="1"/>
      <c r="AJ29" s="1"/>
      <c r="AK29" s="1"/>
      <c r="AL29" s="18"/>
      <c r="AM29" s="1"/>
      <c r="AN29" s="18" t="s">
        <v>679</v>
      </c>
      <c r="AO29" s="18" t="s">
        <v>680</v>
      </c>
      <c r="AP29" s="18" t="s">
        <v>639</v>
      </c>
      <c r="AQ29" s="1"/>
      <c r="AR29" s="1"/>
      <c r="AS29" s="1"/>
      <c r="AT29" s="1"/>
      <c r="AU29" s="20" t="s">
        <v>567</v>
      </c>
      <c r="AV29" s="20" t="s">
        <v>536</v>
      </c>
      <c r="AW29" s="20" t="s">
        <v>511</v>
      </c>
      <c r="AX29" s="20" t="s">
        <v>348</v>
      </c>
      <c r="AY29" s="20" t="s">
        <v>498</v>
      </c>
      <c r="AZ29" s="1"/>
      <c r="BA29" s="1"/>
      <c r="BB29" s="1"/>
      <c r="BC29" s="1"/>
    </row>
    <row r="30" spans="7:55">
      <c r="G30" s="1"/>
      <c r="H30" s="1"/>
      <c r="I30" s="1"/>
      <c r="J30" s="1"/>
      <c r="K30" s="1"/>
      <c r="L30" s="1" t="s">
        <v>668</v>
      </c>
      <c r="M30" s="1" t="s">
        <v>568</v>
      </c>
      <c r="N30" s="1" t="s">
        <v>554</v>
      </c>
      <c r="O30" s="1" t="s">
        <v>364</v>
      </c>
      <c r="P30" s="1" t="s">
        <v>681</v>
      </c>
      <c r="Q30" s="1" t="s">
        <v>498</v>
      </c>
      <c r="R30" s="1"/>
      <c r="S30" s="65" t="s">
        <v>668</v>
      </c>
      <c r="T30" s="1" t="s">
        <v>568</v>
      </c>
      <c r="U30" s="1" t="s">
        <v>554</v>
      </c>
      <c r="V30" s="1" t="s">
        <v>364</v>
      </c>
      <c r="W30" s="1" t="s">
        <v>681</v>
      </c>
      <c r="X30" s="1" t="s">
        <v>498</v>
      </c>
      <c r="Y30" s="65" t="s">
        <v>682</v>
      </c>
      <c r="Z30" s="1" t="s">
        <v>683</v>
      </c>
      <c r="AA30" s="1" t="s">
        <v>684</v>
      </c>
      <c r="AB30" s="1" t="s">
        <v>685</v>
      </c>
      <c r="AC30" s="69" t="s">
        <v>686</v>
      </c>
      <c r="AD30" s="1" t="s">
        <v>687</v>
      </c>
      <c r="AE30" s="1" t="s">
        <v>363</v>
      </c>
      <c r="AF30" s="1"/>
      <c r="AG30" s="66" t="s">
        <v>582</v>
      </c>
      <c r="AH30" s="1"/>
      <c r="AI30" s="1"/>
      <c r="AJ30" s="1"/>
      <c r="AK30" s="1"/>
      <c r="AL30" s="18"/>
      <c r="AM30" s="1"/>
      <c r="AN30" s="18" t="s">
        <v>688</v>
      </c>
      <c r="AO30" s="18" t="s">
        <v>689</v>
      </c>
      <c r="AP30" s="18" t="s">
        <v>357</v>
      </c>
      <c r="AQ30" s="1"/>
      <c r="AR30" s="1"/>
      <c r="AS30" s="1"/>
      <c r="AT30" s="1"/>
      <c r="AU30" s="20" t="s">
        <v>548</v>
      </c>
      <c r="AV30" s="20" t="s">
        <v>560</v>
      </c>
      <c r="AW30" s="22" t="s">
        <v>107</v>
      </c>
      <c r="AX30" s="22" t="s">
        <v>464</v>
      </c>
      <c r="AY30" s="20" t="s">
        <v>505</v>
      </c>
      <c r="AZ30" s="1"/>
      <c r="BA30" s="1"/>
      <c r="BB30" s="1"/>
      <c r="BC30" s="1"/>
    </row>
    <row r="31" spans="7:55">
      <c r="G31" s="1"/>
      <c r="H31" s="1"/>
      <c r="I31" s="1"/>
      <c r="J31" s="1"/>
      <c r="K31" s="1"/>
      <c r="L31" s="1" t="s">
        <v>627</v>
      </c>
      <c r="M31" s="1" t="s">
        <v>662</v>
      </c>
      <c r="N31" s="1" t="s">
        <v>616</v>
      </c>
      <c r="O31" s="1" t="s">
        <v>612</v>
      </c>
      <c r="P31" s="1" t="s">
        <v>357</v>
      </c>
      <c r="Q31" s="1" t="s">
        <v>505</v>
      </c>
      <c r="R31" s="1"/>
      <c r="S31" s="65" t="s">
        <v>627</v>
      </c>
      <c r="T31" s="1" t="s">
        <v>662</v>
      </c>
      <c r="U31" s="1" t="s">
        <v>616</v>
      </c>
      <c r="V31" s="1" t="s">
        <v>612</v>
      </c>
      <c r="W31" s="1" t="s">
        <v>357</v>
      </c>
      <c r="X31" s="1" t="s">
        <v>505</v>
      </c>
      <c r="Y31" s="65" t="s">
        <v>655</v>
      </c>
      <c r="Z31" s="1" t="s">
        <v>654</v>
      </c>
      <c r="AA31" s="1" t="s">
        <v>63</v>
      </c>
      <c r="AB31" s="1" t="s">
        <v>686</v>
      </c>
      <c r="AC31" s="65" t="s">
        <v>608</v>
      </c>
      <c r="AD31" s="1" t="s">
        <v>663</v>
      </c>
      <c r="AE31" s="1" t="s">
        <v>690</v>
      </c>
      <c r="AF31" s="1"/>
      <c r="AG31" s="66"/>
      <c r="AH31" s="1"/>
      <c r="AI31" s="1"/>
      <c r="AJ31" s="1"/>
      <c r="AK31" s="1"/>
      <c r="AL31" s="18"/>
      <c r="AM31" s="1"/>
      <c r="AN31" s="18" t="s">
        <v>691</v>
      </c>
      <c r="AO31" s="18" t="s">
        <v>692</v>
      </c>
      <c r="AP31" s="18" t="s">
        <v>693</v>
      </c>
      <c r="AQ31" s="1"/>
      <c r="AR31" s="1"/>
      <c r="AS31" s="1"/>
      <c r="AT31" s="1"/>
      <c r="AU31" s="20" t="s">
        <v>359</v>
      </c>
      <c r="AV31" s="22" t="s">
        <v>505</v>
      </c>
      <c r="AW31" s="20" t="s">
        <v>94</v>
      </c>
      <c r="AX31" s="22" t="s">
        <v>478</v>
      </c>
      <c r="AY31" s="20" t="s">
        <v>545</v>
      </c>
      <c r="AZ31" s="1"/>
      <c r="BA31" s="1"/>
      <c r="BB31" s="1"/>
      <c r="BC31" s="1"/>
    </row>
    <row r="32" spans="7:55">
      <c r="G32" s="1"/>
      <c r="H32" s="1"/>
      <c r="I32" s="1"/>
      <c r="J32" s="1"/>
      <c r="K32" s="1"/>
      <c r="L32" s="1" t="s">
        <v>612</v>
      </c>
      <c r="M32" s="1" t="s">
        <v>615</v>
      </c>
      <c r="N32" s="1" t="s">
        <v>362</v>
      </c>
      <c r="O32" s="1" t="s">
        <v>689</v>
      </c>
      <c r="P32" s="1" t="s">
        <v>358</v>
      </c>
      <c r="Q32" s="1" t="s">
        <v>491</v>
      </c>
      <c r="R32" s="1"/>
      <c r="S32" s="65" t="s">
        <v>612</v>
      </c>
      <c r="T32" s="1" t="s">
        <v>615</v>
      </c>
      <c r="U32" s="1" t="s">
        <v>362</v>
      </c>
      <c r="V32" s="1" t="s">
        <v>689</v>
      </c>
      <c r="W32" s="1" t="s">
        <v>358</v>
      </c>
      <c r="X32" s="1" t="s">
        <v>491</v>
      </c>
      <c r="Y32" s="65" t="s">
        <v>621</v>
      </c>
      <c r="Z32" s="1" t="s">
        <v>686</v>
      </c>
      <c r="AA32" s="1" t="s">
        <v>600</v>
      </c>
      <c r="AB32" s="1" t="s">
        <v>694</v>
      </c>
      <c r="AC32" s="65" t="s">
        <v>695</v>
      </c>
      <c r="AD32" s="78" t="s">
        <v>367</v>
      </c>
      <c r="AE32" s="1" t="s">
        <v>696</v>
      </c>
      <c r="AF32" s="1"/>
      <c r="AG32" s="66"/>
      <c r="AH32" s="1"/>
      <c r="AI32" s="1"/>
      <c r="AJ32" s="1"/>
      <c r="AK32" s="1"/>
      <c r="AL32" s="18"/>
      <c r="AM32" s="1"/>
      <c r="AN32" s="1"/>
      <c r="AO32" s="18" t="s">
        <v>697</v>
      </c>
      <c r="AP32" s="18" t="s">
        <v>698</v>
      </c>
      <c r="AQ32" s="1"/>
      <c r="AR32" s="1"/>
      <c r="AS32" s="1"/>
      <c r="AT32" s="1"/>
      <c r="AU32" s="20" t="s">
        <v>112</v>
      </c>
      <c r="AV32" s="22" t="s">
        <v>573</v>
      </c>
      <c r="AW32" s="20" t="s">
        <v>355</v>
      </c>
      <c r="AX32" s="20" t="s">
        <v>532</v>
      </c>
      <c r="AY32" s="20" t="s">
        <v>525</v>
      </c>
      <c r="AZ32" s="1"/>
      <c r="BA32" s="1"/>
      <c r="BB32" s="1"/>
      <c r="BC32" s="1"/>
    </row>
    <row r="33" spans="12:51">
      <c r="L33" s="1" t="s">
        <v>699</v>
      </c>
      <c r="M33" s="1" t="s">
        <v>699</v>
      </c>
      <c r="N33" s="1" t="s">
        <v>700</v>
      </c>
      <c r="O33" s="1" t="s">
        <v>59</v>
      </c>
      <c r="P33" s="1" t="s">
        <v>63</v>
      </c>
      <c r="Q33" s="1" t="s">
        <v>520</v>
      </c>
      <c r="R33" s="1"/>
      <c r="S33" s="69" t="s">
        <v>699</v>
      </c>
      <c r="T33" s="1" t="s">
        <v>699</v>
      </c>
      <c r="U33" s="1" t="s">
        <v>700</v>
      </c>
      <c r="V33" s="1" t="s">
        <v>59</v>
      </c>
      <c r="W33" s="68" t="s">
        <v>63</v>
      </c>
      <c r="X33" s="1" t="s">
        <v>520</v>
      </c>
      <c r="Y33" s="65" t="s">
        <v>701</v>
      </c>
      <c r="Z33" s="1" t="s">
        <v>702</v>
      </c>
      <c r="AA33" s="1" t="s">
        <v>359</v>
      </c>
      <c r="AB33" s="1" t="s">
        <v>703</v>
      </c>
      <c r="AC33" s="65" t="s">
        <v>612</v>
      </c>
      <c r="AD33" s="1" t="s">
        <v>667</v>
      </c>
      <c r="AE33" s="1" t="s">
        <v>704</v>
      </c>
      <c r="AF33" s="1"/>
      <c r="AG33" s="66"/>
      <c r="AH33" s="1"/>
      <c r="AI33" s="1"/>
      <c r="AJ33" s="1"/>
      <c r="AK33" s="1"/>
      <c r="AL33" s="1"/>
      <c r="AM33" s="1"/>
      <c r="AN33" s="1"/>
      <c r="AO33" s="18" t="s">
        <v>705</v>
      </c>
      <c r="AP33" s="18" t="s">
        <v>706</v>
      </c>
      <c r="AQ33" s="1"/>
      <c r="AR33" s="1"/>
      <c r="AS33" s="1"/>
      <c r="AT33" s="1"/>
      <c r="AU33" s="20" t="s">
        <v>555</v>
      </c>
      <c r="AV33" s="20" t="s">
        <v>514</v>
      </c>
      <c r="AW33" s="22" t="s">
        <v>637</v>
      </c>
      <c r="AX33" s="20" t="s">
        <v>546</v>
      </c>
      <c r="AY33" s="20" t="s">
        <v>556</v>
      </c>
    </row>
    <row r="34" spans="12:51">
      <c r="L34" s="1" t="s">
        <v>689</v>
      </c>
      <c r="M34" s="1" t="s">
        <v>663</v>
      </c>
      <c r="N34" s="1" t="s">
        <v>627</v>
      </c>
      <c r="O34" s="1" t="s">
        <v>642</v>
      </c>
      <c r="P34" s="1" t="s">
        <v>359</v>
      </c>
      <c r="Q34" s="1" t="s">
        <v>655</v>
      </c>
      <c r="R34" s="1"/>
      <c r="S34" s="65" t="s">
        <v>689</v>
      </c>
      <c r="T34" s="1" t="s">
        <v>663</v>
      </c>
      <c r="U34" s="1" t="s">
        <v>627</v>
      </c>
      <c r="V34" s="1" t="s">
        <v>642</v>
      </c>
      <c r="W34" s="1" t="s">
        <v>359</v>
      </c>
      <c r="X34" s="1" t="s">
        <v>655</v>
      </c>
      <c r="Y34" s="75" t="s">
        <v>63</v>
      </c>
      <c r="Z34" s="1" t="s">
        <v>616</v>
      </c>
      <c r="AA34" s="1" t="s">
        <v>707</v>
      </c>
      <c r="AB34" s="1" t="s">
        <v>668</v>
      </c>
      <c r="AC34" s="65" t="s">
        <v>708</v>
      </c>
      <c r="AD34" s="1"/>
      <c r="AE34" s="1" t="s">
        <v>709</v>
      </c>
      <c r="AF34" s="1"/>
      <c r="AG34" s="66"/>
      <c r="AH34" s="1"/>
      <c r="AI34" s="1"/>
      <c r="AJ34" s="1"/>
      <c r="AK34" s="1"/>
      <c r="AL34" s="1"/>
      <c r="AM34" s="1"/>
      <c r="AN34" s="1"/>
      <c r="AO34" s="18" t="s">
        <v>710</v>
      </c>
      <c r="AP34" s="18" t="s">
        <v>711</v>
      </c>
      <c r="AQ34" s="1"/>
      <c r="AR34" s="1"/>
      <c r="AS34" s="1"/>
      <c r="AT34" s="1"/>
      <c r="AU34" s="20" t="s">
        <v>651</v>
      </c>
      <c r="AV34" s="20" t="s">
        <v>549</v>
      </c>
      <c r="AW34" s="21" t="s">
        <v>588</v>
      </c>
      <c r="AX34" s="20" t="s">
        <v>606</v>
      </c>
      <c r="AY34" s="20" t="s">
        <v>595</v>
      </c>
    </row>
    <row r="35" spans="12:51">
      <c r="L35" s="1" t="s">
        <v>712</v>
      </c>
      <c r="M35" s="1" t="s">
        <v>713</v>
      </c>
      <c r="N35" s="1" t="s">
        <v>714</v>
      </c>
      <c r="O35" s="1" t="s">
        <v>710</v>
      </c>
      <c r="P35" s="1" t="s">
        <v>569</v>
      </c>
      <c r="Q35" s="1" t="s">
        <v>621</v>
      </c>
      <c r="R35" s="1"/>
      <c r="S35" s="65" t="s">
        <v>712</v>
      </c>
      <c r="T35" s="1" t="s">
        <v>713</v>
      </c>
      <c r="U35" s="1" t="s">
        <v>714</v>
      </c>
      <c r="V35" s="1" t="s">
        <v>710</v>
      </c>
      <c r="W35" s="1" t="s">
        <v>569</v>
      </c>
      <c r="X35" s="1" t="s">
        <v>621</v>
      </c>
      <c r="Y35" s="65" t="s">
        <v>359</v>
      </c>
      <c r="Z35" s="1" t="s">
        <v>482</v>
      </c>
      <c r="AA35" s="1" t="s">
        <v>715</v>
      </c>
      <c r="AB35" s="1" t="s">
        <v>716</v>
      </c>
      <c r="AC35" s="69" t="s">
        <v>712</v>
      </c>
      <c r="AD35" s="1"/>
      <c r="AE35" s="1" t="s">
        <v>667</v>
      </c>
      <c r="AF35" s="1"/>
      <c r="AG35" s="66"/>
      <c r="AH35" s="1"/>
      <c r="AI35" s="1"/>
      <c r="AJ35" s="1"/>
      <c r="AK35" s="1"/>
      <c r="AL35" s="1"/>
      <c r="AM35" s="1"/>
      <c r="AN35" s="1"/>
      <c r="AO35" s="18" t="s">
        <v>558</v>
      </c>
      <c r="AP35" s="18" t="s">
        <v>624</v>
      </c>
      <c r="AQ35" s="1"/>
      <c r="AR35" s="1"/>
      <c r="AS35" s="1"/>
      <c r="AT35" s="1"/>
      <c r="AU35" s="20" t="s">
        <v>569</v>
      </c>
      <c r="AV35" s="22" t="s">
        <v>545</v>
      </c>
      <c r="AW35" s="19" t="s">
        <v>112</v>
      </c>
      <c r="AX35" s="22" t="s">
        <v>553</v>
      </c>
      <c r="AY35" s="20" t="s">
        <v>520</v>
      </c>
    </row>
    <row r="36" spans="12:51">
      <c r="L36" s="1" t="s">
        <v>59</v>
      </c>
      <c r="M36" s="1" t="s">
        <v>652</v>
      </c>
      <c r="N36" s="1" t="s">
        <v>643</v>
      </c>
      <c r="O36" s="1" t="s">
        <v>717</v>
      </c>
      <c r="P36" s="1" t="s">
        <v>683</v>
      </c>
      <c r="Q36" s="1" t="s">
        <v>354</v>
      </c>
      <c r="R36" s="1"/>
      <c r="S36" s="65" t="s">
        <v>59</v>
      </c>
      <c r="T36" s="1" t="s">
        <v>652</v>
      </c>
      <c r="U36" s="1" t="s">
        <v>643</v>
      </c>
      <c r="V36" s="1" t="s">
        <v>717</v>
      </c>
      <c r="W36" s="1" t="s">
        <v>683</v>
      </c>
      <c r="X36" s="67" t="s">
        <v>354</v>
      </c>
      <c r="Y36" s="65" t="s">
        <v>635</v>
      </c>
      <c r="Z36" s="1" t="s">
        <v>718</v>
      </c>
      <c r="AA36" s="1" t="s">
        <v>719</v>
      </c>
      <c r="AB36" s="1" t="s">
        <v>612</v>
      </c>
      <c r="AC36" s="65" t="s">
        <v>667</v>
      </c>
      <c r="AD36" s="1"/>
      <c r="AE36" s="1" t="s">
        <v>720</v>
      </c>
      <c r="AF36" s="1"/>
      <c r="AG36" s="66"/>
      <c r="AH36" s="1"/>
      <c r="AI36" s="1"/>
      <c r="AJ36" s="1"/>
      <c r="AK36" s="1"/>
      <c r="AL36" s="1"/>
      <c r="AM36" s="1"/>
      <c r="AN36" s="1"/>
      <c r="AO36" s="1"/>
      <c r="AP36" s="18" t="s">
        <v>675</v>
      </c>
      <c r="AQ36" s="1"/>
      <c r="AR36" s="1"/>
      <c r="AS36" s="1"/>
      <c r="AT36" s="1"/>
      <c r="AU36" s="20" t="s">
        <v>579</v>
      </c>
      <c r="AV36" s="20" t="s">
        <v>525</v>
      </c>
      <c r="AW36" s="20" t="s">
        <v>555</v>
      </c>
      <c r="AX36" s="22" t="s">
        <v>611</v>
      </c>
      <c r="AY36" s="20" t="s">
        <v>621</v>
      </c>
    </row>
    <row r="37" spans="12:51">
      <c r="L37" s="1" t="s">
        <v>721</v>
      </c>
      <c r="M37" s="1" t="s">
        <v>659</v>
      </c>
      <c r="N37" s="1" t="s">
        <v>722</v>
      </c>
      <c r="O37" s="1"/>
      <c r="P37" s="1" t="s">
        <v>90</v>
      </c>
      <c r="Q37" s="1" t="s">
        <v>107</v>
      </c>
      <c r="R37" s="1"/>
      <c r="S37" s="65" t="s">
        <v>721</v>
      </c>
      <c r="T37" s="1" t="s">
        <v>659</v>
      </c>
      <c r="U37" s="1" t="s">
        <v>722</v>
      </c>
      <c r="V37" s="1"/>
      <c r="W37" s="1" t="s">
        <v>90</v>
      </c>
      <c r="X37" s="1" t="s">
        <v>107</v>
      </c>
      <c r="Y37" s="65" t="s">
        <v>723</v>
      </c>
      <c r="Z37" s="1" t="s">
        <v>724</v>
      </c>
      <c r="AA37" s="1" t="s">
        <v>90</v>
      </c>
      <c r="AB37" s="1" t="s">
        <v>689</v>
      </c>
      <c r="AC37" s="65" t="s">
        <v>658</v>
      </c>
      <c r="AD37" s="1"/>
      <c r="AE37" s="1" t="s">
        <v>664</v>
      </c>
      <c r="AF37" s="1"/>
      <c r="AG37" s="66"/>
      <c r="AH37" s="1"/>
      <c r="AI37" s="1"/>
      <c r="AJ37" s="1"/>
      <c r="AK37" s="1"/>
      <c r="AL37" s="1"/>
      <c r="AM37" s="1"/>
      <c r="AN37" s="1"/>
      <c r="AO37" s="1"/>
      <c r="AP37" s="18" t="s">
        <v>725</v>
      </c>
      <c r="AQ37" s="1"/>
      <c r="AR37" s="1"/>
      <c r="AS37" s="1"/>
      <c r="AT37" s="1"/>
      <c r="AU37" s="20" t="s">
        <v>90</v>
      </c>
      <c r="AV37" s="20" t="s">
        <v>353</v>
      </c>
      <c r="AW37" s="22" t="s">
        <v>651</v>
      </c>
      <c r="AX37" s="22" t="s">
        <v>551</v>
      </c>
      <c r="AY37" s="20" t="s">
        <v>107</v>
      </c>
    </row>
    <row r="38" spans="12:51">
      <c r="L38" s="1" t="s">
        <v>726</v>
      </c>
      <c r="M38" s="1" t="s">
        <v>667</v>
      </c>
      <c r="N38" s="1" t="s">
        <v>642</v>
      </c>
      <c r="O38" s="1"/>
      <c r="P38" s="1" t="s">
        <v>727</v>
      </c>
      <c r="Q38" s="1" t="s">
        <v>355</v>
      </c>
      <c r="R38" s="1"/>
      <c r="S38" s="65" t="s">
        <v>726</v>
      </c>
      <c r="T38" s="1" t="s">
        <v>667</v>
      </c>
      <c r="U38" s="1" t="s">
        <v>642</v>
      </c>
      <c r="V38" s="1"/>
      <c r="W38" s="1" t="s">
        <v>727</v>
      </c>
      <c r="X38" s="1" t="s">
        <v>355</v>
      </c>
      <c r="Y38" s="65" t="s">
        <v>728</v>
      </c>
      <c r="Z38" s="76" t="s">
        <v>59</v>
      </c>
      <c r="AA38" s="1" t="s">
        <v>729</v>
      </c>
      <c r="AB38" s="1" t="s">
        <v>730</v>
      </c>
      <c r="AC38" s="65" t="s">
        <v>731</v>
      </c>
      <c r="AD38" s="1"/>
      <c r="AE38" s="1" t="s">
        <v>731</v>
      </c>
      <c r="AF38" s="1"/>
      <c r="AG38" s="66"/>
      <c r="AH38" s="1"/>
      <c r="AI38" s="1"/>
      <c r="AJ38" s="1"/>
      <c r="AK38" s="1"/>
      <c r="AL38" s="1"/>
      <c r="AM38" s="1"/>
      <c r="AN38" s="1"/>
      <c r="AO38" s="1"/>
      <c r="AP38" s="18" t="s">
        <v>732</v>
      </c>
      <c r="AQ38" s="1"/>
      <c r="AR38" s="1"/>
      <c r="AS38" s="1"/>
      <c r="AT38" s="1"/>
      <c r="AU38" s="20" t="s">
        <v>654</v>
      </c>
      <c r="AV38" s="19" t="s">
        <v>556</v>
      </c>
      <c r="AW38" s="19" t="s">
        <v>90</v>
      </c>
      <c r="AX38" s="22" t="s">
        <v>622</v>
      </c>
      <c r="AY38" s="20" t="s">
        <v>669</v>
      </c>
    </row>
    <row r="39" spans="12:51">
      <c r="L39" s="1" t="s">
        <v>642</v>
      </c>
      <c r="M39" s="1" t="s">
        <v>710</v>
      </c>
      <c r="N39" s="1" t="s">
        <v>713</v>
      </c>
      <c r="O39" s="1"/>
      <c r="P39" s="1" t="s">
        <v>733</v>
      </c>
      <c r="Q39" s="1" t="s">
        <v>355</v>
      </c>
      <c r="R39" s="1"/>
      <c r="S39" s="65" t="s">
        <v>642</v>
      </c>
      <c r="T39" s="1" t="s">
        <v>710</v>
      </c>
      <c r="U39" s="1" t="s">
        <v>713</v>
      </c>
      <c r="V39" s="1"/>
      <c r="W39" s="1" t="s">
        <v>733</v>
      </c>
      <c r="X39" s="1" t="s">
        <v>355</v>
      </c>
      <c r="Y39" s="65" t="s">
        <v>734</v>
      </c>
      <c r="Z39" s="1" t="s">
        <v>726</v>
      </c>
      <c r="AA39" s="1" t="s">
        <v>568</v>
      </c>
      <c r="AB39" s="1" t="s">
        <v>59</v>
      </c>
      <c r="AC39" s="65" t="s">
        <v>691</v>
      </c>
      <c r="AD39" s="1"/>
      <c r="AE39" s="1" t="s">
        <v>688</v>
      </c>
      <c r="AF39" s="1"/>
      <c r="AG39" s="66"/>
      <c r="AH39" s="1"/>
      <c r="AI39" s="1"/>
      <c r="AJ39" s="1"/>
      <c r="AK39" s="1"/>
      <c r="AL39" s="1"/>
      <c r="AM39" s="1"/>
      <c r="AN39" s="1"/>
      <c r="AO39" s="1"/>
      <c r="AP39" s="18" t="s">
        <v>607</v>
      </c>
      <c r="AQ39" s="1"/>
      <c r="AR39" s="1"/>
      <c r="AS39" s="1"/>
      <c r="AT39" s="1"/>
      <c r="AU39" s="20" t="s">
        <v>568</v>
      </c>
      <c r="AV39" s="21" t="s">
        <v>570</v>
      </c>
      <c r="AW39" s="22" t="s">
        <v>644</v>
      </c>
      <c r="AX39" s="22" t="s">
        <v>489</v>
      </c>
      <c r="AY39" s="20" t="s">
        <v>552</v>
      </c>
    </row>
    <row r="40" spans="12:51" ht="17.100000000000001" thickBot="1">
      <c r="L40" s="1" t="s">
        <v>663</v>
      </c>
      <c r="M40" s="1" t="s">
        <v>666</v>
      </c>
      <c r="N40" s="1" t="s">
        <v>367</v>
      </c>
      <c r="O40" s="1"/>
      <c r="P40" s="1" t="s">
        <v>723</v>
      </c>
      <c r="Q40" s="1" t="s">
        <v>735</v>
      </c>
      <c r="R40" s="1"/>
      <c r="S40" s="65" t="s">
        <v>663</v>
      </c>
      <c r="T40" s="1" t="s">
        <v>666</v>
      </c>
      <c r="U40" s="67" t="s">
        <v>367</v>
      </c>
      <c r="V40" s="1"/>
      <c r="W40" s="1" t="s">
        <v>723</v>
      </c>
      <c r="X40" s="1" t="s">
        <v>735</v>
      </c>
      <c r="Y40" s="65" t="s">
        <v>734</v>
      </c>
      <c r="Z40" s="1" t="s">
        <v>659</v>
      </c>
      <c r="AA40" s="1" t="s">
        <v>686</v>
      </c>
      <c r="AB40" s="1" t="s">
        <v>736</v>
      </c>
      <c r="AC40" s="71" t="s">
        <v>737</v>
      </c>
      <c r="AD40" s="72"/>
      <c r="AE40" s="72"/>
      <c r="AF40" s="72"/>
      <c r="AG40" s="73"/>
      <c r="AH40" s="1"/>
      <c r="AI40" s="1"/>
      <c r="AJ40" s="1"/>
      <c r="AK40" s="1"/>
      <c r="AL40" s="1"/>
      <c r="AM40" s="1"/>
      <c r="AN40" s="1"/>
      <c r="AO40" s="1"/>
      <c r="AP40" s="18" t="s">
        <v>738</v>
      </c>
      <c r="AQ40" s="1"/>
      <c r="AR40" s="1"/>
      <c r="AS40" s="1"/>
      <c r="AT40" s="1"/>
      <c r="AU40" s="20" t="s">
        <v>587</v>
      </c>
      <c r="AV40" s="22" t="s">
        <v>535</v>
      </c>
      <c r="AW40" s="20" t="s">
        <v>554</v>
      </c>
      <c r="AX40" s="22" t="s">
        <v>632</v>
      </c>
      <c r="AY40" s="20" t="s">
        <v>567</v>
      </c>
    </row>
    <row r="41" spans="12:51">
      <c r="L41" s="1" t="s">
        <v>739</v>
      </c>
      <c r="M41" s="1" t="s">
        <v>370</v>
      </c>
      <c r="N41" s="1" t="s">
        <v>679</v>
      </c>
      <c r="O41" s="1"/>
      <c r="P41" s="1" t="s">
        <v>616</v>
      </c>
      <c r="Q41" s="1" t="s">
        <v>740</v>
      </c>
      <c r="R41" s="1"/>
      <c r="S41" s="65" t="s">
        <v>739</v>
      </c>
      <c r="T41" s="1" t="s">
        <v>370</v>
      </c>
      <c r="U41" s="1" t="s">
        <v>679</v>
      </c>
      <c r="V41" s="1"/>
      <c r="W41" s="1" t="s">
        <v>616</v>
      </c>
      <c r="X41" s="1" t="s">
        <v>740</v>
      </c>
      <c r="Y41" s="65" t="s">
        <v>668</v>
      </c>
      <c r="Z41" s="1" t="s">
        <v>741</v>
      </c>
      <c r="AA41" s="1" t="s">
        <v>702</v>
      </c>
      <c r="AB41" s="66" t="s">
        <v>742</v>
      </c>
      <c r="AC41" s="1"/>
      <c r="AD41" s="1"/>
      <c r="AE41" s="1"/>
      <c r="AF41" s="1"/>
      <c r="AG41" s="1"/>
      <c r="AH41" s="1"/>
      <c r="AI41" s="1"/>
      <c r="AJ41" s="1"/>
      <c r="AK41" s="1"/>
      <c r="AL41" s="1"/>
      <c r="AM41" s="1"/>
      <c r="AN41" s="1"/>
      <c r="AO41" s="1"/>
      <c r="AP41" s="18" t="s">
        <v>743</v>
      </c>
      <c r="AQ41" s="1"/>
      <c r="AR41" s="1"/>
      <c r="AS41" s="1"/>
      <c r="AT41" s="1"/>
      <c r="AU41" s="20" t="s">
        <v>662</v>
      </c>
      <c r="AV41" s="20" t="s">
        <v>559</v>
      </c>
      <c r="AW41" s="22" t="s">
        <v>616</v>
      </c>
      <c r="AX41" s="20" t="s">
        <v>529</v>
      </c>
      <c r="AY41" s="20" t="s">
        <v>357</v>
      </c>
    </row>
    <row r="42" spans="12:51">
      <c r="L42" s="1" t="s">
        <v>659</v>
      </c>
      <c r="M42" s="1" t="s">
        <v>744</v>
      </c>
      <c r="N42" s="1" t="s">
        <v>691</v>
      </c>
      <c r="O42" s="1"/>
      <c r="P42" s="1" t="s">
        <v>482</v>
      </c>
      <c r="Q42" s="1" t="s">
        <v>711</v>
      </c>
      <c r="R42" s="1"/>
      <c r="S42" s="65" t="s">
        <v>659</v>
      </c>
      <c r="T42" s="1" t="s">
        <v>744</v>
      </c>
      <c r="U42" s="1" t="s">
        <v>691</v>
      </c>
      <c r="V42" s="1"/>
      <c r="W42" s="1" t="s">
        <v>482</v>
      </c>
      <c r="X42" s="1" t="s">
        <v>711</v>
      </c>
      <c r="Y42" s="65" t="s">
        <v>627</v>
      </c>
      <c r="Z42" s="1"/>
      <c r="AA42" s="1" t="s">
        <v>616</v>
      </c>
      <c r="AB42" s="66" t="s">
        <v>745</v>
      </c>
      <c r="AC42" s="1"/>
      <c r="AD42" s="1"/>
      <c r="AE42" s="1"/>
      <c r="AF42" s="1"/>
      <c r="AG42" s="1"/>
      <c r="AH42" s="1"/>
      <c r="AI42" s="1"/>
      <c r="AJ42" s="1"/>
      <c r="AK42" s="1"/>
      <c r="AL42" s="1"/>
      <c r="AM42" s="1"/>
      <c r="AN42" s="1"/>
      <c r="AO42" s="1"/>
      <c r="AP42" s="18" t="s">
        <v>689</v>
      </c>
      <c r="AQ42" s="1"/>
      <c r="AR42" s="1"/>
      <c r="AS42" s="1"/>
      <c r="AT42" s="1"/>
      <c r="AU42" s="20" t="s">
        <v>608</v>
      </c>
      <c r="AV42" s="19" t="s">
        <v>520</v>
      </c>
      <c r="AW42" s="20" t="s">
        <v>362</v>
      </c>
      <c r="AX42" s="22" t="s">
        <v>498</v>
      </c>
      <c r="AY42" s="20" t="s">
        <v>112</v>
      </c>
    </row>
    <row r="43" spans="12:51">
      <c r="L43" s="1" t="s">
        <v>746</v>
      </c>
      <c r="M43" s="1"/>
      <c r="N43" s="1" t="s">
        <v>737</v>
      </c>
      <c r="O43" s="1"/>
      <c r="P43" s="1" t="s">
        <v>734</v>
      </c>
      <c r="Q43" s="1" t="s">
        <v>624</v>
      </c>
      <c r="R43" s="1"/>
      <c r="S43" s="65" t="s">
        <v>746</v>
      </c>
      <c r="T43" s="1"/>
      <c r="U43" s="1" t="s">
        <v>737</v>
      </c>
      <c r="V43" s="1"/>
      <c r="W43" s="1" t="s">
        <v>734</v>
      </c>
      <c r="X43" s="1" t="s">
        <v>624</v>
      </c>
      <c r="Y43" s="65" t="s">
        <v>747</v>
      </c>
      <c r="Z43" s="1"/>
      <c r="AA43" s="1" t="s">
        <v>675</v>
      </c>
      <c r="AB43" s="66" t="s">
        <v>748</v>
      </c>
      <c r="AC43" s="1"/>
      <c r="AD43" s="1"/>
      <c r="AE43" s="1"/>
      <c r="AF43" s="1"/>
      <c r="AG43" s="1"/>
      <c r="AH43" s="1"/>
      <c r="AI43" s="1"/>
      <c r="AJ43" s="1"/>
      <c r="AK43" s="1"/>
      <c r="AL43" s="1"/>
      <c r="AM43" s="1"/>
      <c r="AN43" s="1"/>
      <c r="AO43" s="1"/>
      <c r="AP43" s="18" t="s">
        <v>749</v>
      </c>
      <c r="AQ43" s="1"/>
      <c r="AR43" s="1"/>
      <c r="AS43" s="1"/>
      <c r="AT43" s="1"/>
      <c r="AU43" s="20" t="s">
        <v>626</v>
      </c>
      <c r="AV43" s="20" t="s">
        <v>583</v>
      </c>
      <c r="AW43" s="22" t="s">
        <v>700</v>
      </c>
      <c r="AX43" s="22" t="s">
        <v>351</v>
      </c>
      <c r="AY43" s="20" t="s">
        <v>624</v>
      </c>
    </row>
    <row r="44" spans="12:51">
      <c r="L44" s="1" t="s">
        <v>667</v>
      </c>
      <c r="M44" s="1"/>
      <c r="N44" s="1"/>
      <c r="O44" s="1"/>
      <c r="P44" s="1" t="s">
        <v>660</v>
      </c>
      <c r="Q44" s="1" t="s">
        <v>750</v>
      </c>
      <c r="R44" s="1"/>
      <c r="S44" s="69" t="s">
        <v>667</v>
      </c>
      <c r="T44" s="1"/>
      <c r="U44" s="1"/>
      <c r="V44" s="1"/>
      <c r="W44" s="1" t="s">
        <v>660</v>
      </c>
      <c r="X44" s="1" t="s">
        <v>750</v>
      </c>
      <c r="Y44" s="65" t="s">
        <v>689</v>
      </c>
      <c r="Z44" s="1"/>
      <c r="AA44" s="1" t="s">
        <v>751</v>
      </c>
      <c r="AB44" s="66" t="s">
        <v>739</v>
      </c>
      <c r="AC44" s="1"/>
      <c r="AD44" s="1"/>
      <c r="AE44" s="1"/>
      <c r="AF44" s="1"/>
      <c r="AG44" s="1"/>
      <c r="AH44" s="1"/>
      <c r="AI44" s="1"/>
      <c r="AJ44" s="1"/>
      <c r="AK44" s="1"/>
      <c r="AL44" s="1"/>
      <c r="AM44" s="1"/>
      <c r="AN44" s="1"/>
      <c r="AO44" s="1"/>
      <c r="AP44" s="18" t="s">
        <v>667</v>
      </c>
      <c r="AQ44" s="1"/>
      <c r="AR44" s="1"/>
      <c r="AS44" s="1"/>
      <c r="AT44" s="1"/>
      <c r="AU44" s="20" t="s">
        <v>612</v>
      </c>
      <c r="AV44" s="22" t="s">
        <v>99</v>
      </c>
      <c r="AW44" s="20" t="s">
        <v>627</v>
      </c>
      <c r="AX44" s="22" t="s">
        <v>519</v>
      </c>
      <c r="AY44" s="20" t="s">
        <v>633</v>
      </c>
    </row>
    <row r="45" spans="12:51">
      <c r="L45" s="1" t="s">
        <v>752</v>
      </c>
      <c r="M45" s="1"/>
      <c r="N45" s="1"/>
      <c r="O45" s="1"/>
      <c r="P45" s="1" t="s">
        <v>674</v>
      </c>
      <c r="Q45" s="1" t="s">
        <v>750</v>
      </c>
      <c r="R45" s="1"/>
      <c r="S45" s="65" t="s">
        <v>752</v>
      </c>
      <c r="T45" s="1"/>
      <c r="U45" s="1"/>
      <c r="V45" s="1"/>
      <c r="W45" s="1" t="s">
        <v>674</v>
      </c>
      <c r="X45" s="1" t="s">
        <v>750</v>
      </c>
      <c r="Y45" s="65" t="s">
        <v>753</v>
      </c>
      <c r="Z45" s="1"/>
      <c r="AA45" s="1" t="s">
        <v>754</v>
      </c>
      <c r="AB45" s="66" t="s">
        <v>367</v>
      </c>
      <c r="AC45" s="1"/>
      <c r="AD45" s="1"/>
      <c r="AE45" s="1"/>
      <c r="AF45" s="1"/>
      <c r="AG45" s="1"/>
      <c r="AH45" s="1"/>
      <c r="AI45" s="1"/>
      <c r="AJ45" s="1"/>
      <c r="AK45" s="1"/>
      <c r="AL45" s="1"/>
      <c r="AM45" s="1"/>
      <c r="AN45" s="1"/>
      <c r="AO45" s="1"/>
      <c r="AP45" s="18" t="s">
        <v>599</v>
      </c>
      <c r="AQ45" s="1"/>
      <c r="AR45" s="1"/>
      <c r="AS45" s="1"/>
      <c r="AT45" s="1"/>
      <c r="AU45" s="20" t="s">
        <v>699</v>
      </c>
      <c r="AV45" s="21" t="s">
        <v>589</v>
      </c>
      <c r="AW45" s="22" t="s">
        <v>714</v>
      </c>
      <c r="AX45" s="20" t="s">
        <v>505</v>
      </c>
      <c r="AY45" s="20" t="s">
        <v>641</v>
      </c>
    </row>
    <row r="46" spans="12:51">
      <c r="L46" s="1"/>
      <c r="M46" s="1"/>
      <c r="N46" s="1"/>
      <c r="O46" s="1"/>
      <c r="P46" s="1" t="s">
        <v>668</v>
      </c>
      <c r="Q46" s="1" t="s">
        <v>675</v>
      </c>
      <c r="R46" s="1"/>
      <c r="S46" s="65"/>
      <c r="T46" s="1"/>
      <c r="U46" s="1"/>
      <c r="V46" s="1"/>
      <c r="W46" s="1" t="s">
        <v>668</v>
      </c>
      <c r="X46" s="1" t="s">
        <v>675</v>
      </c>
      <c r="Y46" s="65" t="s">
        <v>722</v>
      </c>
      <c r="Z46" s="1"/>
      <c r="AA46" s="1" t="s">
        <v>734</v>
      </c>
      <c r="AB46" s="66" t="s">
        <v>755</v>
      </c>
      <c r="AC46" s="1"/>
      <c r="AD46" s="1"/>
      <c r="AE46" s="1"/>
      <c r="AF46" s="1"/>
      <c r="AG46" s="1"/>
      <c r="AH46" s="1"/>
      <c r="AI46" s="1"/>
      <c r="AJ46" s="1"/>
      <c r="AK46" s="1"/>
      <c r="AL46" s="1"/>
      <c r="AM46" s="1"/>
      <c r="AN46" s="1"/>
      <c r="AO46" s="1"/>
      <c r="AP46" s="18" t="s">
        <v>737</v>
      </c>
      <c r="AQ46" s="1"/>
      <c r="AR46" s="1"/>
      <c r="AS46" s="1"/>
      <c r="AT46" s="1"/>
      <c r="AU46" s="20" t="s">
        <v>642</v>
      </c>
      <c r="AV46" s="19" t="s">
        <v>598</v>
      </c>
      <c r="AW46" s="19" t="s">
        <v>364</v>
      </c>
      <c r="AX46" s="20" t="s">
        <v>545</v>
      </c>
      <c r="AY46" s="20" t="s">
        <v>363</v>
      </c>
    </row>
    <row r="47" spans="12:51">
      <c r="L47" s="1"/>
      <c r="M47" s="1"/>
      <c r="N47" s="1"/>
      <c r="O47" s="1"/>
      <c r="P47" s="1" t="s">
        <v>627</v>
      </c>
      <c r="Q47" s="1" t="s">
        <v>734</v>
      </c>
      <c r="R47" s="1"/>
      <c r="S47" s="65"/>
      <c r="T47" s="1"/>
      <c r="U47" s="1"/>
      <c r="V47" s="1"/>
      <c r="W47" s="1" t="s">
        <v>627</v>
      </c>
      <c r="X47" s="1" t="s">
        <v>734</v>
      </c>
      <c r="Y47" s="65" t="s">
        <v>756</v>
      </c>
      <c r="Z47" s="1"/>
      <c r="AA47" s="1" t="s">
        <v>703</v>
      </c>
      <c r="AB47" s="66" t="s">
        <v>659</v>
      </c>
      <c r="AC47" s="1"/>
      <c r="AD47" s="1"/>
      <c r="AE47" s="1"/>
      <c r="AF47" s="1"/>
      <c r="AG47" s="1"/>
      <c r="AH47" s="1"/>
      <c r="AI47" s="1"/>
      <c r="AJ47" s="1"/>
      <c r="AK47" s="1"/>
      <c r="AL47" s="1"/>
      <c r="AM47" s="1"/>
      <c r="AN47" s="1"/>
      <c r="AO47" s="1"/>
      <c r="AP47" s="18"/>
      <c r="AQ47" s="1"/>
      <c r="AR47" s="1"/>
      <c r="AS47" s="1"/>
      <c r="AT47" s="1"/>
      <c r="AU47" s="20" t="s">
        <v>663</v>
      </c>
      <c r="AV47" s="20" t="s">
        <v>511</v>
      </c>
      <c r="AW47" s="20" t="s">
        <v>643</v>
      </c>
      <c r="AX47" s="22" t="s">
        <v>525</v>
      </c>
      <c r="AY47" s="20" t="s">
        <v>607</v>
      </c>
    </row>
    <row r="48" spans="12:51">
      <c r="L48" s="1"/>
      <c r="M48" s="1"/>
      <c r="N48" s="1"/>
      <c r="O48" s="1"/>
      <c r="P48" s="1" t="s">
        <v>627</v>
      </c>
      <c r="Q48" s="1" t="s">
        <v>660</v>
      </c>
      <c r="R48" s="1"/>
      <c r="S48" s="65"/>
      <c r="T48" s="1"/>
      <c r="U48" s="1"/>
      <c r="V48" s="1"/>
      <c r="W48" s="1" t="s">
        <v>627</v>
      </c>
      <c r="X48" s="1" t="s">
        <v>660</v>
      </c>
      <c r="Y48" s="65" t="s">
        <v>757</v>
      </c>
      <c r="Z48" s="1"/>
      <c r="AA48" s="1" t="s">
        <v>633</v>
      </c>
      <c r="AB48" s="66" t="s">
        <v>758</v>
      </c>
      <c r="AC48" s="1"/>
      <c r="AD48" s="1"/>
      <c r="AE48" s="1"/>
      <c r="AF48" s="1"/>
      <c r="AG48" s="1"/>
      <c r="AH48" s="1"/>
      <c r="AI48" s="1"/>
      <c r="AJ48" s="1"/>
      <c r="AK48" s="1"/>
      <c r="AL48" s="1"/>
      <c r="AM48" s="1"/>
      <c r="AN48" s="1"/>
      <c r="AO48" s="1"/>
      <c r="AP48" s="1"/>
      <c r="AQ48" s="1"/>
      <c r="AR48" s="1"/>
      <c r="AS48" s="1"/>
      <c r="AT48" s="1"/>
      <c r="AU48" s="20" t="s">
        <v>713</v>
      </c>
      <c r="AV48" s="21" t="s">
        <v>354</v>
      </c>
      <c r="AW48" s="22" t="s">
        <v>722</v>
      </c>
      <c r="AX48" s="20" t="s">
        <v>556</v>
      </c>
      <c r="AY48" s="20" t="s">
        <v>612</v>
      </c>
    </row>
    <row r="49" spans="16:51">
      <c r="P49" s="1" t="s">
        <v>759</v>
      </c>
      <c r="Q49" s="1" t="s">
        <v>760</v>
      </c>
      <c r="R49" s="1"/>
      <c r="S49" s="65"/>
      <c r="T49" s="1"/>
      <c r="U49" s="1"/>
      <c r="V49" s="1"/>
      <c r="W49" s="1" t="s">
        <v>759</v>
      </c>
      <c r="X49" s="1" t="s">
        <v>760</v>
      </c>
      <c r="Y49" s="65" t="s">
        <v>761</v>
      </c>
      <c r="Z49" s="1"/>
      <c r="AA49" s="1" t="s">
        <v>700</v>
      </c>
      <c r="AB49" s="66" t="s">
        <v>658</v>
      </c>
      <c r="AC49" s="1"/>
      <c r="AD49" s="1"/>
      <c r="AE49" s="1"/>
      <c r="AF49" s="1"/>
      <c r="AG49" s="1"/>
      <c r="AH49" s="1"/>
      <c r="AI49" s="1"/>
      <c r="AJ49" s="1"/>
      <c r="AK49" s="1"/>
      <c r="AL49" s="1"/>
      <c r="AM49" s="1"/>
      <c r="AN49" s="1"/>
      <c r="AO49" s="1"/>
      <c r="AP49" s="1"/>
      <c r="AQ49" s="1"/>
      <c r="AR49" s="1"/>
      <c r="AS49" s="1"/>
      <c r="AT49" s="1"/>
      <c r="AU49" s="20" t="s">
        <v>652</v>
      </c>
      <c r="AV49" s="22" t="s">
        <v>107</v>
      </c>
      <c r="AW49" s="20" t="s">
        <v>642</v>
      </c>
      <c r="AX49" s="22" t="s">
        <v>595</v>
      </c>
      <c r="AY49" s="20" t="s">
        <v>623</v>
      </c>
    </row>
    <row r="50" spans="16:51">
      <c r="P50" s="1" t="s">
        <v>364</v>
      </c>
      <c r="Q50" s="1" t="s">
        <v>626</v>
      </c>
      <c r="R50" s="1"/>
      <c r="S50" s="65"/>
      <c r="T50" s="1"/>
      <c r="U50" s="1"/>
      <c r="V50" s="1"/>
      <c r="W50" s="1" t="s">
        <v>364</v>
      </c>
      <c r="X50" s="1" t="s">
        <v>626</v>
      </c>
      <c r="Y50" s="65" t="s">
        <v>370</v>
      </c>
      <c r="Z50" s="1"/>
      <c r="AA50" s="1" t="s">
        <v>668</v>
      </c>
      <c r="AB50" s="66" t="s">
        <v>762</v>
      </c>
      <c r="AC50" s="1"/>
      <c r="AD50" s="1"/>
      <c r="AE50" s="1"/>
      <c r="AF50" s="1"/>
      <c r="AG50" s="1"/>
      <c r="AH50" s="1"/>
      <c r="AI50" s="1"/>
      <c r="AJ50" s="1"/>
      <c r="AK50" s="1"/>
      <c r="AL50" s="1"/>
      <c r="AM50" s="1"/>
      <c r="AN50" s="1"/>
      <c r="AO50" s="1"/>
      <c r="AP50" s="1"/>
      <c r="AQ50" s="1"/>
      <c r="AR50" s="1"/>
      <c r="AS50" s="1"/>
      <c r="AT50" s="1"/>
      <c r="AU50" s="20" t="s">
        <v>659</v>
      </c>
      <c r="AV50" s="20" t="s">
        <v>94</v>
      </c>
      <c r="AW50" s="22" t="s">
        <v>713</v>
      </c>
      <c r="AX50" s="22" t="s">
        <v>520</v>
      </c>
      <c r="AY50" s="20" t="s">
        <v>537</v>
      </c>
    </row>
    <row r="51" spans="16:51">
      <c r="P51" s="1" t="s">
        <v>763</v>
      </c>
      <c r="Q51" s="1" t="s">
        <v>764</v>
      </c>
      <c r="R51" s="1"/>
      <c r="S51" s="65"/>
      <c r="T51" s="1"/>
      <c r="U51" s="1"/>
      <c r="V51" s="1"/>
      <c r="W51" s="1" t="s">
        <v>763</v>
      </c>
      <c r="X51" s="1" t="s">
        <v>764</v>
      </c>
      <c r="Y51" s="65" t="s">
        <v>741</v>
      </c>
      <c r="Z51" s="1"/>
      <c r="AA51" s="1" t="s">
        <v>627</v>
      </c>
      <c r="AB51" s="66" t="s">
        <v>765</v>
      </c>
      <c r="AC51" s="1"/>
      <c r="AD51" s="1"/>
      <c r="AE51" s="1"/>
      <c r="AF51" s="1"/>
      <c r="AG51" s="1"/>
      <c r="AH51" s="1"/>
      <c r="AI51" s="1"/>
      <c r="AJ51" s="1"/>
      <c r="AK51" s="1"/>
      <c r="AL51" s="1"/>
      <c r="AM51" s="1"/>
      <c r="AN51" s="1"/>
      <c r="AO51" s="1"/>
      <c r="AP51" s="1"/>
      <c r="AQ51" s="1"/>
      <c r="AR51" s="1"/>
      <c r="AS51" s="1"/>
      <c r="AT51" s="1"/>
      <c r="AU51" s="20" t="s">
        <v>667</v>
      </c>
      <c r="AV51" s="20" t="s">
        <v>355</v>
      </c>
      <c r="AW51" s="20" t="s">
        <v>367</v>
      </c>
      <c r="AX51" s="22" t="s">
        <v>655</v>
      </c>
      <c r="AY51" s="20" t="s">
        <v>696</v>
      </c>
    </row>
    <row r="52" spans="16:51">
      <c r="P52" s="1" t="s">
        <v>724</v>
      </c>
      <c r="Q52" s="1" t="s">
        <v>749</v>
      </c>
      <c r="R52" s="1"/>
      <c r="S52" s="65"/>
      <c r="T52" s="1"/>
      <c r="U52" s="1"/>
      <c r="V52" s="1"/>
      <c r="W52" s="1" t="s">
        <v>724</v>
      </c>
      <c r="X52" s="1" t="s">
        <v>749</v>
      </c>
      <c r="Y52" s="65" t="s">
        <v>372</v>
      </c>
      <c r="Z52" s="1"/>
      <c r="AA52" s="1" t="s">
        <v>766</v>
      </c>
      <c r="AB52" s="66" t="s">
        <v>767</v>
      </c>
      <c r="AC52" s="1"/>
      <c r="AD52" s="1"/>
      <c r="AE52" s="1"/>
      <c r="AF52" s="1"/>
      <c r="AG52" s="1"/>
      <c r="AH52" s="1"/>
      <c r="AI52" s="1"/>
      <c r="AJ52" s="1"/>
      <c r="AK52" s="1"/>
      <c r="AL52" s="1"/>
      <c r="AM52" s="1"/>
      <c r="AN52" s="1"/>
      <c r="AO52" s="1"/>
      <c r="AP52" s="1"/>
      <c r="AQ52" s="1"/>
      <c r="AR52" s="1"/>
      <c r="AS52" s="1"/>
      <c r="AT52" s="1"/>
      <c r="AU52" s="20" t="s">
        <v>710</v>
      </c>
      <c r="AV52" s="19" t="s">
        <v>582</v>
      </c>
      <c r="AW52" s="21" t="s">
        <v>652</v>
      </c>
      <c r="AX52" s="20" t="s">
        <v>613</v>
      </c>
      <c r="AY52" s="20" t="s">
        <v>704</v>
      </c>
    </row>
    <row r="53" spans="16:51">
      <c r="P53" s="1" t="s">
        <v>626</v>
      </c>
      <c r="Q53" s="1" t="s">
        <v>768</v>
      </c>
      <c r="R53" s="1"/>
      <c r="S53" s="65"/>
      <c r="T53" s="1"/>
      <c r="U53" s="1"/>
      <c r="V53" s="1"/>
      <c r="W53" s="1" t="s">
        <v>626</v>
      </c>
      <c r="X53" s="1" t="s">
        <v>768</v>
      </c>
      <c r="Y53" s="65"/>
      <c r="Z53" s="1"/>
      <c r="AA53" s="1" t="s">
        <v>364</v>
      </c>
      <c r="AB53" s="66" t="s">
        <v>581</v>
      </c>
      <c r="AC53" s="1"/>
      <c r="AD53" s="1"/>
      <c r="AE53" s="1"/>
      <c r="AF53" s="1"/>
      <c r="AG53" s="1"/>
      <c r="AH53" s="1"/>
      <c r="AI53" s="1"/>
      <c r="AJ53" s="1"/>
      <c r="AK53" s="1"/>
      <c r="AL53" s="1"/>
      <c r="AM53" s="1"/>
      <c r="AN53" s="1"/>
      <c r="AO53" s="1"/>
      <c r="AP53" s="1"/>
      <c r="AQ53" s="1"/>
      <c r="AR53" s="1"/>
      <c r="AS53" s="1"/>
      <c r="AT53" s="1"/>
      <c r="AU53" s="20" t="s">
        <v>666</v>
      </c>
      <c r="AV53" s="20" t="s">
        <v>637</v>
      </c>
      <c r="AW53" s="19" t="s">
        <v>667</v>
      </c>
      <c r="AX53" s="22" t="s">
        <v>621</v>
      </c>
      <c r="AY53" s="20" t="s">
        <v>59</v>
      </c>
    </row>
    <row r="54" spans="16:51">
      <c r="P54" s="1" t="s">
        <v>747</v>
      </c>
      <c r="Q54" s="1" t="s">
        <v>367</v>
      </c>
      <c r="R54" s="1"/>
      <c r="S54" s="65"/>
      <c r="T54" s="1"/>
      <c r="U54" s="1"/>
      <c r="V54" s="1"/>
      <c r="W54" s="1" t="s">
        <v>747</v>
      </c>
      <c r="X54" s="67" t="s">
        <v>367</v>
      </c>
      <c r="Y54" s="65"/>
      <c r="Z54" s="1"/>
      <c r="AA54" s="1" t="s">
        <v>769</v>
      </c>
      <c r="AB54" s="66" t="s">
        <v>770</v>
      </c>
      <c r="AC54" s="1"/>
      <c r="AD54" s="1"/>
      <c r="AE54" s="1"/>
      <c r="AF54" s="1"/>
      <c r="AG54" s="1"/>
      <c r="AH54" s="1"/>
      <c r="AI54" s="1"/>
      <c r="AJ54" s="1"/>
      <c r="AK54" s="1"/>
      <c r="AL54" s="1"/>
      <c r="AM54" s="1"/>
      <c r="AN54" s="1"/>
      <c r="AO54" s="1"/>
      <c r="AP54" s="1"/>
      <c r="AQ54" s="1"/>
      <c r="AR54" s="1"/>
      <c r="AS54" s="1"/>
      <c r="AT54" s="1"/>
      <c r="AU54" s="20" t="s">
        <v>370</v>
      </c>
      <c r="AV54" s="20" t="s">
        <v>555</v>
      </c>
      <c r="AW54" s="21" t="s">
        <v>673</v>
      </c>
      <c r="AX54" s="20" t="s">
        <v>107</v>
      </c>
      <c r="AY54" s="20" t="s">
        <v>642</v>
      </c>
    </row>
    <row r="55" spans="16:51">
      <c r="P55" s="1" t="s">
        <v>366</v>
      </c>
      <c r="Q55" s="1" t="s">
        <v>757</v>
      </c>
      <c r="R55" s="1"/>
      <c r="S55" s="65"/>
      <c r="T55" s="1"/>
      <c r="U55" s="1"/>
      <c r="V55" s="1"/>
      <c r="W55" s="1" t="s">
        <v>366</v>
      </c>
      <c r="X55" s="1" t="s">
        <v>757</v>
      </c>
      <c r="Y55" s="65"/>
      <c r="Z55" s="1"/>
      <c r="AA55" s="1" t="s">
        <v>643</v>
      </c>
      <c r="AB55" s="66" t="s">
        <v>666</v>
      </c>
      <c r="AC55" s="1"/>
      <c r="AD55" s="1"/>
      <c r="AE55" s="1"/>
      <c r="AF55" s="1"/>
      <c r="AG55" s="1"/>
      <c r="AH55" s="1"/>
      <c r="AI55" s="1"/>
      <c r="AJ55" s="1"/>
      <c r="AK55" s="1"/>
      <c r="AL55" s="1"/>
      <c r="AM55" s="1"/>
      <c r="AN55" s="1"/>
      <c r="AO55" s="1"/>
      <c r="AP55" s="1"/>
      <c r="AQ55" s="1"/>
      <c r="AR55" s="1"/>
      <c r="AS55" s="1"/>
      <c r="AT55" s="1"/>
      <c r="AU55" s="20" t="s">
        <v>744</v>
      </c>
      <c r="AV55" s="22" t="s">
        <v>651</v>
      </c>
      <c r="AW55" s="22" t="s">
        <v>679</v>
      </c>
      <c r="AX55" s="22" t="s">
        <v>669</v>
      </c>
      <c r="AY55" s="20" t="s">
        <v>652</v>
      </c>
    </row>
    <row r="56" spans="16:51">
      <c r="P56" s="1" t="s">
        <v>537</v>
      </c>
      <c r="Q56" s="1" t="s">
        <v>659</v>
      </c>
      <c r="R56" s="1"/>
      <c r="S56" s="65"/>
      <c r="T56" s="1"/>
      <c r="U56" s="1"/>
      <c r="V56" s="1"/>
      <c r="W56" s="1" t="s">
        <v>537</v>
      </c>
      <c r="X56" s="1" t="s">
        <v>659</v>
      </c>
      <c r="Y56" s="65"/>
      <c r="Z56" s="1"/>
      <c r="AA56" s="1" t="s">
        <v>699</v>
      </c>
      <c r="AB56" s="66" t="s">
        <v>771</v>
      </c>
      <c r="AC56" s="1"/>
      <c r="AD56" s="1"/>
      <c r="AE56" s="1"/>
      <c r="AF56" s="1"/>
      <c r="AG56" s="1"/>
      <c r="AH56" s="1"/>
      <c r="AI56" s="1"/>
      <c r="AJ56" s="1"/>
      <c r="AK56" s="1"/>
      <c r="AL56" s="1"/>
      <c r="AM56" s="1"/>
      <c r="AN56" s="1"/>
      <c r="AO56" s="1"/>
      <c r="AP56" s="1"/>
      <c r="AQ56" s="1"/>
      <c r="AR56" s="1"/>
      <c r="AS56" s="1"/>
      <c r="AT56" s="1"/>
      <c r="AU56" s="24"/>
      <c r="AV56" s="21" t="s">
        <v>569</v>
      </c>
      <c r="AW56" s="21" t="s">
        <v>688</v>
      </c>
      <c r="AX56" s="20" t="s">
        <v>552</v>
      </c>
      <c r="AY56" s="20" t="s">
        <v>667</v>
      </c>
    </row>
    <row r="57" spans="16:51">
      <c r="P57" s="1" t="s">
        <v>772</v>
      </c>
      <c r="Q57" s="1" t="s">
        <v>667</v>
      </c>
      <c r="R57" s="1"/>
      <c r="S57" s="65"/>
      <c r="T57" s="1"/>
      <c r="U57" s="1"/>
      <c r="V57" s="1"/>
      <c r="W57" s="1" t="s">
        <v>772</v>
      </c>
      <c r="X57" s="1" t="s">
        <v>667</v>
      </c>
      <c r="Y57" s="65"/>
      <c r="Z57" s="1"/>
      <c r="AA57" s="1" t="s">
        <v>366</v>
      </c>
      <c r="AB57" s="66" t="s">
        <v>773</v>
      </c>
      <c r="AC57" s="1"/>
      <c r="AD57" s="1"/>
      <c r="AE57" s="1"/>
      <c r="AF57" s="1"/>
      <c r="AG57" s="1"/>
      <c r="AH57" s="1"/>
      <c r="AI57" s="1"/>
      <c r="AJ57" s="1"/>
      <c r="AK57" s="1"/>
      <c r="AL57" s="1"/>
      <c r="AM57" s="1"/>
      <c r="AN57" s="1"/>
      <c r="AO57" s="1"/>
      <c r="AP57" s="1"/>
      <c r="AQ57" s="1"/>
      <c r="AR57" s="1"/>
      <c r="AS57" s="1"/>
      <c r="AT57" s="1"/>
      <c r="AU57" s="1"/>
      <c r="AV57" s="22" t="s">
        <v>635</v>
      </c>
      <c r="AW57" s="20" t="s">
        <v>691</v>
      </c>
      <c r="AX57" s="20" t="s">
        <v>567</v>
      </c>
      <c r="AY57" s="20" t="s">
        <v>720</v>
      </c>
    </row>
    <row r="58" spans="16:51">
      <c r="P58" s="1" t="s">
        <v>367</v>
      </c>
      <c r="Q58" s="1" t="s">
        <v>368</v>
      </c>
      <c r="R58" s="1"/>
      <c r="S58" s="65"/>
      <c r="T58" s="1"/>
      <c r="U58" s="1"/>
      <c r="V58" s="1"/>
      <c r="W58" s="1" t="s">
        <v>367</v>
      </c>
      <c r="X58" s="1" t="s">
        <v>368</v>
      </c>
      <c r="Y58" s="65"/>
      <c r="Z58" s="1"/>
      <c r="AA58" s="1" t="s">
        <v>774</v>
      </c>
      <c r="AB58" s="66" t="s">
        <v>744</v>
      </c>
      <c r="AC58" s="1"/>
      <c r="AD58" s="1"/>
      <c r="AE58" s="1"/>
      <c r="AF58" s="1"/>
      <c r="AG58" s="1"/>
      <c r="AH58" s="1"/>
      <c r="AI58" s="1"/>
      <c r="AJ58" s="1"/>
      <c r="AK58" s="1"/>
      <c r="AL58" s="1"/>
      <c r="AM58" s="1"/>
      <c r="AN58" s="1"/>
      <c r="AO58" s="1"/>
      <c r="AP58" s="1"/>
      <c r="AQ58" s="1"/>
      <c r="AR58" s="1"/>
      <c r="AS58" s="1"/>
      <c r="AT58" s="1"/>
      <c r="AU58" s="1"/>
      <c r="AV58" s="20" t="s">
        <v>90</v>
      </c>
      <c r="AW58" s="19"/>
      <c r="AX58" s="20" t="s">
        <v>577</v>
      </c>
      <c r="AY58" s="20" t="s">
        <v>688</v>
      </c>
    </row>
    <row r="59" spans="16:51">
      <c r="P59" s="1" t="s">
        <v>757</v>
      </c>
      <c r="Q59" s="1" t="s">
        <v>775</v>
      </c>
      <c r="R59" s="1"/>
      <c r="S59" s="65"/>
      <c r="T59" s="1"/>
      <c r="U59" s="1"/>
      <c r="V59" s="1"/>
      <c r="W59" s="1" t="s">
        <v>757</v>
      </c>
      <c r="X59" s="1" t="s">
        <v>775</v>
      </c>
      <c r="Y59" s="65"/>
      <c r="Z59" s="1"/>
      <c r="AA59" s="1" t="s">
        <v>712</v>
      </c>
      <c r="AB59" s="66" t="s">
        <v>691</v>
      </c>
      <c r="AC59" s="1"/>
      <c r="AD59" s="1"/>
      <c r="AE59" s="1"/>
      <c r="AF59" s="1"/>
      <c r="AG59" s="1"/>
      <c r="AH59" s="1"/>
      <c r="AI59" s="1"/>
      <c r="AJ59" s="1"/>
      <c r="AK59" s="1"/>
      <c r="AL59" s="1"/>
      <c r="AM59" s="1"/>
      <c r="AN59" s="1"/>
      <c r="AO59" s="1"/>
      <c r="AP59" s="1"/>
      <c r="AQ59" s="1"/>
      <c r="AR59" s="1"/>
      <c r="AS59" s="1"/>
      <c r="AT59" s="1"/>
      <c r="AU59" s="18"/>
      <c r="AV59" s="20" t="s">
        <v>654</v>
      </c>
      <c r="AW59" s="19"/>
      <c r="AX59" s="20" t="s">
        <v>357</v>
      </c>
      <c r="AY59" s="20" t="s">
        <v>737</v>
      </c>
    </row>
    <row r="60" spans="16:51">
      <c r="P60" s="1" t="s">
        <v>761</v>
      </c>
      <c r="Q60" s="1" t="s">
        <v>731</v>
      </c>
      <c r="R60" s="1"/>
      <c r="S60" s="65"/>
      <c r="T60" s="1"/>
      <c r="U60" s="1"/>
      <c r="V60" s="1"/>
      <c r="W60" s="1" t="s">
        <v>761</v>
      </c>
      <c r="X60" s="1" t="s">
        <v>731</v>
      </c>
      <c r="Y60" s="65"/>
      <c r="Z60" s="1"/>
      <c r="AA60" s="1" t="s">
        <v>776</v>
      </c>
      <c r="AB60" s="66" t="s">
        <v>777</v>
      </c>
      <c r="AC60" s="1"/>
      <c r="AD60" s="1"/>
      <c r="AE60" s="1"/>
      <c r="AF60" s="1"/>
      <c r="AG60" s="1"/>
      <c r="AH60" s="1"/>
      <c r="AI60" s="1"/>
      <c r="AJ60" s="1"/>
      <c r="AK60" s="1"/>
      <c r="AL60" s="1"/>
      <c r="AM60" s="1"/>
      <c r="AN60" s="1"/>
      <c r="AO60" s="1"/>
      <c r="AP60" s="1"/>
      <c r="AQ60" s="1"/>
      <c r="AR60" s="1"/>
      <c r="AS60" s="1"/>
      <c r="AT60" s="1"/>
      <c r="AU60" s="1"/>
      <c r="AV60" s="22" t="s">
        <v>644</v>
      </c>
      <c r="AW60" s="19"/>
      <c r="AX60" s="20" t="s">
        <v>112</v>
      </c>
      <c r="AY60" s="20"/>
    </row>
    <row r="61" spans="16:51">
      <c r="P61" s="1" t="s">
        <v>558</v>
      </c>
      <c r="Q61" s="1" t="s">
        <v>672</v>
      </c>
      <c r="R61" s="1"/>
      <c r="S61" s="65"/>
      <c r="T61" s="1"/>
      <c r="U61" s="1"/>
      <c r="V61" s="1"/>
      <c r="W61" s="1" t="s">
        <v>558</v>
      </c>
      <c r="X61" s="1" t="s">
        <v>672</v>
      </c>
      <c r="Y61" s="65"/>
      <c r="Z61" s="1"/>
      <c r="AA61" s="1" t="s">
        <v>768</v>
      </c>
      <c r="AB61" s="66" t="s">
        <v>371</v>
      </c>
      <c r="AC61" s="1"/>
      <c r="AD61" s="1"/>
      <c r="AE61" s="1"/>
      <c r="AF61" s="1"/>
      <c r="AG61" s="1"/>
      <c r="AH61" s="1"/>
      <c r="AI61" s="1"/>
      <c r="AJ61" s="1"/>
      <c r="AK61" s="1"/>
      <c r="AL61" s="1"/>
      <c r="AM61" s="1"/>
      <c r="AN61" s="1"/>
      <c r="AO61" s="1"/>
      <c r="AP61" s="1"/>
      <c r="AQ61" s="1"/>
      <c r="AR61" s="1"/>
      <c r="AS61" s="1"/>
      <c r="AT61" s="1"/>
      <c r="AU61" s="1"/>
      <c r="AV61" s="20" t="s">
        <v>554</v>
      </c>
      <c r="AW61" s="19"/>
      <c r="AX61" s="20" t="s">
        <v>624</v>
      </c>
      <c r="AY61" s="20"/>
    </row>
    <row r="62" spans="16:51">
      <c r="P62" s="1" t="s">
        <v>717</v>
      </c>
      <c r="Q62" s="1" t="s">
        <v>688</v>
      </c>
      <c r="R62" s="1"/>
      <c r="S62" s="65"/>
      <c r="T62" s="1"/>
      <c r="U62" s="1"/>
      <c r="V62" s="1"/>
      <c r="W62" s="1" t="s">
        <v>717</v>
      </c>
      <c r="X62" s="1" t="s">
        <v>688</v>
      </c>
      <c r="Y62" s="65"/>
      <c r="Z62" s="1"/>
      <c r="AA62" s="1" t="s">
        <v>778</v>
      </c>
      <c r="AB62" s="66" t="s">
        <v>372</v>
      </c>
      <c r="AC62" s="1"/>
      <c r="AD62" s="1"/>
      <c r="AE62" s="1"/>
      <c r="AF62" s="1"/>
      <c r="AG62" s="1"/>
      <c r="AH62" s="1"/>
      <c r="AI62" s="1"/>
      <c r="AJ62" s="1"/>
      <c r="AK62" s="1"/>
      <c r="AL62" s="1"/>
      <c r="AM62" s="1"/>
      <c r="AN62" s="1"/>
      <c r="AO62" s="1"/>
      <c r="AP62" s="1"/>
      <c r="AQ62" s="1"/>
      <c r="AR62" s="1"/>
      <c r="AS62" s="1"/>
      <c r="AT62" s="1"/>
      <c r="AU62" s="1"/>
      <c r="AV62" s="22" t="s">
        <v>616</v>
      </c>
      <c r="AW62" s="19"/>
      <c r="AX62" s="20" t="s">
        <v>633</v>
      </c>
      <c r="AY62" s="20"/>
    </row>
    <row r="63" spans="16:51">
      <c r="P63" s="1" t="s">
        <v>571</v>
      </c>
      <c r="Q63" s="1" t="s">
        <v>371</v>
      </c>
      <c r="R63" s="1"/>
      <c r="S63" s="65"/>
      <c r="T63" s="1"/>
      <c r="U63" s="1"/>
      <c r="V63" s="1"/>
      <c r="W63" s="1" t="s">
        <v>571</v>
      </c>
      <c r="X63" s="1" t="s">
        <v>371</v>
      </c>
      <c r="Y63" s="65"/>
      <c r="Z63" s="1"/>
      <c r="AA63" s="1" t="s">
        <v>779</v>
      </c>
      <c r="AB63" s="66" t="s">
        <v>94</v>
      </c>
      <c r="AC63" s="1"/>
      <c r="AD63" s="1"/>
      <c r="AE63" s="1"/>
      <c r="AF63" s="1"/>
      <c r="AG63" s="1"/>
      <c r="AH63" s="1"/>
      <c r="AI63" s="1"/>
      <c r="AJ63" s="1"/>
      <c r="AK63" s="1"/>
      <c r="AL63" s="1"/>
      <c r="AM63" s="1"/>
      <c r="AN63" s="1"/>
      <c r="AO63" s="1"/>
      <c r="AP63" s="1"/>
      <c r="AQ63" s="1"/>
      <c r="AR63" s="1"/>
      <c r="AS63" s="1"/>
      <c r="AT63" s="1"/>
      <c r="AU63" s="18"/>
      <c r="AV63" s="22" t="s">
        <v>675</v>
      </c>
      <c r="AW63" s="19"/>
      <c r="AX63" s="22" t="s">
        <v>641</v>
      </c>
      <c r="AY63" s="20"/>
    </row>
    <row r="64" spans="16:51">
      <c r="P64" s="1"/>
      <c r="Q64" s="1" t="s">
        <v>737</v>
      </c>
      <c r="R64" s="1"/>
      <c r="S64" s="65"/>
      <c r="T64" s="1"/>
      <c r="U64" s="1"/>
      <c r="V64" s="1"/>
      <c r="W64" s="1"/>
      <c r="X64" s="1" t="s">
        <v>737</v>
      </c>
      <c r="Y64" s="65"/>
      <c r="Z64" s="1"/>
      <c r="AA64" s="1" t="s">
        <v>659</v>
      </c>
      <c r="AB64" s="66" t="s">
        <v>103</v>
      </c>
      <c r="AC64" s="1"/>
      <c r="AD64" s="1"/>
      <c r="AE64" s="1"/>
      <c r="AF64" s="1"/>
      <c r="AG64" s="1"/>
      <c r="AH64" s="1"/>
      <c r="AI64" s="1"/>
      <c r="AJ64" s="1"/>
      <c r="AK64" s="1"/>
      <c r="AL64" s="1"/>
      <c r="AM64" s="1"/>
      <c r="AN64" s="1"/>
      <c r="AO64" s="1"/>
      <c r="AP64" s="1"/>
      <c r="AQ64" s="1"/>
      <c r="AR64" s="1"/>
      <c r="AS64" s="1"/>
      <c r="AT64" s="1"/>
      <c r="AU64" s="1"/>
      <c r="AV64" s="20" t="s">
        <v>362</v>
      </c>
      <c r="AW64" s="19"/>
      <c r="AX64" s="20" t="s">
        <v>363</v>
      </c>
      <c r="AY64" s="20"/>
    </row>
    <row r="65" spans="17:51">
      <c r="Q65" s="1" t="s">
        <v>372</v>
      </c>
      <c r="R65" s="1"/>
      <c r="S65" s="65"/>
      <c r="T65" s="1"/>
      <c r="U65" s="1"/>
      <c r="V65" s="1"/>
      <c r="W65" s="1"/>
      <c r="X65" s="1" t="s">
        <v>372</v>
      </c>
      <c r="Y65" s="65"/>
      <c r="Z65" s="1"/>
      <c r="AA65" s="1" t="s">
        <v>780</v>
      </c>
      <c r="AB65" s="66"/>
      <c r="AC65" s="1"/>
      <c r="AD65" s="1"/>
      <c r="AE65" s="1"/>
      <c r="AF65" s="1"/>
      <c r="AG65" s="1"/>
      <c r="AH65" s="1"/>
      <c r="AI65" s="1"/>
      <c r="AJ65" s="1"/>
      <c r="AK65" s="1"/>
      <c r="AL65" s="1"/>
      <c r="AM65" s="1"/>
      <c r="AN65" s="1"/>
      <c r="AO65" s="1"/>
      <c r="AP65" s="1"/>
      <c r="AQ65" s="1"/>
      <c r="AR65" s="1"/>
      <c r="AS65" s="1"/>
      <c r="AT65" s="1"/>
      <c r="AU65" s="1"/>
      <c r="AV65" s="19" t="s">
        <v>653</v>
      </c>
      <c r="AW65" s="19"/>
      <c r="AX65" s="22" t="s">
        <v>607</v>
      </c>
      <c r="AY65" s="20"/>
    </row>
    <row r="66" spans="17:51" ht="17.100000000000001" thickBot="1">
      <c r="Q66" s="1" t="s">
        <v>781</v>
      </c>
      <c r="R66" s="1"/>
      <c r="S66" s="71"/>
      <c r="T66" s="72"/>
      <c r="U66" s="72"/>
      <c r="V66" s="72"/>
      <c r="W66" s="72"/>
      <c r="X66" s="72" t="s">
        <v>781</v>
      </c>
      <c r="Y66" s="65"/>
      <c r="Z66" s="1"/>
      <c r="AA66" s="1" t="s">
        <v>782</v>
      </c>
      <c r="AB66" s="66"/>
      <c r="AC66" s="1"/>
      <c r="AD66" s="1"/>
      <c r="AE66" s="1"/>
      <c r="AF66" s="1"/>
      <c r="AG66" s="1"/>
      <c r="AH66" s="1"/>
      <c r="AI66" s="1"/>
      <c r="AJ66" s="1"/>
      <c r="AK66" s="1"/>
      <c r="AL66" s="1"/>
      <c r="AM66" s="1"/>
      <c r="AN66" s="1"/>
      <c r="AO66" s="1"/>
      <c r="AP66" s="1"/>
      <c r="AQ66" s="1"/>
      <c r="AR66" s="1"/>
      <c r="AS66" s="1"/>
      <c r="AT66" s="1"/>
      <c r="AU66" s="1"/>
      <c r="AV66" s="21" t="s">
        <v>608</v>
      </c>
      <c r="AW66" s="19"/>
      <c r="AX66" s="20" t="s">
        <v>612</v>
      </c>
      <c r="AY66" s="20"/>
    </row>
    <row r="67" spans="17:51">
      <c r="Q67" s="1"/>
      <c r="R67" s="1"/>
      <c r="S67" s="1"/>
      <c r="T67" s="1"/>
      <c r="U67" s="1"/>
      <c r="V67" s="1"/>
      <c r="W67" s="1"/>
      <c r="X67" s="1"/>
      <c r="Y67" s="65"/>
      <c r="Z67" s="1"/>
      <c r="AA67" s="1" t="s">
        <v>783</v>
      </c>
      <c r="AB67" s="66"/>
      <c r="AC67" s="1"/>
      <c r="AD67" s="1"/>
      <c r="AE67" s="1"/>
      <c r="AF67" s="1"/>
      <c r="AG67" s="1"/>
      <c r="AH67" s="1"/>
      <c r="AI67" s="1"/>
      <c r="AJ67" s="1"/>
      <c r="AK67" s="1"/>
      <c r="AL67" s="1"/>
      <c r="AM67" s="1"/>
      <c r="AN67" s="1"/>
      <c r="AO67" s="1"/>
      <c r="AP67" s="1"/>
      <c r="AQ67" s="1"/>
      <c r="AR67" s="1"/>
      <c r="AS67" s="1"/>
      <c r="AT67" s="1"/>
      <c r="AU67" s="1"/>
      <c r="AV67" s="22" t="s">
        <v>700</v>
      </c>
      <c r="AW67" s="19"/>
      <c r="AX67" s="20" t="s">
        <v>690</v>
      </c>
      <c r="AY67" s="20"/>
    </row>
    <row r="68" spans="17:51">
      <c r="Q68" s="1"/>
      <c r="R68" s="1"/>
      <c r="S68" s="1"/>
      <c r="T68" s="1"/>
      <c r="U68" s="1"/>
      <c r="V68" s="1"/>
      <c r="W68" s="1"/>
      <c r="X68" s="1"/>
      <c r="Y68" s="65"/>
      <c r="Z68" s="1"/>
      <c r="AA68" s="1" t="s">
        <v>784</v>
      </c>
      <c r="AB68" s="66"/>
      <c r="AC68" s="1"/>
      <c r="AD68" s="1"/>
      <c r="AE68" s="1"/>
      <c r="AF68" s="1"/>
      <c r="AG68" s="1"/>
      <c r="AH68" s="1"/>
      <c r="AI68" s="1"/>
      <c r="AJ68" s="1"/>
      <c r="AK68" s="1"/>
      <c r="AL68" s="1"/>
      <c r="AM68" s="1"/>
      <c r="AN68" s="1"/>
      <c r="AO68" s="1"/>
      <c r="AP68" s="1"/>
      <c r="AQ68" s="1"/>
      <c r="AR68" s="1"/>
      <c r="AS68" s="1"/>
      <c r="AT68" s="1"/>
      <c r="AU68" s="1"/>
      <c r="AV68" s="19" t="s">
        <v>668</v>
      </c>
      <c r="AW68" s="19"/>
      <c r="AX68" s="20" t="s">
        <v>623</v>
      </c>
      <c r="AY68" s="20"/>
    </row>
    <row r="69" spans="17:51" ht="17.100000000000001" thickBot="1">
      <c r="Q69" s="1"/>
      <c r="R69" s="1"/>
      <c r="S69" s="1"/>
      <c r="T69" s="1"/>
      <c r="U69" s="1"/>
      <c r="V69" s="1"/>
      <c r="W69" s="1"/>
      <c r="X69" s="1"/>
      <c r="Y69" s="71"/>
      <c r="Z69" s="72"/>
      <c r="AA69" s="72" t="s">
        <v>744</v>
      </c>
      <c r="AB69" s="73"/>
      <c r="AC69" s="1"/>
      <c r="AD69" s="1"/>
      <c r="AE69" s="1"/>
      <c r="AF69" s="1"/>
      <c r="AG69" s="1"/>
      <c r="AH69" s="1"/>
      <c r="AI69" s="1"/>
      <c r="AJ69" s="1"/>
      <c r="AK69" s="1"/>
      <c r="AL69" s="1"/>
      <c r="AM69" s="1"/>
      <c r="AN69" s="1"/>
      <c r="AO69" s="1"/>
      <c r="AP69" s="1"/>
      <c r="AQ69" s="1"/>
      <c r="AR69" s="1"/>
      <c r="AS69" s="1"/>
      <c r="AT69" s="1"/>
      <c r="AU69" s="1"/>
      <c r="AV69" s="20" t="s">
        <v>627</v>
      </c>
      <c r="AW69" s="19"/>
      <c r="AX69" s="20" t="s">
        <v>537</v>
      </c>
      <c r="AY69" s="20"/>
    </row>
    <row r="70" spans="17:5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714</v>
      </c>
      <c r="AW70" s="23"/>
      <c r="AX70" s="20" t="s">
        <v>696</v>
      </c>
      <c r="AY70" s="20"/>
    </row>
    <row r="71" spans="17:5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364</v>
      </c>
      <c r="AW71" s="1"/>
      <c r="AX71" s="20" t="s">
        <v>640</v>
      </c>
      <c r="AY71" s="20"/>
    </row>
    <row r="72" spans="17:5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643</v>
      </c>
      <c r="AW72" s="1"/>
      <c r="AX72" s="22" t="s">
        <v>704</v>
      </c>
      <c r="AY72" s="20"/>
    </row>
    <row r="73" spans="17:5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612</v>
      </c>
      <c r="AW73" s="1"/>
      <c r="AX73" s="20" t="s">
        <v>709</v>
      </c>
      <c r="AY73" s="20"/>
    </row>
    <row r="74" spans="17:5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680</v>
      </c>
      <c r="AW74" s="1"/>
      <c r="AX74" s="22" t="s">
        <v>59</v>
      </c>
      <c r="AY74" s="20"/>
    </row>
    <row r="75" spans="17:5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689</v>
      </c>
      <c r="AW75" s="1"/>
      <c r="AX75" s="20" t="s">
        <v>642</v>
      </c>
      <c r="AY75" s="20"/>
    </row>
    <row r="76" spans="17:5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692</v>
      </c>
      <c r="AW76" s="1"/>
      <c r="AX76" s="20" t="s">
        <v>663</v>
      </c>
      <c r="AY76" s="20"/>
    </row>
    <row r="77" spans="17:5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722</v>
      </c>
      <c r="AW77" s="1"/>
      <c r="AX77" s="22" t="s">
        <v>652</v>
      </c>
      <c r="AY77" s="20"/>
    </row>
    <row r="78" spans="17:5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59</v>
      </c>
      <c r="AW78" s="1"/>
      <c r="AX78" s="22" t="s">
        <v>678</v>
      </c>
      <c r="AY78" s="20"/>
    </row>
    <row r="79" spans="17:5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642</v>
      </c>
      <c r="AW79" s="1"/>
      <c r="AX79" s="20" t="s">
        <v>667</v>
      </c>
      <c r="AY79" s="20"/>
    </row>
    <row r="80" spans="17:5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697</v>
      </c>
      <c r="AW80" s="1"/>
      <c r="AX80" s="20" t="s">
        <v>720</v>
      </c>
      <c r="AY80" s="20"/>
    </row>
    <row r="81" spans="48:51">
      <c r="AV81" s="22" t="s">
        <v>713</v>
      </c>
      <c r="AW81" s="1"/>
      <c r="AX81" s="22" t="s">
        <v>658</v>
      </c>
      <c r="AY81" s="22"/>
    </row>
    <row r="82" spans="48:51">
      <c r="AV82" s="19" t="s">
        <v>705</v>
      </c>
      <c r="AW82" s="1"/>
      <c r="AX82" s="20" t="s">
        <v>664</v>
      </c>
      <c r="AY82" s="20"/>
    </row>
    <row r="83" spans="48:51">
      <c r="AV83" s="20" t="s">
        <v>367</v>
      </c>
      <c r="AW83" s="1"/>
      <c r="AX83" s="22" t="s">
        <v>731</v>
      </c>
      <c r="AY83" s="22"/>
    </row>
    <row r="84" spans="48:51">
      <c r="AV84" s="22" t="s">
        <v>710</v>
      </c>
      <c r="AW84" s="1"/>
      <c r="AX84" s="22" t="s">
        <v>672</v>
      </c>
      <c r="AY84" s="20"/>
    </row>
    <row r="85" spans="48:51">
      <c r="AV85" s="19" t="s">
        <v>558</v>
      </c>
      <c r="AW85" s="1"/>
      <c r="AX85" s="20" t="s">
        <v>688</v>
      </c>
      <c r="AY85" s="20"/>
    </row>
    <row r="86" spans="48:51">
      <c r="AV86" s="20" t="s">
        <v>717</v>
      </c>
      <c r="AW86" s="1"/>
      <c r="AX86" s="25" t="s">
        <v>737</v>
      </c>
      <c r="AY86" s="20"/>
    </row>
    <row r="87" spans="48:51">
      <c r="AV87" s="22" t="s">
        <v>679</v>
      </c>
      <c r="AW87" s="1"/>
      <c r="AX87" s="22" t="s">
        <v>372</v>
      </c>
      <c r="AY87" s="25"/>
    </row>
    <row r="88" spans="48:51">
      <c r="AV88" s="20" t="s">
        <v>691</v>
      </c>
      <c r="AW88" s="1"/>
      <c r="AX88" s="22"/>
      <c r="AY88" s="1"/>
    </row>
    <row r="89" spans="48:51">
      <c r="AV89" s="22"/>
      <c r="AW89" s="1"/>
      <c r="AX89" s="22"/>
      <c r="AY89" s="1"/>
    </row>
    <row r="90" spans="48:51">
      <c r="AV90" s="22"/>
      <c r="AW90" s="1"/>
      <c r="AX90" s="22"/>
      <c r="AY90" s="1"/>
    </row>
    <row r="91" spans="48:51">
      <c r="AV91" s="20"/>
      <c r="AW91" s="1"/>
      <c r="AX91" s="22"/>
      <c r="AY91" s="1"/>
    </row>
    <row r="92" spans="48:51">
      <c r="AV92" s="22"/>
      <c r="AW92" s="1"/>
      <c r="AX92" s="25"/>
      <c r="AY92" s="1"/>
    </row>
    <row r="93" spans="48:51">
      <c r="AV93" s="22"/>
      <c r="AW93" s="1"/>
      <c r="AX93" s="1"/>
      <c r="AY93" s="1"/>
    </row>
    <row r="94" spans="48:51">
      <c r="AV94" s="22"/>
      <c r="AW94" s="1"/>
      <c r="AX94" s="1"/>
      <c r="AY94" s="1"/>
    </row>
    <row r="95" spans="48:51">
      <c r="AV95" s="22"/>
      <c r="AW95" s="1"/>
      <c r="AX95" s="1"/>
      <c r="AY95" s="1"/>
    </row>
    <row r="96" spans="48:5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A8CC42-3498-4AB9-83FD-168387E0E379}"/>
</file>

<file path=customXml/itemProps2.xml><?xml version="1.0" encoding="utf-8"?>
<ds:datastoreItem xmlns:ds="http://schemas.openxmlformats.org/officeDocument/2006/customXml" ds:itemID="{43398591-DCD4-4E84-81B6-C225C92B9877}"/>
</file>

<file path=customXml/itemProps3.xml><?xml version="1.0" encoding="utf-8"?>
<ds:datastoreItem xmlns:ds="http://schemas.openxmlformats.org/officeDocument/2006/customXml" ds:itemID="{493507B7-C361-46E0-AF44-6194D8191CB1}"/>
</file>

<file path=customXml/itemProps4.xml><?xml version="1.0" encoding="utf-8"?>
<ds:datastoreItem xmlns:ds="http://schemas.openxmlformats.org/officeDocument/2006/customXml" ds:itemID="{F86D18D9-0B6E-411F-93FD-BE55E800AD0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2026-03-03T17:33:22Z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