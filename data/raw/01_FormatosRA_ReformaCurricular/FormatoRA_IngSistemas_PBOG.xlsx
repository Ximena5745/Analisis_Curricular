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https://poligran-my.sharepoint.com/personal/mgcely_poligran_edu_co/Documents/CURRÍCULO/05_ReformaCurricular/FIDI/"/>
    </mc:Choice>
  </mc:AlternateContent>
  <xr:revisionPtr revIDLastSave="68" documentId="13_ncr:1_{4723DFA3-00EE-4DC0-84F4-BACD0A92ED00}" xr6:coauthVersionLast="47" xr6:coauthVersionMax="47" xr10:uidLastSave="{AEDDB9D3-03A0-47F2-9F7F-7443DFE6DDE7}"/>
  <bookViews>
    <workbookView xWindow="0" yWindow="760" windowWidth="29400" windowHeight="17180" tabRatio="673" firstSheet="5" xr2:uid="{BD68381A-4EB3-42BA-ADD5-D7B5B6C7E498}"/>
  </bookViews>
  <sheets>
    <sheet name="Paso1 Analisis perfil egreso" sheetId="1" r:id="rId1"/>
    <sheet name="Paso 2 Redacción competen" sheetId="6" r:id="rId2"/>
    <sheet name="Paso 3 Redacción RA" sheetId="15" r:id="rId3"/>
    <sheet name="Paso 4 Estrategias mesocurricu" sheetId="8" r:id="rId4"/>
    <sheet name="Paso 3 Redacción RA - Backup " sheetId="5" state="hidden" r:id="rId5"/>
    <sheet name="Paso 5 Estrategias micro" sheetId="14" r:id="rId6"/>
    <sheet name="Taxonomía para competencias" sheetId="10" r:id="rId7"/>
    <sheet name="Taxonomias para RA" sheetId="7" r:id="rId8"/>
  </sheets>
  <externalReferences>
    <externalReference r:id="rId9"/>
  </externalReferences>
  <definedNames>
    <definedName name="_xlnm._FilterDatabase" localSheetId="2" hidden="1">'Paso 3 Redacción RA'!$A$2:$K$12</definedName>
    <definedName name="_xlnm._FilterDatabase" localSheetId="4" hidden="1">'Paso 3 Redacción RA - Backup '!$A$2:$K$12</definedName>
    <definedName name="_xlnm._FilterDatabase" localSheetId="3" hidden="1">'Paso 4 Estrategias mesocurricu'!$A$1:$F$17</definedName>
    <definedName name="_xlnm._FilterDatabase" localSheetId="5" hidden="1">'Paso 5 Estrategias micro'!$A$2:$Q$128</definedName>
    <definedName name="ActitudinalBAK">'Taxonomias para RA'!$AC$3:$AG$3</definedName>
    <definedName name="Bloom">'Taxonomias para RA'!$G$3:$I$3</definedName>
    <definedName name="Celda_Creditos_por_materia">'[1]Malla con formulas'!$E$19,'[1]Malla con formulas'!$L$19,'[1]Malla con formulas'!$R$23,'[1]Malla con formulas'!$X$23,'[1]Malla con formulas'!$AD$23,'[1]Malla con formulas'!$AK$23,'[1]Malla con formulas'!$G$31,'[1]Malla con formulas'!$M$31,'[1]Malla con formulas'!$R$31,'[1]Malla con formulas'!$X$31,'[1]Malla con formulas'!$AD$31,'[1]Malla con formulas'!$AK$31,'[1]Malla con formulas'!$G$38,'[1]Malla con formulas'!$N$38,'[1]Malla con formulas'!$R$38,'[1]Malla con formulas'!$X$38,'[1]Malla con formulas'!$AD$38,'[1]Malla con formulas'!$G$45,'[1]Malla con formulas'!$M$45,'[1]Malla con formulas'!$R$45,'[1]Malla con formulas'!$X$45,'[1]Malla con formulas'!$AD$45,'[1]Malla con formulas'!$AK$45,'[1]Malla con formulas'!$G$52,'[1]Malla con formulas'!$M$52,'[1]Malla con formulas'!$R$52,'[1]Malla con formulas'!$X$52,'[1]Malla con formulas'!$AD$52,'[1]Malla con formulas'!$G$59,'[1]Malla con formulas'!$M$59,'[1]Malla con formulas'!$R$59,'[1]Malla con formulas'!$X$59,'[1]Malla con formulas'!$AD$59,'[1]Malla con formulas'!$G$66,'[1]Malla con formulas'!$M$66,'[1]Malla con formulas'!$R$66,'[1]Malla con formulas'!$X$66,'[1]Malla con formulas'!$AD$66,'[1]Malla con formulas'!$G$73</definedName>
    <definedName name="Circutos">'Paso 2 Redacción competen'!$F$4</definedName>
    <definedName name="Codigo_de_materia">'[1]Malla con formulas'!$D$23,'[1]Malla con formulas'!$K$23,'[1]Malla con formulas'!$Q$23,'[1]Malla con formulas'!$W$23,'[1]Malla con formulas'!$AC$23,'[1]Malla con formulas'!$AI$23,'[1]Malla con formulas'!$D$31,'[1]Malla con formulas'!$K$31,'[1]Malla con formulas'!$Q$31,'[1]Malla con formulas'!$W$31,'[1]Malla con formulas'!$AC$31,'[1]Malla con formulas'!$AI$31,'[1]Malla con formulas'!$D$38,'[1]Malla con formulas'!$K$38,'[1]Malla con formulas'!$Q$38,'[1]Malla con formulas'!$W$38,'[1]Malla con formulas'!$AC$38,'[1]Malla con formulas'!$D$45,'[1]Malla con formulas'!$K$45,'[1]Malla con formulas'!$Q$45,'[1]Malla con formulas'!$W$45,'[1]Malla con formulas'!$AC$45,'[1]Malla con formulas'!$AI$45,'[1]Malla con formulas'!$D$52,'[1]Malla con formulas'!$K$52,'[1]Malla con formulas'!$Q$52,'[1]Malla con formulas'!$W$52,'[1]Malla con formulas'!$AC$52,'[1]Malla con formulas'!$D$59,'[1]Malla con formulas'!$K$59,'[1]Malla con formulas'!$Q$59,'[1]Malla con formulas'!$W$59,'[1]Malla con formulas'!$AC$59,'[1]Malla con formulas'!$D$66,'[1]Malla con formulas'!$K$66,'[1]Malla con formulas'!$Q$66,'[1]Malla con formulas'!$W$66,'[1]Malla con formulas'!$AC$66,'[1]Malla con formulas'!$D$73</definedName>
    <definedName name="CognitivoBAK">'Taxonomias para RA'!$S$3:$X$3</definedName>
    <definedName name="CompetenciaEspecifica1">'Paso 2 Redacción competen'!$F$4</definedName>
    <definedName name="ComponentesCompetencias">'Paso1 Analisis perfil egreso'!$E$2:$G$2</definedName>
    <definedName name="Creditos">'[1]Malla con formulas'!$AN$90,'[1]Malla con formulas'!#REF!,'[1]Malla con formulas'!$AN$66,'[1]Malla con formulas'!$AN$59,'[1]Malla con formulas'!$AG$52,'[1]Malla con formulas'!$AN$38,'[1]Malla con formulas'!$AN$31,'[1]Malla con formulas'!$AN$23,'[1]Malla con formulas'!$AN$45</definedName>
    <definedName name="FACULTADES">#REF!</definedName>
    <definedName name="Nombre">'[1]Malla con formulas'!$D$22:$G$22,'[1]Malla con formulas'!$K$22:$M$22,'[1]Malla con formulas'!$P$22:$R$22,'[1]Malla con formulas'!$V$22:$X$22,'[1]Malla con formulas'!$AB$22:$AD$22,'[1]Malla con formulas'!$AG$22:$AK$22,'[1]Malla con formulas'!$C$30:$G$30,'[1]Malla con formulas'!$J$30:$M$30,'[1]Malla con formulas'!$P$30:$R$30,'[1]Malla con formulas'!$V$30:$X$30,'[1]Malla con formulas'!$AB$30:$AD$30,'[1]Malla con formulas'!$AG$30:$AK$30,'[1]Malla con formulas'!$C$37:$G$37,'[1]Malla con formulas'!$J$37:$M$37,'[1]Malla con formulas'!$P$37:$R$37,'[1]Malla con formulas'!$V$37:$X$37,'[1]Malla con formulas'!$AB$37:$AD$37,'[1]Malla con formulas'!$C$44:$G$44,'[1]Malla con formulas'!$J$44:$M$44,'[1]Malla con formulas'!$P$44:$R$44,'[1]Malla con formulas'!$V$44:$X$44,'[1]Malla con formulas'!$AB$44:$AD$44,'[1]Malla con formulas'!$AG$44:$AK$44,'[1]Malla con formulas'!$C$51:$G$51,'[1]Malla con formulas'!$J$51:$M$51,'[1]Malla con formulas'!$P$51:$R$51,'[1]Malla con formulas'!$V$51:$X$51,'[1]Malla con formulas'!$AB$51:$AD$51,'[1]Malla con formulas'!$C$58:$G$58,'[1]Malla con formulas'!$J$58:$M$58,'[1]Malla con formulas'!$P$58:$R$58,'[1]Malla con formulas'!$V$58:$X$58,'[1]Malla con formulas'!$AB$58:$AD$58,'[1]Malla con formulas'!$C$65:$G$65,'[1]Malla con formulas'!$J$65:$M$65,'[1]Malla con formulas'!$P$65:$R$65,'[1]Malla con formulas'!$V$65:$X$65,'[1]Malla con formulas'!$AB$65:$AD$65,'[1]Malla con formulas'!$C$72:$G$72,'[1]Malla con formulas'!$J$72:$M$72,'[1]Malla con formulas'!$P$72:$R$72,'[1]Malla con formulas'!$V$72:$X$72,'[1]Malla con formulas'!$AB$72:$AD$72,'[1]Malla con formulas'!#REF!,'[1]Malla con formulas'!#REF!,'[1]Malla con formulas'!$V$89:$V$89,'[1]Malla con formulas'!#REF!,'[1]Malla con formulas'!$L$88:$L$88</definedName>
    <definedName name="ProcedimentalBAK">'Taxonomias para RA'!$Y$3:$AB$3</definedName>
    <definedName name="RA">'Paso 5 Estrategias micro'!$B$8</definedName>
    <definedName name="resultadoaprendizaje">#REF!</definedName>
    <definedName name="Saber">'Paso1 Analisis perfil egreso'!$E$3:$E$5</definedName>
    <definedName name="SaberHacer">'Paso1 Analisis perfil egreso'!$F$3:$F$5</definedName>
    <definedName name="SaberSer">'Paso1 Analisis perfil egreso'!$G$3:$G$5</definedName>
    <definedName name="TIC">'Paso 2 Redacción competen'!$F$6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25" i="14" l="1"/>
  <c r="R125" i="14"/>
  <c r="S124" i="14"/>
  <c r="R124" i="14"/>
  <c r="S108" i="14"/>
  <c r="R108" i="14"/>
  <c r="S93" i="14"/>
  <c r="R93" i="14"/>
  <c r="S75" i="14"/>
  <c r="R75" i="14"/>
  <c r="S58" i="14"/>
  <c r="R58" i="14"/>
  <c r="S45" i="14"/>
  <c r="R45" i="14"/>
  <c r="S31" i="14"/>
  <c r="R31" i="14"/>
  <c r="S16" i="14"/>
  <c r="R16" i="14"/>
  <c r="M11" i="14"/>
  <c r="A120" i="14"/>
  <c r="A110" i="14"/>
  <c r="A111" i="14"/>
  <c r="A115" i="14"/>
  <c r="A116" i="14"/>
  <c r="A103" i="14"/>
  <c r="A104" i="14"/>
  <c r="A105" i="14"/>
  <c r="A99" i="14"/>
  <c r="A100" i="14"/>
  <c r="A95" i="14"/>
  <c r="A91" i="14"/>
  <c r="A81" i="14"/>
  <c r="A77" i="14"/>
  <c r="A64" i="14"/>
  <c r="A60" i="14"/>
  <c r="A37" i="14"/>
  <c r="A38" i="14"/>
  <c r="A39" i="14"/>
  <c r="A29" i="14"/>
  <c r="A22" i="14"/>
  <c r="J127" i="14"/>
  <c r="J128" i="14"/>
  <c r="J125" i="14"/>
  <c r="J126" i="14"/>
  <c r="A76" i="14" l="1"/>
  <c r="K76" i="14"/>
  <c r="L76" i="14"/>
  <c r="A78" i="14"/>
  <c r="A79" i="14"/>
  <c r="L37" i="14"/>
  <c r="K37" i="14"/>
  <c r="M76" i="14" l="1"/>
  <c r="M37" i="14"/>
  <c r="A36" i="14" l="1"/>
  <c r="A40" i="14"/>
  <c r="A41" i="14"/>
  <c r="A42" i="14"/>
  <c r="A43" i="14"/>
  <c r="A44" i="14"/>
  <c r="A45" i="14"/>
  <c r="A46" i="14"/>
  <c r="A47" i="14"/>
  <c r="A48" i="14"/>
  <c r="A49" i="14"/>
  <c r="A50" i="14"/>
  <c r="A51" i="14"/>
  <c r="A52" i="14"/>
  <c r="A53" i="14"/>
  <c r="A54" i="14"/>
  <c r="A55" i="14"/>
  <c r="A56" i="14"/>
  <c r="A57" i="14"/>
  <c r="A58" i="14"/>
  <c r="A59" i="14"/>
  <c r="A61" i="14"/>
  <c r="A62" i="14"/>
  <c r="A63" i="14"/>
  <c r="A65" i="14"/>
  <c r="A66" i="14"/>
  <c r="A67" i="14"/>
  <c r="A68" i="14"/>
  <c r="A69" i="14"/>
  <c r="A70" i="14"/>
  <c r="A71" i="14"/>
  <c r="A72" i="14"/>
  <c r="A73" i="14"/>
  <c r="A74" i="14"/>
  <c r="A75" i="14"/>
  <c r="A80" i="14"/>
  <c r="A82" i="14"/>
  <c r="A83" i="14"/>
  <c r="A84" i="14"/>
  <c r="A85" i="14"/>
  <c r="A86" i="14"/>
  <c r="A87" i="14"/>
  <c r="A88" i="14"/>
  <c r="A89" i="14"/>
  <c r="A90" i="14"/>
  <c r="A92" i="14"/>
  <c r="A93" i="14"/>
  <c r="A94" i="14"/>
  <c r="A96" i="14"/>
  <c r="A97" i="14"/>
  <c r="A98" i="14"/>
  <c r="A101" i="14"/>
  <c r="A102" i="14"/>
  <c r="A106" i="14"/>
  <c r="A109" i="14"/>
  <c r="A112" i="14"/>
  <c r="A113" i="14"/>
  <c r="A114" i="14"/>
  <c r="A117" i="14"/>
  <c r="A118" i="14"/>
  <c r="A119" i="14"/>
  <c r="A121" i="14"/>
  <c r="A122" i="14"/>
  <c r="A35" i="14"/>
  <c r="A34" i="14"/>
  <c r="A33" i="14"/>
  <c r="A3" i="14"/>
  <c r="A4" i="14"/>
  <c r="A6" i="14"/>
  <c r="A7" i="14"/>
  <c r="A8" i="14"/>
  <c r="A9" i="14"/>
  <c r="A10" i="14"/>
  <c r="A11" i="14"/>
  <c r="A12" i="14"/>
  <c r="A13" i="14"/>
  <c r="A14" i="14"/>
  <c r="A15" i="14"/>
  <c r="A16" i="14"/>
  <c r="A17" i="14"/>
  <c r="A18" i="14"/>
  <c r="A19" i="14"/>
  <c r="A20" i="14"/>
  <c r="A21" i="14"/>
  <c r="A23" i="14"/>
  <c r="A24" i="14"/>
  <c r="A25" i="14"/>
  <c r="A26" i="14"/>
  <c r="A27" i="14"/>
  <c r="A28" i="14"/>
  <c r="A30" i="14"/>
  <c r="A31" i="14"/>
  <c r="A32" i="14"/>
  <c r="A5" i="14"/>
  <c r="D125" i="14"/>
  <c r="K18" i="14"/>
  <c r="L18" i="14"/>
  <c r="M18" i="14" l="1"/>
  <c r="L73" i="14" l="1"/>
  <c r="K73" i="14"/>
  <c r="L25" i="14"/>
  <c r="K25" i="14"/>
  <c r="L32" i="14"/>
  <c r="K32" i="14"/>
  <c r="L46" i="14"/>
  <c r="K46" i="14"/>
  <c r="L33" i="14"/>
  <c r="K33" i="14"/>
  <c r="L40" i="14"/>
  <c r="K40" i="14"/>
  <c r="L43" i="14"/>
  <c r="K43" i="14"/>
  <c r="K47" i="14"/>
  <c r="L47" i="14"/>
  <c r="L17" i="14"/>
  <c r="K17" i="14"/>
  <c r="L4" i="14"/>
  <c r="K4" i="14"/>
  <c r="L28" i="14"/>
  <c r="K28" i="14"/>
  <c r="L109" i="14"/>
  <c r="K109" i="14"/>
  <c r="L114" i="14"/>
  <c r="K114" i="14"/>
  <c r="L119" i="14"/>
  <c r="K119" i="14"/>
  <c r="L124" i="14"/>
  <c r="K124" i="14"/>
  <c r="L108" i="14"/>
  <c r="K108" i="14"/>
  <c r="L102" i="14"/>
  <c r="K102" i="14"/>
  <c r="L90" i="14"/>
  <c r="K90" i="14"/>
  <c r="L98" i="14"/>
  <c r="K98" i="14"/>
  <c r="L123" i="14"/>
  <c r="K123" i="14"/>
  <c r="L107" i="14"/>
  <c r="K107" i="14"/>
  <c r="L80" i="14"/>
  <c r="K80" i="14"/>
  <c r="L84" i="14"/>
  <c r="K84" i="14"/>
  <c r="L53" i="14"/>
  <c r="K53" i="14"/>
  <c r="L67" i="14"/>
  <c r="K67" i="14"/>
  <c r="L59" i="14"/>
  <c r="K59" i="14"/>
  <c r="L70" i="14"/>
  <c r="K70" i="14"/>
  <c r="L63" i="14"/>
  <c r="K63" i="14"/>
  <c r="L87" i="14"/>
  <c r="K87" i="14"/>
  <c r="L94" i="14"/>
  <c r="K94" i="14"/>
  <c r="L56" i="14"/>
  <c r="K56" i="14"/>
  <c r="L50" i="14"/>
  <c r="K50" i="14"/>
  <c r="L34" i="14"/>
  <c r="K34" i="14"/>
  <c r="L21" i="14"/>
  <c r="K21" i="14"/>
  <c r="L5" i="14"/>
  <c r="K5" i="14"/>
  <c r="L8" i="14"/>
  <c r="K8" i="14"/>
  <c r="L14" i="14"/>
  <c r="K14" i="14"/>
  <c r="L11" i="14"/>
  <c r="K11" i="14"/>
  <c r="L3" i="14"/>
  <c r="K3" i="14"/>
  <c r="M28" i="14" l="1"/>
  <c r="M25" i="14"/>
  <c r="M3" i="14"/>
  <c r="M14" i="14"/>
  <c r="M21" i="14"/>
  <c r="M94" i="14"/>
  <c r="M59" i="14"/>
  <c r="M80" i="14"/>
  <c r="M98" i="14"/>
  <c r="M102" i="14"/>
  <c r="M46" i="14"/>
  <c r="M73" i="14"/>
  <c r="M8" i="14"/>
  <c r="M87" i="14"/>
  <c r="M108" i="14"/>
  <c r="M32" i="14"/>
  <c r="M124" i="14"/>
  <c r="M4" i="14"/>
  <c r="M47" i="14"/>
  <c r="M34" i="14"/>
  <c r="M67" i="14"/>
  <c r="M114" i="14"/>
  <c r="M107" i="14"/>
  <c r="M33" i="14"/>
  <c r="M56" i="14"/>
  <c r="M5" i="14"/>
  <c r="M50" i="14"/>
  <c r="M63" i="14"/>
  <c r="M70" i="14"/>
  <c r="M84" i="14"/>
  <c r="M123" i="14"/>
  <c r="M119" i="14"/>
  <c r="M109" i="14"/>
  <c r="M17" i="14"/>
  <c r="M90" i="14"/>
  <c r="M53"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93FB0793-2B4B-4477-BE52-9B91E1017322}">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<sst xmlns="http://schemas.openxmlformats.org/spreadsheetml/2006/main" count="2441" uniqueCount="811">
  <si>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</si>
  <si>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</si>
  <si>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</si>
  <si>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</si>
  <si>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</si>
  <si>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</si>
  <si>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</si>
  <si>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</si>
  <si>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</si>
  <si>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</si>
  <si>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</si>
  <si>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</si>
  <si>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</si>
  <si>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</si>
  <si>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</si>
  <si>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</si>
  <si>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</si>
  <si>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</si>
  <si>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Ingeniería de Sistemas</t>
  </si>
  <si>
    <t>Presencial</t>
  </si>
  <si>
    <t>El ingeniero de sistemas de la Institución Universitaria Politécnico Grancolombiano posee una formación integral que le permite intervenir en distintas fases de proyectos de tecnologías de la información, generando valor a los procesos organizacionales. Asimismo, diseña e implementa soluciones de software orientadas al desarrollo tecnológico y a la construcción de sistemas computacionales alineados con los objetivos del país. Su desempeño se caracteriza por el uso responsable del conocimiento, la autonomía, el pensamiento crítico y una actitud ética y honesta en el ámbito de los sistemas informáticos y la computación.</t>
  </si>
  <si>
    <t>El egresado de Ingeniería de Sistemas posee competencias técnicas que le permiten aportar en diversas etapas del ciclo de vida del software y de los sistemas de información. Está preparado para desempeñarse en funciones de desarrollo de aplicaciones, análisis de requerimientos, consultoría, dirección de proyectos, infraestructura tecnológica, arquitectura de la información y gestión de bases de datos, contribuyendo con soluciones innovadoras y eficientes a las demandas del sector productivo nacional.</t>
  </si>
  <si>
    <t>Ingeniería de software e infraestructura TIC</t>
  </si>
  <si>
    <t>diseñar soluciones de software</t>
  </si>
  <si>
    <t>alineadas con prácticas basadas en estándares y marcos de referencia aplicados en los sistemas empresariales u organizacionales.</t>
  </si>
  <si>
    <t>Análisis de sistemas
Desarrollo de software
Administración de sistemas
Diseño y administración de bases de datos
Consultoría de sistemas</t>
  </si>
  <si>
    <t>Analizar software y sistemas de información
Diseñar sistemas TI
Diseñar sistemas informáticos
Analizar y diseñar sistemas
Implemetar procesos de negocio de tecnología de la información
proponer arquitecturas de información para análisis de negocio
Diseño de software.
Aplicar metodologías de desarrollo de software.</t>
  </si>
  <si>
    <t>Sistemas informáticos
Sistemas de producción de software
Sistemas informáticos
Datos e información de la organización</t>
  </si>
  <si>
    <t>El graduado en Ingeniería de Sistemas del Politécnico Grancolombiano se distingue por su capacidad de abordar problemas complejos con un enfoque estructurado y analítico, optimizando recursos y diseñando soluciones eficientes. Su formación le permite desarrollar un pensamiento lógico riguroso, descomponer problemas en componentes fundamentales y construir modelos precisos que mejoran el desempeño de los sistemas computacionales. Esta habilidad para razonar con claridad, abstraer conceptos y aplicar principios formales en el desarrollo de tecnología lo convierte en un profesional altamente competitivo, preparado para enfrentar desafíos en diversos campos de la industria, desde la implementación de algoritmos hasta la innovación en software y la toma de decisiones basada en datos.</t>
  </si>
  <si>
    <t>Esquemas de representación de información</t>
  </si>
  <si>
    <t>manipular la información adecuadamente</t>
  </si>
  <si>
    <t>considerando principios de integridad, de acuerdo con los retos propios del sector.</t>
  </si>
  <si>
    <t>Algoritmia y programación</t>
  </si>
  <si>
    <t xml:space="preserve">construir soluciones computacionales </t>
  </si>
  <si>
    <t>integrando criterios de eficiencia, según las necesidades tecnológicas de las empresas u organizaciones.</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</si>
  <si>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</si>
  <si>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</si>
  <si>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</si>
  <si>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</si>
  <si>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</si>
  <si>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</si>
  <si>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</si>
  <si>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</si>
  <si>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</si>
  <si>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</si>
  <si>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</si>
  <si>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</si>
  <si>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</si>
  <si>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</si>
  <si>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</si>
  <si>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</si>
  <si>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</si>
  <si>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</si>
  <si>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Dominar</t>
  </si>
  <si>
    <t>Dominar los conceptos propios de la ingeniería de software y la infraestructura TIC para diseñar soluciones de software, alineadas con prácticas basadas en estándares y marcos de referencia aplicados en sistemas empresariales u organizacionales.</t>
  </si>
  <si>
    <t>Específica</t>
  </si>
  <si>
    <t>Diseñar</t>
  </si>
  <si>
    <t>Diseñar esquemas de representación para manipular apropiadamente la información, considerando principios de integridad, de acuerdo con los retos propios del sector.</t>
  </si>
  <si>
    <t>Dominar conceptos de algoritmia y programación para construir soluciones computacionales, integrando criterios de eficiencia, según las necesidades tecnológicas de las empresas u organizaciones.</t>
  </si>
  <si>
    <t>Analizar</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</si>
  <si>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</si>
  <si>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</si>
  <si>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</si>
  <si>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</si>
  <si>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</si>
  <si>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</si>
  <si>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</si>
  <si>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</si>
  <si>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</si>
  <si>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</si>
  <si>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</si>
  <si>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</si>
  <si>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</si>
  <si>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</si>
  <si>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</si>
  <si>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</si>
  <si>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</si>
  <si>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</si>
  <si>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</si>
  <si>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</si>
  <si>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</si>
  <si>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</si>
  <si>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</si>
  <si>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SíntesisBAK</t>
  </si>
  <si>
    <t>Interpretar</t>
  </si>
  <si>
    <t>Interpreta patrones de arquitectura y diseño de software, así como de infraestructura TIC, para determinar las necesidades técnicas y tecnológicas de los sistemas de información, según las condiciones que emergen en los proyectos de software.</t>
  </si>
  <si>
    <t>ProcedimentalBAK</t>
  </si>
  <si>
    <t>PrecisiónBAK</t>
  </si>
  <si>
    <t>Producir</t>
  </si>
  <si>
    <t>Produce artefactos de software para estructurar soluciones correspondientes, según las condiciones y restricciones del contexto.</t>
  </si>
  <si>
    <t>ActitudinalBAK</t>
  </si>
  <si>
    <t>OrganizarBAK</t>
  </si>
  <si>
    <t>Identificar</t>
  </si>
  <si>
    <t>Identifica los requisitos de sistemas que emergen en contextos de desarrollo tecnológico, teniendo en cuenta los referentes técnicos y normativos, para formular propuestas y proyectos, incorporando criterios de eficiencia e integridad en entornos empresariales u organizacionales.</t>
  </si>
  <si>
    <t>AnálisisBAK</t>
  </si>
  <si>
    <t>Analiza estructuras de representación de datos para determinar su idoneidad en la resolución de problemas computacionales, teniendo en cuenta los requerimientos tecnológicos del contexto.</t>
  </si>
  <si>
    <t>ControlBAK</t>
  </si>
  <si>
    <t>Utilizar</t>
  </si>
  <si>
    <t>Utiliza herramientas y tecnologías de almacenamiento, gestión y transformación de los datos para obtener información, según las condiciones y restricciones que se observen en el contexto.</t>
  </si>
  <si>
    <t>Articular</t>
  </si>
  <si>
    <t>Articula principios de algoritmia y programación para establecer la viabilidad técnica de soluciones computacionales, según el tipo de usuario y las condiciones del entorno tecnológico.</t>
  </si>
  <si>
    <t>Implementar</t>
  </si>
  <si>
    <t>Implementa algoritmos para generar soluciones computacionales, siguiendo métodos, técnicas y estructuras propios de los paradigmas de programación.</t>
  </si>
  <si>
    <t>Bloom</t>
  </si>
  <si>
    <t>CognitivoB</t>
  </si>
  <si>
    <t>ComprensiónB</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</si>
  <si>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</si>
  <si>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</si>
  <si>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</si>
  <si>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</si>
  <si>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</si>
  <si>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</si>
  <si>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</si>
  <si>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</si>
  <si>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</si>
  <si>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</si>
  <si>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</si>
  <si>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</si>
  <si>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</si>
  <si>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Visitas técnicas</t>
  </si>
  <si>
    <t>Realización de visitas técnicas presenciales y virtuales a empresas públicas y privadas afines a las asignaturas del programa con el fin de reconocer  los elementos conceptuales vistos en el aula en espacios de aplicación real en empresas del sector e identificar los entornos empresariales de aplicación de los conocimientos adquiridos, así como las tendencias de la industria.</t>
  </si>
  <si>
    <t>Número de estudiantes que participan en la estrategia por año.</t>
  </si>
  <si>
    <t>Informar a estudiantes y docentes, mediante un informe anual, el grado de alineación entre lo observado en las visitas técnicas y los resultados de aprendizaje del programa.
Formar a los estudiantes, a través de talleres posteriores a las visitas, en la aplicación práctica de los conceptos observados en empresas reales.</t>
  </si>
  <si>
    <t>Listados de participación.</t>
  </si>
  <si>
    <t>Número de veces que se realiza la estrategia por año.</t>
  </si>
  <si>
    <t>Informe o Reporte.</t>
  </si>
  <si>
    <t>Valoración del nivel de aporte de la estrategia a los resultados de aprendizaje del programa.</t>
  </si>
  <si>
    <t>Encuesta de valoración.</t>
  </si>
  <si>
    <t>Monitorias académicas</t>
  </si>
  <si>
    <t>Se proveen los recursos y habilitan los espacios en modalidad presencial, remota o combinada para que estudiantes con excelente desempeño académico, conocimientos y habilidades en asignaturas específicas y cualidades humanas orienten y apoyen a sus compañeros que tienen dificultades en determinados campos del saber con el objetivo de fortalecer las prácticas pedagógicas y el mejoramiento del desempeño académico, en un marco de solidaridad entre estudiantes.</t>
  </si>
  <si>
    <t>Número de estudiantes que participan en la estrategia por periodo académico.</t>
  </si>
  <si>
    <t>Prevenir dificultades recurrentes en el aprendizaje al identificar, durante las monitorías, los temas en los que los estudiantes muestran mayores vacíos conceptuales.
Ayudar a tomar decisiones sobre ajustes pedagógicos en las asignaturas al sistematizar la información recogida en las monitorías.</t>
  </si>
  <si>
    <t>Número de veces que se realiza la estrategia por periodo académico.</t>
  </si>
  <si>
    <t>Líderes académicos en el aula</t>
  </si>
  <si>
    <t>Incentivar a los estudiantes que participan de los espacios académicos, desarrollar habilidades blandas como liderazgo, trabajo en equipo, comunicación asertiva, ejerciendo un papel como líder académico al interior del aula. De tal forma que pueda ser un enlace entre el docente y el grupo de estudiantes.</t>
  </si>
  <si>
    <t>Número de estudiantes que participan en la estrategia.</t>
  </si>
  <si>
    <t>Formar a los estudiantes líderes en habilidades de comunicación y gestión académica que potencien su papel como enlace entre el docente y el grupo.</t>
  </si>
  <si>
    <t>Consultorías, auditorías e interventorias</t>
  </si>
  <si>
    <t>Designación de expertos en temáticas específicas de las TIC, encargados de definir de forma dinámica los campos de desarrollo de procesos de consultorías, auditorías e interventorías.
Creación de espacios conformados por estudiantes, egresados, docentes y expertos capacitados para desarrollar procesos de consultoría y/o auditoría en temáticas asociadas a la ingeniería de telecomunicaciones.</t>
  </si>
  <si>
    <t>Informar a la comunidad académica sobre los resultados, hallazgos y aprendizajes derivados de los procesos de consultoría, auditoría e interventoría desarrollados con participación estudiantil.
Ayudar a tomar decisiones sobre la actualización curricular y las líneas de proyección del programa a partir de la sistematización de los aportes y necesidades identificadas en dichos procesos.</t>
  </si>
  <si>
    <t>Número de oportunidades de consultoría, auditoría e interventoría desarrolladas con medición anual.</t>
  </si>
  <si>
    <t>Grupos de interés
(Asociaciones, grupos de estudio)</t>
  </si>
  <si>
    <t>Grupos estudiantiles adscritos a una agremiación nacional o internacional (ejemplo IEEE) o para el desarrollo de una temática propia del programa (ejemplo grupo de estudio en matemáticas), con el fin de profundizar en los contenidos desarrollados en los espacios académicos, participar en eventos, desarrollar proyectos de formación en investigación, entre otros.</t>
  </si>
  <si>
    <t>Prevenir la desconexión entre las actividades de los grupos y los objetivos curriculares mediante un seguimiento de sus proyectos y logros.</t>
  </si>
  <si>
    <t>Relación de actividades desarrolladas en el grupo de interés con actividades del perfil ocupacional del programa.</t>
  </si>
  <si>
    <t>Semilleros</t>
  </si>
  <si>
    <t>Grupos de trabajo orientados a la discusión y apropiación en diferentes áreas temáticas propuestas por la facultad, adquiriendo en esta dinámica habilidades investigativas.
Se generan a partir del desarrollo de las líneas de investigación del grupo CITIC y estan liderados por docentes con asignación de investigación de la escuela TIC</t>
  </si>
  <si>
    <t>Informar periódicamente a estudiantes y docentes sobre los avances, productos y logros obtenidos en los semilleros, destacando su aporte a los resultados de aprendizaje del programa.
Formar a los participantes en metodologías de investigación aplicada que fortalezcan su capacidad para producir software, gestionar datos e implementar algoritmos en proyectos académicos.</t>
  </si>
  <si>
    <t>Listas de participación.</t>
  </si>
  <si>
    <t>Tutorías</t>
  </si>
  <si>
    <t>Espacios en los que se recibe ayuda y realimentación por parte de profesores, de manera presencial o en línea, respecto a temas o actividades del diario vivir del estudiante, haciendo uso de las herramientas tecnológicas apropiadas para los fines.</t>
  </si>
  <si>
    <t>Prevenir la repetición de dificultades de aprendizaje al registrar y analizar los temas más consultados en las tutorías para orientar mejoras pedagógicas.
Ayudar a tomar decisiones sobre la pertinencia de reforzar ciertos contenidos o metodologías en las asignaturas a partir de la evidencia recogida en las tutorías.</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</si>
  <si>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</si>
  <si>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</si>
  <si>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</si>
  <si>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</si>
  <si>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</si>
  <si>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ManipulaciónBAK</t>
  </si>
  <si>
    <t>Aplicar</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</si>
  <si>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</si>
  <si>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</si>
  <si>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</si>
  <si>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</si>
  <si>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</si>
  <si>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</si>
  <si>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</si>
  <si>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</si>
  <si>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</si>
  <si>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</si>
  <si>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</si>
  <si>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</si>
  <si>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</si>
  <si>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</si>
  <si>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</si>
  <si>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</si>
  <si>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</si>
  <si>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</si>
  <si>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</si>
  <si>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</si>
  <si>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</si>
  <si>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</si>
  <si>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</si>
  <si>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</si>
  <si>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</si>
  <si>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</si>
  <si>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</si>
  <si>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</si>
  <si>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</si>
  <si>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</si>
  <si>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</si>
  <si>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</si>
  <si>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</si>
  <si>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</si>
  <si>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</si>
  <si>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</si>
  <si>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</si>
  <si>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</si>
  <si>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</si>
  <si>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</si>
  <si>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</si>
  <si>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</si>
  <si>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</si>
  <si>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</si>
  <si>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</si>
  <si>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</si>
  <si>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</si>
  <si>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</si>
  <si>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</si>
  <si>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</si>
  <si>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Se sugiere emplear estrategias como las siguientes.
Evaluación formativa: Preguntas intercaladas, presentaciones de situaciones problema.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</si>
  <si>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</si>
  <si>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</si>
  <si>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</si>
  <si>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</si>
  <si>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</si>
  <si>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</si>
  <si>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Introducción a las Redes de Datos</t>
  </si>
  <si>
    <t>Identifica los elementos que hacen parte de una red de telecomunicaciones, para diseñar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Configura los elementos que hacen parte de una red de telecomunicaciones, para implementar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Emplea los elementos que hacen parte de una red de telecomunicaciones, para resolver problemas asociados a la administración de los sistemas de telecomunicaciones, infraestructuras TIC, teniendo en cuenta condiciones, restricciones y requerimientos técnicos, desde un abordaje teórico-práctico, a través de herramientas de simulación, análisis de casos y uso de equipos de laboratorio.</t>
  </si>
  <si>
    <t xml:space="preserve">	1.	Fundamentos de redes de datos
	2.	Modelos de referencia OSI y TCP/IP
	3.	Protocolos de comunicación
	4.	Configuración básica de redes</t>
  </si>
  <si>
    <t>Las estrategias pueden variar entre estas y otras que emerjan en el proceso formativo.
Trabajo directo:
Prácticas guiadas de laboratorio y simulación.
Clase magistral activa
Trabajo independiente:
Prácticas de laboratorio y simulación
Lecturas
Desarrollo de cuestionarios teórico-prácticos
Desarrollo de proyectos de aula</t>
  </si>
  <si>
    <t>Formativa:
Trabajo en clase.
Sumativa:
Pruebas conceptuales.
Trabajo en clase.
Exámenes.
Avances del proyecto de aul</t>
  </si>
  <si>
    <t>Introducción a la Ingeniería y Ciencias Básicas</t>
  </si>
  <si>
    <t>Reconoce conceptos básicos de ingeniería, herramientas técnicas y principios éticos para identificar problemas sencillos de ingeniería según su naturaleza técnica, social y ambiental.</t>
  </si>
  <si>
    <t>1. Fundamentos de la Ingeniería
2. Herramientas y Técnicas de Ingeniería
3. Aplicaciones Prácticas y Proyectos
4. Ingeniería y Sostenibilidad</t>
  </si>
  <si>
    <t>Las estrategias pueden variar entre estas y otras que emerjan en el proceso formativo.
Trabajo directo:
Clase magistral activa
Estudio de casos
Resolución de problemas
Trabajo independiente:
Estudio de casos
Resolución de problemas
Desarrollo de proyectos
Talleres
Exposiciones
Pruebas escritas</t>
  </si>
  <si>
    <t>Formativa:
Exposiciones
PIF
Sumativa:
Trabajos escritos
Exposiciones
PIF</t>
  </si>
  <si>
    <t>Pensamiento Algorítmico</t>
  </si>
  <si>
    <t>Identifica variables relevantes, su naturaleza y la forma en que se relacionan para modelar un problema computacional básico.
Implementa expresiones matemáticas y estructuras básicas de programación para desarrollar soluciones a problemas computacionales básicos.</t>
  </si>
  <si>
    <t>T</t>
  </si>
  <si>
    <t>1. Fundamentos de pensamiento algorítmico 
2. Modelado y especificación de problemas 
3. Estructuras básicas de un algoritmo 
4. Relaciones de recurrencias</t>
  </si>
  <si>
    <t>Las estrategias pueden variar entre estas y otras que emerjan en el proceso formativo.
Trabajo directo:
Clase magistral
Ejemplos y talleres en clase
Trabajo independiente:
Lecturas complementarias
Talleres de trabajo autónomo
Actividades de refuerzo
Tutorías o monitorias</t>
  </si>
  <si>
    <t>Formativa:
Trabajo en clase.
Sumativa:
Pruebas conceptuales.
Trabajo en clase.
Exámenes.
Avances del proyecto de aula.</t>
  </si>
  <si>
    <t>Pensamiento Sistémico</t>
  </si>
  <si>
    <t>Identifica las partes que conforman un sistema y las relaciones entre ellas para crear un modelo que lo represente.
Crea diagramas sencillos de representación de sistemas para determinar el tipo de retroalimentación entre sus componentes.
Discrimina los efectos que tiene cada una de las partes de un sistema sobre las demás para identificar la dinámica emergente del sistema como un todo.</t>
  </si>
  <si>
    <t>1. Fundamentos de pensamiento sistémico
2. Diagramas de bucle causal
3. Dinámica de sistemas
4. Control de sistemas</t>
  </si>
  <si>
    <t>Las estrategias pueden variar entre estas y otras que emerjan en el proceso formativo.
Trabajo directo:
Clase magistral
Ejemplos y talleres en clase.
Trabajo independiente:
Lecturas complementarias.
Talleres de trabajo autónomo.
Actividades de refuerzo.
Tutorías o monitorias</t>
  </si>
  <si>
    <t>Formativa:
Trabajo en clase
Sumativa:
Estudio de casos
Resolución de problemas
Desarrollo de proyectos
Talleres
Exposiciones
Pruebas escritas</t>
  </si>
  <si>
    <t>Analisís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</si>
  <si>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</si>
  <si>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</si>
  <si>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</si>
  <si>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</si>
  <si>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Cálculo Diferencial</t>
  </si>
  <si>
    <t>Aplica representaciones y razonamientos matemáticos, para analizar situaciones de variación y cambio a partir de la interpretación de resultados en contextos teóricos y aplicados.</t>
  </si>
  <si>
    <t>1. Funciones de valor real
2. Límites 
3. La derivada 
4. Aplicaciones de la derivada</t>
  </si>
  <si>
    <t>Las estrategias pueden variar entre estas y otras que emerjan en el proceso formativo.
Trabajo directo:
Clases magistrales
Talleres /laboratorios
Soluciones numéricas
Uso de herramientas computacionales
Resolución de problemas
Trabajo independiente:
Lecturas
Resolución de problemas
Soluciones numéricas
Uso de herramientas computacionales</t>
  </si>
  <si>
    <t>Las estrategias pueden variar entre las siguientes u otras que puedan ser pertinentes para el proceso de aprendizaje.
Evaluación formativa:
Resolución de problemas.
Soluciones numéricas.
Uso de herramientas computacionales.
Tareas. 
Evaluación sumativa: 
Evaluación parcial. 
Quiz. 
Taller / Laboratorios. 
Proyecto de investigación formativa.</t>
  </si>
  <si>
    <t>Programación de Computadores</t>
  </si>
  <si>
    <t>Describe objetos del mundo real y cómo se relacionan entre ellos para proponer soluciones a problemas computacionales por medio de datos y expresiones matemáticas.
Aplica estructuras de control en la construcción de programas para resolver problemas computacionales.</t>
  </si>
  <si>
    <t>1. Fundamentos de programación de computadores
2. Estructuras de control
3. Estructuras de datos básicas
4. Recursividad</t>
  </si>
  <si>
    <t>Herramientas de Lógica Computacional</t>
  </si>
  <si>
    <t>Transforma proposiciones existentes en el mundo real a proposiciones de lógica de predicados para modelar la lógica computacional.
Aplica las operaciones de álgebra booleana para determinar valores de verdad de proposiciones.
Usa diferentes métodos de demostración para establecer propiedades elementales de los números.</t>
  </si>
  <si>
    <t>1. Lógica proposicional
2. Métodos de Demostración
3. Cálculo de predicados
4. Introducción a la teoría de conjuntos</t>
  </si>
  <si>
    <t>Las estrategias pueden variar entre estas y otras que emerjan en el proceso formativo.
Trabajo directo:
Clase magistral activa
Desarrollo de ejercicios en clase
Asesorías Extra clase 
Trabajo independiente:
Talleres de aplicación del tema
Revisión bibliografía recomendada</t>
  </si>
  <si>
    <t>Análisis y Diseño de Sistemas</t>
  </si>
  <si>
    <t>Genera modelos de una organización usando herramientas gráficas para identificar los flujos de información en el contexto de un caso de estudio.
Identifica necesidades de información para generar un análisis de los requerimientos de información en el contexto de un caso de estudio.</t>
  </si>
  <si>
    <t>1. Introducción a los sistemas, roles y metodologías de desarrollo
2. Comprensión y modelado de los sistemas organizacionales
3. Análisis de los requerimientos de información 
4. Fundamentos del diseño de sistemas</t>
  </si>
  <si>
    <t>Las estrategias pueden variar entre estas y otras que emerjan en el proceso formativo.
Trabajo directo
Clase magistral activa
Estudio de casos
Talleres individuales
Trabajo con herramientas digitales
Trabajo independiente
Lecturas
Resolución de problemas
Uso de herramientas computacionales
Proyectos individuales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</si>
  <si>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</si>
  <si>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</si>
  <si>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</si>
  <si>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</si>
  <si>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</si>
  <si>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</si>
  <si>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</si>
  <si>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</si>
  <si>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</si>
  <si>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Elementos de Teorías de la Computación</t>
  </si>
  <si>
    <t>Aplica los conceptos lógicos y conjuntistas para demostrar propiedades de las operaciones conjuntistas.
Analiza ecuaciones recurrentes para modelar fenómenos sucesivos.
Usa de manera correcta conceptos de conteo para resolver problemas prácticos o teóricos.</t>
  </si>
  <si>
    <t>1. Técnicas de demostración en teoría elemental de conjuntos
2. Ecuaciones recurrentes e inducción matemática
3. Aritmética modular
4. Permutaciones y combinaciones</t>
  </si>
  <si>
    <t>Las estrategias pueden variar entre estas y otras que emerjan en el proceso formativo.
Trabajo directo:
Clase magistral activa
Desarrollo de ejercicios en clase
Asesorías Extra clase 
Trabajo independiente:
Talleres de aplicación del tema
Revisión bibliografía recomendada
Actividades de refuerzo</t>
  </si>
  <si>
    <t>Estructuras de Datos</t>
  </si>
  <si>
    <t xml:space="preserve">Aplica conceptos de análisis de algoritmos y notación asintótica para determinar la complejidad temporal y espacial de un programa.
Describe objetos del mundo real y cómo se relacionan entre ellos para proponer soluciones a problemas computacionales por medio de estructuras de datos.  </t>
  </si>
  <si>
    <t>1. Introducción al análisis de algoritmos
2. Estructuras de datos lineales
3. Estructuras de datos jerárquicas
4. Tablas hash y grafos</t>
  </si>
  <si>
    <t>Las estrategias pueden variar entre estas y otras que emerjan en el proceso formativo.
Trabajo directo:
Clase magistral
Ejemplos y talleres en clase.
Trabajo independiente:
Lecturas complementarias.
Talleres de trabajo autónomo.
Actividades de refuerzo.</t>
  </si>
  <si>
    <t>Paradigmas de Programación</t>
  </si>
  <si>
    <t>Elige un lenguaje de programación según las características del paradigma para construir soluciones apropiadas.
Usa un lenguaje orientado a objetos para desarrollar programas aplicando los conceptos que lo definen.
Emplea los paradigmas de programación funcional y lógico para la creación de programas simples.</t>
  </si>
  <si>
    <t>1. Exploración de los principales paradigmas de programación
2. Paradigma de programación orientada a objetos
3. Paradigma de programación funcional
4. Paradigma de programación lógica</t>
  </si>
  <si>
    <t>Las estrategias pueden variar entre estas y otras que emerjan en el proceso formativo.
Trabajo directo:
Clase magistral, Talleres en clase
Trabajo independiente:
Lecturas complementarias (capítulos de libros y artículos), listas de ejercicios para trabajo en casa, uso de recursos multimedia disponibles en la web.</t>
  </si>
  <si>
    <t>Álgebra Lineal</t>
  </si>
  <si>
    <t>Establece conexiones entre los objetos, conceptos y procesos del álgebra lineal para resolver diferentes situaciones en contextos reales o teóricos.</t>
  </si>
  <si>
    <t>1. Álgebra matricial, determinantes y sistemas de ecuaciones lineales. 
2. Vectores, geometría en ℝⁿ y operaciones vectoriales. 
3. Espacios vectoriales y estructura algebraica. 
4. Transformaciones lineales y operadores.</t>
  </si>
  <si>
    <t>Las estrategias pueden variar entre estas y otras que emerjan en el proceso formativo.
Trabajo directo: 
Clases magistrales 
Talleres / Laboratorios
Soluciones numéricas
Uso de herramientas computacionales
Resolución de problemas
Trabajo independiente: 
Lecturas
Resolución de problemas 
Soluciones numéricas
Uso de herramientas computacionales</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</si>
  <si>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</si>
  <si>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</si>
  <si>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</si>
  <si>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</si>
  <si>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Bases de Datos</t>
  </si>
  <si>
    <t>Identifica las estructuras de las bases de datos como los atributos, tablas, llaves y tipos de relaciones que conforman una entidad de una base de datos relacional para aplicarlos en un sistema de información en el tiempo real.
Utiliza el lenguaje de diseño, construcción y administración de bases de datos, para desarrollar sistemas de información.</t>
  </si>
  <si>
    <t>1. Generalidades de las bases de  datos relacionales vs NoSQL
2. Modelo conceptual y normalización
3. Modelo lógico y álgebra relacional
4. Modelo físico, SQL, PLSQL y caso de estudio</t>
  </si>
  <si>
    <t>Las estrategias pueden variar entre estas y otras que emerjan en el proceso formativo.
Trabajo directo:
Clase magistral activa 
Practicas guiadas de laboratorio
Talleres programados con casos reales
Trabajo independiente
Prácticas de aplicación y laboratorio
Lecturas 
Desarrollo de proyecto de aula</t>
  </si>
  <si>
    <t>Autómatas, Gramáticas y Lenguajes</t>
  </si>
  <si>
    <t xml:space="preserve">Emplea máquinas de estados finitos para procesar y generar lenguajes de acuerdo con la teoría de Chomsky.
Construye máquinas de estados finitos para ejecutar tareas algorítmicas sencillas.
Reconoce los conceptos de computabilidad y complejidad para analizar un problema. </t>
  </si>
  <si>
    <t>1. Introducción a modelos computacionales
2. Autómatas finitos
3. Lenguajes libres de contexto
4. Intratabilidad</t>
  </si>
  <si>
    <t>Las estrategias pueden variar entre estas y otras que emerjan en el proceso formativo.
Trabajo directo:
Clases Magistrales
Talleres en clase
Trabajo independiente:
Desarrollo de talleres en casa
Lecturas complementarias
Actividades de refuerzo
Tutorías o monitorias</t>
  </si>
  <si>
    <t>Cálculo Integral</t>
  </si>
  <si>
    <t>Aplica los principios del cálculo integral para resolver problemas que involucren procesos de integración y acumulación desde la anti-derivación, el análisis de áreas y comportamientos infinitos con la interpretación de resultados en contextos matemáticos y aplicados.</t>
  </si>
  <si>
    <t>1. Funciones trascendentes    
2. Integral definida e indefinida
3. Técnicas de integración e integral impropia
4. Aplicaciones de la integral – Sucesiones y series</t>
  </si>
  <si>
    <t>Las estrategias pueden variar entre estas y otras que emerjan en el proceso formativo.
Trabajo directo:
Talleres (individuales o grupales)
Resolución de problemas
Preguntas intercaladas
Analogías
Simuladores
Señalizaciones 
Trabajo independiente:
Lecturas
Simuladores 
Organizadores previos
Talleres (individuales o grupales)</t>
  </si>
  <si>
    <t>Física Mecánica</t>
  </si>
  <si>
    <t>Identifica las cantidades, leyes y principios fundamentales del movimiento de los cuerpos en la mecánica clásica para analizar contextos reales y situaciones de aprendizaje.
Aplica las leyes y principios fundamentales de la física mecánica para desarrollarlas en los procesos de solución de situaciones prácticas.</t>
  </si>
  <si>
    <t>1. El Movimiento. Cinemática unidimensional y bidimensional de una partícula
2. Fuerza. Dinámica, leyes de Newton y aplicaciones
3. Análisis de energía. Trabajo, energía mecánica, sistema de partículas y cantidad de movimiento
4. Cinemática y dinámica de cuerpo rígido. Torques, momento de inercia, rodadura y momento angular</t>
  </si>
  <si>
    <t>Las estrategias pueden variar entre estas y otras que emerjan en el proceso formativo.
Trabajo directo:
Clase magistral activa
Asesorías extra clase
Trabajo independiente: 
Ejercicios de lectura
Actividades de refuerzo
Presentación de un proyecto de profundización a partir de un ejercicio investigativo</t>
  </si>
  <si>
    <t>Ingeniería de Software I</t>
  </si>
  <si>
    <t>Reconoce las fases del ciclo de vida del software para desarrollar soluciones de software en un contexto de un caso de estudio.
Modela soluciones usando el lenguaje unificado de modelado (UML) y patrones de diseño para construir un producto de software de acuerdo a las reglas de negocio definidas.
Implementa prototipos funcionales de software para aplicar buenas prácticas de desarrollo de software en un contexto de un caso de estudio</t>
  </si>
  <si>
    <t>1. Conceptos básicos de la ingeniería de software
2. Metodologías y modelos de proceso
3. Generalidades de calidad de software
4. Patrones de software</t>
  </si>
  <si>
    <t>Bases de Datos en la Nube</t>
  </si>
  <si>
    <t>Diseña bases de datos para desarrollar sistemas de información en infraestructura propia o de nube.
Reconoce los elementos de un sistema de bases de datos para diseñar soluciones de implementación de software en contextos de casos de estudio.</t>
  </si>
  <si>
    <t xml:space="preserve">
1. Fundamentos de las bases de datos NoSQL.
2. Arquitecturas y Modelos de bd NoSQL
3. Ecosistemas de bases de datos en la nube.
4. Aplicaciones de bases de datos en la nube.</t>
  </si>
  <si>
    <t>Las estrategias pueden variar entre estas y otras que emerjan en el proceso formativo.
Trabajo directo:
Clase magistral activa 
Practicas guiadas de laboratorio
Talleres programados con casos reales
Trabajo independiente
Practicas de aplicación y laboratorio
Lecturas 
Desarrollo de proyecto de aula</t>
  </si>
  <si>
    <t>Análisis Descriptivo de Datos</t>
  </si>
  <si>
    <t>Aplica herramientas tecnológicas y modelos probabilísticos, para representar procesos, aleatorios y determinar valores de probabilidad en diferentes escenarios.
Aplica conceptos de probabilidad elemental y distribuciones como la normal y la binomial, para apoyar la toma de decisiones en diversos contextos.</t>
  </si>
  <si>
    <t>1. Estadística descriptiva
2. Teoría de la probabilidad y variables aleatorias
3. Distribuciones de probabilidad de variable discreta
4. Distribuciones de probabilidad de variable continua</t>
  </si>
  <si>
    <t>Trabajo directo:
Las estrategias pueden variar entre estas y otras que emerjan en el proceso formativo.
Clase magistral activa 
Practicas guiadas de laboratorio
Talleres programados con casos reales
Trabajo independiente
Practicas de aplicación y laboratorio
Lecturas 
Desarrollo de proyecto de aula</t>
  </si>
  <si>
    <t>Investigación de Operaciones</t>
  </si>
  <si>
    <t>Modela sistemas a partir de los elementos que lo conforman y sus restricciones, con el uso de abstracciones de carácter matemático, para determinar soluciones factibles y la solución óptima que responde a sus características.  
Aplica las técnicas básicas y avanzadas de la programación lineal para resolver problemas de optimización relacionados con la asignación de recursos y la eficiencia en el flujo de procesos.</t>
  </si>
  <si>
    <t>1.Programación lineal y formulación
2.Métodos de solución - Lenguaje de modelaje matemático
3.Teoría de la dualidad y análisis de sensibilidad
4.Flujo en redes</t>
  </si>
  <si>
    <t>Las estrategias pueden variar entre estas y otras que emerjan en el proceso formativo.
Trabajo directo:
Clase magistral activa
Uso de elementos asociados con los métodos de: Aprendizaje basado en proyectos; Aprendizaje basado en problemas; Estudio de caso; Clase expositiva; TIC; Demostración
Trabajo independiente:
Simulación; Aprendizaje basado en investigación; Aprendizaje basado en equipos</t>
  </si>
  <si>
    <t>Métodos Numéricos</t>
  </si>
  <si>
    <t xml:space="preserve">Implementa métodos y herramientas de aproximación numérica para resolver problemas teóricos y aplicados que involucren ecuaciones, ajuste de curvas, cálculo diferencial e integral, y ecuaciones diferenciales ordinarias. </t>
  </si>
  <si>
    <t xml:space="preserve"> 1. Solución numérica de ecuaciones y sistemas de ecuaciones. 
2. Ajuste de curvas 
3. Derivación e Integración numérica 
4. Solución numérica de ecuaciones diferenciales ordinarias</t>
  </si>
  <si>
    <t>Las estrategias pueden variar entre estas y otras que emerjan en el proceso formativo.
Trabajo directo:
Clases magistrales
Talleres / Laboratorios
Soluciones numéricas
Uso de herramientas computacionales
Resolución de problemas
Trabajo independiente:
Lecturas
Resolución de problemas
Soluciones numéricas
Uso de herramientas computacionales</t>
  </si>
  <si>
    <t>Ingeniería de Software II</t>
  </si>
  <si>
    <t>Realiza estimaciones de requisitos y funcionalidades para medir tiempo, alcance y recursos dentro del desarrollo de proyectos de construcción de software.
Define planes de ejecución y pruebas tanto unitarios, de integración y de usuario final acordes al plan de construcción definido para implementar estrategias de aseguramiento de calidad del software.
Construye soluciones de software acordes a un diseño para satisfacer requisitos funcionales y no funcionales.</t>
  </si>
  <si>
    <t xml:space="preserve">1. Panorama de la ingeniería de software                                                
2. Planeación y estimación de proyectos de ingeniería de software                                                
3. Patrones de diseño y arquitectura de software                               
4. Gestión de calidad, testing y documentación          </t>
  </si>
  <si>
    <t>Infraestructura en la Nube</t>
  </si>
  <si>
    <t>Identifica los elementos que hacen parte de sistemas de cómputo, redes de telecomunicaciones, para diseñar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Configura los elementos que hacen parte de sistemas de cómputo, redes de telecomunicaciones, para implementar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Emplea los elementos que hacen parte de sistemas de cómputo, redes de telecomunicaciones, para resolver problemas asociados a la administración de los sistemas de telecomunicaciones, infraestructuras TIC, teniendo en cuenta condiciones, restricciones y requerimientos técnicos, desde un abordaje teórico-práctico, a través de herramientas de simulación, análisis de casos y uso de equipos de laboratorio.</t>
  </si>
  <si>
    <t>1.	 Introducción a la Infraestructura como Código
	2.	Gestión y Automatización de Infraestructura
	3.	Fundamentos de Computación en la Nube
	4.	Automatización y Escalabilidad</t>
  </si>
  <si>
    <t>Desarrollo Web</t>
  </si>
  <si>
    <t>Construye la implementación de la parte del servidor usando un framework para generar una aplicación web.
Construye la implementación de la parte del cliente usando un framework para generar una aplicación web.
Adapta las implementaciones de la parte del servidor y de la parte del cliente para entregar una aplicación web.</t>
  </si>
  <si>
    <t>1. Conceptos de la arquitectura de las aplicaciones web
2. Framework de desarrollo para parte del servidor, capa de lógica de negocio o backend 
3. Librerías disponibles en los frameworks
4. Framework de desarrollo para parte del cliente, capa de presentación o frontend</t>
  </si>
  <si>
    <t>Fundamentos de Ciencia de Datos</t>
  </si>
  <si>
    <t>Reconoce las etapas del proceso de ciencia de datos para desarrollar soluciones a problemas en un contexto de caso de estudio.
Implementa reportes de análisis de datos para visualizar gráficos de datos en un caso de estudio.</t>
  </si>
  <si>
    <t>1. Conceptos básicos de Ciencia de Datos
2. Proceso de ciencia de datos
3. Estadística y probabilidad para Ciencia de Datos.
4. Comunicación efectiva de soluciones de ciencia de datos</t>
  </si>
  <si>
    <t>Análisis y Verificación de Algoritmos</t>
  </si>
  <si>
    <t>Establece la especificación formal de un problema de programación para demostrar la corrección de un algoritmo que lo solucione.
Crea algoritmos eficientes haciendo uso de técnicas de diseño en la resolución de problemas del mundo real.   
Establece la complejidad de los programas en función de su tamaño para identificar los requerimientos de memoria y costo computacional.</t>
  </si>
  <si>
    <t>1. Verificación de programas
2. Análisis de algoritmos
3. Técnicas de diseño de algoritmos
4. Intratabilidad</t>
  </si>
  <si>
    <t>Las estrategias pueden variar entre estas y otras que emerjan en el proceso formativo.
Trabajo directo
Clase magistral activa
Estudio de casos
Talleres individuales
Trabajo con herramientas digitales y computacionales.
Trabajo independiente
Lecturas
Resolución de problemas
Uso de herramientas computacionales
Proyectos individuales</t>
  </si>
  <si>
    <t>Gerencia de Proyectos Informáticos</t>
  </si>
  <si>
    <t>Reconoce los elementos de una metodología de gerencia de proyectos de desarrollo de software para planificar, diseñar y desarrollar soluciones de Tecnologías de la Información en un contexto de un caso de estudio.</t>
  </si>
  <si>
    <t>1. Marco conceptual y aspectos generales
2. Preparación: iniciación y definición- alcance- requisitos
3. Ejecución y control: planeación y asignación de recursos, control y revisión
4. Cierre: Terminación y evaluación</t>
  </si>
  <si>
    <t>Las estrategias pueden variar entre estas y otras que emerjan en el proceso formativo.
Trabajo directo
Clase magistral activa
Estudio de casos
Talleres individuales
Trabajo con herramientas digitales o computacionales.
Trabajo independiente
Lecturas
Resolución de problemas
Uso de herramientas computacionales
Proyectos individuales</t>
  </si>
  <si>
    <t>Sistemas Operacionales</t>
  </si>
  <si>
    <t>Identifica las características de un sistema operacional para hacer la instalación del sistema operativo en una plataforma en contraste con los recursos de hardware disponibles.
Observa los procesos que ejecuta un sistema operacional para construir aplicaciones seguras que saquen el mayor rendimiento del hardware y el software que corra sobre dicha plataforma.
Diseña procedimientos para operar, administrar y proteger un sistema operacional, según la plataforma sobre la que se ejecuta.</t>
  </si>
  <si>
    <t>1. Conceptos fundamentales sistemas operacionales en general y el sistema Linux
2. Gestores de un Sistema Operativo
3. Componentes de un Sistema Operativo
4. Seguridad y Sistemas operacionales para móviles</t>
  </si>
  <si>
    <t>Las estrategias pueden variar entre estas y otras que emerjan en el proceso formativo.
Trabajo directo
Clase magistral activa
Estudio de casos
Talleres individuales
Trabajo con herramientasdigitales o  computacionales
Trabajo independiente
Lecturas
Resolución de problemas
Uso de herramientas computacionales
Proyectos individuales</t>
  </si>
  <si>
    <t>Proyecto Aplicado en Computación</t>
  </si>
  <si>
    <t>Planifica actividades individuales y de equipo para generar propuestas que aporten al cumplimiento de los objetivos de un proyecto aplicado en computación, teniendo en cuenta requisitos y restricciones, de manera autónoma.
Implementa algoritmos para solucionar un problema computacional de manera eficiente.</t>
  </si>
  <si>
    <t>P</t>
  </si>
  <si>
    <t>1. Conceptualización y antecedentes
2. Identificación de soluciones
3. Análisis y evaluación de soluciones
4. Diseño técnico y elaboración de entregables funcionales</t>
  </si>
  <si>
    <t>Las estrategias pueden variar entre estas y otras que emerjan en el proceso formativo.
Trabajo directo:
Clase magistral activa y apoyo con metodologías activas
Trabajo independiente:
Metodologías activas
Desarrollo de proyectos
Talleres
Exposiciones
Pruebas escritas</t>
  </si>
  <si>
    <t>Electiva I</t>
  </si>
  <si>
    <t>Electiva 2</t>
  </si>
  <si>
    <t>Proyecto Aplicado en Construcción de Software</t>
  </si>
  <si>
    <t>Planifica actividades individuales y de equipo para generar propuestas que aporten al cumplimiento de los objetivos de un proyecto aplicado en construcción de software, teniendo en cuenta requisitos y restricciones, de manera autónoma.
Implementa una solución de software para resolver una necesidad organizacional simulada.</t>
  </si>
  <si>
    <t>Proyecto Aplicado en Infraestructura Informática</t>
  </si>
  <si>
    <t>Planifica actividades individuales y de equipo para generar propuestas que aporten al cumplimiento de los objetivos de un proyecto aplicado en infraestructura informática, teniendo en cuenta requisitos y restricciones, de manera autónoma.
Establece un conjunto de componentes que definen la arquitectura de una solución para resolver una necesidad de infraestructura informática teniendo en cuenta requisitos y restricciones.</t>
  </si>
  <si>
    <t>Sistemas Distribuidos</t>
  </si>
  <si>
    <t>Conecta equipos en red para compartir información y realizar tareas de manera compartida para generar sistemas de información distribuidas.
Construye algoritmos de ejecución en paralelo para mejorar el desempeño de la aplicación.
Administra sistemas de cómputo en la nube, haciendo uso de sus recursos para desarrollo de aplicaciones de software.</t>
  </si>
  <si>
    <t>1. Conceptos fundamentales de sistemas distribuidos
2. Programación y computación paralela
3. Algoritmos distribuidos y bases de datos distribuidas
4. Definición y características de la computación en la nube</t>
  </si>
  <si>
    <t>Las estrategias pueden variar entre estas y otras que emerjan en el proceso formativo.
Trabajo directo
Clase magistral activa
Estudio de casos
Talleres individuales
Trabajo con herramientas digitales o computacionales
Trabajo independiente
Lecturas
Resolución de problemas
Uso de herramientas computacionales
Proyectos individuales</t>
  </si>
  <si>
    <t>Electiva 3</t>
  </si>
  <si>
    <t>Electiva 4</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</si>
  <si>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</si>
  <si>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</si>
  <si>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</si>
  <si>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</si>
  <si>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</si>
  <si>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</si>
  <si>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</si>
  <si>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</si>
  <si>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</si>
  <si>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</si>
  <si>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</si>
  <si>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</si>
  <si>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</si>
  <si>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</si>
  <si>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</si>
  <si>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</si>
  <si>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Desarrollar</t>
  </si>
  <si>
    <t>Dirigir</t>
  </si>
  <si>
    <t>Establecer</t>
  </si>
  <si>
    <t>Evaluar</t>
  </si>
  <si>
    <t>Fiscalizar</t>
  </si>
  <si>
    <t>Formular</t>
  </si>
  <si>
    <t>Generar</t>
  </si>
  <si>
    <t>Gestionar</t>
  </si>
  <si>
    <t>Hacer</t>
  </si>
  <si>
    <t>Liderar</t>
  </si>
  <si>
    <t>Modelar</t>
  </si>
  <si>
    <t>Participar</t>
  </si>
  <si>
    <t>Planear</t>
  </si>
  <si>
    <t>Presidir</t>
  </si>
  <si>
    <t>Resolver</t>
  </si>
  <si>
    <t>Sistematizar</t>
  </si>
  <si>
    <t>Supervisar</t>
  </si>
  <si>
    <t>Transformar</t>
  </si>
  <si>
    <t>Validar</t>
  </si>
  <si>
    <t>Verificar</t>
  </si>
  <si>
    <t>Garantizar</t>
  </si>
  <si>
    <t>Reconocer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</si>
  <si>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</si>
  <si>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</si>
  <si>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</si>
  <si>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</si>
  <si>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</si>
  <si>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</si>
  <si>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</si>
  <si>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</si>
  <si>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</si>
  <si>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</si>
  <si>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</si>
  <si>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</si>
  <si>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</si>
  <si>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</si>
  <si>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</si>
  <si>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</si>
  <si>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</si>
  <si>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</si>
  <si>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</si>
  <si>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EvaluaciónBAK</t>
  </si>
  <si>
    <t>ImitaciónBAK</t>
  </si>
  <si>
    <t>PercepciónBAK</t>
  </si>
  <si>
    <t>ResponderBAK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</si>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</sst>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b/>
      <sz val="10"/>
      <color theme="1"/>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25">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
      <left/>
      <right/>
      <top/>
      <bottom style="thin">
        <color auto="1"/>
      </bottom>
      <diagonal/>
    </border>
    <border>
      <left/>
      <right/>
      <top style="medium">
        <color rgb="FF000000"/>
      </top>
      <bottom/>
      <diagonal/>
    </border>
  </borders>
  <cellStyleXfs count="2">
    <xf numFmtId="0" fontId="0" fillId="0" borderId="0"/>
    <xf numFmtId="0" fontId="17" fillId="0" borderId="0" applyNumberFormat="0" applyFill="0" applyBorder="0" applyAlignment="0" applyProtection="0"/>
  </cellStyleXfs>
  <cellXfs count="177">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6" xfId="0" applyFont="1" applyFill="1" applyBorder="1" applyAlignment="1">
      <alignment horizontal="center"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5" xfId="0" applyFont="1" applyBorder="1" applyAlignment="1">
      <alignment vertical="center" wrapText="1"/>
    </xf>
    <xf numFmtId="0" fontId="0" fillId="0" borderId="5" xfId="0" applyBorder="1" applyAlignment="1">
      <alignment vertical="center"/>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3" xfId="0" applyFont="1" applyBorder="1"/>
    <xf numFmtId="0" fontId="3" fillId="0" borderId="14" xfId="0" applyFont="1" applyBorder="1"/>
    <xf numFmtId="0" fontId="7" fillId="0" borderId="0" xfId="0" applyFont="1"/>
    <xf numFmtId="0" fontId="7" fillId="8" borderId="0" xfId="0" applyFont="1" applyFill="1"/>
    <xf numFmtId="0" fontId="7" fillId="0" borderId="13" xfId="0" applyFont="1" applyBorder="1"/>
    <xf numFmtId="0" fontId="7"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6" borderId="0" xfId="0" applyFont="1" applyFill="1"/>
    <xf numFmtId="0" fontId="7" fillId="8" borderId="13"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4"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0" fontId="0" fillId="0" borderId="7"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1" fillId="0" borderId="7" xfId="0" applyFont="1" applyBorder="1" applyAlignment="1">
      <alignment vertical="center" wrapText="1"/>
    </xf>
    <xf numFmtId="0" fontId="11" fillId="0" borderId="7" xfId="0" applyFont="1" applyBorder="1" applyAlignment="1">
      <alignment horizontal="left" vertical="center" wrapText="1"/>
    </xf>
    <xf numFmtId="0" fontId="11" fillId="0" borderId="19" xfId="0" applyFont="1" applyBorder="1" applyAlignment="1">
      <alignment vertical="center" wrapText="1"/>
    </xf>
    <xf numFmtId="0" fontId="3" fillId="0" borderId="0" xfId="0" applyFont="1" applyAlignment="1">
      <alignment horizontal="left" vertical="center"/>
    </xf>
    <xf numFmtId="0" fontId="3" fillId="0" borderId="7" xfId="0" applyFont="1" applyBorder="1" applyAlignment="1">
      <alignment horizontal="left" vertical="center"/>
    </xf>
    <xf numFmtId="0" fontId="11" fillId="0" borderId="19" xfId="0" applyFont="1" applyBorder="1" applyAlignment="1">
      <alignment horizontal="left" vertical="center" wrapText="1"/>
    </xf>
    <xf numFmtId="0" fontId="11" fillId="0" borderId="5" xfId="0" applyFont="1" applyBorder="1" applyAlignment="1">
      <alignment vertical="center" wrapText="1"/>
    </xf>
    <xf numFmtId="0" fontId="3" fillId="7" borderId="20" xfId="0" applyFont="1" applyFill="1" applyBorder="1" applyAlignment="1">
      <alignment horizontal="left" vertical="center" wrapText="1"/>
    </xf>
    <xf numFmtId="0" fontId="3" fillId="7" borderId="20" xfId="0" applyFont="1" applyFill="1" applyBorder="1" applyAlignment="1">
      <alignment horizontal="center" vertical="center" wrapText="1"/>
    </xf>
    <xf numFmtId="0" fontId="11" fillId="7" borderId="20" xfId="0" applyFont="1" applyFill="1" applyBorder="1" applyAlignment="1">
      <alignment horizontal="center" vertical="center" wrapText="1"/>
    </xf>
    <xf numFmtId="0" fontId="11" fillId="7" borderId="20" xfId="0" applyFont="1" applyFill="1" applyBorder="1" applyAlignment="1">
      <alignment horizontal="left" vertical="center" wrapText="1"/>
    </xf>
    <xf numFmtId="0" fontId="3" fillId="7" borderId="20" xfId="0" applyFont="1" applyFill="1" applyBorder="1" applyAlignment="1">
      <alignment horizontal="center" vertical="center"/>
    </xf>
    <xf numFmtId="49" fontId="3" fillId="7" borderId="20" xfId="0" applyNumberFormat="1" applyFont="1" applyFill="1" applyBorder="1" applyAlignment="1">
      <alignment horizontal="left" vertical="center" wrapText="1"/>
    </xf>
    <xf numFmtId="0" fontId="11" fillId="12" borderId="20"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19" xfId="0" applyFont="1" applyBorder="1" applyAlignment="1">
      <alignment horizontal="left" vertical="center"/>
    </xf>
    <xf numFmtId="0" fontId="3" fillId="0" borderId="0" xfId="0" applyFont="1" applyAlignment="1">
      <alignment horizontal="left"/>
    </xf>
    <xf numFmtId="0" fontId="3" fillId="12" borderId="20" xfId="0" applyFont="1" applyFill="1" applyBorder="1" applyAlignment="1">
      <alignment horizontal="left" vertical="center"/>
    </xf>
    <xf numFmtId="0" fontId="3" fillId="12" borderId="20" xfId="0" applyFont="1" applyFill="1" applyBorder="1" applyAlignment="1">
      <alignment horizontal="center" vertical="center"/>
    </xf>
    <xf numFmtId="0" fontId="3" fillId="12" borderId="20" xfId="0" applyFont="1" applyFill="1" applyBorder="1" applyAlignment="1">
      <alignment horizontal="center" vertical="center" wrapText="1"/>
    </xf>
    <xf numFmtId="0" fontId="3" fillId="12" borderId="20" xfId="0" applyFont="1" applyFill="1" applyBorder="1" applyAlignment="1">
      <alignment horizontal="left" vertical="center" wrapText="1"/>
    </xf>
    <xf numFmtId="0" fontId="11" fillId="12" borderId="20" xfId="0" applyFont="1" applyFill="1" applyBorder="1" applyAlignment="1">
      <alignment horizontal="center" vertical="center"/>
    </xf>
    <xf numFmtId="0" fontId="26" fillId="0" borderId="0" xfId="0" applyFont="1" applyAlignment="1">
      <alignment horizontal="left" vertical="center"/>
    </xf>
    <xf numFmtId="0" fontId="27" fillId="0" borderId="0" xfId="0" applyFont="1" applyAlignment="1">
      <alignment horizontal="left" vertical="center" wrapText="1"/>
    </xf>
    <xf numFmtId="0" fontId="28" fillId="9" borderId="21" xfId="0" applyFont="1" applyFill="1" applyBorder="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2" xfId="0" applyFont="1" applyFill="1" applyBorder="1" applyAlignment="1">
      <alignment horizontal="center" vertical="center" wrapText="1"/>
    </xf>
    <xf numFmtId="0" fontId="27" fillId="0" borderId="0" xfId="0" applyFont="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6"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6" xfId="0" applyFont="1" applyFill="1" applyBorder="1" applyAlignment="1">
      <alignment horizontal="center" vertical="center" wrapText="1"/>
    </xf>
    <xf numFmtId="0" fontId="3" fillId="0" borderId="8" xfId="0" applyFont="1" applyBorder="1" applyAlignment="1">
      <alignment vertical="center" wrapText="1"/>
    </xf>
    <xf numFmtId="0" fontId="13" fillId="0" borderId="7" xfId="0" applyFont="1" applyBorder="1" applyAlignment="1">
      <alignment vertical="center" wrapText="1"/>
    </xf>
    <xf numFmtId="0" fontId="11" fillId="12" borderId="7" xfId="0" applyFont="1" applyFill="1" applyBorder="1" applyAlignment="1">
      <alignment horizontal="left" vertical="center" wrapText="1"/>
    </xf>
    <xf numFmtId="0" fontId="13" fillId="0" borderId="0" xfId="0" applyFont="1" applyAlignment="1">
      <alignment horizontal="left" vertical="center" wrapText="1"/>
    </xf>
    <xf numFmtId="0" fontId="13" fillId="0" borderId="19" xfId="0" applyFont="1" applyBorder="1" applyAlignment="1">
      <alignment horizontal="left" vertical="center" wrapText="1"/>
    </xf>
    <xf numFmtId="0" fontId="13" fillId="0" borderId="7" xfId="0" applyFont="1" applyBorder="1" applyAlignment="1">
      <alignment horizontal="left" vertical="center" wrapText="1"/>
    </xf>
    <xf numFmtId="0" fontId="13" fillId="0" borderId="5" xfId="0" applyFont="1" applyBorder="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3" fillId="0" borderId="0" xfId="0" applyFont="1" applyAlignment="1">
      <alignment horizontal="center" vertical="center" wrapText="1"/>
    </xf>
    <xf numFmtId="0" fontId="14" fillId="2" borderId="2" xfId="0" applyFont="1" applyFill="1" applyBorder="1" applyAlignment="1">
      <alignment horizontal="center" vertical="center" wrapText="1"/>
    </xf>
    <xf numFmtId="0" fontId="3" fillId="0" borderId="8" xfId="0" applyFont="1" applyBorder="1" applyAlignment="1">
      <alignment horizontal="left" vertical="center" wrapText="1"/>
    </xf>
    <xf numFmtId="0" fontId="3" fillId="0" borderId="0" xfId="0" applyFont="1" applyAlignment="1">
      <alignment horizontal="left"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11" fillId="0" borderId="19" xfId="0" applyFont="1" applyBorder="1" applyAlignment="1">
      <alignment horizontal="center" vertical="center"/>
    </xf>
    <xf numFmtId="0" fontId="11" fillId="0" borderId="0" xfId="0" applyFont="1" applyAlignment="1">
      <alignment horizontal="center" vertical="center"/>
    </xf>
    <xf numFmtId="0" fontId="11" fillId="0" borderId="7" xfId="0" applyFont="1" applyBorder="1" applyAlignment="1">
      <alignment horizontal="center" vertical="center"/>
    </xf>
    <xf numFmtId="0" fontId="11" fillId="0" borderId="19" xfId="0" applyFont="1" applyBorder="1" applyAlignment="1">
      <alignment horizontal="center" vertical="center" wrapText="1"/>
    </xf>
    <xf numFmtId="0" fontId="11" fillId="0" borderId="0" xfId="0" applyFont="1" applyAlignment="1">
      <alignment horizontal="center" vertical="center" wrapText="1"/>
    </xf>
    <xf numFmtId="0" fontId="11"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0" xfId="0" applyFont="1" applyAlignment="1">
      <alignment horizontal="center" vertical="center" wrapText="1"/>
    </xf>
    <xf numFmtId="0" fontId="13" fillId="0" borderId="7" xfId="0" applyFont="1" applyBorder="1" applyAlignment="1">
      <alignment horizontal="center" vertical="center" wrapText="1"/>
    </xf>
    <xf numFmtId="0" fontId="13" fillId="0" borderId="19"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19" xfId="0" applyFont="1" applyBorder="1" applyAlignment="1">
      <alignment vertical="center" wrapText="1"/>
    </xf>
    <xf numFmtId="0" fontId="11" fillId="0" borderId="0" xfId="0" applyFont="1" applyAlignment="1">
      <alignment vertical="center" wrapText="1"/>
    </xf>
    <xf numFmtId="0" fontId="11" fillId="0" borderId="24" xfId="0" applyFont="1" applyBorder="1" applyAlignment="1">
      <alignment horizontal="left" vertical="center" wrapText="1"/>
    </xf>
    <xf numFmtId="0" fontId="11" fillId="0" borderId="0" xfId="0" applyFont="1" applyAlignment="1">
      <alignment horizontal="left" vertical="center" wrapText="1"/>
    </xf>
    <xf numFmtId="0" fontId="11" fillId="0" borderId="24" xfId="0" applyFont="1" applyBorder="1" applyAlignment="1">
      <alignment vertical="center" wrapText="1"/>
    </xf>
    <xf numFmtId="0" fontId="3" fillId="0" borderId="19" xfId="0" applyFont="1" applyBorder="1" applyAlignment="1">
      <alignment horizontal="left" vertical="center" wrapText="1"/>
    </xf>
    <xf numFmtId="0" fontId="3" fillId="0" borderId="7" xfId="0" applyFont="1" applyBorder="1" applyAlignment="1">
      <alignment horizontal="left" vertical="center" wrapText="1"/>
    </xf>
    <xf numFmtId="0" fontId="3" fillId="0" borderId="19" xfId="0" applyFont="1" applyBorder="1" applyAlignment="1">
      <alignment horizontal="center" vertical="center" wrapText="1"/>
    </xf>
    <xf numFmtId="0" fontId="3" fillId="0" borderId="7" xfId="0" applyFont="1" applyBorder="1" applyAlignment="1">
      <alignment horizontal="center" vertical="center" wrapText="1"/>
    </xf>
    <xf numFmtId="0" fontId="11" fillId="0" borderId="19" xfId="0" applyFont="1" applyBorder="1" applyAlignment="1">
      <alignment horizontal="left" vertical="center" wrapText="1"/>
    </xf>
    <xf numFmtId="0" fontId="11" fillId="0" borderId="7" xfId="0" applyFont="1" applyBorder="1" applyAlignment="1">
      <alignment horizontal="left" vertical="center" wrapText="1"/>
    </xf>
    <xf numFmtId="0" fontId="19" fillId="9" borderId="2" xfId="0" applyFont="1" applyFill="1" applyBorder="1" applyAlignment="1">
      <alignment horizontal="center" vertical="center" wrapText="1"/>
    </xf>
    <xf numFmtId="0" fontId="3" fillId="0" borderId="0" xfId="0" applyFont="1" applyAlignment="1">
      <alignment horizontal="center"/>
    </xf>
    <xf numFmtId="0" fontId="5" fillId="4" borderId="10" xfId="0" applyFont="1" applyFill="1" applyBorder="1" applyAlignment="1">
      <alignment horizontal="center"/>
    </xf>
    <xf numFmtId="0" fontId="5" fillId="4" borderId="11" xfId="0" applyFont="1" applyFill="1" applyBorder="1" applyAlignment="1">
      <alignment horizontal="center"/>
    </xf>
    <xf numFmtId="0" fontId="5" fillId="4" borderId="18" xfId="0" applyFont="1" applyFill="1" applyBorder="1" applyAlignment="1">
      <alignment horizontal="center"/>
    </xf>
    <xf numFmtId="0" fontId="4" fillId="4" borderId="10" xfId="0" applyFont="1" applyFill="1" applyBorder="1" applyAlignment="1">
      <alignment horizontal="center"/>
    </xf>
    <xf numFmtId="0" fontId="4" fillId="4" borderId="11" xfId="0" applyFont="1" applyFill="1" applyBorder="1" applyAlignment="1">
      <alignment horizontal="center"/>
    </xf>
    <xf numFmtId="0" fontId="4" fillId="4" borderId="18" xfId="0" applyFont="1" applyFill="1" applyBorder="1" applyAlignment="1">
      <alignment horizontal="center"/>
    </xf>
    <xf numFmtId="0" fontId="4" fillId="4" borderId="12" xfId="0" applyFont="1" applyFill="1" applyBorder="1" applyAlignment="1">
      <alignment horizontal="center"/>
    </xf>
    <xf numFmtId="0" fontId="29" fillId="0" borderId="0" xfId="0" applyFont="1" applyAlignment="1">
      <alignment horizontal="center" vertical="center"/>
    </xf>
    <xf numFmtId="0" fontId="29" fillId="0" borderId="0" xfId="0" applyFont="1" applyAlignment="1">
      <alignment horizontal="center" vertical="center" wrapText="1"/>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rgomezva_poligran_edu_co/Documents/2023-2/Reforzamiento%202023/05.Formato%20programas%20reforzamiento%20-%20Pregrado%20Ing%20Telecomunicaciones.xlsx" TargetMode="External"/><Relationship Id="rId2"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 Id="rId1" Type="http://schemas.openxmlformats.org/officeDocument/2006/relationships/externalLinkPath" Target="/personal/rgomezva_poligran_edu_co/Documents/2023-2/Reforzamiento%202023/05.Formato%20programas%20reforzamiento%20-%20Pregrado%20Ing%20Telecomunicacion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lla - Listado"/>
      <sheetName val="Malla - Gráfica"/>
      <sheetName val="Hoja1"/>
      <sheetName val="Malla con formulas"/>
      <sheetName val="Malla Definitiva "/>
    </sheetNames>
    <sheetDataSet>
      <sheetData sheetId="0"/>
      <sheetData sheetId="1"/>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8" totalsRowShown="0" headerRowDxfId="148" dataDxfId="147">
  <autoFilter ref="B1:B38"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tesisBAK" displayName="Sín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70" totalsRowShown="0" headerRowDxfId="100" dataDxfId="99">
  <autoFilter ref="AA3:AA70"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3" totalsRowShown="0" headerRowDxfId="97" dataDxfId="96">
  <autoFilter ref="AB3:AB63"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1"/>
  <sheetViews>
    <sheetView tabSelected="1" zoomScaleNormal="100" workbookViewId="0"/>
  </sheetViews>
  <sheetFormatPr defaultColWidth="76.28515625" defaultRowHeight="15"/>
  <cols>
    <col min="1" max="1" width="21.140625" style="2" customWidth="1"/>
    <col min="2" max="2" width="16.7109375" style="2" customWidth="1"/>
    <col min="3" max="3" width="51.85546875" style="2" customWidth="1"/>
    <col min="4" max="4" width="48.7109375" style="2" customWidth="1"/>
    <col min="5" max="5" width="44.42578125" style="2" customWidth="1"/>
    <col min="6" max="6" width="50.28515625" customWidth="1"/>
    <col min="7" max="7" width="51.28515625" customWidth="1"/>
    <col min="8" max="8" width="30.28515625" style="2" customWidth="1"/>
    <col min="9" max="9" width="35.28515625" style="2" customWidth="1"/>
    <col min="10" max="10" width="33.42578125" style="2" customWidth="1"/>
    <col min="11" max="11" width="50.42578125" style="2" customWidth="1"/>
    <col min="12" max="16384" width="76.28515625" style="2"/>
  </cols>
  <sheetData>
    <row r="1" spans="1:11" s="35" customFormat="1" ht="36">
      <c r="A1" s="38" t="s">
        <v>0</v>
      </c>
      <c r="B1" s="38" t="s">
        <v>1</v>
      </c>
      <c r="C1" s="38" t="s">
        <v>2</v>
      </c>
      <c r="D1" s="38" t="s">
        <v>3</v>
      </c>
      <c r="E1" s="138" t="s">
        <v>4</v>
      </c>
      <c r="F1" s="138"/>
      <c r="G1" s="138"/>
      <c r="H1" s="138" t="s">
        <v>5</v>
      </c>
      <c r="I1" s="138"/>
      <c r="J1" s="138"/>
      <c r="K1" s="38" t="s">
        <v>6</v>
      </c>
    </row>
    <row r="2" spans="1:11" s="29" customFormat="1" ht="15.95">
      <c r="A2" s="40" t="s">
        <v>7</v>
      </c>
      <c r="B2" s="40" t="s">
        <v>8</v>
      </c>
      <c r="C2" s="40" t="s">
        <v>9</v>
      </c>
      <c r="D2" s="46" t="s">
        <v>10</v>
      </c>
      <c r="E2" s="127" t="s">
        <v>11</v>
      </c>
      <c r="F2" s="127" t="s">
        <v>12</v>
      </c>
      <c r="G2" s="127" t="s">
        <v>13</v>
      </c>
      <c r="H2" s="48" t="s">
        <v>14</v>
      </c>
      <c r="I2" s="48" t="s">
        <v>15</v>
      </c>
      <c r="J2" s="48" t="s">
        <v>16</v>
      </c>
      <c r="K2" s="47" t="s">
        <v>17</v>
      </c>
    </row>
    <row r="3" spans="1:11" s="4" customFormat="1" ht="48">
      <c r="A3" s="136" t="s">
        <v>18</v>
      </c>
      <c r="B3" s="136" t="s">
        <v>19</v>
      </c>
      <c r="C3" s="136" t="s">
        <v>20</v>
      </c>
      <c r="D3" s="136" t="s">
        <v>21</v>
      </c>
      <c r="E3" s="128" t="s">
        <v>22</v>
      </c>
      <c r="F3" s="128" t="s">
        <v>23</v>
      </c>
      <c r="G3" s="128" t="s">
        <v>24</v>
      </c>
      <c r="H3" s="139" t="s">
        <v>25</v>
      </c>
      <c r="I3" s="139" t="s">
        <v>26</v>
      </c>
      <c r="J3" s="139" t="s">
        <v>27</v>
      </c>
      <c r="K3" s="136" t="s">
        <v>28</v>
      </c>
    </row>
    <row r="4" spans="1:11" s="4" customFormat="1" ht="42.75" customHeight="1">
      <c r="A4" s="137"/>
      <c r="B4" s="137"/>
      <c r="C4" s="137"/>
      <c r="D4" s="137"/>
      <c r="E4" s="4" t="s">
        <v>29</v>
      </c>
      <c r="F4" s="4" t="s">
        <v>30</v>
      </c>
      <c r="G4" s="4" t="s">
        <v>31</v>
      </c>
      <c r="H4" s="140"/>
      <c r="I4" s="140"/>
      <c r="J4" s="140"/>
      <c r="K4" s="137"/>
    </row>
    <row r="5" spans="1:11" s="4" customFormat="1" ht="63" customHeight="1" thickBot="1">
      <c r="A5" s="137"/>
      <c r="B5" s="137"/>
      <c r="C5" s="137"/>
      <c r="D5" s="137"/>
      <c r="E5" s="34" t="s">
        <v>32</v>
      </c>
      <c r="F5" s="34" t="s">
        <v>33</v>
      </c>
      <c r="G5" s="34" t="s">
        <v>34</v>
      </c>
      <c r="H5" s="140"/>
      <c r="I5" s="140"/>
      <c r="J5" s="140"/>
      <c r="K5" s="137"/>
    </row>
    <row r="6" spans="1:11" s="4" customFormat="1" ht="53.25" customHeight="1">
      <c r="A6" s="137"/>
      <c r="B6" s="137"/>
      <c r="C6" s="137"/>
      <c r="D6" s="137"/>
      <c r="E6" s="92" t="s">
        <v>35</v>
      </c>
      <c r="F6" s="92" t="s">
        <v>36</v>
      </c>
      <c r="G6" s="92" t="s">
        <v>37</v>
      </c>
      <c r="H6" s="140"/>
      <c r="I6" s="140"/>
      <c r="J6" s="140"/>
      <c r="K6" s="137"/>
    </row>
    <row r="7" spans="1:11" s="4" customFormat="1">
      <c r="C7" s="34"/>
      <c r="D7" s="126"/>
      <c r="E7" s="34"/>
      <c r="F7" s="34"/>
      <c r="G7" s="34"/>
      <c r="H7" s="5"/>
    </row>
    <row r="8" spans="1:11" ht="18">
      <c r="D8" s="28"/>
      <c r="E8" s="8"/>
      <c r="F8" s="8"/>
      <c r="H8" s="3"/>
    </row>
    <row r="9" spans="1:11" ht="18">
      <c r="D9" s="28"/>
      <c r="E9" s="8"/>
      <c r="F9" s="8"/>
      <c r="H9" s="3"/>
    </row>
    <row r="10" spans="1:11" ht="18">
      <c r="C10" s="30"/>
      <c r="D10" s="28"/>
      <c r="E10" s="30"/>
      <c r="F10" s="30"/>
      <c r="H10" s="3"/>
    </row>
    <row r="11" spans="1:11" ht="18">
      <c r="D11" s="28"/>
      <c r="E11" s="8"/>
      <c r="F11" s="8"/>
      <c r="H11" s="3"/>
    </row>
    <row r="12" spans="1:11" ht="18">
      <c r="C12" s="4"/>
      <c r="D12" s="28"/>
      <c r="E12" s="10"/>
      <c r="F12" s="2"/>
      <c r="H12" s="3"/>
    </row>
    <row r="13" spans="1:11" ht="18">
      <c r="D13" s="28"/>
      <c r="E13" s="8"/>
    </row>
    <row r="14" spans="1:11" ht="18">
      <c r="D14" s="28"/>
    </row>
    <row r="15" spans="1:11" ht="18">
      <c r="D15" s="28"/>
    </row>
    <row r="16" spans="1:11" ht="18">
      <c r="D16" s="28"/>
    </row>
    <row r="17" spans="4:4" ht="18">
      <c r="D17" s="28"/>
    </row>
    <row r="18" spans="4:4" ht="18">
      <c r="D18" s="28"/>
    </row>
    <row r="19" spans="4:4" ht="18">
      <c r="D19" s="28"/>
    </row>
    <row r="20" spans="4:4" ht="18">
      <c r="D20" s="28"/>
    </row>
    <row r="21" spans="4:4" ht="18">
      <c r="D21" s="28"/>
    </row>
  </sheetData>
  <mergeCells count="10">
    <mergeCell ref="K3:K6"/>
    <mergeCell ref="E1:G1"/>
    <mergeCell ref="H1:J1"/>
    <mergeCell ref="A3:A6"/>
    <mergeCell ref="B3:B6"/>
    <mergeCell ref="C3:C6"/>
    <mergeCell ref="D3:D6"/>
    <mergeCell ref="J3:J6"/>
    <mergeCell ref="H3:H6"/>
    <mergeCell ref="I3:I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5"/>
  <sheetViews>
    <sheetView zoomScaleNormal="100" workbookViewId="0">
      <selection sqref="A1:G1"/>
    </sheetView>
  </sheetViews>
  <sheetFormatPr defaultColWidth="11.42578125" defaultRowHeight="15"/>
  <cols>
    <col min="1" max="1" width="19" style="6" customWidth="1"/>
    <col min="2" max="2" width="23" style="6" customWidth="1"/>
    <col min="3" max="3" width="27" style="6" customWidth="1"/>
    <col min="4" max="4" width="29.28515625" style="6" customWidth="1"/>
    <col min="5" max="5" width="41.85546875" style="6" customWidth="1"/>
    <col min="6" max="6" width="78.42578125" style="6" customWidth="1"/>
    <col min="7" max="7" width="24" style="6" customWidth="1"/>
    <col min="8" max="16384" width="11.42578125" style="6"/>
  </cols>
  <sheetData>
    <row r="1" spans="1:7" s="2" customFormat="1">
      <c r="A1" s="141" t="s">
        <v>38</v>
      </c>
      <c r="B1" s="142"/>
      <c r="C1" s="142"/>
      <c r="D1" s="142"/>
      <c r="E1" s="142"/>
      <c r="F1" s="142"/>
      <c r="G1" s="142"/>
    </row>
    <row r="2" spans="1:7" s="39" customFormat="1" ht="72">
      <c r="A2" s="36" t="s">
        <v>39</v>
      </c>
      <c r="B2" s="37" t="s">
        <v>40</v>
      </c>
      <c r="C2" s="37" t="s">
        <v>41</v>
      </c>
      <c r="D2" s="37" t="s">
        <v>42</v>
      </c>
      <c r="E2" s="37" t="s">
        <v>43</v>
      </c>
      <c r="F2" s="38" t="s">
        <v>44</v>
      </c>
      <c r="G2" s="38" t="s">
        <v>45</v>
      </c>
    </row>
    <row r="3" spans="1:7" s="41" customFormat="1" ht="15.95">
      <c r="A3" s="58" t="s">
        <v>46</v>
      </c>
      <c r="B3" s="59" t="s">
        <v>47</v>
      </c>
      <c r="C3" s="59" t="s">
        <v>48</v>
      </c>
      <c r="D3" s="59" t="s">
        <v>49</v>
      </c>
      <c r="E3" s="59" t="s">
        <v>50</v>
      </c>
      <c r="F3" s="50" t="s">
        <v>51</v>
      </c>
      <c r="G3" s="50" t="s">
        <v>52</v>
      </c>
    </row>
    <row r="4" spans="1:7" ht="48">
      <c r="A4" s="6">
        <v>1</v>
      </c>
      <c r="B4" s="5" t="s">
        <v>53</v>
      </c>
      <c r="C4" s="5" t="s">
        <v>22</v>
      </c>
      <c r="D4" s="5" t="s">
        <v>23</v>
      </c>
      <c r="E4" s="5" t="s">
        <v>24</v>
      </c>
      <c r="F4" s="135" t="s">
        <v>54</v>
      </c>
      <c r="G4" s="6" t="s">
        <v>55</v>
      </c>
    </row>
    <row r="5" spans="1:7" ht="32.1">
      <c r="A5" s="6">
        <v>2</v>
      </c>
      <c r="B5" s="5" t="s">
        <v>56</v>
      </c>
      <c r="C5" s="5" t="s">
        <v>29</v>
      </c>
      <c r="D5" s="5" t="s">
        <v>30</v>
      </c>
      <c r="E5" s="5" t="s">
        <v>31</v>
      </c>
      <c r="F5" s="5" t="s">
        <v>57</v>
      </c>
      <c r="G5" s="6" t="s">
        <v>55</v>
      </c>
    </row>
    <row r="6" spans="1:7" ht="48.95" thickBot="1">
      <c r="A6" s="86">
        <v>3</v>
      </c>
      <c r="B6" s="85" t="s">
        <v>53</v>
      </c>
      <c r="C6" s="85" t="s">
        <v>32</v>
      </c>
      <c r="D6" s="85" t="s">
        <v>33</v>
      </c>
      <c r="E6" s="85" t="s">
        <v>34</v>
      </c>
      <c r="F6" s="85" t="s">
        <v>58</v>
      </c>
      <c r="G6" s="86" t="s">
        <v>55</v>
      </c>
    </row>
    <row r="7" spans="1:7" ht="63.95">
      <c r="A7" s="6">
        <v>4</v>
      </c>
      <c r="B7" s="34" t="s">
        <v>59</v>
      </c>
      <c r="C7" s="5" t="s">
        <v>35</v>
      </c>
      <c r="D7" s="34" t="s">
        <v>36</v>
      </c>
      <c r="E7" s="34" t="s">
        <v>60</v>
      </c>
      <c r="F7" s="34" t="s">
        <v>61</v>
      </c>
      <c r="G7" s="6" t="s">
        <v>62</v>
      </c>
    </row>
    <row r="8" spans="1:7">
      <c r="B8" s="5"/>
      <c r="C8" s="32"/>
      <c r="D8" s="33"/>
      <c r="E8" s="33"/>
      <c r="F8" s="5"/>
    </row>
    <row r="9" spans="1:7">
      <c r="C9" s="31"/>
      <c r="D9" s="31"/>
      <c r="E9" s="31"/>
    </row>
    <row r="13" spans="1:7">
      <c r="C13" s="31"/>
      <c r="D13" s="15"/>
      <c r="E13" s="15"/>
    </row>
    <row r="14" spans="1:7">
      <c r="C14" s="31"/>
      <c r="D14" s="15"/>
      <c r="E14" s="15"/>
    </row>
    <row r="15" spans="1:7">
      <c r="C15" s="31"/>
      <c r="D15" s="15"/>
      <c r="E15" s="15"/>
    </row>
  </sheetData>
  <mergeCells count="1">
    <mergeCell ref="A1:G1"/>
  </mergeCells>
  <dataValidations count="3">
    <dataValidation type="list" allowBlank="1" showInputMessage="1" showErrorMessage="1" sqref="B7:B11" xr:uid="{7FF6EE86-2F70-4AF5-821E-634C08680A10}">
      <formula1>Verboscompetencias</formula1>
    </dataValidation>
    <dataValidation type="list" allowBlank="1" showInputMessage="1" showErrorMessage="1" sqref="D4:D6" xr:uid="{49609FBC-8209-425D-B6D7-00E00066EE42}">
      <formula1>SaberHacer</formula1>
    </dataValidation>
    <dataValidation type="list" allowBlank="1" showInputMessage="1" showErrorMessage="1" sqref="E4:E6" xr:uid="{AED9CA84-6E4B-4DB0-A54F-99447AF2E447}">
      <formula1>SaberSer</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67CCD9FD-C355-4093-9DBF-5B728297BE25}">
          <x14:formula1>
            <xm:f>'Taxonomía para competencias'!$B$2:$B$58</xm:f>
          </x14:formula1>
          <xm:sqref>B12</xm:sqref>
        </x14:dataValidation>
        <x14:dataValidation type="list" allowBlank="1" showInputMessage="1" showErrorMessage="1" xr:uid="{5EADCC8E-A021-41D2-A781-82D42FE181E0}">
          <x14:formula1>
            <xm:f>'Paso1 Analisis perfil egreso'!$E$3:$E$7</xm:f>
          </x14:formula1>
          <xm:sqref>C7</xm:sqref>
        </x14:dataValidation>
        <x14:dataValidation type="list" allowBlank="1" showInputMessage="1" showErrorMessage="1" xr:uid="{27BB9EA1-A522-436A-B320-3844B1FF49FC}">
          <x14:formula1>
            <xm:f>'Taxonomía para competencias'!$B$2:$B$49</xm:f>
          </x14:formula1>
          <xm:sqref>B4:B6</xm:sqref>
        </x14:dataValidation>
        <x14:dataValidation type="list" allowBlank="1" showInputMessage="1" showErrorMessage="1" xr:uid="{33DE93D0-28B9-435A-9EE1-5F80FDE293A1}">
          <x14:formula1>
            <xm:f>'Paso1 Analisis perfil egreso'!$E$3:$E$5</xm:f>
          </x14:formula1>
          <xm:sqref>C4:C6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5"/>
  <sheetViews>
    <sheetView zoomScaleNormal="100" workbookViewId="0"/>
  </sheetViews>
  <sheetFormatPr defaultColWidth="11.42578125" defaultRowHeight="15"/>
  <cols>
    <col min="1" max="1" width="93.28515625" style="5" customWidth="1"/>
    <col min="2" max="2" width="23.140625" style="6" customWidth="1"/>
    <col min="3" max="3" width="25" style="5" customWidth="1"/>
    <col min="4" max="4" width="29.28515625" style="5" customWidth="1"/>
    <col min="5" max="5" width="26.42578125" style="5" customWidth="1"/>
    <col min="6" max="6" width="21.28515625" style="5" customWidth="1"/>
    <col min="7" max="7" width="21.28515625" style="7" customWidth="1"/>
    <col min="8" max="8" width="21.28515625" style="89" customWidth="1"/>
    <col min="9" max="9" width="80" style="9" customWidth="1"/>
    <col min="10" max="10" width="97.140625" style="5" customWidth="1"/>
    <col min="11" max="16384" width="11.42578125" style="5"/>
  </cols>
  <sheetData>
    <row r="1" spans="1:10" s="81" customFormat="1" ht="48">
      <c r="A1" s="79" t="s">
        <v>63</v>
      </c>
      <c r="B1" s="79" t="s">
        <v>64</v>
      </c>
      <c r="C1" s="37" t="s">
        <v>65</v>
      </c>
      <c r="D1" s="80" t="s">
        <v>66</v>
      </c>
      <c r="E1" s="80" t="s">
        <v>67</v>
      </c>
      <c r="F1" s="37" t="s">
        <v>68</v>
      </c>
      <c r="G1" s="37" t="s">
        <v>69</v>
      </c>
      <c r="H1" s="37" t="s">
        <v>70</v>
      </c>
      <c r="I1" s="79" t="s">
        <v>71</v>
      </c>
    </row>
    <row r="2" spans="1:10" s="84" customFormat="1" ht="15.95">
      <c r="A2" s="82" t="s">
        <v>72</v>
      </c>
      <c r="B2" s="82" t="s">
        <v>73</v>
      </c>
      <c r="C2" s="59" t="s">
        <v>74</v>
      </c>
      <c r="D2" s="83" t="s">
        <v>75</v>
      </c>
      <c r="E2" s="83" t="s">
        <v>76</v>
      </c>
      <c r="F2" s="59" t="s">
        <v>77</v>
      </c>
      <c r="G2" s="59" t="s">
        <v>78</v>
      </c>
      <c r="H2" s="59" t="s">
        <v>79</v>
      </c>
      <c r="I2" s="82" t="s">
        <v>80</v>
      </c>
    </row>
    <row r="3" spans="1:10" ht="48">
      <c r="A3" s="5" t="s">
        <v>54</v>
      </c>
      <c r="B3" s="6">
        <v>1</v>
      </c>
      <c r="C3" s="5" t="s">
        <v>11</v>
      </c>
      <c r="D3" s="5" t="s">
        <v>22</v>
      </c>
      <c r="E3" s="5" t="s">
        <v>81</v>
      </c>
      <c r="F3" s="9" t="s">
        <v>82</v>
      </c>
      <c r="G3" s="9" t="s">
        <v>83</v>
      </c>
      <c r="H3" s="5" t="s">
        <v>84</v>
      </c>
      <c r="I3" s="126" t="s">
        <v>85</v>
      </c>
      <c r="J3" s="27"/>
    </row>
    <row r="4" spans="1:10" ht="48">
      <c r="A4" s="5" t="s">
        <v>54</v>
      </c>
      <c r="B4" s="6">
        <v>3</v>
      </c>
      <c r="C4" s="5" t="s">
        <v>12</v>
      </c>
      <c r="D4" s="5" t="s">
        <v>23</v>
      </c>
      <c r="E4" s="5" t="s">
        <v>81</v>
      </c>
      <c r="F4" s="9" t="s">
        <v>86</v>
      </c>
      <c r="G4" s="9" t="s">
        <v>87</v>
      </c>
      <c r="H4" s="5" t="s">
        <v>88</v>
      </c>
      <c r="I4" s="126" t="s">
        <v>89</v>
      </c>
    </row>
    <row r="5" spans="1:10" ht="65.099999999999994" thickBot="1">
      <c r="A5" s="85" t="s">
        <v>54</v>
      </c>
      <c r="B5" s="86">
        <v>4</v>
      </c>
      <c r="C5" s="85" t="s">
        <v>13</v>
      </c>
      <c r="D5" s="85" t="s">
        <v>24</v>
      </c>
      <c r="E5" s="85" t="s">
        <v>81</v>
      </c>
      <c r="F5" s="87" t="s">
        <v>90</v>
      </c>
      <c r="G5" s="87" t="s">
        <v>91</v>
      </c>
      <c r="H5" s="85" t="s">
        <v>92</v>
      </c>
      <c r="I5" s="129" t="s">
        <v>93</v>
      </c>
    </row>
    <row r="6" spans="1:10" ht="32.1">
      <c r="A6" s="5" t="s">
        <v>57</v>
      </c>
      <c r="B6" s="6">
        <v>5</v>
      </c>
      <c r="C6" s="5" t="s">
        <v>11</v>
      </c>
      <c r="D6" s="5" t="s">
        <v>29</v>
      </c>
      <c r="E6" s="5" t="s">
        <v>81</v>
      </c>
      <c r="F6" s="9" t="s">
        <v>82</v>
      </c>
      <c r="G6" s="9" t="s">
        <v>94</v>
      </c>
      <c r="H6" s="5" t="s">
        <v>59</v>
      </c>
      <c r="I6" s="34" t="s">
        <v>95</v>
      </c>
    </row>
    <row r="7" spans="1:10" ht="32.1">
      <c r="A7" s="5" t="s">
        <v>57</v>
      </c>
      <c r="B7" s="6">
        <v>6</v>
      </c>
      <c r="C7" s="5" t="s">
        <v>12</v>
      </c>
      <c r="D7" s="5" t="s">
        <v>30</v>
      </c>
      <c r="E7" s="5" t="s">
        <v>81</v>
      </c>
      <c r="F7" s="9" t="s">
        <v>86</v>
      </c>
      <c r="G7" s="9" t="s">
        <v>96</v>
      </c>
      <c r="H7" s="5" t="s">
        <v>97</v>
      </c>
      <c r="I7" s="126" t="s">
        <v>98</v>
      </c>
    </row>
    <row r="8" spans="1:10" ht="48.95" thickBot="1">
      <c r="A8" s="85" t="s">
        <v>57</v>
      </c>
      <c r="B8" s="86">
        <v>4</v>
      </c>
      <c r="C8" s="85" t="s">
        <v>13</v>
      </c>
      <c r="D8" s="85" t="s">
        <v>31</v>
      </c>
      <c r="E8" s="85" t="s">
        <v>81</v>
      </c>
      <c r="F8" s="87" t="s">
        <v>90</v>
      </c>
      <c r="G8" s="87" t="s">
        <v>91</v>
      </c>
      <c r="H8" s="85" t="s">
        <v>92</v>
      </c>
      <c r="I8" s="129" t="s">
        <v>93</v>
      </c>
      <c r="J8" s="88"/>
    </row>
    <row r="9" spans="1:10" ht="32.1">
      <c r="A9" s="5" t="s">
        <v>58</v>
      </c>
      <c r="B9" s="6">
        <v>7</v>
      </c>
      <c r="C9" s="5" t="s">
        <v>11</v>
      </c>
      <c r="D9" s="5" t="s">
        <v>32</v>
      </c>
      <c r="E9" s="5" t="s">
        <v>81</v>
      </c>
      <c r="F9" s="9" t="s">
        <v>82</v>
      </c>
      <c r="G9" s="9" t="s">
        <v>83</v>
      </c>
      <c r="H9" s="5" t="s">
        <v>99</v>
      </c>
      <c r="I9" s="34" t="s">
        <v>100</v>
      </c>
    </row>
    <row r="10" spans="1:10" ht="32.1">
      <c r="A10" s="5" t="s">
        <v>58</v>
      </c>
      <c r="B10" s="6">
        <v>8</v>
      </c>
      <c r="C10" s="5" t="s">
        <v>12</v>
      </c>
      <c r="D10" s="5" t="s">
        <v>33</v>
      </c>
      <c r="E10" s="5" t="s">
        <v>81</v>
      </c>
      <c r="F10" s="9" t="s">
        <v>86</v>
      </c>
      <c r="G10" s="9" t="s">
        <v>96</v>
      </c>
      <c r="H10" s="5" t="s">
        <v>101</v>
      </c>
      <c r="I10" s="126" t="s">
        <v>102</v>
      </c>
    </row>
    <row r="11" spans="1:10" ht="48.95" thickBot="1">
      <c r="A11" s="85" t="s">
        <v>58</v>
      </c>
      <c r="B11" s="86">
        <v>4</v>
      </c>
      <c r="C11" s="85" t="s">
        <v>13</v>
      </c>
      <c r="D11" s="85" t="s">
        <v>34</v>
      </c>
      <c r="E11" s="85" t="s">
        <v>81</v>
      </c>
      <c r="F11" s="87" t="s">
        <v>90</v>
      </c>
      <c r="G11" s="87" t="s">
        <v>91</v>
      </c>
      <c r="H11" s="85" t="s">
        <v>92</v>
      </c>
      <c r="I11" s="129" t="s">
        <v>93</v>
      </c>
      <c r="J11" s="88"/>
    </row>
    <row r="12" spans="1:10" ht="48">
      <c r="A12" s="5" t="s">
        <v>61</v>
      </c>
      <c r="B12" s="6">
        <v>2</v>
      </c>
      <c r="C12" s="5" t="s">
        <v>11</v>
      </c>
      <c r="D12" s="5" t="s">
        <v>35</v>
      </c>
      <c r="E12" s="5" t="s">
        <v>103</v>
      </c>
      <c r="F12" s="9" t="s">
        <v>104</v>
      </c>
      <c r="G12" s="9" t="s">
        <v>105</v>
      </c>
      <c r="H12" s="5" t="s">
        <v>92</v>
      </c>
      <c r="I12" s="34" t="s">
        <v>106</v>
      </c>
      <c r="J12" s="88"/>
    </row>
    <row r="13" spans="1:10">
      <c r="A13" s="4"/>
      <c r="F13" s="9"/>
      <c r="G13" s="9"/>
      <c r="H13" s="5"/>
      <c r="I13" s="4"/>
      <c r="J13" s="88"/>
    </row>
    <row r="14" spans="1:10">
      <c r="A14" s="4"/>
      <c r="F14" s="9"/>
      <c r="G14" s="9"/>
      <c r="H14" s="5"/>
      <c r="I14" s="4"/>
    </row>
    <row r="15" spans="1:10">
      <c r="A15" s="4"/>
      <c r="F15" s="9"/>
      <c r="G15" s="9"/>
      <c r="H15" s="5"/>
      <c r="I15" s="4"/>
    </row>
    <row r="16" spans="1:10">
      <c r="A16" s="4"/>
      <c r="F16" s="9"/>
      <c r="G16" s="9"/>
      <c r="H16" s="5"/>
      <c r="I16" s="4"/>
    </row>
    <row r="17" spans="1:9">
      <c r="A17" s="4"/>
      <c r="F17" s="9"/>
      <c r="G17" s="9"/>
      <c r="H17" s="5"/>
      <c r="I17" s="4"/>
    </row>
    <row r="18" spans="1:9">
      <c r="A18" s="4"/>
      <c r="F18" s="9"/>
      <c r="G18" s="9"/>
      <c r="H18" s="5"/>
      <c r="I18" s="4"/>
    </row>
    <row r="19" spans="1:9">
      <c r="A19" s="4"/>
      <c r="H19" s="5"/>
      <c r="I19" s="4"/>
    </row>
    <row r="20" spans="1:9">
      <c r="A20" s="4"/>
      <c r="I20" s="4"/>
    </row>
    <row r="21" spans="1:9">
      <c r="A21" s="4"/>
      <c r="I21" s="4"/>
    </row>
    <row r="22" spans="1:9">
      <c r="A22" s="4"/>
    </row>
    <row r="23" spans="1:9">
      <c r="A23" s="4"/>
    </row>
    <row r="24" spans="1:9">
      <c r="A24" s="4"/>
    </row>
    <row r="25" spans="1:9">
      <c r="A25" s="4"/>
    </row>
  </sheetData>
  <autoFilter ref="A2:K12" xr:uid="{94AAF649-42F4-466A-BE11-44357078F961}"/>
  <dataValidations count="5">
    <dataValidation type="list" allowBlank="1" showInputMessage="1" showErrorMessage="1" sqref="H3:H12" xr:uid="{EF7E0087-1A07-4340-9A8A-E18F2705EAA5}">
      <formula1>INDIRECT($G3)</formula1>
    </dataValidation>
    <dataValidation type="list" allowBlank="1" showInputMessage="1" showErrorMessage="1" sqref="G3:G12" xr:uid="{C824F632-68FF-A845-8310-1160831D753F}">
      <formula1>INDIRECT($F3)</formula1>
    </dataValidation>
    <dataValidation type="list" allowBlank="1" showInputMessage="1" showErrorMessage="1" sqref="F3:F12" xr:uid="{A432778F-7D53-8543-B7B7-9CEB372333AB}">
      <formula1>INDIRECT($E3)</formula1>
    </dataValidation>
    <dataValidation type="list" allowBlank="1" showInputMessage="1" showErrorMessage="1" sqref="D3:D12" xr:uid="{7E1D182A-6AF9-A04C-9AFE-674494F658A5}">
      <formula1>INDIRECT($C3)</formula1>
    </dataValidation>
    <dataValidation type="list" allowBlank="1" showInputMessage="1" showErrorMessage="1" sqref="C3:C12"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E3:E12</xm:sqref>
        </x14:dataValidation>
        <x14:dataValidation type="list" allowBlank="1" showInputMessage="1" showErrorMessage="1" xr:uid="{98578F6C-C527-A048-93A4-A8514981207B}">
          <x14:formula1>
            <xm:f>'Paso 2 Redacción competen'!$F$4:$F$7</xm:f>
          </x14:formula1>
          <xm:sqref>A3:A12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41"/>
  <sheetViews>
    <sheetView zoomScale="90" zoomScaleNormal="90" workbookViewId="0"/>
  </sheetViews>
  <sheetFormatPr defaultColWidth="10.7109375" defaultRowHeight="15"/>
  <cols>
    <col min="1" max="1" width="57.42578125" style="13" customWidth="1"/>
    <col min="2" max="2" width="51.28515625" style="13" customWidth="1"/>
    <col min="3" max="3" width="54.7109375" style="26" customWidth="1"/>
    <col min="4" max="5" width="46.42578125" style="26" customWidth="1"/>
    <col min="6" max="6" width="38.28515625" style="26" customWidth="1"/>
    <col min="7" max="16384" width="10.7109375" style="13"/>
  </cols>
  <sheetData>
    <row r="1" spans="1:6" s="89" customFormat="1" ht="48">
      <c r="A1" s="79" t="s">
        <v>107</v>
      </c>
      <c r="B1" s="79" t="s">
        <v>108</v>
      </c>
      <c r="C1" s="79" t="s">
        <v>109</v>
      </c>
      <c r="D1" s="79" t="s">
        <v>110</v>
      </c>
      <c r="E1" s="79" t="s">
        <v>111</v>
      </c>
      <c r="F1" s="79" t="s">
        <v>112</v>
      </c>
    </row>
    <row r="2" spans="1:6" s="89" customFormat="1" ht="15.95">
      <c r="A2" s="82" t="s">
        <v>113</v>
      </c>
      <c r="B2" s="82" t="s">
        <v>114</v>
      </c>
      <c r="C2" s="82" t="s">
        <v>115</v>
      </c>
      <c r="D2" s="82" t="s">
        <v>116</v>
      </c>
      <c r="E2" s="82" t="s">
        <v>117</v>
      </c>
      <c r="F2" s="82" t="s">
        <v>118</v>
      </c>
    </row>
    <row r="3" spans="1:6" ht="80.099999999999994">
      <c r="A3" s="34" t="s">
        <v>93</v>
      </c>
      <c r="B3" s="149" t="s">
        <v>119</v>
      </c>
      <c r="C3" s="149" t="s">
        <v>120</v>
      </c>
      <c r="D3" s="131" t="s">
        <v>121</v>
      </c>
      <c r="E3" s="153" t="s">
        <v>122</v>
      </c>
      <c r="F3" s="34" t="s">
        <v>123</v>
      </c>
    </row>
    <row r="4" spans="1:6" ht="48">
      <c r="A4" s="34" t="s">
        <v>95</v>
      </c>
      <c r="B4" s="150"/>
      <c r="C4" s="150"/>
      <c r="D4" s="131" t="s">
        <v>124</v>
      </c>
      <c r="E4" s="147"/>
      <c r="F4" s="34" t="s">
        <v>125</v>
      </c>
    </row>
    <row r="5" spans="1:6" ht="48.95" thickBot="1">
      <c r="A5" s="90" t="s">
        <v>100</v>
      </c>
      <c r="B5" s="151"/>
      <c r="C5" s="151"/>
      <c r="D5" s="131" t="s">
        <v>126</v>
      </c>
      <c r="E5" s="148"/>
      <c r="F5" s="34" t="s">
        <v>127</v>
      </c>
    </row>
    <row r="6" spans="1:6" ht="63.95">
      <c r="A6" s="34" t="s">
        <v>85</v>
      </c>
      <c r="B6" s="146" t="s">
        <v>128</v>
      </c>
      <c r="C6" s="152" t="s">
        <v>129</v>
      </c>
      <c r="D6" s="132" t="s">
        <v>130</v>
      </c>
      <c r="E6" s="146" t="s">
        <v>131</v>
      </c>
      <c r="F6" s="92" t="s">
        <v>123</v>
      </c>
    </row>
    <row r="7" spans="1:6" ht="48">
      <c r="A7" s="34" t="s">
        <v>95</v>
      </c>
      <c r="B7" s="147"/>
      <c r="C7" s="150"/>
      <c r="D7" s="131" t="s">
        <v>132</v>
      </c>
      <c r="E7" s="147"/>
      <c r="F7" s="34" t="s">
        <v>125</v>
      </c>
    </row>
    <row r="8" spans="1:6" ht="48.95" thickBot="1">
      <c r="A8" s="90" t="s">
        <v>100</v>
      </c>
      <c r="B8" s="148"/>
      <c r="C8" s="151"/>
      <c r="D8" s="133" t="s">
        <v>126</v>
      </c>
      <c r="E8" s="148"/>
      <c r="F8" s="90" t="s">
        <v>127</v>
      </c>
    </row>
    <row r="9" spans="1:6" ht="63.95">
      <c r="A9" s="34" t="s">
        <v>85</v>
      </c>
      <c r="B9" s="147" t="s">
        <v>133</v>
      </c>
      <c r="C9" s="152" t="s">
        <v>134</v>
      </c>
      <c r="D9" s="131" t="s">
        <v>135</v>
      </c>
      <c r="E9" s="147" t="s">
        <v>136</v>
      </c>
      <c r="F9" s="78" t="s">
        <v>123</v>
      </c>
    </row>
    <row r="10" spans="1:6" ht="48">
      <c r="A10" s="34" t="s">
        <v>95</v>
      </c>
      <c r="B10" s="147"/>
      <c r="C10" s="150"/>
      <c r="D10" s="131" t="s">
        <v>124</v>
      </c>
      <c r="E10" s="147"/>
      <c r="F10" s="78" t="s">
        <v>125</v>
      </c>
    </row>
    <row r="11" spans="1:6" ht="48.95" thickBot="1">
      <c r="A11" s="90" t="s">
        <v>100</v>
      </c>
      <c r="B11" s="148"/>
      <c r="C11" s="151"/>
      <c r="D11" s="131" t="s">
        <v>126</v>
      </c>
      <c r="E11" s="154"/>
      <c r="F11" s="78" t="s">
        <v>127</v>
      </c>
    </row>
    <row r="12" spans="1:6" ht="80.099999999999994">
      <c r="A12" s="34" t="s">
        <v>93</v>
      </c>
      <c r="B12" s="146" t="s">
        <v>137</v>
      </c>
      <c r="C12" s="152" t="s">
        <v>138</v>
      </c>
      <c r="D12" s="132" t="s">
        <v>121</v>
      </c>
      <c r="E12" s="153" t="s">
        <v>139</v>
      </c>
      <c r="F12" s="92" t="s">
        <v>123</v>
      </c>
    </row>
    <row r="13" spans="1:6" ht="32.1">
      <c r="A13" s="34" t="s">
        <v>89</v>
      </c>
      <c r="B13" s="147"/>
      <c r="C13" s="150"/>
      <c r="D13" s="131" t="s">
        <v>140</v>
      </c>
      <c r="E13" s="147"/>
      <c r="F13" s="34" t="s">
        <v>125</v>
      </c>
    </row>
    <row r="14" spans="1:6" ht="48.95" thickBot="1">
      <c r="A14" s="90" t="s">
        <v>98</v>
      </c>
      <c r="B14" s="148"/>
      <c r="C14" s="151"/>
      <c r="D14" s="131" t="s">
        <v>126</v>
      </c>
      <c r="E14" s="148"/>
      <c r="F14" s="34" t="s">
        <v>127</v>
      </c>
    </row>
    <row r="15" spans="1:6" ht="48">
      <c r="A15" s="34" t="s">
        <v>102</v>
      </c>
      <c r="B15" s="146" t="s">
        <v>141</v>
      </c>
      <c r="C15" s="146" t="s">
        <v>142</v>
      </c>
      <c r="D15" s="132" t="s">
        <v>121</v>
      </c>
      <c r="E15" s="146" t="s">
        <v>143</v>
      </c>
      <c r="F15" s="92" t="s">
        <v>123</v>
      </c>
    </row>
    <row r="16" spans="1:6" ht="63.95">
      <c r="A16" s="34" t="s">
        <v>85</v>
      </c>
      <c r="B16" s="147"/>
      <c r="C16" s="147"/>
      <c r="D16" s="78" t="s">
        <v>144</v>
      </c>
      <c r="E16" s="147"/>
      <c r="F16" s="34" t="s">
        <v>125</v>
      </c>
    </row>
    <row r="17" spans="1:6" ht="48.95" thickBot="1">
      <c r="A17" s="90" t="s">
        <v>95</v>
      </c>
      <c r="B17" s="148"/>
      <c r="C17" s="148"/>
      <c r="D17" s="133" t="s">
        <v>126</v>
      </c>
      <c r="E17" s="148"/>
      <c r="F17" s="90" t="s">
        <v>127</v>
      </c>
    </row>
    <row r="18" spans="1:6" ht="32.1">
      <c r="A18" s="34" t="s">
        <v>89</v>
      </c>
      <c r="B18" s="143" t="s">
        <v>145</v>
      </c>
      <c r="C18" s="146" t="s">
        <v>146</v>
      </c>
      <c r="D18" s="132" t="s">
        <v>130</v>
      </c>
      <c r="E18" s="146" t="s">
        <v>147</v>
      </c>
      <c r="F18" s="34" t="s">
        <v>148</v>
      </c>
    </row>
    <row r="19" spans="1:6" ht="48">
      <c r="A19" s="34" t="s">
        <v>98</v>
      </c>
      <c r="B19" s="144"/>
      <c r="C19" s="147"/>
      <c r="D19" s="78" t="s">
        <v>132</v>
      </c>
      <c r="E19" s="147"/>
      <c r="F19" s="78" t="s">
        <v>125</v>
      </c>
    </row>
    <row r="20" spans="1:6" ht="48.95" thickBot="1">
      <c r="A20" s="90" t="s">
        <v>102</v>
      </c>
      <c r="B20" s="145"/>
      <c r="C20" s="148"/>
      <c r="D20" s="134" t="s">
        <v>126</v>
      </c>
      <c r="E20" s="148"/>
      <c r="F20" s="96" t="s">
        <v>127</v>
      </c>
    </row>
    <row r="21" spans="1:6">
      <c r="A21" s="155" t="s">
        <v>85</v>
      </c>
      <c r="B21" s="144" t="s">
        <v>149</v>
      </c>
      <c r="C21" s="147" t="s">
        <v>150</v>
      </c>
      <c r="D21" s="157" t="s">
        <v>130</v>
      </c>
      <c r="E21" s="146" t="s">
        <v>151</v>
      </c>
      <c r="F21" s="159" t="s">
        <v>148</v>
      </c>
    </row>
    <row r="22" spans="1:6">
      <c r="A22" s="156"/>
      <c r="B22" s="144"/>
      <c r="C22" s="147"/>
      <c r="D22" s="158"/>
      <c r="E22" s="147"/>
      <c r="F22" s="156"/>
    </row>
    <row r="23" spans="1:6" ht="48">
      <c r="A23" s="34" t="s">
        <v>95</v>
      </c>
      <c r="B23" s="144"/>
      <c r="C23" s="147"/>
      <c r="D23" s="78" t="s">
        <v>132</v>
      </c>
      <c r="E23" s="147"/>
      <c r="F23" s="34" t="s">
        <v>125</v>
      </c>
    </row>
    <row r="24" spans="1:6" ht="48.95" thickBot="1">
      <c r="A24" s="90" t="s">
        <v>100</v>
      </c>
      <c r="B24" s="145"/>
      <c r="C24" s="148"/>
      <c r="D24" s="134" t="s">
        <v>126</v>
      </c>
      <c r="E24" s="148"/>
      <c r="F24" s="96" t="s">
        <v>127</v>
      </c>
    </row>
    <row r="25" spans="1:6">
      <c r="A25" s="34"/>
    </row>
    <row r="26" spans="1:6">
      <c r="A26" s="34"/>
    </row>
    <row r="27" spans="1:6">
      <c r="A27" s="34"/>
    </row>
    <row r="28" spans="1:6">
      <c r="A28" s="34"/>
    </row>
    <row r="29" spans="1:6">
      <c r="A29" s="34"/>
    </row>
    <row r="30" spans="1:6">
      <c r="A30" s="34"/>
    </row>
    <row r="31" spans="1:6">
      <c r="A31" s="34"/>
    </row>
    <row r="32" spans="1:6">
      <c r="A32" s="34"/>
    </row>
    <row r="33" spans="1:1">
      <c r="A33" s="34"/>
    </row>
    <row r="34" spans="1:1">
      <c r="A34" s="34"/>
    </row>
    <row r="35" spans="1:1">
      <c r="A35" s="34"/>
    </row>
    <row r="36" spans="1:1">
      <c r="A36" s="34"/>
    </row>
    <row r="37" spans="1:1">
      <c r="A37" s="34"/>
    </row>
    <row r="38" spans="1:1">
      <c r="A38" s="34"/>
    </row>
    <row r="39" spans="1:1">
      <c r="A39" s="34"/>
    </row>
    <row r="40" spans="1:1">
      <c r="A40" s="34"/>
    </row>
    <row r="41" spans="1:1">
      <c r="A41" s="34"/>
    </row>
  </sheetData>
  <mergeCells count="24">
    <mergeCell ref="A21:A22"/>
    <mergeCell ref="B21:B24"/>
    <mergeCell ref="C21:C24"/>
    <mergeCell ref="D21:D22"/>
    <mergeCell ref="F21:F22"/>
    <mergeCell ref="E21:E24"/>
    <mergeCell ref="E18:E20"/>
    <mergeCell ref="E3:E5"/>
    <mergeCell ref="E6:E8"/>
    <mergeCell ref="E9:E11"/>
    <mergeCell ref="E12:E14"/>
    <mergeCell ref="E15:E17"/>
    <mergeCell ref="B18:B20"/>
    <mergeCell ref="C18:C20"/>
    <mergeCell ref="C3:C5"/>
    <mergeCell ref="B3:B5"/>
    <mergeCell ref="B15:B17"/>
    <mergeCell ref="C15:C17"/>
    <mergeCell ref="B6:B8"/>
    <mergeCell ref="C6:C8"/>
    <mergeCell ref="B9:B11"/>
    <mergeCell ref="B12:B14"/>
    <mergeCell ref="C12:C14"/>
    <mergeCell ref="C9:C11"/>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RA'!$I$4:$I$12</xm:f>
          </x14:formula1>
          <xm:sqref>A25:A41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defaultColWidth="11.42578125" defaultRowHeight="71.099999999999994" customHeight="1"/>
  <cols>
    <col min="1" max="1" width="93.28515625" style="5" customWidth="1"/>
    <col min="2" max="2" width="23.140625" style="6" customWidth="1"/>
    <col min="3" max="3" width="25" style="5" customWidth="1"/>
    <col min="4" max="4" width="36.85546875" style="5" customWidth="1"/>
    <col min="5" max="5" width="30.7109375" style="5" customWidth="1"/>
    <col min="6" max="6" width="21.85546875" style="5" customWidth="1"/>
    <col min="7" max="7" width="27.42578125" style="7" customWidth="1"/>
    <col min="8" max="8" width="22.42578125" style="1" customWidth="1"/>
    <col min="9" max="9" width="80" customWidth="1"/>
    <col min="10" max="10" width="97.140625" style="5" customWidth="1"/>
    <col min="11" max="16384" width="11.42578125" style="5"/>
  </cols>
  <sheetData>
    <row r="1" spans="1:11" ht="36">
      <c r="A1" s="44" t="s">
        <v>63</v>
      </c>
      <c r="B1" s="44" t="s">
        <v>64</v>
      </c>
      <c r="C1" s="51" t="s">
        <v>65</v>
      </c>
      <c r="D1" s="52" t="s">
        <v>66</v>
      </c>
      <c r="E1" s="52" t="s">
        <v>67</v>
      </c>
      <c r="F1" s="51" t="s">
        <v>68</v>
      </c>
      <c r="G1" s="51" t="s">
        <v>69</v>
      </c>
      <c r="H1" s="51" t="s">
        <v>70</v>
      </c>
      <c r="I1" s="44" t="s">
        <v>71</v>
      </c>
      <c r="J1" s="45"/>
    </row>
    <row r="2" spans="1:11" ht="15.95">
      <c r="A2" s="60" t="s">
        <v>72</v>
      </c>
      <c r="B2" s="57" t="s">
        <v>73</v>
      </c>
      <c r="C2" s="61" t="s">
        <v>74</v>
      </c>
      <c r="D2" s="53" t="s">
        <v>75</v>
      </c>
      <c r="E2" s="53" t="s">
        <v>76</v>
      </c>
      <c r="F2" s="61" t="s">
        <v>77</v>
      </c>
      <c r="G2" s="61" t="s">
        <v>78</v>
      </c>
      <c r="H2" s="61" t="s">
        <v>79</v>
      </c>
      <c r="I2" s="57" t="s">
        <v>80</v>
      </c>
      <c r="J2" s="62"/>
    </row>
    <row r="3" spans="1:11" ht="136.5" hidden="1" customHeight="1">
      <c r="A3" s="4" t="s">
        <v>152</v>
      </c>
      <c r="B3" s="6">
        <v>1</v>
      </c>
      <c r="C3" s="5" t="s">
        <v>11</v>
      </c>
      <c r="D3" s="5" t="s">
        <v>153</v>
      </c>
      <c r="E3" s="5" t="s">
        <v>81</v>
      </c>
      <c r="F3" s="9" t="s">
        <v>82</v>
      </c>
      <c r="G3" s="9" t="s">
        <v>154</v>
      </c>
      <c r="H3" s="5" t="s">
        <v>92</v>
      </c>
      <c r="I3" s="34" t="s">
        <v>155</v>
      </c>
      <c r="J3" s="27"/>
    </row>
    <row r="4" spans="1:11" ht="142.5" hidden="1" customHeight="1">
      <c r="A4" s="4" t="s">
        <v>152</v>
      </c>
      <c r="B4" s="6">
        <v>4</v>
      </c>
      <c r="C4" s="5" t="s">
        <v>12</v>
      </c>
      <c r="D4" s="5" t="s">
        <v>156</v>
      </c>
      <c r="E4" s="5" t="s">
        <v>81</v>
      </c>
      <c r="F4" s="9" t="s">
        <v>86</v>
      </c>
      <c r="G4" s="9" t="s">
        <v>157</v>
      </c>
      <c r="H4" s="5" t="s">
        <v>158</v>
      </c>
      <c r="I4" s="34" t="s">
        <v>159</v>
      </c>
    </row>
    <row r="5" spans="1:11" ht="126" hidden="1" customHeight="1">
      <c r="A5" s="4" t="s">
        <v>152</v>
      </c>
      <c r="B5" s="6">
        <v>7</v>
      </c>
      <c r="C5" s="5" t="s">
        <v>13</v>
      </c>
      <c r="D5" s="5" t="s">
        <v>160</v>
      </c>
      <c r="E5" s="5" t="s">
        <v>81</v>
      </c>
      <c r="F5" s="9" t="s">
        <v>90</v>
      </c>
      <c r="G5" s="9" t="s">
        <v>161</v>
      </c>
      <c r="H5" s="5" t="s">
        <v>162</v>
      </c>
      <c r="I5" s="34" t="s">
        <v>163</v>
      </c>
    </row>
    <row r="6" spans="1:11" ht="96">
      <c r="A6" s="4" t="s">
        <v>164</v>
      </c>
      <c r="B6" s="6">
        <v>1</v>
      </c>
      <c r="C6" s="5" t="s">
        <v>11</v>
      </c>
      <c r="D6" s="5" t="s">
        <v>165</v>
      </c>
      <c r="E6" s="5" t="s">
        <v>81</v>
      </c>
      <c r="F6" s="9" t="s">
        <v>82</v>
      </c>
      <c r="G6" s="9" t="s">
        <v>154</v>
      </c>
      <c r="H6" s="5" t="s">
        <v>92</v>
      </c>
      <c r="I6" s="34" t="s">
        <v>166</v>
      </c>
    </row>
    <row r="7" spans="1:11" ht="111.95">
      <c r="A7" s="4" t="s">
        <v>164</v>
      </c>
      <c r="B7" s="6">
        <v>5</v>
      </c>
      <c r="C7" s="5" t="s">
        <v>12</v>
      </c>
      <c r="D7" s="5" t="s">
        <v>167</v>
      </c>
      <c r="E7" s="5" t="s">
        <v>81</v>
      </c>
      <c r="F7" s="9" t="s">
        <v>86</v>
      </c>
      <c r="G7" s="9" t="s">
        <v>157</v>
      </c>
      <c r="H7" s="5" t="s">
        <v>158</v>
      </c>
      <c r="I7" s="34" t="s">
        <v>159</v>
      </c>
    </row>
    <row r="8" spans="1:11" ht="63.95">
      <c r="A8" s="4" t="s">
        <v>164</v>
      </c>
      <c r="B8" s="6">
        <v>7</v>
      </c>
      <c r="C8" s="5" t="s">
        <v>13</v>
      </c>
      <c r="D8" s="5" t="s">
        <v>160</v>
      </c>
      <c r="E8" s="5" t="s">
        <v>81</v>
      </c>
      <c r="F8" s="9" t="s">
        <v>90</v>
      </c>
      <c r="G8" s="9" t="s">
        <v>161</v>
      </c>
      <c r="H8" s="5" t="s">
        <v>162</v>
      </c>
      <c r="I8" s="34" t="s">
        <v>163</v>
      </c>
      <c r="J8" s="11"/>
    </row>
    <row r="9" spans="1:11" ht="96" hidden="1">
      <c r="A9" s="4" t="s">
        <v>168</v>
      </c>
      <c r="B9" s="6">
        <v>2</v>
      </c>
      <c r="C9" s="5" t="s">
        <v>11</v>
      </c>
      <c r="D9" s="5" t="s">
        <v>169</v>
      </c>
      <c r="E9" s="5" t="s">
        <v>81</v>
      </c>
      <c r="F9" s="9" t="s">
        <v>82</v>
      </c>
      <c r="G9" s="9" t="s">
        <v>154</v>
      </c>
      <c r="H9" s="5" t="s">
        <v>92</v>
      </c>
      <c r="I9" s="34" t="s">
        <v>166</v>
      </c>
      <c r="J9" s="11"/>
    </row>
    <row r="10" spans="1:11" ht="111.95" hidden="1">
      <c r="A10" s="4" t="s">
        <v>168</v>
      </c>
      <c r="B10" s="6">
        <v>6</v>
      </c>
      <c r="C10" s="5" t="s">
        <v>12</v>
      </c>
      <c r="D10" s="5" t="s">
        <v>170</v>
      </c>
      <c r="E10" s="5" t="s">
        <v>81</v>
      </c>
      <c r="F10" s="9" t="s">
        <v>86</v>
      </c>
      <c r="G10" s="9" t="s">
        <v>157</v>
      </c>
      <c r="H10" s="5" t="s">
        <v>158</v>
      </c>
      <c r="I10" s="34" t="s">
        <v>159</v>
      </c>
    </row>
    <row r="11" spans="1:11" ht="63.95" hidden="1">
      <c r="A11" s="55" t="s">
        <v>168</v>
      </c>
      <c r="B11" s="42">
        <v>7</v>
      </c>
      <c r="C11" s="43" t="s">
        <v>13</v>
      </c>
      <c r="D11" s="5" t="s">
        <v>171</v>
      </c>
      <c r="E11" s="43" t="s">
        <v>81</v>
      </c>
      <c r="F11" s="56" t="s">
        <v>90</v>
      </c>
      <c r="G11" s="56" t="s">
        <v>161</v>
      </c>
      <c r="H11" s="43" t="s">
        <v>162</v>
      </c>
      <c r="I11" s="34" t="s">
        <v>163</v>
      </c>
      <c r="J11" s="55"/>
      <c r="K11" s="49"/>
    </row>
    <row r="12" spans="1:11" ht="48" hidden="1">
      <c r="A12" s="4" t="s">
        <v>61</v>
      </c>
      <c r="B12" s="6">
        <v>3</v>
      </c>
      <c r="C12" s="5" t="s">
        <v>11</v>
      </c>
      <c r="D12" s="5" t="s">
        <v>35</v>
      </c>
      <c r="E12" s="5" t="s">
        <v>103</v>
      </c>
      <c r="F12" s="9" t="s">
        <v>104</v>
      </c>
      <c r="G12" s="9" t="s">
        <v>105</v>
      </c>
      <c r="H12" s="5" t="s">
        <v>92</v>
      </c>
      <c r="I12" s="54" t="s">
        <v>106</v>
      </c>
      <c r="J12" s="11"/>
    </row>
    <row r="13" spans="1:11" ht="15">
      <c r="A13" s="4"/>
      <c r="F13"/>
      <c r="G13"/>
      <c r="H13" s="5"/>
      <c r="I13" s="4"/>
      <c r="J13" s="11"/>
    </row>
    <row r="14" spans="1:11" ht="15">
      <c r="A14" s="4"/>
      <c r="F14"/>
      <c r="G14"/>
      <c r="H14" s="5"/>
      <c r="I14" s="4"/>
    </row>
    <row r="15" spans="1:11" ht="15">
      <c r="A15" s="4"/>
      <c r="F15"/>
      <c r="G15"/>
      <c r="H15" s="5"/>
      <c r="I15" s="4"/>
    </row>
    <row r="16" spans="1:11" ht="15">
      <c r="A16" s="4"/>
      <c r="F16"/>
      <c r="G16"/>
      <c r="H16" s="5"/>
      <c r="I16" s="4"/>
    </row>
    <row r="17" spans="1:9" ht="15">
      <c r="A17" s="4"/>
      <c r="F17"/>
      <c r="G17"/>
      <c r="H17" s="5"/>
      <c r="I17" s="4"/>
    </row>
    <row r="18" spans="1:9" ht="15">
      <c r="A18" s="4"/>
      <c r="F18"/>
      <c r="G18"/>
      <c r="H18" s="5"/>
      <c r="I18" s="4"/>
    </row>
    <row r="19" spans="1:9" ht="15">
      <c r="A19" s="4"/>
      <c r="H19" s="5"/>
      <c r="I19" s="4"/>
    </row>
    <row r="20" spans="1:9" ht="15">
      <c r="A20" s="4"/>
      <c r="I20" s="4"/>
    </row>
    <row r="21" spans="1:9" ht="15">
      <c r="A21" s="4"/>
      <c r="I21" s="4"/>
    </row>
    <row r="22" spans="1:9" ht="15">
      <c r="A22" s="4"/>
    </row>
    <row r="23" spans="1:9" ht="15">
      <c r="A23" s="4"/>
    </row>
    <row r="24" spans="1:9" ht="15">
      <c r="A24" s="4"/>
    </row>
    <row r="25" spans="1:9" ht="15">
      <c r="A25" s="4"/>
    </row>
    <row r="26" spans="1:9" ht="15"/>
    <row r="27" spans="1:9" ht="15"/>
    <row r="28" spans="1:9" ht="15"/>
    <row r="29" spans="1:9" ht="15"/>
    <row r="30" spans="1:9" ht="15"/>
    <row r="31" spans="1:9" ht="1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competen'!$F$4:$F$7</xm:f>
          </x14:formula1>
          <xm:sqref>A3:A12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139"/>
  <sheetViews>
    <sheetView zoomScale="75" zoomScaleNormal="40" workbookViewId="0">
      <pane ySplit="2" topLeftCell="A3" activePane="bottomLeft" state="frozen"/>
      <selection pane="bottomLeft"/>
      <selection activeCell="B1" sqref="B1"/>
    </sheetView>
  </sheetViews>
  <sheetFormatPr defaultColWidth="14.7109375" defaultRowHeight="15"/>
  <cols>
    <col min="1" max="1" width="14.7109375" style="1"/>
    <col min="2" max="2" width="120.140625" style="5" customWidth="1"/>
    <col min="3" max="3" width="18.42578125" style="7" customWidth="1"/>
    <col min="4" max="4" width="33.7109375" style="6" bestFit="1" customWidth="1"/>
    <col min="5" max="5" width="76.7109375" style="5" customWidth="1"/>
    <col min="6" max="6" width="17.140625" style="7" customWidth="1"/>
    <col min="7" max="9" width="15.42578125" style="7" customWidth="1"/>
    <col min="10" max="10" width="13.140625" style="7" customWidth="1"/>
    <col min="11" max="11" width="23.85546875" style="7" customWidth="1"/>
    <col min="12" max="12" width="23.42578125" style="7" customWidth="1"/>
    <col min="13" max="13" width="13.140625" style="7" customWidth="1"/>
    <col min="14" max="14" width="47" style="5" customWidth="1"/>
    <col min="15" max="15" width="44" style="5" customWidth="1"/>
    <col min="16" max="16" width="42.42578125" style="5" customWidth="1"/>
    <col min="17" max="17" width="48" style="5" customWidth="1"/>
    <col min="18" max="18" width="5.28515625" style="5" customWidth="1"/>
    <col min="19" max="19" width="3.7109375" style="5" customWidth="1"/>
    <col min="20" max="20" width="14.7109375" style="14" customWidth="1"/>
    <col min="21" max="16384" width="14.7109375" style="7"/>
  </cols>
  <sheetData>
    <row r="1" spans="1:20" s="89" customFormat="1" ht="48" customHeight="1">
      <c r="A1" s="79" t="s">
        <v>172</v>
      </c>
      <c r="B1" s="79" t="s">
        <v>173</v>
      </c>
      <c r="C1" s="79" t="s">
        <v>174</v>
      </c>
      <c r="D1" s="79" t="s">
        <v>175</v>
      </c>
      <c r="E1" s="79" t="s">
        <v>176</v>
      </c>
      <c r="F1" s="79" t="s">
        <v>177</v>
      </c>
      <c r="G1" s="166" t="s">
        <v>178</v>
      </c>
      <c r="H1" s="166"/>
      <c r="I1" s="166"/>
      <c r="J1" s="79" t="s">
        <v>179</v>
      </c>
      <c r="K1" s="79" t="s">
        <v>180</v>
      </c>
      <c r="L1" s="79" t="s">
        <v>181</v>
      </c>
      <c r="M1" s="79" t="s">
        <v>182</v>
      </c>
      <c r="N1" s="79" t="s">
        <v>183</v>
      </c>
      <c r="O1" s="79" t="s">
        <v>184</v>
      </c>
      <c r="P1" s="79" t="s">
        <v>185</v>
      </c>
      <c r="Q1" s="79" t="s">
        <v>186</v>
      </c>
      <c r="R1" s="104"/>
      <c r="S1" s="104"/>
    </row>
    <row r="2" spans="1:20" s="89" customFormat="1" ht="33" customHeight="1">
      <c r="A2" s="82" t="s">
        <v>187</v>
      </c>
      <c r="B2" s="82" t="s">
        <v>113</v>
      </c>
      <c r="C2" s="82" t="s">
        <v>188</v>
      </c>
      <c r="D2" s="82" t="s">
        <v>189</v>
      </c>
      <c r="E2" s="82" t="s">
        <v>190</v>
      </c>
      <c r="F2" s="82" t="s">
        <v>191</v>
      </c>
      <c r="G2" s="82" t="s">
        <v>192</v>
      </c>
      <c r="H2" s="82" t="s">
        <v>193</v>
      </c>
      <c r="I2" s="82" t="s">
        <v>194</v>
      </c>
      <c r="J2" s="82" t="s">
        <v>195</v>
      </c>
      <c r="K2" s="82" t="s">
        <v>196</v>
      </c>
      <c r="L2" s="82" t="s">
        <v>197</v>
      </c>
      <c r="M2" s="82" t="s">
        <v>198</v>
      </c>
      <c r="N2" s="82" t="s">
        <v>199</v>
      </c>
      <c r="O2" s="82" t="s">
        <v>200</v>
      </c>
      <c r="P2" s="82" t="s">
        <v>201</v>
      </c>
      <c r="Q2" s="82" t="s">
        <v>202</v>
      </c>
      <c r="R2" s="105"/>
      <c r="S2" s="105"/>
    </row>
    <row r="3" spans="1:20" s="89" customFormat="1" ht="336" customHeight="1">
      <c r="A3" s="97" t="str">
        <f>_xlfn.XLOOKUP(B3,'Paso 3 Redacción RA'!I$3:I$12,'Paso 3 Redacción RA'!C$3:C$12,,0,1)</f>
        <v>Saber</v>
      </c>
      <c r="B3" s="97" t="s">
        <v>106</v>
      </c>
      <c r="C3" s="98">
        <v>1</v>
      </c>
      <c r="D3" s="99" t="s">
        <v>203</v>
      </c>
      <c r="E3" s="100" t="s">
        <v>204</v>
      </c>
      <c r="F3" s="98" t="s">
        <v>205</v>
      </c>
      <c r="G3" s="98" t="s">
        <v>206</v>
      </c>
      <c r="H3" s="98"/>
      <c r="I3" s="98"/>
      <c r="J3" s="98">
        <v>3</v>
      </c>
      <c r="K3" s="98">
        <f>16*J3</f>
        <v>48</v>
      </c>
      <c r="L3" s="98">
        <f>32*J3</f>
        <v>96</v>
      </c>
      <c r="M3" s="98">
        <f>SUM(K3:L3)</f>
        <v>144</v>
      </c>
      <c r="N3" s="102" t="s">
        <v>207</v>
      </c>
      <c r="O3" s="97" t="s">
        <v>208</v>
      </c>
      <c r="P3" s="100" t="s">
        <v>209</v>
      </c>
      <c r="Q3" s="97" t="s">
        <v>210</v>
      </c>
      <c r="R3" s="5"/>
      <c r="S3" s="5"/>
      <c r="T3" s="7"/>
    </row>
    <row r="4" spans="1:20" s="93" customFormat="1" ht="351" customHeight="1">
      <c r="A4" s="100" t="str">
        <f>_xlfn.XLOOKUP(B4,'Paso 3 Redacción RA'!I$3:I$12,'Paso 3 Redacción RA'!C$3:C$12,,0,1)</f>
        <v>Saber</v>
      </c>
      <c r="B4" s="100" t="s">
        <v>106</v>
      </c>
      <c r="C4" s="99">
        <v>1</v>
      </c>
      <c r="D4" s="99" t="s">
        <v>211</v>
      </c>
      <c r="E4" s="100" t="s">
        <v>212</v>
      </c>
      <c r="F4" s="99" t="s">
        <v>205</v>
      </c>
      <c r="G4" s="98" t="s">
        <v>206</v>
      </c>
      <c r="H4" s="98"/>
      <c r="I4" s="98"/>
      <c r="J4" s="98">
        <v>3</v>
      </c>
      <c r="K4" s="98">
        <f>16*J4</f>
        <v>48</v>
      </c>
      <c r="L4" s="98">
        <f>32*J4</f>
        <v>96</v>
      </c>
      <c r="M4" s="98">
        <f>SUM(K4:L4)</f>
        <v>144</v>
      </c>
      <c r="N4" s="97" t="s">
        <v>213</v>
      </c>
      <c r="O4" s="97" t="s">
        <v>214</v>
      </c>
      <c r="P4" s="97" t="s">
        <v>215</v>
      </c>
      <c r="Q4" s="97" t="s">
        <v>210</v>
      </c>
      <c r="R4" s="5"/>
      <c r="S4" s="5"/>
      <c r="T4" s="107"/>
    </row>
    <row r="5" spans="1:20" s="93" customFormat="1" ht="33" customHeight="1">
      <c r="A5" s="93" t="str">
        <f>_xlfn.XLOOKUP(B5,'Paso 3 Redacción RA'!I$3:I$12,'Paso 3 Redacción RA'!C$3:C$12,,0,1)</f>
        <v>Saber</v>
      </c>
      <c r="B5" s="78" t="s">
        <v>85</v>
      </c>
      <c r="C5" s="143">
        <v>1</v>
      </c>
      <c r="D5" s="162" t="s">
        <v>216</v>
      </c>
      <c r="E5" s="164" t="s">
        <v>217</v>
      </c>
      <c r="F5" s="137" t="s">
        <v>205</v>
      </c>
      <c r="G5" s="137"/>
      <c r="H5" s="137" t="s">
        <v>206</v>
      </c>
      <c r="I5" s="137"/>
      <c r="J5" s="137">
        <v>3</v>
      </c>
      <c r="K5" s="137">
        <f>16*J5</f>
        <v>48</v>
      </c>
      <c r="L5" s="137">
        <f>32*J5</f>
        <v>96</v>
      </c>
      <c r="M5" s="137">
        <f>SUM(K5:L5)</f>
        <v>144</v>
      </c>
      <c r="N5" s="140" t="s">
        <v>218</v>
      </c>
      <c r="O5" s="140" t="s">
        <v>219</v>
      </c>
      <c r="P5" s="140" t="s">
        <v>220</v>
      </c>
      <c r="Q5" s="140" t="s">
        <v>210</v>
      </c>
      <c r="R5" s="5"/>
      <c r="S5" s="5"/>
      <c r="T5" s="107"/>
    </row>
    <row r="6" spans="1:20" s="93" customFormat="1" ht="32.1" customHeight="1">
      <c r="A6" s="93" t="str">
        <f>_xlfn.XLOOKUP(B6,'Paso 3 Redacción RA'!I$3:I$12,'Paso 3 Redacción RA'!C$3:C$12,,0,1)</f>
        <v>Saber</v>
      </c>
      <c r="B6" s="78" t="s">
        <v>95</v>
      </c>
      <c r="C6" s="144"/>
      <c r="D6" s="137"/>
      <c r="E6" s="158"/>
      <c r="F6" s="137"/>
      <c r="G6" s="137"/>
      <c r="H6" s="137"/>
      <c r="I6" s="137"/>
      <c r="J6" s="137"/>
      <c r="K6" s="137"/>
      <c r="L6" s="137"/>
      <c r="M6" s="137"/>
      <c r="N6" s="140"/>
      <c r="O6" s="140"/>
      <c r="P6" s="140"/>
      <c r="Q6" s="140"/>
      <c r="R6" s="5"/>
      <c r="S6" s="5"/>
      <c r="T6" s="107"/>
    </row>
    <row r="7" spans="1:20" s="93" customFormat="1" ht="33" customHeight="1">
      <c r="A7" s="91" t="str">
        <f>_xlfn.XLOOKUP(B7,'Paso 3 Redacción RA'!I$3:I$12,'Paso 3 Redacción RA'!C$3:C$12,,0,1)</f>
        <v>SaberHacer</v>
      </c>
      <c r="B7" s="91" t="s">
        <v>98</v>
      </c>
      <c r="C7" s="145"/>
      <c r="D7" s="163"/>
      <c r="E7" s="165"/>
      <c r="F7" s="163"/>
      <c r="G7" s="163"/>
      <c r="H7" s="163"/>
      <c r="I7" s="163"/>
      <c r="J7" s="163"/>
      <c r="K7" s="163"/>
      <c r="L7" s="163"/>
      <c r="M7" s="163"/>
      <c r="N7" s="161"/>
      <c r="O7" s="161"/>
      <c r="P7" s="161"/>
      <c r="Q7" s="161"/>
      <c r="R7" s="5"/>
      <c r="S7" s="5"/>
      <c r="T7" s="107"/>
    </row>
    <row r="8" spans="1:20" s="93" customFormat="1" ht="33" customHeight="1">
      <c r="A8" s="93" t="str">
        <f>_xlfn.XLOOKUP(B8,'Paso 3 Redacción RA'!I$3:I$12,'Paso 3 Redacción RA'!C$3:C$12,,0,1)</f>
        <v>Saber</v>
      </c>
      <c r="B8" s="95" t="s">
        <v>85</v>
      </c>
      <c r="C8" s="143">
        <v>1</v>
      </c>
      <c r="D8" s="162" t="s">
        <v>221</v>
      </c>
      <c r="E8" s="164" t="s">
        <v>222</v>
      </c>
      <c r="F8" s="162" t="s">
        <v>205</v>
      </c>
      <c r="G8" s="162"/>
      <c r="H8" s="162" t="s">
        <v>206</v>
      </c>
      <c r="I8" s="162"/>
      <c r="J8" s="162">
        <v>2</v>
      </c>
      <c r="K8" s="162">
        <f>16*J8</f>
        <v>32</v>
      </c>
      <c r="L8" s="162">
        <f>32*J8</f>
        <v>64</v>
      </c>
      <c r="M8" s="162">
        <f>SUM(K8:L8)</f>
        <v>96</v>
      </c>
      <c r="N8" s="160" t="s">
        <v>223</v>
      </c>
      <c r="O8" s="160" t="s">
        <v>224</v>
      </c>
      <c r="P8" s="160" t="s">
        <v>225</v>
      </c>
      <c r="Q8" s="160" t="s">
        <v>210</v>
      </c>
      <c r="R8" s="5"/>
      <c r="S8" s="5"/>
      <c r="T8" s="107"/>
    </row>
    <row r="9" spans="1:20" s="93" customFormat="1" ht="32.1" customHeight="1">
      <c r="A9" s="93" t="str">
        <f>_xlfn.XLOOKUP(B9,'Paso 3 Redacción RA'!I$3:I$12,'Paso 3 Redacción RA'!C$3:C$12,,0,1)</f>
        <v>SaberSer</v>
      </c>
      <c r="B9" s="78" t="s">
        <v>93</v>
      </c>
      <c r="C9" s="144"/>
      <c r="D9" s="137"/>
      <c r="E9" s="158"/>
      <c r="F9" s="137"/>
      <c r="G9" s="137"/>
      <c r="H9" s="137"/>
      <c r="I9" s="137"/>
      <c r="J9" s="137"/>
      <c r="K9" s="137"/>
      <c r="L9" s="137"/>
      <c r="M9" s="137"/>
      <c r="N9" s="140"/>
      <c r="O9" s="140"/>
      <c r="P9" s="140"/>
      <c r="Q9" s="140"/>
      <c r="R9" s="5"/>
      <c r="S9" s="5"/>
      <c r="T9" s="107"/>
    </row>
    <row r="10" spans="1:20" s="93" customFormat="1" ht="33" customHeight="1">
      <c r="A10" s="91" t="str">
        <f>_xlfn.XLOOKUP(B10,'Paso 3 Redacción RA'!I$3:I$12,'Paso 3 Redacción RA'!C$3:C$12,,0,1)</f>
        <v>Saber</v>
      </c>
      <c r="B10" s="91" t="s">
        <v>100</v>
      </c>
      <c r="C10" s="145"/>
      <c r="D10" s="163"/>
      <c r="E10" s="165"/>
      <c r="F10" s="163"/>
      <c r="G10" s="163"/>
      <c r="H10" s="163"/>
      <c r="I10" s="163"/>
      <c r="J10" s="163"/>
      <c r="K10" s="163"/>
      <c r="L10" s="163"/>
      <c r="M10" s="163"/>
      <c r="N10" s="161"/>
      <c r="O10" s="161"/>
      <c r="P10" s="161"/>
      <c r="Q10" s="161"/>
      <c r="R10" s="5"/>
      <c r="S10" s="5"/>
      <c r="T10" s="107"/>
    </row>
    <row r="11" spans="1:20" s="5" customFormat="1" ht="33" customHeight="1">
      <c r="A11" s="93" t="str">
        <f>_xlfn.XLOOKUP(B11,'Paso 3 Redacción RA'!I$3:I$12,'Paso 3 Redacción RA'!C$3:C$12,,0,1)</f>
        <v>Saber</v>
      </c>
      <c r="B11" s="95" t="s">
        <v>95</v>
      </c>
      <c r="C11" s="146">
        <v>1</v>
      </c>
      <c r="D11" s="146" t="s">
        <v>226</v>
      </c>
      <c r="E11" s="164" t="s">
        <v>227</v>
      </c>
      <c r="F11" s="162" t="s">
        <v>228</v>
      </c>
      <c r="G11" s="147"/>
      <c r="H11" s="147" t="s">
        <v>206</v>
      </c>
      <c r="I11" s="147"/>
      <c r="J11" s="147">
        <v>2</v>
      </c>
      <c r="K11" s="147">
        <f>16*J11</f>
        <v>32</v>
      </c>
      <c r="L11" s="147">
        <f>32*J11</f>
        <v>64</v>
      </c>
      <c r="M11" s="147">
        <f>SUM(K11:L11)</f>
        <v>96</v>
      </c>
      <c r="N11" s="158" t="s">
        <v>229</v>
      </c>
      <c r="O11" s="158" t="s">
        <v>230</v>
      </c>
      <c r="P11" s="164" t="s">
        <v>231</v>
      </c>
      <c r="Q11" s="158" t="s">
        <v>210</v>
      </c>
      <c r="R11" s="78"/>
      <c r="S11" s="78"/>
      <c r="T11" s="3"/>
    </row>
    <row r="12" spans="1:20" s="5" customFormat="1" ht="32.1" customHeight="1">
      <c r="A12" s="93" t="str">
        <f>_xlfn.XLOOKUP(B12,'Paso 3 Redacción RA'!I$3:I$12,'Paso 3 Redacción RA'!C$3:C$12,,0,1)</f>
        <v>Saber</v>
      </c>
      <c r="B12" s="78" t="s">
        <v>100</v>
      </c>
      <c r="C12" s="147"/>
      <c r="D12" s="147"/>
      <c r="E12" s="158"/>
      <c r="F12" s="137"/>
      <c r="G12" s="147"/>
      <c r="H12" s="147"/>
      <c r="I12" s="147"/>
      <c r="J12" s="147"/>
      <c r="K12" s="147"/>
      <c r="L12" s="147"/>
      <c r="M12" s="147"/>
      <c r="N12" s="158"/>
      <c r="O12" s="158"/>
      <c r="P12" s="158"/>
      <c r="Q12" s="158"/>
      <c r="R12" s="78"/>
      <c r="S12" s="78"/>
      <c r="T12" s="3"/>
    </row>
    <row r="13" spans="1:20" s="5" customFormat="1" ht="33" customHeight="1">
      <c r="A13" s="91" t="str">
        <f>_xlfn.XLOOKUP(B13,'Paso 3 Redacción RA'!I$3:I$12,'Paso 3 Redacción RA'!C$3:C$12,,0,1)</f>
        <v>SaberHacer</v>
      </c>
      <c r="B13" s="91" t="s">
        <v>102</v>
      </c>
      <c r="C13" s="148"/>
      <c r="D13" s="148"/>
      <c r="E13" s="158"/>
      <c r="F13" s="163"/>
      <c r="G13" s="147"/>
      <c r="H13" s="147"/>
      <c r="I13" s="147"/>
      <c r="J13" s="147"/>
      <c r="K13" s="147"/>
      <c r="L13" s="147"/>
      <c r="M13" s="147"/>
      <c r="N13" s="158"/>
      <c r="O13" s="158"/>
      <c r="P13" s="165"/>
      <c r="Q13" s="158"/>
      <c r="R13" s="78"/>
      <c r="S13" s="78"/>
      <c r="T13" s="3"/>
    </row>
    <row r="14" spans="1:20" s="5" customFormat="1" ht="38.450000000000003" customHeight="1">
      <c r="A14" s="93" t="str">
        <f>_xlfn.XLOOKUP(B14,'Paso 3 Redacción RA'!I$3:I$12,'Paso 3 Redacción RA'!C$3:C$12,,0,1)</f>
        <v>Saber</v>
      </c>
      <c r="B14" s="95" t="s">
        <v>85</v>
      </c>
      <c r="C14" s="146">
        <v>1</v>
      </c>
      <c r="D14" s="146" t="s">
        <v>232</v>
      </c>
      <c r="E14" s="164" t="s">
        <v>233</v>
      </c>
      <c r="F14" s="146" t="s">
        <v>228</v>
      </c>
      <c r="G14" s="146"/>
      <c r="H14" s="146" t="s">
        <v>206</v>
      </c>
      <c r="I14" s="146"/>
      <c r="J14" s="146">
        <v>4</v>
      </c>
      <c r="K14" s="146">
        <f>16*J14</f>
        <v>64</v>
      </c>
      <c r="L14" s="146">
        <f>32*J14</f>
        <v>128</v>
      </c>
      <c r="M14" s="146">
        <f>SUM(K14:L14)</f>
        <v>192</v>
      </c>
      <c r="N14" s="164" t="s">
        <v>234</v>
      </c>
      <c r="O14" s="164" t="s">
        <v>235</v>
      </c>
      <c r="P14" s="164" t="s">
        <v>236</v>
      </c>
      <c r="Q14" s="164" t="s">
        <v>210</v>
      </c>
      <c r="R14" s="78"/>
      <c r="S14" s="78"/>
      <c r="T14" s="3"/>
    </row>
    <row r="15" spans="1:20" s="5" customFormat="1" ht="38.1" customHeight="1">
      <c r="A15" s="93" t="str">
        <f>_xlfn.XLOOKUP(B15,'Paso 3 Redacción RA'!I$3:I$12,'Paso 3 Redacción RA'!C$3:C$12,,0,1)</f>
        <v>SaberHacer</v>
      </c>
      <c r="B15" s="78" t="s">
        <v>89</v>
      </c>
      <c r="C15" s="147"/>
      <c r="D15" s="147"/>
      <c r="E15" s="158"/>
      <c r="F15" s="147"/>
      <c r="G15" s="147"/>
      <c r="H15" s="147"/>
      <c r="I15" s="147"/>
      <c r="J15" s="147"/>
      <c r="K15" s="147"/>
      <c r="L15" s="147"/>
      <c r="M15" s="147"/>
      <c r="N15" s="158"/>
      <c r="O15" s="158"/>
      <c r="P15" s="158"/>
      <c r="Q15" s="158"/>
      <c r="R15" s="78"/>
      <c r="S15" s="78"/>
      <c r="T15" s="3"/>
    </row>
    <row r="16" spans="1:20" s="5" customFormat="1" ht="57" customHeight="1">
      <c r="A16" s="93" t="str">
        <f>_xlfn.XLOOKUP(B16,'Paso 3 Redacción RA'!I$3:I$12,'Paso 3 Redacción RA'!C$3:C$12,,0,1)</f>
        <v>SaberSer</v>
      </c>
      <c r="B16" s="91" t="s">
        <v>93</v>
      </c>
      <c r="C16" s="148"/>
      <c r="D16" s="148"/>
      <c r="E16" s="158"/>
      <c r="F16" s="147"/>
      <c r="G16" s="147"/>
      <c r="H16" s="147"/>
      <c r="I16" s="147"/>
      <c r="J16" s="147"/>
      <c r="K16" s="147"/>
      <c r="L16" s="147"/>
      <c r="M16" s="147"/>
      <c r="N16" s="158"/>
      <c r="O16" s="158"/>
      <c r="P16" s="158"/>
      <c r="Q16" s="158"/>
      <c r="R16" s="78">
        <f>SUM(J3:J16)</f>
        <v>17</v>
      </c>
      <c r="S16" s="78">
        <f>COUNTA(D3:D16)</f>
        <v>6</v>
      </c>
      <c r="T16" s="3"/>
    </row>
    <row r="17" spans="1:20" s="93" customFormat="1" ht="336" customHeight="1">
      <c r="A17" s="100" t="str">
        <f>_xlfn.XLOOKUP(B17,'Paso 3 Redacción RA'!I$3:I$12,'Paso 3 Redacción RA'!C$3:C$12,,0,1)</f>
        <v>Saber</v>
      </c>
      <c r="B17" s="100" t="s">
        <v>106</v>
      </c>
      <c r="C17" s="99">
        <v>2</v>
      </c>
      <c r="D17" s="99" t="s">
        <v>237</v>
      </c>
      <c r="E17" s="100" t="s">
        <v>238</v>
      </c>
      <c r="F17" s="98" t="s">
        <v>205</v>
      </c>
      <c r="G17" s="99" t="s">
        <v>206</v>
      </c>
      <c r="H17" s="99"/>
      <c r="I17" s="99"/>
      <c r="J17" s="98">
        <v>3</v>
      </c>
      <c r="K17" s="98">
        <f>16*J17</f>
        <v>48</v>
      </c>
      <c r="L17" s="98">
        <f>32*J17</f>
        <v>96</v>
      </c>
      <c r="M17" s="98">
        <f>SUM(K17:L17)</f>
        <v>144</v>
      </c>
      <c r="N17" s="100" t="s">
        <v>239</v>
      </c>
      <c r="O17" s="100" t="s">
        <v>240</v>
      </c>
      <c r="P17" s="100" t="s">
        <v>241</v>
      </c>
      <c r="Q17" s="97" t="s">
        <v>210</v>
      </c>
      <c r="R17" s="5"/>
      <c r="S17" s="5"/>
      <c r="T17" s="107"/>
    </row>
    <row r="18" spans="1:20" ht="33" customHeight="1">
      <c r="A18" s="93" t="str">
        <f>_xlfn.XLOOKUP(B18,'Paso 3 Redacción RA'!I$3:I$12,'Paso 3 Redacción RA'!C$3:C$12,,0,1)</f>
        <v>Saber</v>
      </c>
      <c r="B18" s="95" t="s">
        <v>100</v>
      </c>
      <c r="C18" s="162">
        <v>2</v>
      </c>
      <c r="D18" s="162" t="s">
        <v>242</v>
      </c>
      <c r="E18" s="164" t="s">
        <v>243</v>
      </c>
      <c r="F18" s="162" t="s">
        <v>205</v>
      </c>
      <c r="G18" s="162"/>
      <c r="H18" s="162" t="s">
        <v>206</v>
      </c>
      <c r="I18" s="162"/>
      <c r="J18" s="162">
        <v>4</v>
      </c>
      <c r="K18" s="162">
        <f>16*J18</f>
        <v>64</v>
      </c>
      <c r="L18" s="162">
        <f>32*J18</f>
        <v>128</v>
      </c>
      <c r="M18" s="162">
        <f>SUM(K18:L18)</f>
        <v>192</v>
      </c>
      <c r="N18" s="160" t="s">
        <v>244</v>
      </c>
      <c r="O18" s="160" t="s">
        <v>245</v>
      </c>
      <c r="P18" s="160" t="s">
        <v>246</v>
      </c>
      <c r="Q18" s="160" t="s">
        <v>210</v>
      </c>
      <c r="T18" s="107"/>
    </row>
    <row r="19" spans="1:20" ht="32.1" customHeight="1">
      <c r="A19" s="93" t="str">
        <f>_xlfn.XLOOKUP(B19,'Paso 3 Redacción RA'!I$3:I$12,'Paso 3 Redacción RA'!C$3:C$12,,0,1)</f>
        <v>SaberSer</v>
      </c>
      <c r="B19" s="78" t="s">
        <v>93</v>
      </c>
      <c r="C19" s="137"/>
      <c r="D19" s="137"/>
      <c r="E19" s="158"/>
      <c r="F19" s="137"/>
      <c r="G19" s="137"/>
      <c r="H19" s="137"/>
      <c r="I19" s="137"/>
      <c r="J19" s="137"/>
      <c r="K19" s="137"/>
      <c r="L19" s="137"/>
      <c r="M19" s="137"/>
      <c r="N19" s="140"/>
      <c r="O19" s="140"/>
      <c r="P19" s="140"/>
      <c r="Q19" s="140"/>
      <c r="T19" s="107"/>
    </row>
    <row r="20" spans="1:20" ht="33" customHeight="1">
      <c r="A20" s="91" t="str">
        <f>_xlfn.XLOOKUP(B20,'Paso 3 Redacción RA'!I$3:I$12,'Paso 3 Redacción RA'!C$3:C$12,,0,1)</f>
        <v>Saber</v>
      </c>
      <c r="B20" s="91" t="s">
        <v>95</v>
      </c>
      <c r="C20" s="163"/>
      <c r="D20" s="163"/>
      <c r="E20" s="165"/>
      <c r="F20" s="163"/>
      <c r="G20" s="163"/>
      <c r="H20" s="163"/>
      <c r="I20" s="163"/>
      <c r="J20" s="163"/>
      <c r="K20" s="163"/>
      <c r="L20" s="163"/>
      <c r="M20" s="163"/>
      <c r="N20" s="161"/>
      <c r="O20" s="161"/>
      <c r="P20" s="161"/>
      <c r="Q20" s="161"/>
      <c r="T20" s="107"/>
    </row>
    <row r="21" spans="1:20" s="93" customFormat="1" ht="33" customHeight="1">
      <c r="A21" s="93" t="str">
        <f>_xlfn.XLOOKUP(B21,'Paso 3 Redacción RA'!I$3:I$12,'Paso 3 Redacción RA'!C$3:C$12,,0,1)</f>
        <v>Saber</v>
      </c>
      <c r="B21" s="95" t="s">
        <v>85</v>
      </c>
      <c r="C21" s="162">
        <v>2</v>
      </c>
      <c r="D21" s="162" t="s">
        <v>247</v>
      </c>
      <c r="E21" s="164" t="s">
        <v>248</v>
      </c>
      <c r="F21" s="162" t="s">
        <v>205</v>
      </c>
      <c r="G21" s="162"/>
      <c r="H21" s="162" t="s">
        <v>206</v>
      </c>
      <c r="I21" s="162"/>
      <c r="J21" s="162">
        <v>3</v>
      </c>
      <c r="K21" s="162">
        <f>16*J21</f>
        <v>48</v>
      </c>
      <c r="L21" s="162">
        <f>32*J21</f>
        <v>96</v>
      </c>
      <c r="M21" s="162">
        <f>SUM(K21:L21)</f>
        <v>144</v>
      </c>
      <c r="N21" s="160" t="s">
        <v>249</v>
      </c>
      <c r="O21" s="160" t="s">
        <v>235</v>
      </c>
      <c r="P21" s="160" t="s">
        <v>246</v>
      </c>
      <c r="Q21" s="160" t="s">
        <v>210</v>
      </c>
      <c r="R21" s="5"/>
      <c r="S21" s="5"/>
      <c r="T21" s="107"/>
    </row>
    <row r="22" spans="1:20" s="93" customFormat="1" ht="15.95" customHeight="1">
      <c r="A22" s="93" t="str">
        <f>_xlfn.XLOOKUP(B22,'Paso 3 Redacción RA'!I$3:I$12,'Paso 3 Redacción RA'!C$3:C$12,,0,1)</f>
        <v>SaberHacer</v>
      </c>
      <c r="B22" s="78" t="s">
        <v>89</v>
      </c>
      <c r="C22" s="137"/>
      <c r="D22" s="137"/>
      <c r="E22" s="158"/>
      <c r="F22" s="137"/>
      <c r="G22" s="137"/>
      <c r="H22" s="137"/>
      <c r="I22" s="137"/>
      <c r="J22" s="137"/>
      <c r="K22" s="137"/>
      <c r="L22" s="137"/>
      <c r="M22" s="137"/>
      <c r="N22" s="140"/>
      <c r="O22" s="140"/>
      <c r="P22" s="140"/>
      <c r="Q22" s="140"/>
      <c r="R22" s="5"/>
      <c r="S22" s="5"/>
      <c r="T22" s="107"/>
    </row>
    <row r="23" spans="1:20" s="93" customFormat="1" ht="32.1" customHeight="1">
      <c r="A23" s="93" t="str">
        <f>_xlfn.XLOOKUP(B23,'Paso 3 Redacción RA'!I$3:I$12,'Paso 3 Redacción RA'!C$3:C$12,,0,1)</f>
        <v>Saber</v>
      </c>
      <c r="B23" s="78" t="s">
        <v>100</v>
      </c>
      <c r="C23" s="137"/>
      <c r="D23" s="137"/>
      <c r="E23" s="158"/>
      <c r="F23" s="137"/>
      <c r="G23" s="137"/>
      <c r="H23" s="137"/>
      <c r="I23" s="137"/>
      <c r="J23" s="137"/>
      <c r="K23" s="137"/>
      <c r="L23" s="137"/>
      <c r="M23" s="137"/>
      <c r="N23" s="140"/>
      <c r="O23" s="140"/>
      <c r="P23" s="140"/>
      <c r="Q23" s="140"/>
      <c r="R23" s="5"/>
      <c r="S23" s="5"/>
      <c r="T23" s="107"/>
    </row>
    <row r="24" spans="1:20" s="93" customFormat="1" ht="33" customHeight="1">
      <c r="A24" s="91" t="str">
        <f>_xlfn.XLOOKUP(B24,'Paso 3 Redacción RA'!I$3:I$12,'Paso 3 Redacción RA'!C$3:C$12,,0,1)</f>
        <v>SaberHacer</v>
      </c>
      <c r="B24" s="91" t="s">
        <v>102</v>
      </c>
      <c r="C24" s="163"/>
      <c r="D24" s="163"/>
      <c r="E24" s="165"/>
      <c r="F24" s="163"/>
      <c r="G24" s="163"/>
      <c r="H24" s="163"/>
      <c r="I24" s="163"/>
      <c r="J24" s="163"/>
      <c r="K24" s="163"/>
      <c r="L24" s="163"/>
      <c r="M24" s="163"/>
      <c r="N24" s="161"/>
      <c r="O24" s="161"/>
      <c r="P24" s="161"/>
      <c r="Q24" s="161"/>
      <c r="R24" s="5"/>
      <c r="S24" s="5"/>
      <c r="T24" s="107"/>
    </row>
    <row r="25" spans="1:20" s="93" customFormat="1" ht="49.5" customHeight="1">
      <c r="A25" s="93" t="str">
        <f>_xlfn.XLOOKUP(B25,'Paso 3 Redacción RA'!I$3:I$12,'Paso 3 Redacción RA'!C$3:C$12,,0,1)</f>
        <v>SaberSer</v>
      </c>
      <c r="B25" s="5" t="s">
        <v>93</v>
      </c>
      <c r="C25" s="162">
        <v>2</v>
      </c>
      <c r="D25" s="162" t="s">
        <v>250</v>
      </c>
      <c r="E25" s="164" t="s">
        <v>251</v>
      </c>
      <c r="F25" s="162" t="s">
        <v>205</v>
      </c>
      <c r="G25" s="162"/>
      <c r="H25" s="162" t="s">
        <v>206</v>
      </c>
      <c r="I25" s="162"/>
      <c r="J25" s="162">
        <v>3</v>
      </c>
      <c r="K25" s="162">
        <f>16*J25</f>
        <v>48</v>
      </c>
      <c r="L25" s="162">
        <f>32*J25</f>
        <v>96</v>
      </c>
      <c r="M25" s="162">
        <f>SUM(K25:L25)</f>
        <v>144</v>
      </c>
      <c r="N25" s="160" t="s">
        <v>252</v>
      </c>
      <c r="O25" s="160" t="s">
        <v>253</v>
      </c>
      <c r="P25" s="160" t="s">
        <v>246</v>
      </c>
      <c r="Q25" s="160" t="s">
        <v>210</v>
      </c>
      <c r="R25" s="5"/>
      <c r="S25" s="5"/>
      <c r="T25" s="107"/>
    </row>
    <row r="26" spans="1:20" s="93" customFormat="1" ht="32.1" customHeight="1">
      <c r="A26" s="93" t="str">
        <f>_xlfn.XLOOKUP(B26,'Paso 3 Redacción RA'!I$3:I$12,'Paso 3 Redacción RA'!C$3:C$12,,0,1)</f>
        <v>Saber</v>
      </c>
      <c r="B26" s="78" t="s">
        <v>95</v>
      </c>
      <c r="C26" s="137"/>
      <c r="D26" s="137"/>
      <c r="E26" s="158"/>
      <c r="F26" s="137"/>
      <c r="G26" s="137"/>
      <c r="H26" s="137"/>
      <c r="I26" s="137"/>
      <c r="J26" s="137"/>
      <c r="K26" s="137"/>
      <c r="L26" s="137"/>
      <c r="M26" s="137"/>
      <c r="N26" s="140"/>
      <c r="O26" s="140"/>
      <c r="P26" s="140"/>
      <c r="Q26" s="140"/>
      <c r="R26" s="5"/>
      <c r="S26" s="5"/>
      <c r="T26" s="107"/>
    </row>
    <row r="27" spans="1:20" s="93" customFormat="1" ht="33" customHeight="1">
      <c r="A27" s="91" t="str">
        <f>_xlfn.XLOOKUP(B27,'Paso 3 Redacción RA'!I$3:I$12,'Paso 3 Redacción RA'!C$3:C$12,,0,1)</f>
        <v>Saber</v>
      </c>
      <c r="B27" s="91" t="s">
        <v>100</v>
      </c>
      <c r="C27" s="163"/>
      <c r="D27" s="163"/>
      <c r="E27" s="158"/>
      <c r="F27" s="137"/>
      <c r="G27" s="137"/>
      <c r="H27" s="137"/>
      <c r="I27" s="137"/>
      <c r="J27" s="137"/>
      <c r="K27" s="137"/>
      <c r="L27" s="137"/>
      <c r="M27" s="163"/>
      <c r="N27" s="140"/>
      <c r="O27" s="140"/>
      <c r="P27" s="161"/>
      <c r="Q27" s="140"/>
      <c r="R27" s="5"/>
      <c r="S27" s="5"/>
      <c r="T27" s="107"/>
    </row>
    <row r="28" spans="1:20" s="93" customFormat="1" ht="33" customHeight="1">
      <c r="A28" s="93" t="str">
        <f>_xlfn.XLOOKUP(B28,'Paso 3 Redacción RA'!I$3:I$12,'Paso 3 Redacción RA'!C$3:C$12,,0,1)</f>
        <v>Saber</v>
      </c>
      <c r="B28" s="78" t="s">
        <v>85</v>
      </c>
      <c r="C28" s="162">
        <v>2</v>
      </c>
      <c r="D28" s="162" t="s">
        <v>254</v>
      </c>
      <c r="E28" s="164" t="s">
        <v>255</v>
      </c>
      <c r="F28" s="162" t="s">
        <v>205</v>
      </c>
      <c r="G28" s="162"/>
      <c r="H28" s="162" t="s">
        <v>206</v>
      </c>
      <c r="I28" s="162"/>
      <c r="J28" s="162">
        <v>4</v>
      </c>
      <c r="K28" s="162">
        <f>16*J28</f>
        <v>64</v>
      </c>
      <c r="L28" s="162">
        <f>32*J28</f>
        <v>128</v>
      </c>
      <c r="M28" s="162">
        <f>SUM(K28:L28)</f>
        <v>192</v>
      </c>
      <c r="N28" s="160" t="s">
        <v>256</v>
      </c>
      <c r="O28" s="160" t="s">
        <v>257</v>
      </c>
      <c r="P28" s="160" t="s">
        <v>246</v>
      </c>
      <c r="Q28" s="160" t="s">
        <v>210</v>
      </c>
      <c r="R28" s="5"/>
      <c r="S28" s="5"/>
      <c r="T28" s="107"/>
    </row>
    <row r="29" spans="1:20" s="93" customFormat="1" ht="15.95" customHeight="1">
      <c r="A29" s="93" t="str">
        <f>_xlfn.XLOOKUP(B29,'Paso 3 Redacción RA'!I$3:I$12,'Paso 3 Redacción RA'!C$3:C$12,,0,1)</f>
        <v>SaberHacer</v>
      </c>
      <c r="B29" s="78" t="s">
        <v>89</v>
      </c>
      <c r="C29" s="137"/>
      <c r="D29" s="137"/>
      <c r="E29" s="158"/>
      <c r="F29" s="137"/>
      <c r="G29" s="137"/>
      <c r="H29" s="137"/>
      <c r="I29" s="137"/>
      <c r="J29" s="137"/>
      <c r="K29" s="137"/>
      <c r="L29" s="137"/>
      <c r="M29" s="137"/>
      <c r="N29" s="140"/>
      <c r="O29" s="140"/>
      <c r="P29" s="140"/>
      <c r="Q29" s="140"/>
      <c r="R29" s="5"/>
      <c r="S29" s="5"/>
      <c r="T29" s="107"/>
    </row>
    <row r="30" spans="1:20" s="93" customFormat="1" ht="32.1" customHeight="1">
      <c r="A30" s="93" t="str">
        <f>_xlfn.XLOOKUP(B30,'Paso 3 Redacción RA'!I$3:I$12,'Paso 3 Redacción RA'!C$3:C$12,,0,1)</f>
        <v>SaberSer</v>
      </c>
      <c r="B30" s="78" t="s">
        <v>93</v>
      </c>
      <c r="C30" s="137"/>
      <c r="D30" s="137"/>
      <c r="E30" s="158"/>
      <c r="F30" s="137"/>
      <c r="G30" s="137"/>
      <c r="H30" s="137"/>
      <c r="I30" s="137"/>
      <c r="J30" s="137"/>
      <c r="K30" s="137"/>
      <c r="L30" s="137"/>
      <c r="M30" s="137"/>
      <c r="N30" s="140"/>
      <c r="O30" s="140"/>
      <c r="P30" s="140"/>
      <c r="Q30" s="140"/>
      <c r="R30" s="5"/>
      <c r="S30" s="5"/>
      <c r="T30" s="107"/>
    </row>
    <row r="31" spans="1:20" s="93" customFormat="1" ht="33" customHeight="1">
      <c r="A31" s="91" t="str">
        <f>_xlfn.XLOOKUP(B31,'Paso 3 Redacción RA'!I$3:I$12,'Paso 3 Redacción RA'!C$3:C$12,,0,1)</f>
        <v>Saber</v>
      </c>
      <c r="B31" s="91" t="s">
        <v>100</v>
      </c>
      <c r="C31" s="163"/>
      <c r="D31" s="163"/>
      <c r="E31" s="158"/>
      <c r="F31" s="137"/>
      <c r="G31" s="137"/>
      <c r="H31" s="137"/>
      <c r="I31" s="137"/>
      <c r="J31" s="137"/>
      <c r="K31" s="137"/>
      <c r="L31" s="137"/>
      <c r="M31" s="163"/>
      <c r="N31" s="140"/>
      <c r="O31" s="161"/>
      <c r="P31" s="161"/>
      <c r="Q31" s="140"/>
      <c r="R31" s="5">
        <f>SUM(J17:J31)</f>
        <v>17</v>
      </c>
      <c r="S31" s="5">
        <f>COUNTA(D17:D31)</f>
        <v>5</v>
      </c>
      <c r="T31" s="107"/>
    </row>
    <row r="32" spans="1:20" s="93" customFormat="1" ht="336" customHeight="1">
      <c r="A32" s="100" t="str">
        <f>_xlfn.XLOOKUP(B32,'Paso 3 Redacción RA'!I$3:I$12,'Paso 3 Redacción RA'!C$3:C$12,,0,1)</f>
        <v>Saber</v>
      </c>
      <c r="B32" s="100" t="s">
        <v>106</v>
      </c>
      <c r="C32" s="99">
        <v>3</v>
      </c>
      <c r="D32" s="99" t="s">
        <v>258</v>
      </c>
      <c r="E32" s="100" t="s">
        <v>259</v>
      </c>
      <c r="F32" s="98" t="s">
        <v>205</v>
      </c>
      <c r="G32" s="99" t="s">
        <v>206</v>
      </c>
      <c r="H32" s="99"/>
      <c r="I32" s="99"/>
      <c r="J32" s="98">
        <v>3</v>
      </c>
      <c r="K32" s="98">
        <f>16*J32</f>
        <v>48</v>
      </c>
      <c r="L32" s="98">
        <f>32*J32</f>
        <v>96</v>
      </c>
      <c r="M32" s="98">
        <f>SUM(K32:L32)</f>
        <v>144</v>
      </c>
      <c r="N32" s="97" t="s">
        <v>260</v>
      </c>
      <c r="O32" s="100" t="s">
        <v>261</v>
      </c>
      <c r="P32" s="100" t="s">
        <v>241</v>
      </c>
      <c r="Q32" s="97" t="s">
        <v>210</v>
      </c>
      <c r="R32" s="5"/>
      <c r="S32" s="5"/>
      <c r="T32" s="107"/>
    </row>
    <row r="33" spans="1:20" s="93" customFormat="1" ht="366" customHeight="1">
      <c r="A33" s="100" t="str">
        <f>_xlfn.XLOOKUP(B33,'Paso 3 Redacción RA'!I$3:I$12,'Paso 3 Redacción RA'!C$3:C$12,,0,1)</f>
        <v>Saber</v>
      </c>
      <c r="B33" s="100" t="s">
        <v>106</v>
      </c>
      <c r="C33" s="99">
        <v>3</v>
      </c>
      <c r="D33" s="99" t="s">
        <v>262</v>
      </c>
      <c r="E33" s="100" t="s">
        <v>263</v>
      </c>
      <c r="F33" s="98" t="s">
        <v>205</v>
      </c>
      <c r="G33" s="98" t="s">
        <v>206</v>
      </c>
      <c r="H33" s="98"/>
      <c r="I33" s="98"/>
      <c r="J33" s="101">
        <v>3</v>
      </c>
      <c r="K33" s="98">
        <f>16*J33</f>
        <v>48</v>
      </c>
      <c r="L33" s="98">
        <f>32*J33</f>
        <v>96</v>
      </c>
      <c r="M33" s="98">
        <f>SUM(K33:L33)</f>
        <v>144</v>
      </c>
      <c r="N33" s="97" t="s">
        <v>264</v>
      </c>
      <c r="O33" s="97" t="s">
        <v>265</v>
      </c>
      <c r="P33" s="97" t="s">
        <v>266</v>
      </c>
      <c r="Q33" s="97" t="s">
        <v>210</v>
      </c>
      <c r="R33" s="5"/>
      <c r="S33" s="5"/>
      <c r="T33" s="107"/>
    </row>
    <row r="34" spans="1:20" s="93" customFormat="1" ht="33" customHeight="1">
      <c r="A34" s="95" t="str">
        <f>_xlfn.XLOOKUP(B34,'Paso 3 Redacción RA'!I$3:I$12,'Paso 3 Redacción RA'!C$3:C$12,,0,1)</f>
        <v>Saber</v>
      </c>
      <c r="B34" s="95" t="s">
        <v>85</v>
      </c>
      <c r="C34" s="162">
        <v>3</v>
      </c>
      <c r="D34" s="162" t="s">
        <v>267</v>
      </c>
      <c r="E34" s="164" t="s">
        <v>268</v>
      </c>
      <c r="F34" s="162" t="s">
        <v>205</v>
      </c>
      <c r="G34" s="162"/>
      <c r="H34" s="162" t="s">
        <v>206</v>
      </c>
      <c r="I34" s="162"/>
      <c r="J34" s="162">
        <v>3</v>
      </c>
      <c r="K34" s="162">
        <f>16*J34</f>
        <v>48</v>
      </c>
      <c r="L34" s="162">
        <f>32*J34</f>
        <v>96</v>
      </c>
      <c r="M34" s="162">
        <f>SUM(K34:L34)</f>
        <v>144</v>
      </c>
      <c r="N34" s="160" t="s">
        <v>269</v>
      </c>
      <c r="O34" s="160" t="s">
        <v>270</v>
      </c>
      <c r="P34" s="160" t="s">
        <v>246</v>
      </c>
      <c r="Q34" s="160" t="s">
        <v>210</v>
      </c>
      <c r="R34" s="5"/>
      <c r="S34" s="5"/>
      <c r="T34" s="107"/>
    </row>
    <row r="35" spans="1:20" s="93" customFormat="1" ht="32.1" customHeight="1">
      <c r="A35" s="78" t="str">
        <f>_xlfn.XLOOKUP(B35,'Paso 3 Redacción RA'!I$3:I$12,'Paso 3 Redacción RA'!C$3:C$12,,0,1)</f>
        <v>SaberSer</v>
      </c>
      <c r="B35" s="78" t="s">
        <v>93</v>
      </c>
      <c r="C35" s="137"/>
      <c r="D35" s="137"/>
      <c r="E35" s="158"/>
      <c r="F35" s="137"/>
      <c r="G35" s="137"/>
      <c r="H35" s="137"/>
      <c r="I35" s="137"/>
      <c r="J35" s="137"/>
      <c r="K35" s="137"/>
      <c r="L35" s="137"/>
      <c r="M35" s="137"/>
      <c r="N35" s="140"/>
      <c r="O35" s="140"/>
      <c r="P35" s="140"/>
      <c r="Q35" s="140"/>
      <c r="R35" s="5"/>
      <c r="S35" s="5"/>
      <c r="T35" s="107"/>
    </row>
    <row r="36" spans="1:20" s="93" customFormat="1" ht="33" customHeight="1">
      <c r="A36" s="91" t="str">
        <f>_xlfn.XLOOKUP(B36,'Paso 3 Redacción RA'!I$3:I$12,'Paso 3 Redacción RA'!C$3:C$12,,0,1)</f>
        <v>Saber</v>
      </c>
      <c r="B36" s="91" t="s">
        <v>95</v>
      </c>
      <c r="C36" s="163"/>
      <c r="D36" s="163"/>
      <c r="E36" s="165"/>
      <c r="F36" s="163"/>
      <c r="G36" s="163"/>
      <c r="H36" s="163"/>
      <c r="I36" s="163"/>
      <c r="J36" s="163"/>
      <c r="K36" s="163"/>
      <c r="L36" s="163"/>
      <c r="M36" s="163"/>
      <c r="N36" s="161"/>
      <c r="O36" s="161"/>
      <c r="P36" s="161"/>
      <c r="Q36" s="161"/>
      <c r="R36" s="5"/>
      <c r="S36" s="5"/>
      <c r="T36" s="107"/>
    </row>
    <row r="37" spans="1:20" s="93" customFormat="1" ht="33" customHeight="1">
      <c r="A37" s="95" t="str">
        <f>_xlfn.XLOOKUP(B37,'Paso 3 Redacción RA'!I$3:I$12,'Paso 3 Redacción RA'!C$3:C$12,,0,1)</f>
        <v>Saber</v>
      </c>
      <c r="B37" s="78" t="s">
        <v>95</v>
      </c>
      <c r="C37" s="162">
        <v>3</v>
      </c>
      <c r="D37" s="162" t="s">
        <v>271</v>
      </c>
      <c r="E37" s="164" t="s">
        <v>272</v>
      </c>
      <c r="F37" s="162" t="s">
        <v>205</v>
      </c>
      <c r="G37" s="162"/>
      <c r="H37" s="162" t="s">
        <v>206</v>
      </c>
      <c r="I37" s="162"/>
      <c r="J37" s="162">
        <v>3</v>
      </c>
      <c r="K37" s="162">
        <f>16*J37</f>
        <v>48</v>
      </c>
      <c r="L37" s="162">
        <f>32*J37</f>
        <v>96</v>
      </c>
      <c r="M37" s="162">
        <f>SUM(K37:L37)</f>
        <v>144</v>
      </c>
      <c r="N37" s="160" t="s">
        <v>273</v>
      </c>
      <c r="O37" s="160" t="s">
        <v>274</v>
      </c>
      <c r="P37" s="160" t="s">
        <v>246</v>
      </c>
      <c r="Q37" s="160" t="s">
        <v>210</v>
      </c>
      <c r="R37" s="5"/>
      <c r="S37" s="5"/>
      <c r="T37" s="107"/>
    </row>
    <row r="38" spans="1:20" s="93" customFormat="1" ht="32.1" customHeight="1">
      <c r="A38" s="78" t="str">
        <f>_xlfn.XLOOKUP(B38,'Paso 3 Redacción RA'!I$3:I$12,'Paso 3 Redacción RA'!C$3:C$12,,0,1)</f>
        <v>Saber</v>
      </c>
      <c r="B38" s="78" t="s">
        <v>100</v>
      </c>
      <c r="C38" s="137"/>
      <c r="D38" s="137"/>
      <c r="E38" s="158"/>
      <c r="F38" s="137"/>
      <c r="G38" s="137"/>
      <c r="H38" s="137"/>
      <c r="I38" s="137"/>
      <c r="J38" s="137"/>
      <c r="K38" s="137"/>
      <c r="L38" s="137"/>
      <c r="M38" s="137"/>
      <c r="N38" s="140"/>
      <c r="O38" s="140"/>
      <c r="P38" s="140"/>
      <c r="Q38" s="140"/>
      <c r="R38" s="5"/>
      <c r="S38" s="5"/>
      <c r="T38" s="107"/>
    </row>
    <row r="39" spans="1:20" s="93" customFormat="1" ht="33" customHeight="1">
      <c r="A39" s="91" t="str">
        <f>_xlfn.XLOOKUP(B39,'Paso 3 Redacción RA'!I$3:I$12,'Paso 3 Redacción RA'!C$3:C$12,,0,1)</f>
        <v>SaberHacer</v>
      </c>
      <c r="B39" s="78" t="s">
        <v>102</v>
      </c>
      <c r="C39" s="163"/>
      <c r="D39" s="163"/>
      <c r="E39" s="165"/>
      <c r="F39" s="163"/>
      <c r="G39" s="163"/>
      <c r="H39" s="163"/>
      <c r="I39" s="163"/>
      <c r="J39" s="163"/>
      <c r="K39" s="163"/>
      <c r="L39" s="163"/>
      <c r="M39" s="163"/>
      <c r="N39" s="161"/>
      <c r="O39" s="161"/>
      <c r="P39" s="161"/>
      <c r="Q39" s="161"/>
      <c r="R39" s="5"/>
      <c r="S39" s="5"/>
      <c r="T39" s="107"/>
    </row>
    <row r="40" spans="1:20" s="93" customFormat="1" ht="49.5" customHeight="1">
      <c r="A40" s="106" t="str">
        <f>_xlfn.XLOOKUP(B40,'Paso 3 Redacción RA'!I$3:I$12,'Paso 3 Redacción RA'!C$3:C$12,,0,1)</f>
        <v>SaberSer</v>
      </c>
      <c r="B40" s="95" t="s">
        <v>93</v>
      </c>
      <c r="C40" s="162">
        <v>3</v>
      </c>
      <c r="D40" s="162" t="s">
        <v>275</v>
      </c>
      <c r="E40" s="164" t="s">
        <v>276</v>
      </c>
      <c r="F40" s="162" t="s">
        <v>205</v>
      </c>
      <c r="G40" s="162"/>
      <c r="H40" s="162" t="s">
        <v>206</v>
      </c>
      <c r="I40" s="162"/>
      <c r="J40" s="162">
        <v>3</v>
      </c>
      <c r="K40" s="162">
        <f>16*J40</f>
        <v>48</v>
      </c>
      <c r="L40" s="162">
        <f>32*J40</f>
        <v>96</v>
      </c>
      <c r="M40" s="162">
        <v>192</v>
      </c>
      <c r="N40" s="160" t="s">
        <v>277</v>
      </c>
      <c r="O40" s="160" t="s">
        <v>278</v>
      </c>
      <c r="P40" s="160" t="s">
        <v>246</v>
      </c>
      <c r="Q40" s="160" t="s">
        <v>210</v>
      </c>
      <c r="R40" s="5"/>
      <c r="S40" s="5"/>
      <c r="T40" s="107"/>
    </row>
    <row r="41" spans="1:20" s="93" customFormat="1" ht="32.1" customHeight="1">
      <c r="A41" s="78" t="str">
        <f>_xlfn.XLOOKUP(B41,'Paso 3 Redacción RA'!I$3:I$12,'Paso 3 Redacción RA'!C$3:C$12,,0,1)</f>
        <v>Saber</v>
      </c>
      <c r="B41" s="78" t="s">
        <v>100</v>
      </c>
      <c r="C41" s="137"/>
      <c r="D41" s="137"/>
      <c r="E41" s="158"/>
      <c r="F41" s="137"/>
      <c r="G41" s="137"/>
      <c r="H41" s="137"/>
      <c r="I41" s="137"/>
      <c r="J41" s="137"/>
      <c r="K41" s="137"/>
      <c r="L41" s="137"/>
      <c r="M41" s="137"/>
      <c r="N41" s="140"/>
      <c r="O41" s="140"/>
      <c r="P41" s="140"/>
      <c r="Q41" s="140"/>
      <c r="R41" s="5"/>
      <c r="S41" s="5"/>
      <c r="T41" s="107"/>
    </row>
    <row r="42" spans="1:20" s="93" customFormat="1" ht="33" customHeight="1">
      <c r="A42" s="91" t="str">
        <f>_xlfn.XLOOKUP(B42,'Paso 3 Redacción RA'!I$3:I$12,'Paso 3 Redacción RA'!C$3:C$12,,0,1)</f>
        <v>SaberHacer</v>
      </c>
      <c r="B42" s="91" t="s">
        <v>102</v>
      </c>
      <c r="C42" s="163"/>
      <c r="D42" s="163"/>
      <c r="E42" s="158"/>
      <c r="F42" s="137"/>
      <c r="G42" s="137"/>
      <c r="H42" s="137"/>
      <c r="I42" s="137"/>
      <c r="J42" s="137"/>
      <c r="K42" s="137"/>
      <c r="L42" s="137"/>
      <c r="M42" s="137"/>
      <c r="N42" s="140"/>
      <c r="O42" s="140"/>
      <c r="P42" s="161"/>
      <c r="Q42" s="140"/>
      <c r="R42" s="5"/>
      <c r="S42" s="5"/>
      <c r="T42" s="107"/>
    </row>
    <row r="43" spans="1:20" s="93" customFormat="1" ht="49.5" customHeight="1">
      <c r="A43" s="106" t="str">
        <f>_xlfn.XLOOKUP(B43,'Paso 3 Redacción RA'!I$3:I$12,'Paso 3 Redacción RA'!C$3:C$12,,0,1)</f>
        <v>SaberSer</v>
      </c>
      <c r="B43" s="95" t="s">
        <v>93</v>
      </c>
      <c r="C43" s="162">
        <v>3</v>
      </c>
      <c r="D43" s="162" t="s">
        <v>279</v>
      </c>
      <c r="E43" s="164" t="s">
        <v>280</v>
      </c>
      <c r="F43" s="162" t="s">
        <v>205</v>
      </c>
      <c r="G43" s="162"/>
      <c r="H43" s="162" t="s">
        <v>206</v>
      </c>
      <c r="I43" s="162"/>
      <c r="J43" s="162">
        <v>3</v>
      </c>
      <c r="K43" s="162">
        <f>16*J43</f>
        <v>48</v>
      </c>
      <c r="L43" s="162">
        <f>32*J43</f>
        <v>96</v>
      </c>
      <c r="M43" s="162">
        <v>192</v>
      </c>
      <c r="N43" s="160" t="s">
        <v>281</v>
      </c>
      <c r="O43" s="160" t="s">
        <v>282</v>
      </c>
      <c r="P43" s="160" t="s">
        <v>246</v>
      </c>
      <c r="Q43" s="160" t="s">
        <v>210</v>
      </c>
      <c r="R43" s="5"/>
      <c r="S43" s="5"/>
      <c r="T43" s="107"/>
    </row>
    <row r="44" spans="1:20" s="93" customFormat="1" ht="32.1" customHeight="1">
      <c r="A44" s="78" t="str">
        <f>_xlfn.XLOOKUP(B44,'Paso 3 Redacción RA'!I$3:I$12,'Paso 3 Redacción RA'!C$3:C$12,,0,1)</f>
        <v>Saber</v>
      </c>
      <c r="B44" s="78" t="s">
        <v>95</v>
      </c>
      <c r="C44" s="137"/>
      <c r="D44" s="137"/>
      <c r="E44" s="158"/>
      <c r="F44" s="137"/>
      <c r="G44" s="137"/>
      <c r="H44" s="137"/>
      <c r="I44" s="137"/>
      <c r="J44" s="137"/>
      <c r="K44" s="137"/>
      <c r="L44" s="137"/>
      <c r="M44" s="137"/>
      <c r="N44" s="140"/>
      <c r="O44" s="140"/>
      <c r="P44" s="140"/>
      <c r="Q44" s="140"/>
      <c r="R44" s="5"/>
      <c r="S44" s="5"/>
      <c r="T44" s="107"/>
    </row>
    <row r="45" spans="1:20" s="93" customFormat="1" ht="33" customHeight="1">
      <c r="A45" s="91" t="str">
        <f>_xlfn.XLOOKUP(B45,'Paso 3 Redacción RA'!I$3:I$12,'Paso 3 Redacción RA'!C$3:C$12,,0,1)</f>
        <v>Saber</v>
      </c>
      <c r="B45" s="91" t="s">
        <v>100</v>
      </c>
      <c r="C45" s="163"/>
      <c r="D45" s="163"/>
      <c r="E45" s="158"/>
      <c r="F45" s="137"/>
      <c r="G45" s="137"/>
      <c r="H45" s="137"/>
      <c r="I45" s="137"/>
      <c r="J45" s="137"/>
      <c r="K45" s="137"/>
      <c r="L45" s="137"/>
      <c r="M45" s="137"/>
      <c r="N45" s="140"/>
      <c r="O45" s="140"/>
      <c r="P45" s="161"/>
      <c r="Q45" s="140"/>
      <c r="R45" s="5">
        <f>SUM(J32:J45)</f>
        <v>18</v>
      </c>
      <c r="S45" s="5">
        <f>COUNTA(D32:D45)</f>
        <v>6</v>
      </c>
      <c r="T45" s="107"/>
    </row>
    <row r="46" spans="1:20" s="93" customFormat="1" ht="336" customHeight="1">
      <c r="A46" s="100" t="str">
        <f>_xlfn.XLOOKUP(B46,'Paso 3 Redacción RA'!I$3:I$12,'Paso 3 Redacción RA'!C$3:C$12,,0,1)</f>
        <v>Saber</v>
      </c>
      <c r="B46" s="100" t="s">
        <v>106</v>
      </c>
      <c r="C46" s="99">
        <v>4</v>
      </c>
      <c r="D46" s="99" t="s">
        <v>283</v>
      </c>
      <c r="E46" s="100" t="s">
        <v>284</v>
      </c>
      <c r="F46" s="98" t="s">
        <v>205</v>
      </c>
      <c r="G46" s="99" t="s">
        <v>206</v>
      </c>
      <c r="H46" s="99" t="s">
        <v>285</v>
      </c>
      <c r="I46" s="99"/>
      <c r="J46" s="99">
        <v>3</v>
      </c>
      <c r="K46" s="98">
        <f>16*J46</f>
        <v>48</v>
      </c>
      <c r="L46" s="98">
        <f>32*J46</f>
        <v>96</v>
      </c>
      <c r="M46" s="98">
        <f>SUM(K46:L46)</f>
        <v>144</v>
      </c>
      <c r="N46" s="100" t="s">
        <v>286</v>
      </c>
      <c r="O46" s="100" t="s">
        <v>261</v>
      </c>
      <c r="P46" s="100" t="s">
        <v>241</v>
      </c>
      <c r="Q46" s="97" t="s">
        <v>210</v>
      </c>
      <c r="R46" s="5"/>
      <c r="S46" s="5"/>
      <c r="T46" s="107"/>
    </row>
    <row r="47" spans="1:20" s="93" customFormat="1" ht="33" customHeight="1">
      <c r="A47" s="106" t="str">
        <f>_xlfn.XLOOKUP(B47,'Paso 3 Redacción RA'!I$3:I$12,'Paso 3 Redacción RA'!C$3:C$12,,0,1)</f>
        <v>Saber</v>
      </c>
      <c r="B47" s="95" t="s">
        <v>95</v>
      </c>
      <c r="C47" s="162">
        <v>4</v>
      </c>
      <c r="D47" s="162" t="s">
        <v>287</v>
      </c>
      <c r="E47" s="164" t="s">
        <v>288</v>
      </c>
      <c r="F47" s="162" t="s">
        <v>205</v>
      </c>
      <c r="G47" s="162"/>
      <c r="H47" s="162" t="s">
        <v>206</v>
      </c>
      <c r="I47" s="162"/>
      <c r="J47" s="162">
        <v>3</v>
      </c>
      <c r="K47" s="162">
        <f>16*J47</f>
        <v>48</v>
      </c>
      <c r="L47" s="162">
        <f>32*J47</f>
        <v>96</v>
      </c>
      <c r="M47" s="162">
        <f>SUM(K47:L47)</f>
        <v>144</v>
      </c>
      <c r="N47" s="160" t="s">
        <v>289</v>
      </c>
      <c r="O47" s="160" t="s">
        <v>290</v>
      </c>
      <c r="P47" s="160" t="s">
        <v>246</v>
      </c>
      <c r="Q47" s="160" t="s">
        <v>210</v>
      </c>
      <c r="R47" s="5"/>
      <c r="S47" s="5"/>
      <c r="T47" s="107"/>
    </row>
    <row r="48" spans="1:20" s="93" customFormat="1" ht="32.1" customHeight="1">
      <c r="A48" s="78" t="str">
        <f>_xlfn.XLOOKUP(B48,'Paso 3 Redacción RA'!I$3:I$12,'Paso 3 Redacción RA'!C$3:C$12,,0,1)</f>
        <v>SaberHacer</v>
      </c>
      <c r="B48" s="78" t="s">
        <v>98</v>
      </c>
      <c r="C48" s="137"/>
      <c r="D48" s="137"/>
      <c r="E48" s="158"/>
      <c r="F48" s="137"/>
      <c r="G48" s="137"/>
      <c r="H48" s="137"/>
      <c r="I48" s="137"/>
      <c r="J48" s="137"/>
      <c r="K48" s="137"/>
      <c r="L48" s="137"/>
      <c r="M48" s="137"/>
      <c r="N48" s="140"/>
      <c r="O48" s="140"/>
      <c r="P48" s="140"/>
      <c r="Q48" s="140"/>
      <c r="R48" s="5"/>
      <c r="S48" s="5"/>
      <c r="T48" s="107"/>
    </row>
    <row r="49" spans="1:20" s="93" customFormat="1" ht="33" customHeight="1">
      <c r="A49" s="91" t="str">
        <f>_xlfn.XLOOKUP(B49,'Paso 3 Redacción RA'!I$3:I$12,'Paso 3 Redacción RA'!C$3:C$12,,0,1)</f>
        <v>SaberHacer</v>
      </c>
      <c r="B49" s="91" t="s">
        <v>102</v>
      </c>
      <c r="C49" s="163"/>
      <c r="D49" s="163"/>
      <c r="E49" s="165"/>
      <c r="F49" s="163"/>
      <c r="G49" s="163"/>
      <c r="H49" s="163"/>
      <c r="I49" s="163"/>
      <c r="J49" s="163"/>
      <c r="K49" s="163"/>
      <c r="L49" s="163"/>
      <c r="M49" s="163"/>
      <c r="N49" s="161"/>
      <c r="O49" s="161"/>
      <c r="P49" s="161"/>
      <c r="Q49" s="161"/>
      <c r="R49" s="5"/>
      <c r="S49" s="5"/>
      <c r="T49" s="107"/>
    </row>
    <row r="50" spans="1:20" s="93" customFormat="1" ht="49.5" customHeight="1">
      <c r="A50" s="106" t="str">
        <f>_xlfn.XLOOKUP(B50,'Paso 3 Redacción RA'!I$3:I$12,'Paso 3 Redacción RA'!C$3:C$12,,0,1)</f>
        <v>SaberSer</v>
      </c>
      <c r="B50" s="95" t="s">
        <v>93</v>
      </c>
      <c r="C50" s="162">
        <v>4</v>
      </c>
      <c r="D50" s="162" t="s">
        <v>291</v>
      </c>
      <c r="E50" s="164" t="s">
        <v>292</v>
      </c>
      <c r="F50" s="162" t="s">
        <v>205</v>
      </c>
      <c r="G50" s="162"/>
      <c r="H50" s="162" t="s">
        <v>206</v>
      </c>
      <c r="I50" s="162"/>
      <c r="J50" s="162">
        <v>3</v>
      </c>
      <c r="K50" s="162">
        <f>16*J50</f>
        <v>48</v>
      </c>
      <c r="L50" s="162">
        <f>32*J50</f>
        <v>96</v>
      </c>
      <c r="M50" s="162">
        <f>SUM(K50:L50)</f>
        <v>144</v>
      </c>
      <c r="N50" s="160" t="s">
        <v>293</v>
      </c>
      <c r="O50" s="160" t="s">
        <v>294</v>
      </c>
      <c r="P50" s="160" t="s">
        <v>246</v>
      </c>
      <c r="Q50" s="160" t="s">
        <v>210</v>
      </c>
      <c r="R50" s="5"/>
      <c r="S50" s="5"/>
      <c r="T50" s="107"/>
    </row>
    <row r="51" spans="1:20" s="93" customFormat="1" ht="32.1" customHeight="1">
      <c r="A51" s="78" t="str">
        <f>_xlfn.XLOOKUP(B51,'Paso 3 Redacción RA'!I$3:I$12,'Paso 3 Redacción RA'!C$3:C$12,,0,1)</f>
        <v>Saber</v>
      </c>
      <c r="B51" s="78" t="s">
        <v>100</v>
      </c>
      <c r="C51" s="137"/>
      <c r="D51" s="137"/>
      <c r="E51" s="158"/>
      <c r="F51" s="137"/>
      <c r="G51" s="137"/>
      <c r="H51" s="137"/>
      <c r="I51" s="137"/>
      <c r="J51" s="137"/>
      <c r="K51" s="137"/>
      <c r="L51" s="137"/>
      <c r="M51" s="137"/>
      <c r="N51" s="140"/>
      <c r="O51" s="140"/>
      <c r="P51" s="140"/>
      <c r="Q51" s="140"/>
      <c r="R51" s="5"/>
      <c r="S51" s="5"/>
      <c r="T51" s="107"/>
    </row>
    <row r="52" spans="1:20" s="93" customFormat="1" ht="33" customHeight="1">
      <c r="A52" s="91" t="str">
        <f>_xlfn.XLOOKUP(B52,'Paso 3 Redacción RA'!I$3:I$12,'Paso 3 Redacción RA'!C$3:C$12,,0,1)</f>
        <v>SaberHacer</v>
      </c>
      <c r="B52" s="91" t="s">
        <v>102</v>
      </c>
      <c r="C52" s="163"/>
      <c r="D52" s="163"/>
      <c r="E52" s="165"/>
      <c r="F52" s="163"/>
      <c r="G52" s="163"/>
      <c r="H52" s="163"/>
      <c r="I52" s="163"/>
      <c r="J52" s="163"/>
      <c r="K52" s="163"/>
      <c r="L52" s="163"/>
      <c r="M52" s="163"/>
      <c r="N52" s="161"/>
      <c r="O52" s="161"/>
      <c r="P52" s="161"/>
      <c r="Q52" s="161"/>
      <c r="R52" s="5"/>
      <c r="S52" s="5"/>
      <c r="T52" s="107"/>
    </row>
    <row r="53" spans="1:20" s="93" customFormat="1" ht="49.5" customHeight="1">
      <c r="A53" s="95" t="str">
        <f>_xlfn.XLOOKUP(B53,'Paso 3 Redacción RA'!I$3:I$12,'Paso 3 Redacción RA'!C$3:C$12,,0,1)</f>
        <v>SaberSer</v>
      </c>
      <c r="B53" s="95" t="s">
        <v>93</v>
      </c>
      <c r="C53" s="162">
        <v>4</v>
      </c>
      <c r="D53" s="162" t="s">
        <v>295</v>
      </c>
      <c r="E53" s="164" t="s">
        <v>296</v>
      </c>
      <c r="F53" s="162" t="s">
        <v>205</v>
      </c>
      <c r="G53" s="162"/>
      <c r="H53" s="162" t="s">
        <v>206</v>
      </c>
      <c r="I53" s="162"/>
      <c r="J53" s="162">
        <v>4</v>
      </c>
      <c r="K53" s="162">
        <f>16*J53</f>
        <v>64</v>
      </c>
      <c r="L53" s="162">
        <f>32*J53</f>
        <v>128</v>
      </c>
      <c r="M53" s="162">
        <f>SUM(K53:L53)</f>
        <v>192</v>
      </c>
      <c r="N53" s="160" t="s">
        <v>297</v>
      </c>
      <c r="O53" s="160" t="s">
        <v>298</v>
      </c>
      <c r="P53" s="160" t="s">
        <v>246</v>
      </c>
      <c r="Q53" s="160" t="s">
        <v>210</v>
      </c>
      <c r="R53" s="5"/>
      <c r="S53" s="5"/>
      <c r="T53" s="107"/>
    </row>
    <row r="54" spans="1:20" s="93" customFormat="1" ht="32.1" customHeight="1">
      <c r="A54" s="78" t="str">
        <f>_xlfn.XLOOKUP(B54,'Paso 3 Redacción RA'!I$3:I$12,'Paso 3 Redacción RA'!C$3:C$12,,0,1)</f>
        <v>Saber</v>
      </c>
      <c r="B54" s="78" t="s">
        <v>100</v>
      </c>
      <c r="C54" s="137"/>
      <c r="D54" s="137"/>
      <c r="E54" s="158"/>
      <c r="F54" s="137"/>
      <c r="G54" s="137"/>
      <c r="H54" s="137"/>
      <c r="I54" s="137"/>
      <c r="J54" s="137"/>
      <c r="K54" s="137"/>
      <c r="L54" s="137"/>
      <c r="M54" s="137"/>
      <c r="N54" s="140"/>
      <c r="O54" s="140"/>
      <c r="P54" s="140"/>
      <c r="Q54" s="140"/>
      <c r="R54" s="5"/>
      <c r="S54" s="5"/>
      <c r="T54" s="107"/>
    </row>
    <row r="55" spans="1:20" s="93" customFormat="1" ht="33" customHeight="1">
      <c r="A55" s="91" t="str">
        <f>_xlfn.XLOOKUP(B55,'Paso 3 Redacción RA'!I$3:I$12,'Paso 3 Redacción RA'!C$3:C$12,,0,1)</f>
        <v>SaberHacer</v>
      </c>
      <c r="B55" s="91" t="s">
        <v>102</v>
      </c>
      <c r="C55" s="163"/>
      <c r="D55" s="163"/>
      <c r="E55" s="165"/>
      <c r="F55" s="163"/>
      <c r="G55" s="163"/>
      <c r="H55" s="163"/>
      <c r="I55" s="163"/>
      <c r="J55" s="163"/>
      <c r="K55" s="163"/>
      <c r="L55" s="163"/>
      <c r="M55" s="163"/>
      <c r="N55" s="161"/>
      <c r="O55" s="161"/>
      <c r="P55" s="161"/>
      <c r="Q55" s="161"/>
      <c r="R55" s="5"/>
      <c r="S55" s="5"/>
      <c r="T55" s="107"/>
    </row>
    <row r="56" spans="1:20" s="93" customFormat="1" ht="33" customHeight="1">
      <c r="A56" s="106" t="str">
        <f>_xlfn.XLOOKUP(B56,'Paso 3 Redacción RA'!I$3:I$12,'Paso 3 Redacción RA'!C$3:C$12,,0,1)</f>
        <v>Saber</v>
      </c>
      <c r="B56" s="95" t="s">
        <v>106</v>
      </c>
      <c r="C56" s="162">
        <v>4</v>
      </c>
      <c r="D56" s="162" t="s">
        <v>299</v>
      </c>
      <c r="E56" s="164" t="s">
        <v>300</v>
      </c>
      <c r="F56" s="162" t="s">
        <v>205</v>
      </c>
      <c r="G56" s="162"/>
      <c r="H56" s="162" t="s">
        <v>206</v>
      </c>
      <c r="I56" s="162"/>
      <c r="J56" s="162">
        <v>4</v>
      </c>
      <c r="K56" s="162">
        <f>16*J56</f>
        <v>64</v>
      </c>
      <c r="L56" s="162">
        <f>32*J56</f>
        <v>128</v>
      </c>
      <c r="M56" s="162">
        <f>SUM(K56:L56)</f>
        <v>192</v>
      </c>
      <c r="N56" s="160" t="s">
        <v>301</v>
      </c>
      <c r="O56" s="160" t="s">
        <v>302</v>
      </c>
      <c r="P56" s="160" t="s">
        <v>246</v>
      </c>
      <c r="Q56" s="160" t="s">
        <v>210</v>
      </c>
      <c r="R56" s="5"/>
      <c r="S56" s="5"/>
      <c r="T56" s="107"/>
    </row>
    <row r="57" spans="1:20" s="93" customFormat="1" ht="32.1" customHeight="1">
      <c r="A57" s="93" t="str">
        <f>_xlfn.XLOOKUP(B57,'Paso 3 Redacción RA'!I$3:I$12,'Paso 3 Redacción RA'!C$3:C$12,,0,1)</f>
        <v>Saber</v>
      </c>
      <c r="B57" s="78" t="s">
        <v>100</v>
      </c>
      <c r="C57" s="137"/>
      <c r="D57" s="137"/>
      <c r="E57" s="158"/>
      <c r="F57" s="137"/>
      <c r="G57" s="137"/>
      <c r="H57" s="137"/>
      <c r="I57" s="137"/>
      <c r="J57" s="137"/>
      <c r="K57" s="137"/>
      <c r="L57" s="137"/>
      <c r="M57" s="137"/>
      <c r="N57" s="140"/>
      <c r="O57" s="140"/>
      <c r="P57" s="140"/>
      <c r="Q57" s="140"/>
      <c r="R57" s="5"/>
      <c r="S57" s="5"/>
      <c r="T57" s="107"/>
    </row>
    <row r="58" spans="1:20" s="93" customFormat="1" ht="33" customHeight="1">
      <c r="A58" s="93" t="str">
        <f>_xlfn.XLOOKUP(B58,'Paso 3 Redacción RA'!I$3:I$12,'Paso 3 Redacción RA'!C$3:C$12,,0,1)</f>
        <v>SaberHacer</v>
      </c>
      <c r="B58" s="91" t="s">
        <v>102</v>
      </c>
      <c r="C58" s="163"/>
      <c r="D58" s="163"/>
      <c r="E58" s="165"/>
      <c r="F58" s="163"/>
      <c r="G58" s="163"/>
      <c r="H58" s="163"/>
      <c r="I58" s="163"/>
      <c r="J58" s="163"/>
      <c r="K58" s="163"/>
      <c r="L58" s="163"/>
      <c r="M58" s="163"/>
      <c r="N58" s="161"/>
      <c r="O58" s="161"/>
      <c r="P58" s="161"/>
      <c r="Q58" s="161"/>
      <c r="R58" s="5">
        <f>SUM(J46:J58)</f>
        <v>17</v>
      </c>
      <c r="S58" s="5">
        <f>COUNTA(D46:D58)</f>
        <v>5</v>
      </c>
      <c r="T58" s="107"/>
    </row>
    <row r="59" spans="1:20" s="93" customFormat="1" ht="33" customHeight="1">
      <c r="A59" s="106" t="str">
        <f>_xlfn.XLOOKUP(B59,'Paso 3 Redacción RA'!I$3:I$12,'Paso 3 Redacción RA'!C$3:C$12,,0,1)</f>
        <v>Saber</v>
      </c>
      <c r="B59" s="95" t="s">
        <v>85</v>
      </c>
      <c r="C59" s="162">
        <v>5</v>
      </c>
      <c r="D59" s="162" t="s">
        <v>303</v>
      </c>
      <c r="E59" s="164" t="s">
        <v>304</v>
      </c>
      <c r="F59" s="162" t="s">
        <v>205</v>
      </c>
      <c r="G59" s="162"/>
      <c r="H59" s="162" t="s">
        <v>206</v>
      </c>
      <c r="I59" s="162"/>
      <c r="J59" s="162">
        <v>3</v>
      </c>
      <c r="K59" s="162">
        <f>16*J59</f>
        <v>48</v>
      </c>
      <c r="L59" s="162">
        <f>32*J59</f>
        <v>96</v>
      </c>
      <c r="M59" s="162">
        <f>SUM(K59:L59)</f>
        <v>144</v>
      </c>
      <c r="N59" s="160" t="s">
        <v>305</v>
      </c>
      <c r="O59" s="160" t="s">
        <v>302</v>
      </c>
      <c r="P59" s="160" t="s">
        <v>246</v>
      </c>
      <c r="Q59" s="160" t="s">
        <v>210</v>
      </c>
      <c r="R59" s="5"/>
      <c r="S59" s="5"/>
      <c r="T59" s="107"/>
    </row>
    <row r="60" spans="1:20" s="93" customFormat="1" ht="15.95" customHeight="1">
      <c r="A60" s="93" t="str">
        <f>_xlfn.XLOOKUP(B60,'Paso 3 Redacción RA'!I$3:I$12,'Paso 3 Redacción RA'!C$3:C$12,,0,1)</f>
        <v>SaberHacer</v>
      </c>
      <c r="B60" s="78" t="s">
        <v>89</v>
      </c>
      <c r="C60" s="137"/>
      <c r="D60" s="137"/>
      <c r="E60" s="158"/>
      <c r="F60" s="137"/>
      <c r="G60" s="137"/>
      <c r="H60" s="137"/>
      <c r="I60" s="137"/>
      <c r="J60" s="137"/>
      <c r="K60" s="137"/>
      <c r="L60" s="137"/>
      <c r="M60" s="137"/>
      <c r="N60" s="140"/>
      <c r="O60" s="140"/>
      <c r="P60" s="140"/>
      <c r="Q60" s="140"/>
      <c r="R60" s="5"/>
      <c r="S60" s="5"/>
      <c r="T60" s="107"/>
    </row>
    <row r="61" spans="1:20" s="93" customFormat="1" ht="32.1" customHeight="1">
      <c r="A61" s="93" t="str">
        <f>_xlfn.XLOOKUP(B61,'Paso 3 Redacción RA'!I$3:I$12,'Paso 3 Redacción RA'!C$3:C$12,,0,1)</f>
        <v>SaberSer</v>
      </c>
      <c r="B61" s="78" t="s">
        <v>93</v>
      </c>
      <c r="C61" s="137"/>
      <c r="D61" s="137"/>
      <c r="E61" s="158"/>
      <c r="F61" s="137"/>
      <c r="G61" s="137"/>
      <c r="H61" s="137"/>
      <c r="I61" s="137"/>
      <c r="J61" s="137"/>
      <c r="K61" s="137"/>
      <c r="L61" s="137"/>
      <c r="M61" s="137"/>
      <c r="N61" s="140"/>
      <c r="O61" s="140"/>
      <c r="P61" s="140"/>
      <c r="Q61" s="140"/>
      <c r="R61" s="5"/>
      <c r="S61" s="5"/>
      <c r="T61" s="107"/>
    </row>
    <row r="62" spans="1:20" s="93" customFormat="1" ht="33" customHeight="1">
      <c r="A62" s="94" t="str">
        <f>_xlfn.XLOOKUP(B62,'Paso 3 Redacción RA'!I$3:I$12,'Paso 3 Redacción RA'!C$3:C$12,,0,1)</f>
        <v>SaberHacer</v>
      </c>
      <c r="B62" s="91" t="s">
        <v>102</v>
      </c>
      <c r="C62" s="163"/>
      <c r="D62" s="163"/>
      <c r="E62" s="165"/>
      <c r="F62" s="163"/>
      <c r="G62" s="163"/>
      <c r="H62" s="163"/>
      <c r="I62" s="163"/>
      <c r="J62" s="163"/>
      <c r="K62" s="163"/>
      <c r="L62" s="163"/>
      <c r="M62" s="163"/>
      <c r="N62" s="161"/>
      <c r="O62" s="161"/>
      <c r="P62" s="161"/>
      <c r="Q62" s="161"/>
      <c r="R62" s="5"/>
      <c r="S62" s="5"/>
      <c r="T62" s="107"/>
    </row>
    <row r="63" spans="1:20" s="93" customFormat="1" ht="49.5" customHeight="1">
      <c r="A63" s="93" t="str">
        <f>_xlfn.XLOOKUP(B63,'Paso 3 Redacción RA'!I$3:I$12,'Paso 3 Redacción RA'!C$3:C$12,,0,1)</f>
        <v>SaberSer</v>
      </c>
      <c r="B63" s="95" t="s">
        <v>93</v>
      </c>
      <c r="C63" s="162">
        <v>5</v>
      </c>
      <c r="D63" s="162" t="s">
        <v>306</v>
      </c>
      <c r="E63" s="164" t="s">
        <v>307</v>
      </c>
      <c r="F63" s="162" t="s">
        <v>205</v>
      </c>
      <c r="G63" s="162"/>
      <c r="H63" s="162" t="s">
        <v>206</v>
      </c>
      <c r="I63" s="162"/>
      <c r="J63" s="162">
        <v>4</v>
      </c>
      <c r="K63" s="162">
        <f>16*J63</f>
        <v>64</v>
      </c>
      <c r="L63" s="162">
        <f>32*J63</f>
        <v>128</v>
      </c>
      <c r="M63" s="162">
        <f>SUM(K63:L63)</f>
        <v>192</v>
      </c>
      <c r="N63" s="160" t="s">
        <v>308</v>
      </c>
      <c r="O63" s="160" t="s">
        <v>309</v>
      </c>
      <c r="P63" s="160" t="s">
        <v>246</v>
      </c>
      <c r="Q63" s="160" t="s">
        <v>210</v>
      </c>
      <c r="R63" s="5"/>
      <c r="S63" s="5"/>
      <c r="T63" s="107"/>
    </row>
    <row r="64" spans="1:20" s="93" customFormat="1" ht="32.1" customHeight="1">
      <c r="A64" s="93" t="str">
        <f>_xlfn.XLOOKUP(B64,'Paso 3 Redacción RA'!I$3:I$12,'Paso 3 Redacción RA'!C$3:C$12,,0,1)</f>
        <v>Saber</v>
      </c>
      <c r="B64" s="78" t="s">
        <v>95</v>
      </c>
      <c r="C64" s="137"/>
      <c r="D64" s="137"/>
      <c r="E64" s="158"/>
      <c r="F64" s="137"/>
      <c r="G64" s="137"/>
      <c r="H64" s="137"/>
      <c r="I64" s="137"/>
      <c r="J64" s="137"/>
      <c r="K64" s="137"/>
      <c r="L64" s="137"/>
      <c r="M64" s="137"/>
      <c r="N64" s="140"/>
      <c r="O64" s="140"/>
      <c r="P64" s="140"/>
      <c r="Q64" s="140"/>
      <c r="R64" s="5"/>
      <c r="S64" s="5"/>
      <c r="T64" s="107"/>
    </row>
    <row r="65" spans="1:20" s="93" customFormat="1" ht="32.1" customHeight="1">
      <c r="A65" s="93" t="str">
        <f>_xlfn.XLOOKUP(B65,'Paso 3 Redacción RA'!I$3:I$12,'Paso 3 Redacción RA'!C$3:C$12,,0,1)</f>
        <v>SaberHacer</v>
      </c>
      <c r="B65" s="78" t="s">
        <v>98</v>
      </c>
      <c r="C65" s="137"/>
      <c r="D65" s="137"/>
      <c r="E65" s="158"/>
      <c r="F65" s="137"/>
      <c r="G65" s="137"/>
      <c r="H65" s="137"/>
      <c r="I65" s="137"/>
      <c r="J65" s="137"/>
      <c r="K65" s="137"/>
      <c r="L65" s="137"/>
      <c r="M65" s="137"/>
      <c r="N65" s="140"/>
      <c r="O65" s="140"/>
      <c r="P65" s="140"/>
      <c r="Q65" s="140"/>
      <c r="R65" s="5"/>
      <c r="S65" s="5"/>
      <c r="T65" s="107"/>
    </row>
    <row r="66" spans="1:20" s="93" customFormat="1" ht="28.5">
      <c r="A66" s="91" t="str">
        <f>_xlfn.XLOOKUP(B66,'Paso 3 Redacción RA'!I$3:I$12,'Paso 3 Redacción RA'!C$3:C$12,,0,1)</f>
        <v>Saber</v>
      </c>
      <c r="B66" s="91" t="s">
        <v>100</v>
      </c>
      <c r="C66" s="163"/>
      <c r="D66" s="163"/>
      <c r="E66" s="165"/>
      <c r="F66" s="163"/>
      <c r="G66" s="163"/>
      <c r="H66" s="163"/>
      <c r="I66" s="163"/>
      <c r="J66" s="163"/>
      <c r="K66" s="163"/>
      <c r="L66" s="163"/>
      <c r="M66" s="163"/>
      <c r="N66" s="161"/>
      <c r="O66" s="161"/>
      <c r="P66" s="161"/>
      <c r="Q66" s="161"/>
      <c r="R66" s="5"/>
      <c r="S66" s="5"/>
      <c r="T66" s="107"/>
    </row>
    <row r="67" spans="1:20" s="93" customFormat="1" ht="33" customHeight="1">
      <c r="A67" s="93" t="str">
        <f>_xlfn.XLOOKUP(B67,'Paso 3 Redacción RA'!I$3:I$12,'Paso 3 Redacción RA'!C$3:C$12,,0,1)</f>
        <v>Saber</v>
      </c>
      <c r="B67" s="95" t="s">
        <v>95</v>
      </c>
      <c r="C67" s="162">
        <v>5</v>
      </c>
      <c r="D67" s="162" t="s">
        <v>310</v>
      </c>
      <c r="E67" s="164" t="s">
        <v>311</v>
      </c>
      <c r="F67" s="162" t="s">
        <v>205</v>
      </c>
      <c r="G67" s="162"/>
      <c r="H67" s="162" t="s">
        <v>206</v>
      </c>
      <c r="I67" s="162"/>
      <c r="J67" s="162">
        <v>3</v>
      </c>
      <c r="K67" s="162">
        <f>16*J67</f>
        <v>48</v>
      </c>
      <c r="L67" s="162">
        <f>32*J67</f>
        <v>96</v>
      </c>
      <c r="M67" s="162">
        <f>SUM(K67:L67)</f>
        <v>144</v>
      </c>
      <c r="N67" s="160" t="s">
        <v>312</v>
      </c>
      <c r="O67" s="160" t="s">
        <v>313</v>
      </c>
      <c r="P67" s="160" t="s">
        <v>246</v>
      </c>
      <c r="Q67" s="160" t="s">
        <v>210</v>
      </c>
      <c r="R67" s="5"/>
      <c r="S67" s="5"/>
      <c r="T67" s="107"/>
    </row>
    <row r="68" spans="1:20" s="93" customFormat="1" ht="28.5">
      <c r="A68" s="93" t="str">
        <f>_xlfn.XLOOKUP(B68,'Paso 3 Redacción RA'!I$3:I$12,'Paso 3 Redacción RA'!C$3:C$12,,0,1)</f>
        <v>SaberHacer</v>
      </c>
      <c r="B68" s="78" t="s">
        <v>98</v>
      </c>
      <c r="C68" s="137"/>
      <c r="D68" s="137"/>
      <c r="E68" s="158"/>
      <c r="F68" s="137"/>
      <c r="G68" s="137"/>
      <c r="H68" s="137"/>
      <c r="I68" s="137"/>
      <c r="J68" s="137"/>
      <c r="K68" s="137"/>
      <c r="L68" s="137"/>
      <c r="M68" s="137"/>
      <c r="N68" s="140"/>
      <c r="O68" s="140"/>
      <c r="P68" s="140"/>
      <c r="Q68" s="140"/>
      <c r="R68" s="5"/>
      <c r="S68" s="5"/>
      <c r="T68" s="107"/>
    </row>
    <row r="69" spans="1:20" s="93" customFormat="1" ht="28.5">
      <c r="A69" s="94" t="str">
        <f>_xlfn.XLOOKUP(B69,'Paso 3 Redacción RA'!I$3:I$12,'Paso 3 Redacción RA'!C$3:C$12,,0,1)</f>
        <v>Saber</v>
      </c>
      <c r="B69" s="91" t="s">
        <v>100</v>
      </c>
      <c r="C69" s="163"/>
      <c r="D69" s="163"/>
      <c r="E69" s="165"/>
      <c r="F69" s="163"/>
      <c r="G69" s="163"/>
      <c r="H69" s="163"/>
      <c r="I69" s="163"/>
      <c r="J69" s="163"/>
      <c r="K69" s="163"/>
      <c r="L69" s="163"/>
      <c r="M69" s="163"/>
      <c r="N69" s="161"/>
      <c r="O69" s="161"/>
      <c r="P69" s="161"/>
      <c r="Q69" s="161"/>
      <c r="S69" s="5"/>
      <c r="T69" s="107"/>
    </row>
    <row r="70" spans="1:20" s="93" customFormat="1" ht="33" customHeight="1">
      <c r="A70" s="93" t="str">
        <f>_xlfn.XLOOKUP(B70,'Paso 3 Redacción RA'!I$3:I$12,'Paso 3 Redacción RA'!C$3:C$12,,0,1)</f>
        <v>Saber</v>
      </c>
      <c r="B70" s="95" t="s">
        <v>85</v>
      </c>
      <c r="C70" s="162">
        <v>5</v>
      </c>
      <c r="D70" s="162" t="s">
        <v>314</v>
      </c>
      <c r="E70" s="164" t="s">
        <v>315</v>
      </c>
      <c r="F70" s="162" t="s">
        <v>205</v>
      </c>
      <c r="G70" s="162"/>
      <c r="H70" s="162" t="s">
        <v>206</v>
      </c>
      <c r="I70" s="162"/>
      <c r="J70" s="162">
        <v>3</v>
      </c>
      <c r="K70" s="162">
        <f>16*J70</f>
        <v>48</v>
      </c>
      <c r="L70" s="162">
        <f>32*J70</f>
        <v>96</v>
      </c>
      <c r="M70" s="162">
        <f>SUM(K70:L70)</f>
        <v>144</v>
      </c>
      <c r="N70" s="160" t="s">
        <v>316</v>
      </c>
      <c r="O70" s="160" t="s">
        <v>317</v>
      </c>
      <c r="P70" s="160" t="s">
        <v>246</v>
      </c>
      <c r="Q70" s="160" t="s">
        <v>210</v>
      </c>
      <c r="R70" s="5"/>
      <c r="S70" s="5"/>
      <c r="T70" s="107"/>
    </row>
    <row r="71" spans="1:20" s="93" customFormat="1" ht="17.25">
      <c r="A71" s="93" t="str">
        <f>_xlfn.XLOOKUP(B71,'Paso 3 Redacción RA'!I$3:I$12,'Paso 3 Redacción RA'!C$3:C$12,,0,1)</f>
        <v>SaberHacer</v>
      </c>
      <c r="B71" s="78" t="s">
        <v>89</v>
      </c>
      <c r="C71" s="137"/>
      <c r="D71" s="137"/>
      <c r="E71" s="158"/>
      <c r="F71" s="137"/>
      <c r="G71" s="137"/>
      <c r="H71" s="137"/>
      <c r="I71" s="137"/>
      <c r="J71" s="137"/>
      <c r="K71" s="137"/>
      <c r="L71" s="137"/>
      <c r="M71" s="137"/>
      <c r="N71" s="140"/>
      <c r="O71" s="140"/>
      <c r="P71" s="140"/>
      <c r="Q71" s="140"/>
      <c r="R71" s="5"/>
      <c r="S71" s="5"/>
      <c r="T71" s="107"/>
    </row>
    <row r="72" spans="1:20" s="93" customFormat="1" ht="42.75">
      <c r="A72" s="94" t="str">
        <f>_xlfn.XLOOKUP(B72,'Paso 3 Redacción RA'!I$3:I$12,'Paso 3 Redacción RA'!C$3:C$12,,0,1)</f>
        <v>SaberSer</v>
      </c>
      <c r="B72" s="91" t="s">
        <v>93</v>
      </c>
      <c r="C72" s="163"/>
      <c r="D72" s="163"/>
      <c r="E72" s="165"/>
      <c r="F72" s="163"/>
      <c r="G72" s="163"/>
      <c r="H72" s="163"/>
      <c r="I72" s="163"/>
      <c r="J72" s="163"/>
      <c r="K72" s="163"/>
      <c r="L72" s="163"/>
      <c r="M72" s="163"/>
      <c r="N72" s="161"/>
      <c r="O72" s="161"/>
      <c r="P72" s="161"/>
      <c r="Q72" s="161"/>
      <c r="R72" s="5"/>
      <c r="S72" s="5"/>
      <c r="T72" s="107"/>
    </row>
    <row r="73" spans="1:20" s="93" customFormat="1" ht="33" customHeight="1">
      <c r="A73" s="93" t="str">
        <f>_xlfn.XLOOKUP(B73,'Paso 3 Redacción RA'!I$3:I$12,'Paso 3 Redacción RA'!C$3:C$12,,0,1)</f>
        <v>Saber</v>
      </c>
      <c r="B73" s="95" t="s">
        <v>95</v>
      </c>
      <c r="C73" s="162">
        <v>5</v>
      </c>
      <c r="D73" s="162" t="s">
        <v>318</v>
      </c>
      <c r="E73" s="164" t="s">
        <v>319</v>
      </c>
      <c r="F73" s="162" t="s">
        <v>205</v>
      </c>
      <c r="G73" s="162"/>
      <c r="H73" s="162" t="s">
        <v>206</v>
      </c>
      <c r="I73" s="162"/>
      <c r="J73" s="162">
        <v>3</v>
      </c>
      <c r="K73" s="162">
        <f>16*J73</f>
        <v>48</v>
      </c>
      <c r="L73" s="162">
        <f>32*J73</f>
        <v>96</v>
      </c>
      <c r="M73" s="162">
        <f>SUM(K73:L73)</f>
        <v>144</v>
      </c>
      <c r="N73" s="160" t="s">
        <v>320</v>
      </c>
      <c r="O73" s="160" t="s">
        <v>321</v>
      </c>
      <c r="P73" s="160" t="s">
        <v>246</v>
      </c>
      <c r="Q73" s="160" t="s">
        <v>210</v>
      </c>
      <c r="R73" s="5"/>
      <c r="S73" s="5"/>
      <c r="T73" s="107"/>
    </row>
    <row r="74" spans="1:20" s="93" customFormat="1" ht="32.1" customHeight="1">
      <c r="A74" s="93" t="str">
        <f>_xlfn.XLOOKUP(B74,'Paso 3 Redacción RA'!I$3:I$12,'Paso 3 Redacción RA'!C$3:C$12,,0,1)</f>
        <v>Saber</v>
      </c>
      <c r="B74" s="78" t="s">
        <v>100</v>
      </c>
      <c r="C74" s="137"/>
      <c r="D74" s="137"/>
      <c r="E74" s="158"/>
      <c r="F74" s="137"/>
      <c r="G74" s="137"/>
      <c r="H74" s="137"/>
      <c r="I74" s="137"/>
      <c r="J74" s="137"/>
      <c r="K74" s="137"/>
      <c r="L74" s="137"/>
      <c r="M74" s="137"/>
      <c r="N74" s="140"/>
      <c r="O74" s="140"/>
      <c r="P74" s="140"/>
      <c r="Q74" s="140"/>
      <c r="R74" s="5"/>
      <c r="S74" s="5"/>
      <c r="T74" s="107"/>
    </row>
    <row r="75" spans="1:20" s="93" customFormat="1" ht="33" customHeight="1">
      <c r="A75" s="94" t="str">
        <f>_xlfn.XLOOKUP(B75,'Paso 3 Redacción RA'!I$3:I$12,'Paso 3 Redacción RA'!C$3:C$12,,0,1)</f>
        <v>SaberHacer</v>
      </c>
      <c r="B75" s="91" t="s">
        <v>102</v>
      </c>
      <c r="C75" s="163"/>
      <c r="D75" s="163"/>
      <c r="E75" s="165"/>
      <c r="F75" s="163"/>
      <c r="G75" s="137"/>
      <c r="H75" s="137"/>
      <c r="I75" s="137"/>
      <c r="J75" s="137"/>
      <c r="K75" s="137"/>
      <c r="L75" s="137"/>
      <c r="M75" s="137"/>
      <c r="N75" s="140"/>
      <c r="O75" s="140"/>
      <c r="P75" s="161"/>
      <c r="Q75" s="140"/>
      <c r="R75" s="5">
        <f>SUM(J59:J75)</f>
        <v>16</v>
      </c>
      <c r="S75" s="5">
        <f>COUNTA(D59:D75)</f>
        <v>5</v>
      </c>
      <c r="T75" s="107"/>
    </row>
    <row r="76" spans="1:20" s="93" customFormat="1" ht="33" customHeight="1">
      <c r="A76" s="93" t="str">
        <f>_xlfn.XLOOKUP(B76,'Paso 3 Redacción RA'!I$3:I$12,'Paso 3 Redacción RA'!C$3:C$12,,0,1)</f>
        <v>Saber</v>
      </c>
      <c r="B76" s="95" t="s">
        <v>85</v>
      </c>
      <c r="C76" s="162">
        <v>6</v>
      </c>
      <c r="D76" s="162" t="s">
        <v>322</v>
      </c>
      <c r="E76" s="164" t="s">
        <v>323</v>
      </c>
      <c r="F76" s="162" t="s">
        <v>205</v>
      </c>
      <c r="G76" s="162"/>
      <c r="H76" s="162" t="s">
        <v>206</v>
      </c>
      <c r="I76" s="162"/>
      <c r="J76" s="162">
        <v>3</v>
      </c>
      <c r="K76" s="162">
        <f>16*J76</f>
        <v>48</v>
      </c>
      <c r="L76" s="162">
        <f>32*J76</f>
        <v>96</v>
      </c>
      <c r="M76" s="162">
        <f>SUM(K76:L76)</f>
        <v>144</v>
      </c>
      <c r="N76" s="160" t="s">
        <v>324</v>
      </c>
      <c r="O76" s="160" t="s">
        <v>270</v>
      </c>
      <c r="P76" s="160" t="s">
        <v>246</v>
      </c>
      <c r="Q76" s="160" t="s">
        <v>210</v>
      </c>
      <c r="R76" s="5"/>
      <c r="S76" s="5"/>
      <c r="T76" s="107"/>
    </row>
    <row r="77" spans="1:20" s="93" customFormat="1" ht="15.95" customHeight="1">
      <c r="A77" s="93" t="str">
        <f>_xlfn.XLOOKUP(B77,'Paso 3 Redacción RA'!I$3:I$12,'Paso 3 Redacción RA'!C$3:C$12,,0,1)</f>
        <v>SaberHacer</v>
      </c>
      <c r="B77" s="78" t="s">
        <v>89</v>
      </c>
      <c r="C77" s="137"/>
      <c r="D77" s="137"/>
      <c r="E77" s="158"/>
      <c r="F77" s="137"/>
      <c r="G77" s="137"/>
      <c r="H77" s="137"/>
      <c r="I77" s="137"/>
      <c r="J77" s="137"/>
      <c r="K77" s="137"/>
      <c r="L77" s="137"/>
      <c r="M77" s="137"/>
      <c r="N77" s="140"/>
      <c r="O77" s="140"/>
      <c r="P77" s="140"/>
      <c r="Q77" s="140"/>
      <c r="R77" s="5"/>
      <c r="S77" s="5"/>
      <c r="T77" s="107"/>
    </row>
    <row r="78" spans="1:20" s="93" customFormat="1" ht="32.1" customHeight="1">
      <c r="A78" s="93" t="str">
        <f>_xlfn.XLOOKUP(B78,'Paso 3 Redacción RA'!I$3:I$12,'Paso 3 Redacción RA'!C$3:C$12,,0,1)</f>
        <v>SaberSer</v>
      </c>
      <c r="B78" s="78" t="s">
        <v>93</v>
      </c>
      <c r="C78" s="137"/>
      <c r="D78" s="137"/>
      <c r="E78" s="158"/>
      <c r="F78" s="137"/>
      <c r="G78" s="137"/>
      <c r="H78" s="137"/>
      <c r="I78" s="137"/>
      <c r="J78" s="137"/>
      <c r="K78" s="137"/>
      <c r="L78" s="137"/>
      <c r="M78" s="137"/>
      <c r="N78" s="140"/>
      <c r="O78" s="140"/>
      <c r="P78" s="140"/>
      <c r="Q78" s="140"/>
      <c r="R78" s="5"/>
      <c r="S78" s="5"/>
      <c r="T78" s="107"/>
    </row>
    <row r="79" spans="1:20" s="93" customFormat="1" ht="33" customHeight="1">
      <c r="A79" s="94" t="str">
        <f>_xlfn.XLOOKUP(B79,'Paso 3 Redacción RA'!I$3:I$12,'Paso 3 Redacción RA'!C$3:C$12,,0,1)</f>
        <v>SaberHacer</v>
      </c>
      <c r="B79" s="91" t="s">
        <v>102</v>
      </c>
      <c r="C79" s="163"/>
      <c r="D79" s="163"/>
      <c r="E79" s="165"/>
      <c r="F79" s="163"/>
      <c r="G79" s="163"/>
      <c r="H79" s="163"/>
      <c r="I79" s="163"/>
      <c r="J79" s="163"/>
      <c r="K79" s="163"/>
      <c r="L79" s="163"/>
      <c r="M79" s="163"/>
      <c r="N79" s="161"/>
      <c r="O79" s="161"/>
      <c r="P79" s="161"/>
      <c r="Q79" s="161"/>
      <c r="R79" s="5"/>
      <c r="S79" s="5"/>
      <c r="T79" s="107"/>
    </row>
    <row r="80" spans="1:20" s="93" customFormat="1" ht="33" customHeight="1">
      <c r="A80" s="93" t="str">
        <f>_xlfn.XLOOKUP(B80,'Paso 3 Redacción RA'!I$3:I$12,'Paso 3 Redacción RA'!C$3:C$12,,0,1)</f>
        <v>Saber</v>
      </c>
      <c r="B80" s="95" t="s">
        <v>85</v>
      </c>
      <c r="C80" s="162">
        <v>6</v>
      </c>
      <c r="D80" s="162" t="s">
        <v>325</v>
      </c>
      <c r="E80" s="164" t="s">
        <v>326</v>
      </c>
      <c r="F80" s="162" t="s">
        <v>205</v>
      </c>
      <c r="G80" s="162"/>
      <c r="H80" s="162" t="s">
        <v>206</v>
      </c>
      <c r="I80" s="162"/>
      <c r="J80" s="162">
        <v>3</v>
      </c>
      <c r="K80" s="162">
        <f>16*J80</f>
        <v>48</v>
      </c>
      <c r="L80" s="162">
        <f>32*J80</f>
        <v>96</v>
      </c>
      <c r="M80" s="162">
        <f>SUM(K80:L80)</f>
        <v>144</v>
      </c>
      <c r="N80" s="160" t="s">
        <v>327</v>
      </c>
      <c r="O80" s="160" t="s">
        <v>270</v>
      </c>
      <c r="P80" s="160" t="s">
        <v>246</v>
      </c>
      <c r="Q80" s="160" t="s">
        <v>210</v>
      </c>
      <c r="R80" s="5"/>
      <c r="S80" s="5"/>
      <c r="T80" s="107"/>
    </row>
    <row r="81" spans="1:20" s="93" customFormat="1" ht="15.95" customHeight="1">
      <c r="A81" s="93" t="str">
        <f>_xlfn.XLOOKUP(B81,'Paso 3 Redacción RA'!I$3:I$12,'Paso 3 Redacción RA'!C$3:C$12,,0,1)</f>
        <v>SaberHacer</v>
      </c>
      <c r="B81" s="78" t="s">
        <v>89</v>
      </c>
      <c r="C81" s="137"/>
      <c r="D81" s="137"/>
      <c r="E81" s="158"/>
      <c r="F81" s="137"/>
      <c r="G81" s="137"/>
      <c r="H81" s="137"/>
      <c r="I81" s="137"/>
      <c r="J81" s="137"/>
      <c r="K81" s="137"/>
      <c r="L81" s="137"/>
      <c r="M81" s="137"/>
      <c r="N81" s="140"/>
      <c r="O81" s="140"/>
      <c r="P81" s="140"/>
      <c r="Q81" s="140"/>
      <c r="R81" s="5"/>
      <c r="S81" s="5"/>
      <c r="T81" s="107"/>
    </row>
    <row r="82" spans="1:20" s="93" customFormat="1" ht="32.1" customHeight="1">
      <c r="A82" s="93" t="str">
        <f>_xlfn.XLOOKUP(B82,'Paso 3 Redacción RA'!I$3:I$12,'Paso 3 Redacción RA'!C$3:C$12,,0,1)</f>
        <v>Saber</v>
      </c>
      <c r="B82" s="78" t="s">
        <v>95</v>
      </c>
      <c r="C82" s="137"/>
      <c r="D82" s="137"/>
      <c r="E82" s="158"/>
      <c r="F82" s="137"/>
      <c r="G82" s="137"/>
      <c r="H82" s="137"/>
      <c r="I82" s="137"/>
      <c r="J82" s="137"/>
      <c r="K82" s="137"/>
      <c r="L82" s="137"/>
      <c r="M82" s="137"/>
      <c r="N82" s="140"/>
      <c r="O82" s="140"/>
      <c r="P82" s="140"/>
      <c r="Q82" s="140"/>
      <c r="R82" s="5"/>
      <c r="S82" s="5"/>
      <c r="T82" s="107"/>
    </row>
    <row r="83" spans="1:20" s="93" customFormat="1" ht="33" customHeight="1">
      <c r="A83" s="94" t="str">
        <f>_xlfn.XLOOKUP(B83,'Paso 3 Redacción RA'!I$3:I$12,'Paso 3 Redacción RA'!C$3:C$12,,0,1)</f>
        <v>SaberHacer</v>
      </c>
      <c r="B83" s="91" t="s">
        <v>98</v>
      </c>
      <c r="C83" s="163"/>
      <c r="D83" s="163"/>
      <c r="E83" s="165"/>
      <c r="F83" s="163"/>
      <c r="G83" s="163"/>
      <c r="H83" s="163"/>
      <c r="I83" s="163"/>
      <c r="J83" s="163"/>
      <c r="K83" s="163"/>
      <c r="L83" s="163"/>
      <c r="M83" s="163"/>
      <c r="N83" s="161"/>
      <c r="O83" s="161"/>
      <c r="P83" s="161"/>
      <c r="Q83" s="161"/>
      <c r="R83" s="5"/>
      <c r="S83" s="5"/>
      <c r="T83" s="107"/>
    </row>
    <row r="84" spans="1:20" s="93" customFormat="1" ht="33" customHeight="1">
      <c r="A84" s="93" t="str">
        <f>_xlfn.XLOOKUP(B84,'Paso 3 Redacción RA'!I$3:I$12,'Paso 3 Redacción RA'!C$3:C$12,,0,1)</f>
        <v>Saber</v>
      </c>
      <c r="B84" s="95" t="s">
        <v>85</v>
      </c>
      <c r="C84" s="162">
        <v>6</v>
      </c>
      <c r="D84" s="162" t="s">
        <v>328</v>
      </c>
      <c r="E84" s="164" t="s">
        <v>329</v>
      </c>
      <c r="F84" s="162" t="s">
        <v>205</v>
      </c>
      <c r="G84" s="162"/>
      <c r="H84" s="162" t="s">
        <v>206</v>
      </c>
      <c r="I84" s="162"/>
      <c r="J84" s="162">
        <v>3</v>
      </c>
      <c r="K84" s="162">
        <f>16*J84</f>
        <v>48</v>
      </c>
      <c r="L84" s="162">
        <f>32*J84</f>
        <v>96</v>
      </c>
      <c r="M84" s="162">
        <f>SUM(K84:L84)</f>
        <v>144</v>
      </c>
      <c r="N84" s="160" t="s">
        <v>330</v>
      </c>
      <c r="O84" s="160" t="s">
        <v>290</v>
      </c>
      <c r="P84" s="160" t="s">
        <v>246</v>
      </c>
      <c r="Q84" s="160" t="s">
        <v>210</v>
      </c>
      <c r="R84" s="5"/>
      <c r="S84" s="5"/>
      <c r="T84" s="107"/>
    </row>
    <row r="85" spans="1:20" s="93" customFormat="1" ht="15.95" customHeight="1">
      <c r="A85" s="93" t="str">
        <f>_xlfn.XLOOKUP(B85,'Paso 3 Redacción RA'!I$3:I$12,'Paso 3 Redacción RA'!C$3:C$12,,0,1)</f>
        <v>SaberHacer</v>
      </c>
      <c r="B85" s="78" t="s">
        <v>89</v>
      </c>
      <c r="C85" s="137"/>
      <c r="D85" s="137"/>
      <c r="E85" s="158"/>
      <c r="F85" s="137"/>
      <c r="G85" s="137"/>
      <c r="H85" s="137"/>
      <c r="I85" s="137"/>
      <c r="J85" s="137"/>
      <c r="K85" s="137"/>
      <c r="L85" s="137"/>
      <c r="M85" s="137"/>
      <c r="N85" s="140"/>
      <c r="O85" s="140"/>
      <c r="P85" s="140"/>
      <c r="Q85" s="140"/>
      <c r="R85" s="5"/>
      <c r="S85" s="5"/>
      <c r="T85" s="107"/>
    </row>
    <row r="86" spans="1:20" s="93" customFormat="1" ht="33" customHeight="1">
      <c r="A86" s="94" t="str">
        <f>_xlfn.XLOOKUP(B86,'Paso 3 Redacción RA'!I$3:I$12,'Paso 3 Redacción RA'!C$3:C$12,,0,1)</f>
        <v>SaberSer</v>
      </c>
      <c r="B86" s="91" t="s">
        <v>93</v>
      </c>
      <c r="C86" s="163"/>
      <c r="D86" s="163"/>
      <c r="E86" s="165"/>
      <c r="F86" s="163"/>
      <c r="G86" s="163"/>
      <c r="H86" s="163"/>
      <c r="I86" s="163"/>
      <c r="J86" s="163"/>
      <c r="K86" s="163"/>
      <c r="L86" s="163"/>
      <c r="M86" s="163"/>
      <c r="N86" s="161"/>
      <c r="O86" s="161"/>
      <c r="P86" s="161"/>
      <c r="Q86" s="161"/>
      <c r="R86" s="5"/>
      <c r="S86" s="5"/>
      <c r="T86" s="107"/>
    </row>
    <row r="87" spans="1:20" s="93" customFormat="1" ht="33" customHeight="1">
      <c r="A87" s="93" t="str">
        <f>_xlfn.XLOOKUP(B87,'Paso 3 Redacción RA'!I$3:I$12,'Paso 3 Redacción RA'!C$3:C$12,,0,1)</f>
        <v>Saber</v>
      </c>
      <c r="B87" s="95" t="s">
        <v>95</v>
      </c>
      <c r="C87" s="162">
        <v>6</v>
      </c>
      <c r="D87" s="162" t="s">
        <v>331</v>
      </c>
      <c r="E87" s="164" t="s">
        <v>332</v>
      </c>
      <c r="F87" s="162" t="s">
        <v>205</v>
      </c>
      <c r="G87" s="162"/>
      <c r="H87" s="162" t="s">
        <v>206</v>
      </c>
      <c r="I87" s="162"/>
      <c r="J87" s="162">
        <v>3</v>
      </c>
      <c r="K87" s="162">
        <f>16*J87</f>
        <v>48</v>
      </c>
      <c r="L87" s="162">
        <f>32*J87</f>
        <v>96</v>
      </c>
      <c r="M87" s="162">
        <f>SUM(K87:L87)</f>
        <v>144</v>
      </c>
      <c r="N87" s="160" t="s">
        <v>333</v>
      </c>
      <c r="O87" s="160" t="s">
        <v>302</v>
      </c>
      <c r="P87" s="160" t="s">
        <v>246</v>
      </c>
      <c r="Q87" s="160" t="s">
        <v>210</v>
      </c>
      <c r="R87" s="5"/>
      <c r="S87" s="5"/>
      <c r="T87" s="107"/>
    </row>
    <row r="88" spans="1:20" s="93" customFormat="1" ht="32.1" customHeight="1">
      <c r="A88" s="93" t="str">
        <f>_xlfn.XLOOKUP(B88,'Paso 3 Redacción RA'!I$3:I$12,'Paso 3 Redacción RA'!C$3:C$12,,0,1)</f>
        <v>SaberHacer</v>
      </c>
      <c r="B88" s="78" t="s">
        <v>98</v>
      </c>
      <c r="C88" s="137"/>
      <c r="D88" s="137"/>
      <c r="E88" s="158"/>
      <c r="F88" s="137"/>
      <c r="G88" s="137"/>
      <c r="H88" s="137"/>
      <c r="I88" s="137"/>
      <c r="J88" s="137"/>
      <c r="K88" s="137"/>
      <c r="L88" s="137"/>
      <c r="M88" s="137"/>
      <c r="N88" s="140"/>
      <c r="O88" s="140"/>
      <c r="P88" s="140"/>
      <c r="Q88" s="140"/>
      <c r="R88" s="5"/>
      <c r="S88" s="5"/>
      <c r="T88" s="107"/>
    </row>
    <row r="89" spans="1:20" s="93" customFormat="1" ht="33" customHeight="1">
      <c r="A89" s="94" t="str">
        <f>_xlfn.XLOOKUP(B89,'Paso 3 Redacción RA'!I$3:I$12,'Paso 3 Redacción RA'!C$3:C$12,,0,1)</f>
        <v>SaberSer</v>
      </c>
      <c r="B89" s="91" t="s">
        <v>93</v>
      </c>
      <c r="C89" s="163"/>
      <c r="D89" s="163"/>
      <c r="E89" s="165"/>
      <c r="F89" s="163"/>
      <c r="G89" s="163"/>
      <c r="H89" s="163"/>
      <c r="I89" s="163"/>
      <c r="J89" s="163"/>
      <c r="K89" s="163"/>
      <c r="L89" s="163"/>
      <c r="M89" s="163"/>
      <c r="N89" s="161"/>
      <c r="O89" s="161"/>
      <c r="P89" s="161"/>
      <c r="Q89" s="161"/>
      <c r="R89" s="5"/>
      <c r="S89" s="5"/>
      <c r="T89" s="107"/>
    </row>
    <row r="90" spans="1:20" s="93" customFormat="1" ht="33" customHeight="1">
      <c r="A90" s="93" t="str">
        <f>_xlfn.XLOOKUP(B90,'Paso 3 Redacción RA'!I$3:I$12,'Paso 3 Redacción RA'!C$3:C$12,,0,1)</f>
        <v>Saber</v>
      </c>
      <c r="B90" s="95" t="s">
        <v>95</v>
      </c>
      <c r="C90" s="162">
        <v>6</v>
      </c>
      <c r="D90" s="162" t="s">
        <v>334</v>
      </c>
      <c r="E90" s="164" t="s">
        <v>335</v>
      </c>
      <c r="F90" s="162" t="s">
        <v>205</v>
      </c>
      <c r="G90" s="162"/>
      <c r="H90" s="162" t="s">
        <v>206</v>
      </c>
      <c r="I90" s="162"/>
      <c r="J90" s="162">
        <v>3</v>
      </c>
      <c r="K90" s="162">
        <f>16*J90</f>
        <v>48</v>
      </c>
      <c r="L90" s="162">
        <f>32*J90</f>
        <v>96</v>
      </c>
      <c r="M90" s="162">
        <f>SUM(K90:L90)</f>
        <v>144</v>
      </c>
      <c r="N90" s="160" t="s">
        <v>336</v>
      </c>
      <c r="O90" s="160" t="s">
        <v>337</v>
      </c>
      <c r="P90" s="160" t="s">
        <v>246</v>
      </c>
      <c r="Q90" s="160" t="s">
        <v>210</v>
      </c>
      <c r="R90" s="5"/>
      <c r="S90" s="5"/>
      <c r="T90" s="107"/>
    </row>
    <row r="91" spans="1:20" s="93" customFormat="1" ht="32.1" customHeight="1">
      <c r="A91" s="93" t="str">
        <f>_xlfn.XLOOKUP(B91,'Paso 3 Redacción RA'!I$3:I$12,'Paso 3 Redacción RA'!C$3:C$12,,0,1)</f>
        <v>SaberHacer</v>
      </c>
      <c r="B91" s="78" t="s">
        <v>98</v>
      </c>
      <c r="C91" s="137"/>
      <c r="D91" s="137"/>
      <c r="E91" s="158"/>
      <c r="F91" s="137"/>
      <c r="G91" s="137"/>
      <c r="H91" s="137"/>
      <c r="I91" s="137"/>
      <c r="J91" s="137"/>
      <c r="K91" s="137"/>
      <c r="L91" s="137"/>
      <c r="M91" s="137"/>
      <c r="N91" s="140"/>
      <c r="O91" s="140"/>
      <c r="P91" s="140"/>
      <c r="Q91" s="140"/>
      <c r="R91" s="5"/>
      <c r="S91" s="5"/>
      <c r="T91" s="107"/>
    </row>
    <row r="92" spans="1:20" s="93" customFormat="1" ht="32.1" customHeight="1">
      <c r="A92" s="93" t="str">
        <f>_xlfn.XLOOKUP(B92,'Paso 3 Redacción RA'!I$3:I$12,'Paso 3 Redacción RA'!C$3:C$12,,0,1)</f>
        <v>Saber</v>
      </c>
      <c r="B92" s="78" t="s">
        <v>100</v>
      </c>
      <c r="C92" s="137"/>
      <c r="D92" s="137"/>
      <c r="E92" s="158"/>
      <c r="F92" s="137"/>
      <c r="G92" s="137"/>
      <c r="H92" s="137"/>
      <c r="I92" s="137"/>
      <c r="J92" s="137"/>
      <c r="K92" s="137"/>
      <c r="L92" s="137"/>
      <c r="M92" s="137"/>
      <c r="N92" s="140"/>
      <c r="O92" s="140"/>
      <c r="P92" s="140"/>
      <c r="Q92" s="140"/>
      <c r="R92" s="5"/>
      <c r="S92" s="5"/>
      <c r="T92" s="107"/>
    </row>
    <row r="93" spans="1:20" s="93" customFormat="1" ht="33" customHeight="1">
      <c r="A93" s="94" t="str">
        <f>_xlfn.XLOOKUP(B93,'Paso 3 Redacción RA'!I$3:I$12,'Paso 3 Redacción RA'!C$3:C$12,,0,1)</f>
        <v>SaberHacer</v>
      </c>
      <c r="B93" s="91" t="s">
        <v>102</v>
      </c>
      <c r="C93" s="163"/>
      <c r="D93" s="163"/>
      <c r="E93" s="165"/>
      <c r="F93" s="163"/>
      <c r="G93" s="163"/>
      <c r="H93" s="163"/>
      <c r="I93" s="163"/>
      <c r="J93" s="163"/>
      <c r="K93" s="163"/>
      <c r="L93" s="163"/>
      <c r="M93" s="163"/>
      <c r="N93" s="161"/>
      <c r="O93" s="161"/>
      <c r="P93" s="161"/>
      <c r="Q93" s="161"/>
      <c r="R93" s="5">
        <f>SUM(J76:J93)</f>
        <v>15</v>
      </c>
      <c r="S93" s="5">
        <f>COUNTA(D76:D93)</f>
        <v>5</v>
      </c>
      <c r="T93" s="107"/>
    </row>
    <row r="94" spans="1:20" s="93" customFormat="1" ht="33" customHeight="1">
      <c r="A94" s="93" t="str">
        <f>_xlfn.XLOOKUP(B94,'Paso 3 Redacción RA'!I$3:I$12,'Paso 3 Redacción RA'!C$3:C$12,,0,1)</f>
        <v>Saber</v>
      </c>
      <c r="B94" s="95" t="s">
        <v>85</v>
      </c>
      <c r="C94" s="162">
        <v>7</v>
      </c>
      <c r="D94" s="162" t="s">
        <v>338</v>
      </c>
      <c r="E94" s="164" t="s">
        <v>339</v>
      </c>
      <c r="F94" s="162" t="s">
        <v>205</v>
      </c>
      <c r="G94" s="162"/>
      <c r="H94" s="162" t="s">
        <v>206</v>
      </c>
      <c r="I94" s="162"/>
      <c r="J94" s="162">
        <v>4</v>
      </c>
      <c r="K94" s="162">
        <f>16*J94</f>
        <v>64</v>
      </c>
      <c r="L94" s="162">
        <f>32*J94</f>
        <v>128</v>
      </c>
      <c r="M94" s="162">
        <f>SUM(K94:L94)</f>
        <v>192</v>
      </c>
      <c r="N94" s="160" t="s">
        <v>340</v>
      </c>
      <c r="O94" s="160" t="s">
        <v>341</v>
      </c>
      <c r="P94" s="160" t="s">
        <v>246</v>
      </c>
      <c r="Q94" s="160" t="s">
        <v>210</v>
      </c>
      <c r="R94" s="5"/>
      <c r="S94" s="5"/>
      <c r="T94" s="107"/>
    </row>
    <row r="95" spans="1:20" s="93" customFormat="1" ht="15.95" customHeight="1">
      <c r="A95" s="93" t="str">
        <f>_xlfn.XLOOKUP(B95,'Paso 3 Redacción RA'!I$3:I$12,'Paso 3 Redacción RA'!C$3:C$12,,0,1)</f>
        <v>SaberHacer</v>
      </c>
      <c r="B95" s="78" t="s">
        <v>89</v>
      </c>
      <c r="C95" s="137"/>
      <c r="D95" s="137"/>
      <c r="E95" s="158"/>
      <c r="F95" s="137"/>
      <c r="G95" s="137"/>
      <c r="H95" s="137"/>
      <c r="I95" s="137"/>
      <c r="J95" s="137"/>
      <c r="K95" s="137"/>
      <c r="L95" s="137"/>
      <c r="M95" s="137"/>
      <c r="N95" s="140"/>
      <c r="O95" s="140"/>
      <c r="P95" s="140"/>
      <c r="Q95" s="140"/>
      <c r="R95" s="5"/>
      <c r="S95" s="5"/>
      <c r="T95" s="107"/>
    </row>
    <row r="96" spans="1:20" s="93" customFormat="1" ht="32.1" customHeight="1">
      <c r="A96" s="93" t="str">
        <f>_xlfn.XLOOKUP(B96,'Paso 3 Redacción RA'!I$3:I$12,'Paso 3 Redacción RA'!C$3:C$12,,0,1)</f>
        <v>SaberSer</v>
      </c>
      <c r="B96" s="78" t="s">
        <v>93</v>
      </c>
      <c r="C96" s="137"/>
      <c r="D96" s="137"/>
      <c r="E96" s="158"/>
      <c r="F96" s="137"/>
      <c r="G96" s="137"/>
      <c r="H96" s="137"/>
      <c r="I96" s="137"/>
      <c r="J96" s="137"/>
      <c r="K96" s="137"/>
      <c r="L96" s="137"/>
      <c r="M96" s="137"/>
      <c r="N96" s="140"/>
      <c r="O96" s="140"/>
      <c r="P96" s="140"/>
      <c r="Q96" s="140"/>
      <c r="R96" s="5"/>
      <c r="S96" s="5"/>
      <c r="T96" s="107"/>
    </row>
    <row r="97" spans="1:20" s="93" customFormat="1" ht="33" customHeight="1">
      <c r="A97" s="94" t="str">
        <f>_xlfn.XLOOKUP(B97,'Paso 3 Redacción RA'!I$3:I$12,'Paso 3 Redacción RA'!C$3:C$12,,0,1)</f>
        <v>Saber</v>
      </c>
      <c r="B97" s="91" t="s">
        <v>100</v>
      </c>
      <c r="C97" s="163"/>
      <c r="D97" s="163"/>
      <c r="E97" s="165"/>
      <c r="F97" s="163"/>
      <c r="G97" s="163"/>
      <c r="H97" s="163"/>
      <c r="I97" s="163"/>
      <c r="J97" s="163"/>
      <c r="K97" s="163"/>
      <c r="L97" s="163"/>
      <c r="M97" s="163"/>
      <c r="N97" s="161"/>
      <c r="O97" s="161"/>
      <c r="P97" s="161"/>
      <c r="Q97" s="161"/>
      <c r="S97" s="5"/>
      <c r="T97" s="107"/>
    </row>
    <row r="98" spans="1:20" s="93" customFormat="1" ht="33" customHeight="1">
      <c r="A98" s="93" t="str">
        <f>_xlfn.XLOOKUP(B98,'Paso 3 Redacción RA'!I$3:I$12,'Paso 3 Redacción RA'!C$3:C$12,,0,1)</f>
        <v>Saber</v>
      </c>
      <c r="B98" s="95" t="s">
        <v>85</v>
      </c>
      <c r="C98" s="162">
        <v>7</v>
      </c>
      <c r="D98" s="162" t="s">
        <v>342</v>
      </c>
      <c r="E98" s="164" t="s">
        <v>343</v>
      </c>
      <c r="F98" s="162" t="s">
        <v>205</v>
      </c>
      <c r="G98" s="162"/>
      <c r="H98" s="162" t="s">
        <v>206</v>
      </c>
      <c r="I98" s="162"/>
      <c r="J98" s="162">
        <v>3</v>
      </c>
      <c r="K98" s="162">
        <f>16*J98</f>
        <v>48</v>
      </c>
      <c r="L98" s="162">
        <f>32*J98</f>
        <v>96</v>
      </c>
      <c r="M98" s="162">
        <f>SUM(K98:L98)</f>
        <v>144</v>
      </c>
      <c r="N98" s="160" t="s">
        <v>344</v>
      </c>
      <c r="O98" s="160" t="s">
        <v>345</v>
      </c>
      <c r="P98" s="160" t="s">
        <v>246</v>
      </c>
      <c r="Q98" s="160" t="s">
        <v>210</v>
      </c>
      <c r="R98" s="5"/>
      <c r="S98" s="5"/>
      <c r="T98" s="107"/>
    </row>
    <row r="99" spans="1:20" s="93" customFormat="1" ht="15.95" customHeight="1">
      <c r="A99" s="93" t="str">
        <f>_xlfn.XLOOKUP(B99,'Paso 3 Redacción RA'!I$3:I$12,'Paso 3 Redacción RA'!C$3:C$12,,0,1)</f>
        <v>SaberHacer</v>
      </c>
      <c r="B99" s="78" t="s">
        <v>89</v>
      </c>
      <c r="C99" s="137"/>
      <c r="D99" s="137"/>
      <c r="E99" s="158"/>
      <c r="F99" s="137"/>
      <c r="G99" s="137"/>
      <c r="H99" s="137"/>
      <c r="I99" s="137"/>
      <c r="J99" s="137"/>
      <c r="K99" s="137"/>
      <c r="L99" s="137"/>
      <c r="M99" s="137"/>
      <c r="N99" s="140"/>
      <c r="O99" s="140"/>
      <c r="P99" s="140"/>
      <c r="Q99" s="140"/>
      <c r="R99" s="5"/>
      <c r="S99" s="5"/>
      <c r="T99" s="107"/>
    </row>
    <row r="100" spans="1:20" s="93" customFormat="1" ht="32.1" customHeight="1">
      <c r="A100" s="93" t="str">
        <f>_xlfn.XLOOKUP(B100,'Paso 3 Redacción RA'!I$3:I$12,'Paso 3 Redacción RA'!C$3:C$12,,0,1)</f>
        <v>SaberSer</v>
      </c>
      <c r="B100" s="78" t="s">
        <v>93</v>
      </c>
      <c r="C100" s="137"/>
      <c r="D100" s="137"/>
      <c r="E100" s="158"/>
      <c r="F100" s="137"/>
      <c r="G100" s="137"/>
      <c r="H100" s="137"/>
      <c r="I100" s="137"/>
      <c r="J100" s="137"/>
      <c r="K100" s="137"/>
      <c r="L100" s="137"/>
      <c r="M100" s="137"/>
      <c r="N100" s="140"/>
      <c r="O100" s="140"/>
      <c r="P100" s="140"/>
      <c r="Q100" s="140"/>
      <c r="R100" s="5"/>
      <c r="S100" s="5"/>
      <c r="T100" s="107"/>
    </row>
    <row r="101" spans="1:20" s="93" customFormat="1" ht="33" customHeight="1">
      <c r="A101" s="94" t="str">
        <f>_xlfn.XLOOKUP(B101,'Paso 3 Redacción RA'!I$3:I$12,'Paso 3 Redacción RA'!C$3:C$12,,0,1)</f>
        <v>Saber</v>
      </c>
      <c r="B101" s="78" t="s">
        <v>100</v>
      </c>
      <c r="C101" s="137"/>
      <c r="D101" s="137"/>
      <c r="E101" s="158"/>
      <c r="F101" s="137"/>
      <c r="G101" s="137"/>
      <c r="H101" s="137"/>
      <c r="I101" s="137"/>
      <c r="J101" s="137"/>
      <c r="K101" s="137"/>
      <c r="L101" s="137"/>
      <c r="M101" s="137"/>
      <c r="N101" s="140"/>
      <c r="O101" s="140"/>
      <c r="P101" s="140"/>
      <c r="Q101" s="140"/>
      <c r="R101" s="5"/>
      <c r="S101" s="5"/>
      <c r="T101" s="107"/>
    </row>
    <row r="102" spans="1:20" s="93" customFormat="1" ht="49.5" customHeight="1">
      <c r="A102" s="93" t="str">
        <f>_xlfn.XLOOKUP(B102,'Paso 3 Redacción RA'!I$3:I$12,'Paso 3 Redacción RA'!C$3:C$12,,0,1)</f>
        <v>SaberSer</v>
      </c>
      <c r="B102" s="95" t="s">
        <v>93</v>
      </c>
      <c r="C102" s="162">
        <v>7</v>
      </c>
      <c r="D102" s="162" t="s">
        <v>346</v>
      </c>
      <c r="E102" s="164" t="s">
        <v>347</v>
      </c>
      <c r="F102" s="162" t="s">
        <v>348</v>
      </c>
      <c r="G102" s="162"/>
      <c r="H102" s="162" t="s">
        <v>206</v>
      </c>
      <c r="I102" s="162"/>
      <c r="J102" s="162">
        <v>4</v>
      </c>
      <c r="K102" s="162">
        <f>16*J102</f>
        <v>64</v>
      </c>
      <c r="L102" s="162">
        <f>32*J102</f>
        <v>128</v>
      </c>
      <c r="M102" s="162">
        <f>SUM(K102:L102)</f>
        <v>192</v>
      </c>
      <c r="N102" s="160" t="s">
        <v>349</v>
      </c>
      <c r="O102" s="160" t="s">
        <v>350</v>
      </c>
      <c r="P102" s="160" t="s">
        <v>246</v>
      </c>
      <c r="Q102" s="160" t="s">
        <v>210</v>
      </c>
      <c r="R102" s="5"/>
      <c r="S102" s="5"/>
      <c r="T102" s="107"/>
    </row>
    <row r="103" spans="1:20" s="93" customFormat="1" ht="32.1" customHeight="1">
      <c r="A103" s="93" t="str">
        <f>_xlfn.XLOOKUP(B103,'Paso 3 Redacción RA'!I$3:I$12,'Paso 3 Redacción RA'!C$3:C$12,,0,1)</f>
        <v>Saber</v>
      </c>
      <c r="B103" s="78" t="s">
        <v>95</v>
      </c>
      <c r="C103" s="137"/>
      <c r="D103" s="137"/>
      <c r="E103" s="158"/>
      <c r="F103" s="137"/>
      <c r="G103" s="137"/>
      <c r="H103" s="137"/>
      <c r="I103" s="137"/>
      <c r="J103" s="137"/>
      <c r="K103" s="137"/>
      <c r="L103" s="137"/>
      <c r="M103" s="137"/>
      <c r="N103" s="140"/>
      <c r="O103" s="140"/>
      <c r="P103" s="140"/>
      <c r="Q103" s="140"/>
      <c r="R103" s="5"/>
      <c r="S103" s="5"/>
      <c r="T103" s="107"/>
    </row>
    <row r="104" spans="1:20" s="93" customFormat="1" ht="32.1" customHeight="1">
      <c r="A104" s="93" t="str">
        <f>_xlfn.XLOOKUP(B104,'Paso 3 Redacción RA'!I$3:I$12,'Paso 3 Redacción RA'!C$3:C$12,,0,1)</f>
        <v>SaberHacer</v>
      </c>
      <c r="B104" s="78" t="s">
        <v>98</v>
      </c>
      <c r="C104" s="137"/>
      <c r="D104" s="137"/>
      <c r="E104" s="158"/>
      <c r="F104" s="137"/>
      <c r="G104" s="137"/>
      <c r="H104" s="137"/>
      <c r="I104" s="137"/>
      <c r="J104" s="137"/>
      <c r="K104" s="137"/>
      <c r="L104" s="137"/>
      <c r="M104" s="137"/>
      <c r="N104" s="140"/>
      <c r="O104" s="140"/>
      <c r="P104" s="140"/>
      <c r="Q104" s="140"/>
      <c r="R104" s="5"/>
      <c r="S104" s="5"/>
      <c r="T104" s="107"/>
    </row>
    <row r="105" spans="1:20" s="93" customFormat="1" ht="32.1" customHeight="1">
      <c r="A105" s="78" t="str">
        <f>_xlfn.XLOOKUP(B106,'Paso 3 Redacción RA'!I$3:I$12,'Paso 3 Redacción RA'!C$3:C$12,,0,1)</f>
        <v>SaberHacer</v>
      </c>
      <c r="B105" s="78" t="s">
        <v>100</v>
      </c>
      <c r="C105" s="137"/>
      <c r="D105" s="137"/>
      <c r="E105" s="158"/>
      <c r="F105" s="137"/>
      <c r="G105" s="137"/>
      <c r="H105" s="137"/>
      <c r="I105" s="137"/>
      <c r="J105" s="137"/>
      <c r="K105" s="137"/>
      <c r="L105" s="137"/>
      <c r="M105" s="137"/>
      <c r="N105" s="140"/>
      <c r="O105" s="140"/>
      <c r="P105" s="140"/>
      <c r="Q105" s="140"/>
      <c r="R105" s="5"/>
      <c r="S105" s="5"/>
      <c r="T105" s="107"/>
    </row>
    <row r="106" spans="1:20" s="93" customFormat="1" ht="33" customHeight="1">
      <c r="A106" s="94" t="str">
        <f>_xlfn.XLOOKUP(B106,'Paso 3 Redacción RA'!I$3:I$12,'Paso 3 Redacción RA'!C$3:C$12,,0,1)</f>
        <v>SaberHacer</v>
      </c>
      <c r="B106" s="91" t="s">
        <v>102</v>
      </c>
      <c r="C106" s="163"/>
      <c r="D106" s="163"/>
      <c r="E106" s="165"/>
      <c r="F106" s="163"/>
      <c r="G106" s="163"/>
      <c r="H106" s="163"/>
      <c r="I106" s="163"/>
      <c r="J106" s="163"/>
      <c r="K106" s="163"/>
      <c r="L106" s="163"/>
      <c r="M106" s="163"/>
      <c r="N106" s="161"/>
      <c r="O106" s="161"/>
      <c r="P106" s="161"/>
      <c r="Q106" s="161"/>
      <c r="R106" s="5"/>
      <c r="S106" s="5"/>
      <c r="T106" s="107"/>
    </row>
    <row r="107" spans="1:20" s="93" customFormat="1" ht="17.100000000000001" customHeight="1">
      <c r="A107" s="130"/>
      <c r="B107" s="103"/>
      <c r="C107" s="109">
        <v>7</v>
      </c>
      <c r="D107" s="110" t="s">
        <v>351</v>
      </c>
      <c r="E107" s="103"/>
      <c r="F107" s="108"/>
      <c r="G107" s="112"/>
      <c r="H107" s="112"/>
      <c r="I107" s="112" t="s">
        <v>206</v>
      </c>
      <c r="J107" s="109">
        <v>3</v>
      </c>
      <c r="K107" s="109">
        <f>16*J107</f>
        <v>48</v>
      </c>
      <c r="L107" s="109">
        <f>32*J107</f>
        <v>96</v>
      </c>
      <c r="M107" s="109">
        <f>SUM(K107:L107)</f>
        <v>144</v>
      </c>
      <c r="N107" s="111"/>
      <c r="O107" s="111"/>
      <c r="P107" s="111"/>
      <c r="Q107" s="111"/>
      <c r="R107" s="5"/>
      <c r="S107" s="5"/>
      <c r="T107" s="107"/>
    </row>
    <row r="108" spans="1:20" s="93" customFormat="1" ht="17.100000000000001" customHeight="1">
      <c r="A108" s="103"/>
      <c r="B108" s="103"/>
      <c r="C108" s="109">
        <v>7</v>
      </c>
      <c r="D108" s="110" t="s">
        <v>352</v>
      </c>
      <c r="E108" s="103"/>
      <c r="F108" s="108"/>
      <c r="G108" s="112"/>
      <c r="H108" s="112"/>
      <c r="I108" s="112" t="s">
        <v>206</v>
      </c>
      <c r="J108" s="109">
        <v>3</v>
      </c>
      <c r="K108" s="109">
        <f>16*J108</f>
        <v>48</v>
      </c>
      <c r="L108" s="109">
        <f>32*J108</f>
        <v>96</v>
      </c>
      <c r="M108" s="109">
        <f>SUM(K108:L108)</f>
        <v>144</v>
      </c>
      <c r="N108" s="111"/>
      <c r="O108" s="111"/>
      <c r="P108" s="111"/>
      <c r="Q108" s="111"/>
      <c r="R108" s="5">
        <f>SUM(J94:J108)</f>
        <v>17</v>
      </c>
      <c r="S108" s="5">
        <f>COUNTA(D94:D108)</f>
        <v>5</v>
      </c>
      <c r="T108" s="107"/>
    </row>
    <row r="109" spans="1:20" s="93" customFormat="1" ht="33" customHeight="1">
      <c r="A109" s="106" t="str">
        <f>_xlfn.XLOOKUP(B109,'Paso 3 Redacción RA'!I$3:I$12,'Paso 3 Redacción RA'!C$3:C$12,,0,1)</f>
        <v>Saber</v>
      </c>
      <c r="B109" s="95" t="s">
        <v>85</v>
      </c>
      <c r="C109" s="162">
        <v>8</v>
      </c>
      <c r="D109" s="162" t="s">
        <v>353</v>
      </c>
      <c r="E109" s="164" t="s">
        <v>354</v>
      </c>
      <c r="F109" s="162" t="s">
        <v>348</v>
      </c>
      <c r="G109" s="162"/>
      <c r="H109" s="162" t="s">
        <v>206</v>
      </c>
      <c r="I109" s="162"/>
      <c r="J109" s="162">
        <v>4</v>
      </c>
      <c r="K109" s="162">
        <f>16*J109</f>
        <v>64</v>
      </c>
      <c r="L109" s="162">
        <f>32*J109</f>
        <v>128</v>
      </c>
      <c r="M109" s="162">
        <f>SUM(K109:L109)</f>
        <v>192</v>
      </c>
      <c r="N109" s="160" t="s">
        <v>349</v>
      </c>
      <c r="O109" s="160" t="s">
        <v>350</v>
      </c>
      <c r="P109" s="160" t="s">
        <v>246</v>
      </c>
      <c r="Q109" s="160" t="s">
        <v>210</v>
      </c>
      <c r="R109" s="5"/>
      <c r="S109" s="5"/>
      <c r="T109" s="107"/>
    </row>
    <row r="110" spans="1:20" s="93" customFormat="1" ht="15.95" customHeight="1">
      <c r="A110" s="78" t="str">
        <f>_xlfn.XLOOKUP(B110,'Paso 3 Redacción RA'!I$3:I$12,'Paso 3 Redacción RA'!C$3:C$12,,0,1)</f>
        <v>SaberHacer</v>
      </c>
      <c r="B110" s="78" t="s">
        <v>89</v>
      </c>
      <c r="C110" s="137"/>
      <c r="D110" s="137"/>
      <c r="E110" s="158"/>
      <c r="F110" s="137"/>
      <c r="G110" s="137"/>
      <c r="H110" s="137"/>
      <c r="I110" s="137"/>
      <c r="J110" s="137"/>
      <c r="K110" s="137"/>
      <c r="L110" s="137"/>
      <c r="M110" s="137"/>
      <c r="N110" s="140"/>
      <c r="O110" s="140"/>
      <c r="P110" s="140"/>
      <c r="Q110" s="140"/>
      <c r="R110" s="5"/>
      <c r="S110" s="5"/>
      <c r="T110" s="107"/>
    </row>
    <row r="111" spans="1:20" s="93" customFormat="1" ht="32.1" customHeight="1">
      <c r="A111" s="78" t="str">
        <f>_xlfn.XLOOKUP(B111,'Paso 3 Redacción RA'!I$3:I$12,'Paso 3 Redacción RA'!C$3:C$12,,0,1)</f>
        <v>SaberSer</v>
      </c>
      <c r="B111" s="78" t="s">
        <v>93</v>
      </c>
      <c r="C111" s="137"/>
      <c r="D111" s="137"/>
      <c r="E111" s="158"/>
      <c r="F111" s="137"/>
      <c r="G111" s="137"/>
      <c r="H111" s="137"/>
      <c r="I111" s="137"/>
      <c r="J111" s="137"/>
      <c r="K111" s="137"/>
      <c r="L111" s="137"/>
      <c r="M111" s="137"/>
      <c r="N111" s="140"/>
      <c r="O111" s="140"/>
      <c r="P111" s="140"/>
      <c r="Q111" s="140"/>
      <c r="R111" s="5"/>
      <c r="S111" s="5"/>
      <c r="T111" s="107"/>
    </row>
    <row r="112" spans="1:20" s="93" customFormat="1" ht="32.1" customHeight="1">
      <c r="A112" s="78" t="str">
        <f>_xlfn.XLOOKUP(B112,'Paso 3 Redacción RA'!I$3:I$12,'Paso 3 Redacción RA'!C$3:C$12,,0,1)</f>
        <v>SaberHacer</v>
      </c>
      <c r="B112" s="78" t="s">
        <v>98</v>
      </c>
      <c r="C112" s="137"/>
      <c r="D112" s="137"/>
      <c r="E112" s="158"/>
      <c r="F112" s="137"/>
      <c r="G112" s="137"/>
      <c r="H112" s="137"/>
      <c r="I112" s="137"/>
      <c r="J112" s="137"/>
      <c r="K112" s="137"/>
      <c r="L112" s="137"/>
      <c r="M112" s="137"/>
      <c r="N112" s="140"/>
      <c r="O112" s="140"/>
      <c r="P112" s="140"/>
      <c r="Q112" s="140"/>
      <c r="R112" s="5"/>
      <c r="S112" s="5"/>
      <c r="T112" s="107"/>
    </row>
    <row r="113" spans="1:20" s="93" customFormat="1" ht="33" customHeight="1">
      <c r="A113" s="91" t="str">
        <f>_xlfn.XLOOKUP(B113,'Paso 3 Redacción RA'!I$3:I$12,'Paso 3 Redacción RA'!C$3:C$12,,0,1)</f>
        <v>Saber</v>
      </c>
      <c r="B113" s="91" t="s">
        <v>100</v>
      </c>
      <c r="C113" s="163"/>
      <c r="D113" s="163"/>
      <c r="E113" s="165"/>
      <c r="F113" s="163"/>
      <c r="G113" s="163"/>
      <c r="H113" s="163"/>
      <c r="I113" s="163"/>
      <c r="J113" s="163"/>
      <c r="K113" s="163"/>
      <c r="L113" s="163"/>
      <c r="M113" s="163"/>
      <c r="N113" s="161"/>
      <c r="O113" s="161"/>
      <c r="P113" s="161"/>
      <c r="Q113" s="161"/>
      <c r="S113" s="5"/>
      <c r="T113" s="107"/>
    </row>
    <row r="114" spans="1:20" s="93" customFormat="1" ht="33" customHeight="1">
      <c r="A114" s="106" t="str">
        <f>_xlfn.XLOOKUP(B114,'Paso 3 Redacción RA'!I$3:I$12,'Paso 3 Redacción RA'!C$3:C$12,,0,1)</f>
        <v>Saber</v>
      </c>
      <c r="B114" s="95" t="s">
        <v>85</v>
      </c>
      <c r="C114" s="162">
        <v>8</v>
      </c>
      <c r="D114" s="162" t="s">
        <v>355</v>
      </c>
      <c r="E114" s="164" t="s">
        <v>356</v>
      </c>
      <c r="F114" s="162" t="s">
        <v>348</v>
      </c>
      <c r="G114" s="162"/>
      <c r="H114" s="162" t="s">
        <v>206</v>
      </c>
      <c r="I114" s="162"/>
      <c r="J114" s="162">
        <v>4</v>
      </c>
      <c r="K114" s="162">
        <f>16*J114</f>
        <v>64</v>
      </c>
      <c r="L114" s="162">
        <f>32*J114</f>
        <v>128</v>
      </c>
      <c r="M114" s="162">
        <f>SUM(K114:L114)</f>
        <v>192</v>
      </c>
      <c r="N114" s="160" t="s">
        <v>349</v>
      </c>
      <c r="O114" s="160" t="s">
        <v>350</v>
      </c>
      <c r="P114" s="160" t="s">
        <v>246</v>
      </c>
      <c r="Q114" s="160" t="s">
        <v>210</v>
      </c>
      <c r="R114" s="5"/>
      <c r="S114" s="5"/>
      <c r="T114" s="107"/>
    </row>
    <row r="115" spans="1:20" s="93" customFormat="1" ht="32.1" customHeight="1">
      <c r="A115" s="78" t="str">
        <f>_xlfn.XLOOKUP(B115,'Paso 3 Redacción RA'!I$3:I$12,'Paso 3 Redacción RA'!C$3:C$12,,0,1)</f>
        <v>SaberSer</v>
      </c>
      <c r="B115" s="78" t="s">
        <v>93</v>
      </c>
      <c r="C115" s="137"/>
      <c r="D115" s="137"/>
      <c r="E115" s="158"/>
      <c r="F115" s="137"/>
      <c r="G115" s="137"/>
      <c r="H115" s="137"/>
      <c r="I115" s="137"/>
      <c r="J115" s="137"/>
      <c r="K115" s="137"/>
      <c r="L115" s="137"/>
      <c r="M115" s="137"/>
      <c r="N115" s="140"/>
      <c r="O115" s="140"/>
      <c r="P115" s="140"/>
      <c r="Q115" s="140"/>
      <c r="R115" s="5"/>
      <c r="S115" s="5"/>
      <c r="T115" s="107"/>
    </row>
    <row r="116" spans="1:20" s="93" customFormat="1" ht="32.1" customHeight="1">
      <c r="A116" s="78" t="str">
        <f>_xlfn.XLOOKUP(B116,'Paso 3 Redacción RA'!I$3:I$12,'Paso 3 Redacción RA'!C$3:C$12,,0,1)</f>
        <v>SaberHacer</v>
      </c>
      <c r="B116" s="78" t="s">
        <v>98</v>
      </c>
      <c r="C116" s="137"/>
      <c r="D116" s="137"/>
      <c r="E116" s="158"/>
      <c r="F116" s="137"/>
      <c r="G116" s="137"/>
      <c r="H116" s="137"/>
      <c r="I116" s="137"/>
      <c r="J116" s="137"/>
      <c r="K116" s="137"/>
      <c r="L116" s="137"/>
      <c r="M116" s="137"/>
      <c r="N116" s="140"/>
      <c r="O116" s="140"/>
      <c r="P116" s="140"/>
      <c r="Q116" s="140"/>
      <c r="R116" s="5"/>
      <c r="S116" s="5"/>
      <c r="T116" s="107"/>
    </row>
    <row r="117" spans="1:20" s="93" customFormat="1" ht="32.1" customHeight="1">
      <c r="A117" s="78" t="str">
        <f>_xlfn.XLOOKUP(B117,'Paso 3 Redacción RA'!I$3:I$12,'Paso 3 Redacción RA'!C$3:C$12,,0,1)</f>
        <v>Saber</v>
      </c>
      <c r="B117" s="78" t="s">
        <v>100</v>
      </c>
      <c r="C117" s="137"/>
      <c r="D117" s="137"/>
      <c r="E117" s="158"/>
      <c r="F117" s="137"/>
      <c r="G117" s="137"/>
      <c r="H117" s="137"/>
      <c r="I117" s="137"/>
      <c r="J117" s="137"/>
      <c r="K117" s="137"/>
      <c r="L117" s="137"/>
      <c r="M117" s="137"/>
      <c r="N117" s="140"/>
      <c r="O117" s="140"/>
      <c r="P117" s="140"/>
      <c r="Q117" s="140"/>
      <c r="R117" s="5"/>
      <c r="S117" s="5"/>
      <c r="T117" s="107"/>
    </row>
    <row r="118" spans="1:20" s="93" customFormat="1" ht="33" customHeight="1">
      <c r="A118" s="91" t="str">
        <f>_xlfn.XLOOKUP(B118,'Paso 3 Redacción RA'!I$3:I$12,'Paso 3 Redacción RA'!C$3:C$12,,0,1)</f>
        <v>SaberHacer</v>
      </c>
      <c r="B118" s="91" t="s">
        <v>102</v>
      </c>
      <c r="C118" s="163"/>
      <c r="D118" s="163"/>
      <c r="E118" s="165"/>
      <c r="F118" s="163"/>
      <c r="G118" s="163"/>
      <c r="H118" s="163"/>
      <c r="I118" s="163"/>
      <c r="J118" s="163"/>
      <c r="K118" s="163"/>
      <c r="L118" s="163"/>
      <c r="M118" s="163"/>
      <c r="N118" s="161"/>
      <c r="O118" s="161"/>
      <c r="P118" s="161"/>
      <c r="Q118" s="161"/>
      <c r="R118" s="5"/>
      <c r="S118" s="5"/>
      <c r="T118" s="107"/>
    </row>
    <row r="119" spans="1:20" s="93" customFormat="1" ht="49.5" customHeight="1">
      <c r="A119" s="106" t="str">
        <f>_xlfn.XLOOKUP(B119,'Paso 3 Redacción RA'!I$3:I$12,'Paso 3 Redacción RA'!C$3:C$12,,0,1)</f>
        <v>SaberSer</v>
      </c>
      <c r="B119" s="95" t="s">
        <v>93</v>
      </c>
      <c r="C119" s="162">
        <v>8</v>
      </c>
      <c r="D119" s="162" t="s">
        <v>357</v>
      </c>
      <c r="E119" s="164" t="s">
        <v>358</v>
      </c>
      <c r="F119" s="162" t="s">
        <v>205</v>
      </c>
      <c r="G119" s="162"/>
      <c r="H119" s="162" t="s">
        <v>206</v>
      </c>
      <c r="I119" s="162"/>
      <c r="J119" s="162">
        <v>4</v>
      </c>
      <c r="K119" s="162">
        <f>16*J119</f>
        <v>64</v>
      </c>
      <c r="L119" s="162">
        <f>32*J119</f>
        <v>128</v>
      </c>
      <c r="M119" s="162">
        <f>SUM(K119:L119)</f>
        <v>192</v>
      </c>
      <c r="N119" s="160" t="s">
        <v>359</v>
      </c>
      <c r="O119" s="160" t="s">
        <v>360</v>
      </c>
      <c r="P119" s="160" t="s">
        <v>246</v>
      </c>
      <c r="Q119" s="160" t="s">
        <v>210</v>
      </c>
      <c r="R119" s="5"/>
      <c r="S119" s="5"/>
      <c r="T119" s="107"/>
    </row>
    <row r="120" spans="1:20" s="93" customFormat="1" ht="32.1" customHeight="1">
      <c r="A120" s="78" t="str">
        <f>_xlfn.XLOOKUP(B120,'Paso 3 Redacción RA'!I$3:I$12,'Paso 3 Redacción RA'!C$3:C$12,,0,1)</f>
        <v>Saber</v>
      </c>
      <c r="B120" s="78" t="s">
        <v>95</v>
      </c>
      <c r="C120" s="137"/>
      <c r="D120" s="137"/>
      <c r="E120" s="158"/>
      <c r="F120" s="137"/>
      <c r="G120" s="137"/>
      <c r="H120" s="137"/>
      <c r="I120" s="137"/>
      <c r="J120" s="137"/>
      <c r="K120" s="137"/>
      <c r="L120" s="137"/>
      <c r="M120" s="137"/>
      <c r="N120" s="140"/>
      <c r="O120" s="140"/>
      <c r="P120" s="140"/>
      <c r="Q120" s="140"/>
      <c r="R120" s="5"/>
      <c r="S120" s="5"/>
      <c r="T120" s="107"/>
    </row>
    <row r="121" spans="1:20" s="93" customFormat="1" ht="32.1" customHeight="1">
      <c r="A121" s="78" t="str">
        <f>_xlfn.XLOOKUP(B121,'Paso 3 Redacción RA'!I$3:I$12,'Paso 3 Redacción RA'!C$3:C$12,,0,1)</f>
        <v>Saber</v>
      </c>
      <c r="B121" s="78" t="s">
        <v>100</v>
      </c>
      <c r="C121" s="137"/>
      <c r="D121" s="137"/>
      <c r="E121" s="158"/>
      <c r="F121" s="137"/>
      <c r="G121" s="137"/>
      <c r="H121" s="137"/>
      <c r="I121" s="137"/>
      <c r="J121" s="137"/>
      <c r="K121" s="137"/>
      <c r="L121" s="137"/>
      <c r="M121" s="137"/>
      <c r="N121" s="140"/>
      <c r="O121" s="140"/>
      <c r="P121" s="140"/>
      <c r="Q121" s="140"/>
      <c r="R121" s="5"/>
      <c r="S121" s="5"/>
      <c r="T121" s="107"/>
    </row>
    <row r="122" spans="1:20" s="93" customFormat="1" ht="33" customHeight="1">
      <c r="A122" s="91" t="str">
        <f>_xlfn.XLOOKUP(B122,'Paso 3 Redacción RA'!I$3:I$12,'Paso 3 Redacción RA'!C$3:C$12,,0,1)</f>
        <v>SaberHacer</v>
      </c>
      <c r="B122" s="91" t="s">
        <v>102</v>
      </c>
      <c r="C122" s="163"/>
      <c r="D122" s="163"/>
      <c r="E122" s="165"/>
      <c r="F122" s="163"/>
      <c r="G122" s="163"/>
      <c r="H122" s="163"/>
      <c r="I122" s="163"/>
      <c r="J122" s="163"/>
      <c r="K122" s="163"/>
      <c r="L122" s="163"/>
      <c r="M122" s="163"/>
      <c r="N122" s="161"/>
      <c r="O122" s="161"/>
      <c r="P122" s="161"/>
      <c r="Q122" s="161"/>
      <c r="R122" s="5"/>
      <c r="S122" s="5"/>
      <c r="T122" s="107"/>
    </row>
    <row r="123" spans="1:20" s="93" customFormat="1" ht="17.100000000000001" customHeight="1">
      <c r="A123" s="103"/>
      <c r="B123" s="103"/>
      <c r="C123" s="109">
        <v>8</v>
      </c>
      <c r="D123" s="110" t="s">
        <v>361</v>
      </c>
      <c r="E123" s="103"/>
      <c r="F123" s="108"/>
      <c r="G123" s="112"/>
      <c r="H123" s="112"/>
      <c r="I123" s="112" t="s">
        <v>206</v>
      </c>
      <c r="J123" s="109">
        <v>3</v>
      </c>
      <c r="K123" s="109">
        <f>16*J123</f>
        <v>48</v>
      </c>
      <c r="L123" s="109">
        <f>32*J123</f>
        <v>96</v>
      </c>
      <c r="M123" s="109">
        <f>SUM(K123:L123)</f>
        <v>144</v>
      </c>
      <c r="N123" s="111"/>
      <c r="O123" s="111"/>
      <c r="P123" s="111"/>
      <c r="Q123" s="111"/>
      <c r="R123" s="5"/>
      <c r="S123" s="5"/>
      <c r="T123" s="107"/>
    </row>
    <row r="124" spans="1:20" s="93" customFormat="1" ht="17.100000000000001" customHeight="1">
      <c r="A124" s="103"/>
      <c r="B124" s="103"/>
      <c r="C124" s="109">
        <v>8</v>
      </c>
      <c r="D124" s="110" t="s">
        <v>362</v>
      </c>
      <c r="E124" s="111"/>
      <c r="F124" s="108"/>
      <c r="G124" s="112"/>
      <c r="H124" s="112"/>
      <c r="I124" s="112" t="s">
        <v>206</v>
      </c>
      <c r="J124" s="109">
        <v>3</v>
      </c>
      <c r="K124" s="109">
        <f>16*J124</f>
        <v>48</v>
      </c>
      <c r="L124" s="109">
        <f>32*J124</f>
        <v>96</v>
      </c>
      <c r="M124" s="109">
        <f>SUM(K124:L124)</f>
        <v>144</v>
      </c>
      <c r="N124" s="111"/>
      <c r="O124" s="111"/>
      <c r="P124" s="111"/>
      <c r="Q124" s="111"/>
      <c r="R124" s="5">
        <f>SUM(J109:J124)</f>
        <v>18</v>
      </c>
      <c r="S124" s="5">
        <f>COUNTA(D109:D124)</f>
        <v>5</v>
      </c>
      <c r="T124" s="107"/>
    </row>
    <row r="125" spans="1:20" s="116" customFormat="1" ht="27.95" customHeight="1">
      <c r="A125" s="113"/>
      <c r="B125" s="114"/>
      <c r="C125" s="115" t="s">
        <v>363</v>
      </c>
      <c r="D125" s="175">
        <f>COUNTA(D3:D124)</f>
        <v>42</v>
      </c>
      <c r="E125" s="117"/>
      <c r="F125" s="118"/>
      <c r="G125" s="118"/>
      <c r="H125" s="118"/>
      <c r="I125" s="119" t="s">
        <v>364</v>
      </c>
      <c r="J125" s="176">
        <f>SUM(J3:J124)</f>
        <v>135</v>
      </c>
      <c r="K125" s="124"/>
      <c r="L125" s="39"/>
      <c r="M125" s="118"/>
      <c r="N125" s="117"/>
      <c r="O125" s="117"/>
      <c r="P125" s="117"/>
      <c r="Q125" s="117"/>
      <c r="R125" s="117">
        <f>SUM(R124,R108,R93,R75,R58,R45,R31,R16)</f>
        <v>135</v>
      </c>
      <c r="S125" s="117">
        <f>SUM(S3:S124)</f>
        <v>42</v>
      </c>
      <c r="T125" s="121"/>
    </row>
    <row r="126" spans="1:20" s="116" customFormat="1" ht="42" customHeight="1">
      <c r="A126" s="113"/>
      <c r="B126" s="114"/>
      <c r="C126" s="118"/>
      <c r="D126" s="118"/>
      <c r="E126" s="117"/>
      <c r="F126" s="118"/>
      <c r="G126" s="118"/>
      <c r="H126" s="118"/>
      <c r="I126" s="122" t="s">
        <v>365</v>
      </c>
      <c r="J126" s="120">
        <f>SUM(J3,J4,J17,J32,J33,J46)</f>
        <v>18</v>
      </c>
      <c r="K126" s="124"/>
      <c r="L126" s="118"/>
      <c r="M126" s="118"/>
      <c r="N126" s="117"/>
      <c r="O126" s="117"/>
      <c r="P126" s="117"/>
      <c r="Q126" s="117"/>
      <c r="R126" s="117"/>
      <c r="S126" s="117"/>
      <c r="T126" s="121"/>
    </row>
    <row r="127" spans="1:20" s="116" customFormat="1" ht="42" customHeight="1">
      <c r="A127" s="123"/>
      <c r="B127" s="114"/>
      <c r="C127" s="118"/>
      <c r="D127" s="118"/>
      <c r="E127" s="117"/>
      <c r="F127" s="118"/>
      <c r="G127" s="118"/>
      <c r="H127" s="118"/>
      <c r="I127" s="122" t="s">
        <v>366</v>
      </c>
      <c r="J127" s="120">
        <f>SUM(J109:J122,J59:J106,J47:J58,J34:J45,J18:J31,J5:J16)</f>
        <v>105</v>
      </c>
      <c r="K127" s="124"/>
      <c r="L127" s="118"/>
      <c r="M127" s="118"/>
      <c r="N127" s="117"/>
      <c r="O127" s="117"/>
      <c r="P127" s="117"/>
      <c r="Q127" s="117"/>
      <c r="R127" s="117"/>
      <c r="S127" s="117"/>
      <c r="T127" s="121"/>
    </row>
    <row r="128" spans="1:20" s="116" customFormat="1" ht="27.95" customHeight="1">
      <c r="A128" s="123"/>
      <c r="B128" s="114"/>
      <c r="C128" s="118"/>
      <c r="D128" s="118"/>
      <c r="F128" s="118"/>
      <c r="G128" s="118"/>
      <c r="H128" s="118"/>
      <c r="I128" s="122" t="s">
        <v>367</v>
      </c>
      <c r="J128" s="116">
        <f>SUM(J123:J124,J107:J108)</f>
        <v>12</v>
      </c>
      <c r="K128" s="125"/>
      <c r="L128" s="118"/>
      <c r="M128" s="118"/>
      <c r="N128" s="117"/>
      <c r="O128" s="117"/>
      <c r="P128" s="117"/>
      <c r="Q128" s="117"/>
      <c r="R128" s="117"/>
      <c r="S128" s="117"/>
      <c r="T128" s="121"/>
    </row>
    <row r="129" spans="3:13" ht="15" customHeight="1">
      <c r="C129" s="6"/>
      <c r="F129" s="6"/>
      <c r="G129" s="6"/>
      <c r="H129" s="6"/>
      <c r="I129" s="6"/>
      <c r="J129" s="6"/>
      <c r="K129" s="6"/>
      <c r="L129" s="6"/>
      <c r="M129" s="6"/>
    </row>
    <row r="130" spans="3:13" ht="15" customHeight="1">
      <c r="C130" s="6"/>
      <c r="F130" s="6"/>
      <c r="G130" s="6"/>
      <c r="H130" s="6"/>
      <c r="I130" s="6"/>
      <c r="J130" s="6"/>
      <c r="K130" s="6"/>
      <c r="L130" s="6"/>
      <c r="M130" s="6"/>
    </row>
    <row r="131" spans="3:13" ht="15" customHeight="1">
      <c r="C131" s="6"/>
      <c r="F131" s="6"/>
      <c r="G131" s="6"/>
      <c r="H131" s="6"/>
      <c r="I131" s="6"/>
      <c r="J131" s="6"/>
      <c r="K131" s="6"/>
      <c r="L131" s="6"/>
      <c r="M131" s="6"/>
    </row>
    <row r="132" spans="3:13" ht="15" customHeight="1">
      <c r="C132" s="6"/>
      <c r="F132" s="6"/>
      <c r="G132" s="6"/>
      <c r="H132" s="6"/>
      <c r="I132" s="6"/>
      <c r="J132" s="6"/>
      <c r="K132" s="6"/>
      <c r="L132" s="6"/>
      <c r="M132" s="6"/>
    </row>
    <row r="133" spans="3:13" ht="15" customHeight="1">
      <c r="C133" s="6"/>
      <c r="F133" s="6"/>
      <c r="G133" s="6"/>
      <c r="H133" s="6"/>
      <c r="I133" s="6"/>
      <c r="J133" s="6"/>
      <c r="K133" s="6"/>
      <c r="L133" s="6"/>
      <c r="M133" s="6"/>
    </row>
    <row r="134" spans="3:13" ht="15" customHeight="1">
      <c r="C134" s="6"/>
      <c r="F134" s="6"/>
      <c r="G134" s="6"/>
      <c r="H134" s="6"/>
      <c r="I134" s="6"/>
      <c r="J134" s="6"/>
      <c r="K134" s="6"/>
      <c r="L134" s="6"/>
      <c r="M134" s="6"/>
    </row>
    <row r="135" spans="3:13" ht="15" customHeight="1">
      <c r="C135" s="6"/>
      <c r="F135" s="6"/>
      <c r="G135" s="6"/>
      <c r="H135" s="6"/>
      <c r="I135" s="6"/>
      <c r="J135" s="6"/>
      <c r="K135" s="6"/>
      <c r="L135" s="6"/>
      <c r="M135" s="6"/>
    </row>
    <row r="136" spans="3:13" ht="15" customHeight="1"/>
    <row r="137" spans="3:13" ht="15" customHeight="1">
      <c r="E137" s="117"/>
    </row>
    <row r="138" spans="3:13" ht="15" customHeight="1"/>
    <row r="139" spans="3:13" ht="17.25"/>
  </sheetData>
  <autoFilter ref="A2:Q128" xr:uid="{F0EE195A-FBC9-4847-94C9-3ADDAD335674}"/>
  <mergeCells count="481">
    <mergeCell ref="Q37:Q39"/>
    <mergeCell ref="G1:I1"/>
    <mergeCell ref="P11:P13"/>
    <mergeCell ref="P5:P7"/>
    <mergeCell ref="M28:M31"/>
    <mergeCell ref="H28:H31"/>
    <mergeCell ref="M21:M24"/>
    <mergeCell ref="N21:N24"/>
    <mergeCell ref="O21:O24"/>
    <mergeCell ref="P21:P24"/>
    <mergeCell ref="P25:P27"/>
    <mergeCell ref="K14:K16"/>
    <mergeCell ref="L14:L16"/>
    <mergeCell ref="M14:M16"/>
    <mergeCell ref="N14:N16"/>
    <mergeCell ref="O14:O16"/>
    <mergeCell ref="P14:P16"/>
    <mergeCell ref="N11:N13"/>
    <mergeCell ref="O11:O13"/>
    <mergeCell ref="J18:J20"/>
    <mergeCell ref="I18:I20"/>
    <mergeCell ref="M8:M10"/>
    <mergeCell ref="N8:N10"/>
    <mergeCell ref="O8:O10"/>
    <mergeCell ref="H11:H13"/>
    <mergeCell ref="I11:I13"/>
    <mergeCell ref="Q5:Q7"/>
    <mergeCell ref="H5:H7"/>
    <mergeCell ref="I5:I7"/>
    <mergeCell ref="J5:J7"/>
    <mergeCell ref="K5:K7"/>
    <mergeCell ref="L5:L7"/>
    <mergeCell ref="P8:P10"/>
    <mergeCell ref="Q8:Q10"/>
    <mergeCell ref="M5:M7"/>
    <mergeCell ref="N5:N7"/>
    <mergeCell ref="O5:O7"/>
    <mergeCell ref="H8:H10"/>
    <mergeCell ref="I8:I10"/>
    <mergeCell ref="J8:J10"/>
    <mergeCell ref="K8:K10"/>
    <mergeCell ref="L8:L10"/>
    <mergeCell ref="D8:D10"/>
    <mergeCell ref="D5:D7"/>
    <mergeCell ref="E8:E10"/>
    <mergeCell ref="F8:F10"/>
    <mergeCell ref="C5:C7"/>
    <mergeCell ref="E5:E7"/>
    <mergeCell ref="F5:F7"/>
    <mergeCell ref="G5:G7"/>
    <mergeCell ref="C14:C16"/>
    <mergeCell ref="C8:C10"/>
    <mergeCell ref="G8:G10"/>
    <mergeCell ref="C21:C24"/>
    <mergeCell ref="D21:D24"/>
    <mergeCell ref="E21:E24"/>
    <mergeCell ref="D14:D16"/>
    <mergeCell ref="E14:E16"/>
    <mergeCell ref="F14:F16"/>
    <mergeCell ref="G14:G16"/>
    <mergeCell ref="E11:E13"/>
    <mergeCell ref="F11:F13"/>
    <mergeCell ref="G11:G13"/>
    <mergeCell ref="F21:F24"/>
    <mergeCell ref="G21:G24"/>
    <mergeCell ref="N25:N27"/>
    <mergeCell ref="O25:O27"/>
    <mergeCell ref="Q21:Q24"/>
    <mergeCell ref="N28:N31"/>
    <mergeCell ref="O28:O31"/>
    <mergeCell ref="P28:P31"/>
    <mergeCell ref="Q28:Q31"/>
    <mergeCell ref="H21:H24"/>
    <mergeCell ref="I21:I24"/>
    <mergeCell ref="J21:J24"/>
    <mergeCell ref="K21:K24"/>
    <mergeCell ref="L21:L24"/>
    <mergeCell ref="I28:I31"/>
    <mergeCell ref="J28:J31"/>
    <mergeCell ref="K28:K31"/>
    <mergeCell ref="L28:L31"/>
    <mergeCell ref="Q25:Q27"/>
    <mergeCell ref="H25:H27"/>
    <mergeCell ref="I25:I27"/>
    <mergeCell ref="J25:J27"/>
    <mergeCell ref="K25:K27"/>
    <mergeCell ref="L25:L27"/>
    <mergeCell ref="C34:C36"/>
    <mergeCell ref="D34:D36"/>
    <mergeCell ref="E34:E36"/>
    <mergeCell ref="H34:H36"/>
    <mergeCell ref="I34:I36"/>
    <mergeCell ref="J34:J36"/>
    <mergeCell ref="K34:K36"/>
    <mergeCell ref="L34:L36"/>
    <mergeCell ref="M25:M27"/>
    <mergeCell ref="D28:D31"/>
    <mergeCell ref="E28:E31"/>
    <mergeCell ref="F28:F31"/>
    <mergeCell ref="G28:G31"/>
    <mergeCell ref="C28:C31"/>
    <mergeCell ref="G25:G27"/>
    <mergeCell ref="C25:C27"/>
    <mergeCell ref="D25:D27"/>
    <mergeCell ref="E25:E27"/>
    <mergeCell ref="F25:F27"/>
    <mergeCell ref="P40:P42"/>
    <mergeCell ref="J50:J52"/>
    <mergeCell ref="K50:K52"/>
    <mergeCell ref="P50:P52"/>
    <mergeCell ref="M34:M36"/>
    <mergeCell ref="N34:N36"/>
    <mergeCell ref="O34:O36"/>
    <mergeCell ref="P34:P36"/>
    <mergeCell ref="F34:F36"/>
    <mergeCell ref="G34:G36"/>
    <mergeCell ref="H40:H42"/>
    <mergeCell ref="I40:I42"/>
    <mergeCell ref="J40:J42"/>
    <mergeCell ref="K40:K42"/>
    <mergeCell ref="Q50:Q52"/>
    <mergeCell ref="C43:C45"/>
    <mergeCell ref="D43:D45"/>
    <mergeCell ref="E43:E45"/>
    <mergeCell ref="F43:F45"/>
    <mergeCell ref="G43:G45"/>
    <mergeCell ref="H43:H45"/>
    <mergeCell ref="I43:I45"/>
    <mergeCell ref="J43:J45"/>
    <mergeCell ref="K43:K45"/>
    <mergeCell ref="L43:L45"/>
    <mergeCell ref="M43:M45"/>
    <mergeCell ref="N43:N45"/>
    <mergeCell ref="O43:O45"/>
    <mergeCell ref="P43:P45"/>
    <mergeCell ref="Q43:Q45"/>
    <mergeCell ref="L50:L52"/>
    <mergeCell ref="M50:M52"/>
    <mergeCell ref="I50:I52"/>
    <mergeCell ref="C37:C39"/>
    <mergeCell ref="F37:F39"/>
    <mergeCell ref="J37:J39"/>
    <mergeCell ref="K37:K39"/>
    <mergeCell ref="N37:N39"/>
    <mergeCell ref="O37:O39"/>
    <mergeCell ref="P37:P39"/>
    <mergeCell ref="J47:J49"/>
    <mergeCell ref="K47:K49"/>
    <mergeCell ref="L47:L49"/>
    <mergeCell ref="M47:M49"/>
    <mergeCell ref="N47:N49"/>
    <mergeCell ref="O47:O49"/>
    <mergeCell ref="P47:P49"/>
    <mergeCell ref="L40:L42"/>
    <mergeCell ref="M40:M42"/>
    <mergeCell ref="N40:N42"/>
    <mergeCell ref="O40:O42"/>
    <mergeCell ref="C40:C42"/>
    <mergeCell ref="D37:D39"/>
    <mergeCell ref="E40:E42"/>
    <mergeCell ref="F40:F42"/>
    <mergeCell ref="G40:G42"/>
    <mergeCell ref="D40:D42"/>
    <mergeCell ref="Q34:Q36"/>
    <mergeCell ref="L37:L39"/>
    <mergeCell ref="M37:M39"/>
    <mergeCell ref="C47:C49"/>
    <mergeCell ref="D47:D49"/>
    <mergeCell ref="E47:E49"/>
    <mergeCell ref="F47:F49"/>
    <mergeCell ref="G47:G49"/>
    <mergeCell ref="N50:N52"/>
    <mergeCell ref="O50:O52"/>
    <mergeCell ref="C50:C52"/>
    <mergeCell ref="D50:D52"/>
    <mergeCell ref="E50:E52"/>
    <mergeCell ref="F50:F52"/>
    <mergeCell ref="G50:G52"/>
    <mergeCell ref="H50:H52"/>
    <mergeCell ref="I37:I39"/>
    <mergeCell ref="H37:H39"/>
    <mergeCell ref="G37:G39"/>
    <mergeCell ref="E37:E39"/>
    <mergeCell ref="Q40:Q42"/>
    <mergeCell ref="Q47:Q49"/>
    <mergeCell ref="H47:H49"/>
    <mergeCell ref="I47:I49"/>
    <mergeCell ref="C87:C89"/>
    <mergeCell ref="D87:D89"/>
    <mergeCell ref="G63:G66"/>
    <mergeCell ref="C84:C86"/>
    <mergeCell ref="D84:D86"/>
    <mergeCell ref="E84:E86"/>
    <mergeCell ref="Q56:Q58"/>
    <mergeCell ref="H56:H58"/>
    <mergeCell ref="I56:I58"/>
    <mergeCell ref="J56:J58"/>
    <mergeCell ref="K56:K58"/>
    <mergeCell ref="L56:L58"/>
    <mergeCell ref="C56:C58"/>
    <mergeCell ref="D56:D58"/>
    <mergeCell ref="E56:E58"/>
    <mergeCell ref="F56:F58"/>
    <mergeCell ref="G56:G58"/>
    <mergeCell ref="M56:M58"/>
    <mergeCell ref="N56:N58"/>
    <mergeCell ref="O56:O58"/>
    <mergeCell ref="P56:P58"/>
    <mergeCell ref="F84:F86"/>
    <mergeCell ref="G84:G86"/>
    <mergeCell ref="E63:E66"/>
    <mergeCell ref="M94:M97"/>
    <mergeCell ref="N94:N97"/>
    <mergeCell ref="O94:O97"/>
    <mergeCell ref="P94:P97"/>
    <mergeCell ref="H94:H97"/>
    <mergeCell ref="I94:I97"/>
    <mergeCell ref="J94:J97"/>
    <mergeCell ref="K94:K97"/>
    <mergeCell ref="L94:L97"/>
    <mergeCell ref="F63:F66"/>
    <mergeCell ref="C80:C83"/>
    <mergeCell ref="D80:D83"/>
    <mergeCell ref="E80:E83"/>
    <mergeCell ref="F80:F83"/>
    <mergeCell ref="G80:G83"/>
    <mergeCell ref="C76:C79"/>
    <mergeCell ref="D76:D79"/>
    <mergeCell ref="E76:E79"/>
    <mergeCell ref="C73:C75"/>
    <mergeCell ref="D73:D75"/>
    <mergeCell ref="Q73:Q75"/>
    <mergeCell ref="H73:H75"/>
    <mergeCell ref="I73:I75"/>
    <mergeCell ref="J73:J75"/>
    <mergeCell ref="K73:K75"/>
    <mergeCell ref="L73:L75"/>
    <mergeCell ref="E87:E89"/>
    <mergeCell ref="F87:F89"/>
    <mergeCell ref="G87:G89"/>
    <mergeCell ref="F73:F75"/>
    <mergeCell ref="G73:G75"/>
    <mergeCell ref="E73:E75"/>
    <mergeCell ref="Q87:Q89"/>
    <mergeCell ref="H87:H89"/>
    <mergeCell ref="I87:I89"/>
    <mergeCell ref="J87:J89"/>
    <mergeCell ref="K87:K89"/>
    <mergeCell ref="L87:L89"/>
    <mergeCell ref="M87:M89"/>
    <mergeCell ref="N87:N89"/>
    <mergeCell ref="O87:O89"/>
    <mergeCell ref="P87:P89"/>
    <mergeCell ref="F76:F79"/>
    <mergeCell ref="G76:G79"/>
    <mergeCell ref="Q70:Q72"/>
    <mergeCell ref="H70:H72"/>
    <mergeCell ref="I70:I72"/>
    <mergeCell ref="J70:J72"/>
    <mergeCell ref="K70:K72"/>
    <mergeCell ref="L70:L72"/>
    <mergeCell ref="Q59:Q62"/>
    <mergeCell ref="H59:H62"/>
    <mergeCell ref="I59:I62"/>
    <mergeCell ref="J59:J62"/>
    <mergeCell ref="K59:K62"/>
    <mergeCell ref="L59:L62"/>
    <mergeCell ref="M59:M62"/>
    <mergeCell ref="N59:N62"/>
    <mergeCell ref="O59:O62"/>
    <mergeCell ref="P59:P62"/>
    <mergeCell ref="M63:M66"/>
    <mergeCell ref="N63:N66"/>
    <mergeCell ref="O63:O66"/>
    <mergeCell ref="P63:P66"/>
    <mergeCell ref="M70:M72"/>
    <mergeCell ref="N70:N72"/>
    <mergeCell ref="O70:O72"/>
    <mergeCell ref="P70:P72"/>
    <mergeCell ref="Q67:Q69"/>
    <mergeCell ref="H67:H69"/>
    <mergeCell ref="I67:I69"/>
    <mergeCell ref="J67:J69"/>
    <mergeCell ref="K67:K69"/>
    <mergeCell ref="L67:L69"/>
    <mergeCell ref="C59:C62"/>
    <mergeCell ref="D59:D62"/>
    <mergeCell ref="E59:E62"/>
    <mergeCell ref="F59:F62"/>
    <mergeCell ref="G59:G62"/>
    <mergeCell ref="C67:C69"/>
    <mergeCell ref="D67:D69"/>
    <mergeCell ref="E67:E69"/>
    <mergeCell ref="F67:F69"/>
    <mergeCell ref="G67:G69"/>
    <mergeCell ref="Q63:Q66"/>
    <mergeCell ref="H63:H66"/>
    <mergeCell ref="I63:I66"/>
    <mergeCell ref="J63:J66"/>
    <mergeCell ref="K63:K66"/>
    <mergeCell ref="L63:L66"/>
    <mergeCell ref="C63:C66"/>
    <mergeCell ref="D63:D66"/>
    <mergeCell ref="Q53:Q55"/>
    <mergeCell ref="H53:H55"/>
    <mergeCell ref="I53:I55"/>
    <mergeCell ref="J53:J55"/>
    <mergeCell ref="K53:K55"/>
    <mergeCell ref="L53:L55"/>
    <mergeCell ref="C53:C55"/>
    <mergeCell ref="D53:D55"/>
    <mergeCell ref="E53:E55"/>
    <mergeCell ref="F53:F55"/>
    <mergeCell ref="G53:G55"/>
    <mergeCell ref="M53:M55"/>
    <mergeCell ref="N53:N55"/>
    <mergeCell ref="O53:O55"/>
    <mergeCell ref="P53:P55"/>
    <mergeCell ref="M67:M69"/>
    <mergeCell ref="N67:N69"/>
    <mergeCell ref="O67:O69"/>
    <mergeCell ref="P67:P69"/>
    <mergeCell ref="C70:C72"/>
    <mergeCell ref="D70:D72"/>
    <mergeCell ref="E70:E72"/>
    <mergeCell ref="F70:F72"/>
    <mergeCell ref="G70:G72"/>
    <mergeCell ref="M84:M86"/>
    <mergeCell ref="N84:N86"/>
    <mergeCell ref="O84:O86"/>
    <mergeCell ref="P84:P86"/>
    <mergeCell ref="N76:N79"/>
    <mergeCell ref="O76:O79"/>
    <mergeCell ref="P76:P79"/>
    <mergeCell ref="M73:M75"/>
    <mergeCell ref="N73:N75"/>
    <mergeCell ref="O73:O75"/>
    <mergeCell ref="P73:P75"/>
    <mergeCell ref="Q80:Q83"/>
    <mergeCell ref="H80:H83"/>
    <mergeCell ref="I80:I83"/>
    <mergeCell ref="J80:J83"/>
    <mergeCell ref="K80:K83"/>
    <mergeCell ref="L80:L83"/>
    <mergeCell ref="M80:M83"/>
    <mergeCell ref="N80:N83"/>
    <mergeCell ref="O80:O83"/>
    <mergeCell ref="P80:P83"/>
    <mergeCell ref="M98:M101"/>
    <mergeCell ref="N98:N101"/>
    <mergeCell ref="O98:O101"/>
    <mergeCell ref="P98:P101"/>
    <mergeCell ref="Q76:Q79"/>
    <mergeCell ref="H76:H79"/>
    <mergeCell ref="I76:I79"/>
    <mergeCell ref="J76:J79"/>
    <mergeCell ref="K76:K79"/>
    <mergeCell ref="L76:L79"/>
    <mergeCell ref="M76:M79"/>
    <mergeCell ref="H98:H101"/>
    <mergeCell ref="I98:I101"/>
    <mergeCell ref="J98:J101"/>
    <mergeCell ref="K98:K101"/>
    <mergeCell ref="L98:L101"/>
    <mergeCell ref="Q98:Q101"/>
    <mergeCell ref="Q94:Q97"/>
    <mergeCell ref="Q84:Q86"/>
    <mergeCell ref="H84:H86"/>
    <mergeCell ref="I84:I86"/>
    <mergeCell ref="J84:J86"/>
    <mergeCell ref="K84:K86"/>
    <mergeCell ref="L84:L86"/>
    <mergeCell ref="F98:F101"/>
    <mergeCell ref="C90:C93"/>
    <mergeCell ref="D90:D93"/>
    <mergeCell ref="E90:E93"/>
    <mergeCell ref="F90:F93"/>
    <mergeCell ref="G90:G93"/>
    <mergeCell ref="D94:D97"/>
    <mergeCell ref="F94:F97"/>
    <mergeCell ref="C98:C101"/>
    <mergeCell ref="D98:D101"/>
    <mergeCell ref="E98:E101"/>
    <mergeCell ref="G98:G101"/>
    <mergeCell ref="C94:C97"/>
    <mergeCell ref="E94:E97"/>
    <mergeCell ref="G94:G97"/>
    <mergeCell ref="M90:M93"/>
    <mergeCell ref="N90:N93"/>
    <mergeCell ref="O90:O93"/>
    <mergeCell ref="P90:P93"/>
    <mergeCell ref="Q90:Q93"/>
    <mergeCell ref="H90:H93"/>
    <mergeCell ref="I90:I93"/>
    <mergeCell ref="J90:J93"/>
    <mergeCell ref="K90:K93"/>
    <mergeCell ref="L90:L93"/>
    <mergeCell ref="Q102:Q106"/>
    <mergeCell ref="Q119:Q122"/>
    <mergeCell ref="M114:M118"/>
    <mergeCell ref="N114:N118"/>
    <mergeCell ref="O114:O118"/>
    <mergeCell ref="P114:P118"/>
    <mergeCell ref="Q114:Q118"/>
    <mergeCell ref="M109:M113"/>
    <mergeCell ref="N109:N113"/>
    <mergeCell ref="O109:O113"/>
    <mergeCell ref="P109:P113"/>
    <mergeCell ref="Q109:Q113"/>
    <mergeCell ref="L119:L122"/>
    <mergeCell ref="M102:M106"/>
    <mergeCell ref="N102:N106"/>
    <mergeCell ref="O102:O106"/>
    <mergeCell ref="P102:P106"/>
    <mergeCell ref="M119:M122"/>
    <mergeCell ref="N119:N122"/>
    <mergeCell ref="O119:O122"/>
    <mergeCell ref="P119:P122"/>
    <mergeCell ref="C119:C122"/>
    <mergeCell ref="D119:D122"/>
    <mergeCell ref="E119:E122"/>
    <mergeCell ref="F119:F122"/>
    <mergeCell ref="G119:G122"/>
    <mergeCell ref="H119:H122"/>
    <mergeCell ref="I119:I122"/>
    <mergeCell ref="J119:J122"/>
    <mergeCell ref="K119:K122"/>
    <mergeCell ref="H114:H118"/>
    <mergeCell ref="I114:I118"/>
    <mergeCell ref="J114:J118"/>
    <mergeCell ref="K114:K118"/>
    <mergeCell ref="L114:L118"/>
    <mergeCell ref="C114:C118"/>
    <mergeCell ref="D114:D118"/>
    <mergeCell ref="E114:E118"/>
    <mergeCell ref="F114:F118"/>
    <mergeCell ref="G114:G118"/>
    <mergeCell ref="H109:H113"/>
    <mergeCell ref="I109:I113"/>
    <mergeCell ref="J109:J113"/>
    <mergeCell ref="K109:K113"/>
    <mergeCell ref="L109:L113"/>
    <mergeCell ref="C109:C113"/>
    <mergeCell ref="D109:D113"/>
    <mergeCell ref="E109:E113"/>
    <mergeCell ref="F109:F113"/>
    <mergeCell ref="G109:G113"/>
    <mergeCell ref="H102:H106"/>
    <mergeCell ref="I102:I106"/>
    <mergeCell ref="J102:J106"/>
    <mergeCell ref="K102:K106"/>
    <mergeCell ref="L102:L106"/>
    <mergeCell ref="C102:C106"/>
    <mergeCell ref="D102:D106"/>
    <mergeCell ref="E102:E106"/>
    <mergeCell ref="F102:F106"/>
    <mergeCell ref="G102:G106"/>
    <mergeCell ref="Q18:Q20"/>
    <mergeCell ref="P18:P20"/>
    <mergeCell ref="O18:O20"/>
    <mergeCell ref="N18:N20"/>
    <mergeCell ref="M18:M20"/>
    <mergeCell ref="L18:L20"/>
    <mergeCell ref="K18:K20"/>
    <mergeCell ref="C11:C13"/>
    <mergeCell ref="D11:D13"/>
    <mergeCell ref="C18:C20"/>
    <mergeCell ref="D18:D20"/>
    <mergeCell ref="E18:E20"/>
    <mergeCell ref="F18:F20"/>
    <mergeCell ref="G18:G20"/>
    <mergeCell ref="Q14:Q16"/>
    <mergeCell ref="H14:H16"/>
    <mergeCell ref="I14:I16"/>
    <mergeCell ref="J14:J16"/>
    <mergeCell ref="H18:H20"/>
    <mergeCell ref="Q11:Q13"/>
    <mergeCell ref="M11:M13"/>
    <mergeCell ref="J11:J13"/>
    <mergeCell ref="K11:K13"/>
    <mergeCell ref="L11:L13"/>
  </mergeCell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FB58D49-D1C0-4270-ACFB-03A7341BCCED}">
          <x14:formula1>
            <xm:f>'Paso 3 Redacción RA'!$I$4:$I$12</xm:f>
          </x14:formula1>
          <xm:sqref>B125:B128</xm:sqref>
        </x14:dataValidation>
        <x14:dataValidation type="list" allowBlank="1" showInputMessage="1" showErrorMessage="1" xr:uid="{012A8338-011E-4706-B4DB-5C41D4903980}">
          <x14:formula1>
            <xm:f>'Paso 3 Redacción RA'!$I$3:$I$12</xm:f>
          </x14:formula1>
          <xm:sqref>B3:B124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8"/>
  <sheetViews>
    <sheetView workbookViewId="0">
      <selection activeCell="B15" sqref="B15"/>
    </sheetView>
  </sheetViews>
  <sheetFormatPr defaultColWidth="9.140625" defaultRowHeight="15"/>
  <cols>
    <col min="2" max="2" width="29.28515625" customWidth="1"/>
  </cols>
  <sheetData>
    <row r="1" spans="2:2">
      <c r="B1" s="1" t="s">
        <v>368</v>
      </c>
    </row>
    <row r="2" spans="2:2">
      <c r="B2" s="1" t="s">
        <v>369</v>
      </c>
    </row>
    <row r="3" spans="2:2">
      <c r="B3" s="1" t="s">
        <v>370</v>
      </c>
    </row>
    <row r="4" spans="2:2">
      <c r="B4" s="1" t="s">
        <v>371</v>
      </c>
    </row>
    <row r="5" spans="2:2">
      <c r="B5" s="1" t="s">
        <v>372</v>
      </c>
    </row>
    <row r="6" spans="2:2">
      <c r="B6" s="1" t="s">
        <v>373</v>
      </c>
    </row>
    <row r="7" spans="2:2">
      <c r="B7" s="1" t="s">
        <v>374</v>
      </c>
    </row>
    <row r="8" spans="2:2">
      <c r="B8" s="1" t="s">
        <v>375</v>
      </c>
    </row>
    <row r="9" spans="2:2">
      <c r="B9" s="1" t="s">
        <v>376</v>
      </c>
    </row>
    <row r="10" spans="2:2">
      <c r="B10" s="1" t="s">
        <v>377</v>
      </c>
    </row>
    <row r="11" spans="2:2">
      <c r="B11" s="1" t="s">
        <v>378</v>
      </c>
    </row>
    <row r="12" spans="2:2">
      <c r="B12" s="1" t="s">
        <v>379</v>
      </c>
    </row>
    <row r="13" spans="2:2">
      <c r="B13" s="1" t="s">
        <v>380</v>
      </c>
    </row>
    <row r="14" spans="2:2">
      <c r="B14" s="1" t="s">
        <v>56</v>
      </c>
    </row>
    <row r="15" spans="2:2">
      <c r="B15" s="1" t="s">
        <v>53</v>
      </c>
    </row>
    <row r="16" spans="2:2">
      <c r="B16" s="1" t="s">
        <v>381</v>
      </c>
    </row>
    <row r="17" spans="2:2">
      <c r="B17" s="1" t="s">
        <v>382</v>
      </c>
    </row>
    <row r="18" spans="2:2">
      <c r="B18" s="1" t="s">
        <v>383</v>
      </c>
    </row>
    <row r="19" spans="2:2">
      <c r="B19" s="1" t="s">
        <v>384</v>
      </c>
    </row>
    <row r="20" spans="2:2">
      <c r="B20" s="1" t="s">
        <v>385</v>
      </c>
    </row>
    <row r="21" spans="2:2">
      <c r="B21" s="1" t="s">
        <v>386</v>
      </c>
    </row>
    <row r="22" spans="2:2">
      <c r="B22" s="1" t="s">
        <v>387</v>
      </c>
    </row>
    <row r="23" spans="2:2">
      <c r="B23" s="1" t="s">
        <v>101</v>
      </c>
    </row>
    <row r="24" spans="2:2">
      <c r="B24" s="1" t="s">
        <v>388</v>
      </c>
    </row>
    <row r="25" spans="2:2">
      <c r="B25" s="1" t="s">
        <v>389</v>
      </c>
    </row>
    <row r="26" spans="2:2">
      <c r="B26" s="1" t="s">
        <v>390</v>
      </c>
    </row>
    <row r="27" spans="2:2">
      <c r="B27" s="1" t="s">
        <v>391</v>
      </c>
    </row>
    <row r="28" spans="2:2">
      <c r="B28" s="1" t="s">
        <v>392</v>
      </c>
    </row>
    <row r="29" spans="2:2">
      <c r="B29" s="1" t="s">
        <v>88</v>
      </c>
    </row>
    <row r="30" spans="2:2">
      <c r="B30" s="1" t="s">
        <v>393</v>
      </c>
    </row>
    <row r="31" spans="2:2">
      <c r="B31" s="1" t="s">
        <v>394</v>
      </c>
    </row>
    <row r="32" spans="2:2">
      <c r="B32" s="1" t="s">
        <v>395</v>
      </c>
    </row>
    <row r="33" spans="2:2">
      <c r="B33" s="1" t="s">
        <v>396</v>
      </c>
    </row>
    <row r="34" spans="2:2">
      <c r="B34" s="1" t="s">
        <v>397</v>
      </c>
    </row>
    <row r="35" spans="2:2">
      <c r="B35" s="1" t="s">
        <v>398</v>
      </c>
    </row>
    <row r="36" spans="2:2">
      <c r="B36" s="1" t="s">
        <v>399</v>
      </c>
    </row>
    <row r="37" spans="2:2">
      <c r="B37" s="1" t="s">
        <v>84</v>
      </c>
    </row>
    <row r="38" spans="2:2">
      <c r="B38" s="1" t="s">
        <v>400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S1" zoomScale="145" zoomScaleNormal="145" workbookViewId="0">
      <selection activeCell="T4" sqref="T4"/>
    </sheetView>
  </sheetViews>
  <sheetFormatPr defaultColWidth="9.140625" defaultRowHeight="15"/>
  <cols>
    <col min="1" max="1" width="20.42578125" style="12" customWidth="1"/>
    <col min="2" max="2" width="14.42578125" style="12" customWidth="1"/>
    <col min="3" max="3" width="22.28515625" style="12" customWidth="1"/>
    <col min="4" max="4" width="21.42578125" style="12" customWidth="1"/>
    <col min="5" max="5" width="20.7109375" style="12" customWidth="1"/>
    <col min="6" max="6" width="16.7109375" style="12" customWidth="1"/>
    <col min="7" max="7" width="21.7109375" style="12" customWidth="1"/>
    <col min="8" max="8" width="26.28515625" style="12" customWidth="1"/>
    <col min="9" max="9" width="25.28515625" style="12" customWidth="1"/>
    <col min="10" max="10" width="24.42578125" style="12" customWidth="1"/>
    <col min="11" max="11" width="15.28515625" style="12" customWidth="1"/>
    <col min="12" max="17" width="17.7109375" style="12" customWidth="1"/>
    <col min="18" max="18" width="22.42578125" style="12" customWidth="1"/>
    <col min="19" max="19" width="15.42578125" style="12" customWidth="1"/>
    <col min="20" max="20" width="14.85546875" style="12" customWidth="1"/>
    <col min="21" max="25" width="13.28515625" style="12" customWidth="1"/>
    <col min="26" max="26" width="16.42578125" style="12" customWidth="1"/>
    <col min="27" max="27" width="13.28515625" style="12" customWidth="1"/>
    <col min="28" max="28" width="16" style="12" customWidth="1"/>
    <col min="29" max="29" width="19.42578125" style="12" customWidth="1"/>
    <col min="30" max="30" width="21.7109375" style="12" bestFit="1" customWidth="1"/>
    <col min="31" max="31" width="13.28515625" style="12" customWidth="1"/>
    <col min="32" max="32" width="13.85546875" style="12" customWidth="1"/>
    <col min="33" max="33" width="30.7109375" style="12" customWidth="1"/>
    <col min="34" max="36" width="13.28515625" style="12" customWidth="1"/>
    <col min="37" max="37" width="14.42578125" style="12" customWidth="1"/>
    <col min="38" max="43" width="16.7109375" style="12" customWidth="1"/>
    <col min="44" max="45" width="13.28515625" style="12" customWidth="1"/>
    <col min="46" max="46" width="23.7109375" style="12" customWidth="1"/>
    <col min="47" max="47" width="22.42578125" style="12" customWidth="1"/>
    <col min="48" max="48" width="24.28515625" style="12" customWidth="1"/>
    <col min="49" max="49" width="27.7109375" style="12" customWidth="1"/>
    <col min="50" max="50" width="24.7109375" style="12" customWidth="1"/>
    <col min="51" max="51" width="22.42578125" style="12" customWidth="1"/>
    <col min="52" max="55" width="13.28515625" style="12" customWidth="1"/>
    <col min="56" max="16384" width="9.140625" style="12"/>
  </cols>
  <sheetData>
    <row r="1" spans="1:55" ht="15.95" thickBot="1">
      <c r="A1" s="1"/>
      <c r="B1" s="1"/>
      <c r="C1" s="1"/>
      <c r="D1" s="1"/>
      <c r="E1" s="1"/>
      <c r="F1" s="1"/>
      <c r="G1" s="1"/>
      <c r="H1" s="1"/>
      <c r="I1" s="1"/>
      <c r="J1" s="1"/>
      <c r="K1" s="1"/>
      <c r="L1" s="1"/>
      <c r="M1" s="1"/>
      <c r="N1" s="1"/>
      <c r="O1" s="1"/>
      <c r="P1" s="1"/>
      <c r="Q1" s="1"/>
      <c r="R1" s="1"/>
      <c r="S1" s="167" t="s">
        <v>401</v>
      </c>
      <c r="T1" s="167"/>
      <c r="U1" s="167"/>
      <c r="V1" s="167"/>
      <c r="W1" s="167"/>
      <c r="X1" s="167"/>
      <c r="Y1" s="167"/>
      <c r="Z1" s="167"/>
      <c r="AA1" s="167"/>
      <c r="AB1" s="167"/>
      <c r="AC1" s="167"/>
      <c r="AD1" s="167"/>
      <c r="AE1" s="167"/>
      <c r="AF1" s="167"/>
      <c r="AG1" s="167"/>
      <c r="AH1" s="14"/>
      <c r="AI1" s="14"/>
      <c r="AJ1" s="14"/>
      <c r="AK1" s="1"/>
      <c r="AL1" s="167" t="s">
        <v>402</v>
      </c>
      <c r="AM1" s="167"/>
      <c r="AN1" s="167"/>
      <c r="AO1" s="167"/>
      <c r="AP1" s="167"/>
      <c r="AQ1" s="167"/>
      <c r="AR1" s="14"/>
      <c r="AS1" s="14"/>
      <c r="AT1" s="167" t="s">
        <v>403</v>
      </c>
      <c r="AU1" s="167"/>
      <c r="AV1" s="167"/>
      <c r="AW1" s="167"/>
      <c r="AX1" s="167"/>
      <c r="AY1" s="167"/>
      <c r="AZ1" s="14"/>
      <c r="BA1" s="1"/>
      <c r="BB1" s="1"/>
      <c r="BC1" s="14"/>
    </row>
    <row r="2" spans="1:55">
      <c r="A2" s="1"/>
      <c r="B2" s="1"/>
      <c r="C2" s="1"/>
      <c r="D2" s="1"/>
      <c r="E2" s="1"/>
      <c r="F2" s="1"/>
      <c r="G2" s="1"/>
      <c r="H2" s="1"/>
      <c r="I2" s="1"/>
      <c r="J2" s="1"/>
      <c r="K2" s="1"/>
      <c r="L2" s="167" t="s">
        <v>404</v>
      </c>
      <c r="M2" s="167"/>
      <c r="N2" s="167"/>
      <c r="O2" s="167"/>
      <c r="P2" s="167"/>
      <c r="Q2" s="167"/>
      <c r="R2" s="1"/>
      <c r="S2" s="168" t="s">
        <v>405</v>
      </c>
      <c r="T2" s="169"/>
      <c r="U2" s="169"/>
      <c r="V2" s="169"/>
      <c r="W2" s="169"/>
      <c r="X2" s="170"/>
      <c r="Y2" s="171" t="s">
        <v>406</v>
      </c>
      <c r="Z2" s="172"/>
      <c r="AA2" s="172"/>
      <c r="AB2" s="173"/>
      <c r="AC2" s="171" t="s">
        <v>407</v>
      </c>
      <c r="AD2" s="172"/>
      <c r="AE2" s="172"/>
      <c r="AF2" s="172"/>
      <c r="AG2" s="174"/>
      <c r="AH2" s="14"/>
      <c r="AI2" s="14"/>
      <c r="AJ2" s="14"/>
      <c r="AK2" s="1"/>
      <c r="AL2" s="167"/>
      <c r="AM2" s="167"/>
      <c r="AN2" s="167"/>
      <c r="AO2" s="167"/>
      <c r="AP2" s="167"/>
      <c r="AQ2" s="167"/>
      <c r="AR2" s="14"/>
      <c r="AS2" s="14"/>
      <c r="AT2" s="14"/>
      <c r="AU2" s="14"/>
      <c r="AV2" s="14"/>
      <c r="AW2" s="14"/>
      <c r="AX2" s="14"/>
      <c r="AY2" s="14"/>
      <c r="AZ2" s="14"/>
      <c r="BA2" s="1"/>
      <c r="BB2" s="1"/>
      <c r="BC2" s="14"/>
    </row>
    <row r="3" spans="1:55">
      <c r="A3" s="1" t="s">
        <v>408</v>
      </c>
      <c r="B3" s="1"/>
      <c r="C3" s="1" t="s">
        <v>81</v>
      </c>
      <c r="D3" s="1" t="s">
        <v>409</v>
      </c>
      <c r="E3" s="1" t="s">
        <v>410</v>
      </c>
      <c r="F3" s="1"/>
      <c r="G3" s="1" t="s">
        <v>104</v>
      </c>
      <c r="H3" s="1" t="s">
        <v>411</v>
      </c>
      <c r="I3" s="1" t="s">
        <v>412</v>
      </c>
      <c r="J3" s="1"/>
      <c r="K3" s="1"/>
      <c r="L3" s="1" t="s">
        <v>413</v>
      </c>
      <c r="M3" s="1" t="s">
        <v>105</v>
      </c>
      <c r="N3" s="1" t="s">
        <v>414</v>
      </c>
      <c r="O3" s="1" t="s">
        <v>415</v>
      </c>
      <c r="P3" s="1" t="s">
        <v>416</v>
      </c>
      <c r="Q3" s="1" t="s">
        <v>417</v>
      </c>
      <c r="R3" s="1"/>
      <c r="S3" s="63" t="s">
        <v>418</v>
      </c>
      <c r="T3" s="1" t="s">
        <v>154</v>
      </c>
      <c r="U3" s="1" t="s">
        <v>419</v>
      </c>
      <c r="V3" s="1" t="s">
        <v>94</v>
      </c>
      <c r="W3" s="1" t="s">
        <v>83</v>
      </c>
      <c r="X3" s="1" t="s">
        <v>420</v>
      </c>
      <c r="Y3" s="63" t="s">
        <v>421</v>
      </c>
      <c r="Z3" s="1" t="s">
        <v>157</v>
      </c>
      <c r="AA3" s="1" t="s">
        <v>87</v>
      </c>
      <c r="AB3" s="1" t="s">
        <v>96</v>
      </c>
      <c r="AC3" s="63" t="s">
        <v>422</v>
      </c>
      <c r="AD3" s="1" t="s">
        <v>423</v>
      </c>
      <c r="AE3" s="1" t="s">
        <v>161</v>
      </c>
      <c r="AF3" s="1" t="s">
        <v>91</v>
      </c>
      <c r="AG3" s="64" t="s">
        <v>424</v>
      </c>
      <c r="AH3" s="1"/>
      <c r="AI3" s="1"/>
      <c r="AJ3" s="1"/>
      <c r="AK3" s="1"/>
      <c r="AL3" s="144" t="s">
        <v>425</v>
      </c>
      <c r="AM3" s="144"/>
      <c r="AN3" s="144"/>
      <c r="AO3" s="144" t="s">
        <v>426</v>
      </c>
      <c r="AP3" s="144"/>
      <c r="AQ3" s="144"/>
      <c r="AR3" s="15"/>
      <c r="AS3" s="15"/>
      <c r="AT3" s="15"/>
      <c r="AU3" s="15"/>
      <c r="AV3" s="15"/>
      <c r="AW3" s="15"/>
      <c r="AX3" s="15"/>
      <c r="AY3" s="15"/>
      <c r="AZ3" s="15"/>
      <c r="BA3" s="1"/>
      <c r="BB3" s="1"/>
      <c r="BC3" s="15"/>
    </row>
    <row r="4" spans="1:55">
      <c r="A4" s="1" t="s">
        <v>103</v>
      </c>
      <c r="B4" s="1"/>
      <c r="C4" s="1" t="s">
        <v>82</v>
      </c>
      <c r="D4" s="1" t="s">
        <v>427</v>
      </c>
      <c r="E4" s="1" t="s">
        <v>428</v>
      </c>
      <c r="F4" s="1"/>
      <c r="G4" s="1" t="s">
        <v>413</v>
      </c>
      <c r="H4" s="1" t="s">
        <v>413</v>
      </c>
      <c r="I4" s="1" t="s">
        <v>413</v>
      </c>
      <c r="J4" s="1"/>
      <c r="K4" s="1"/>
      <c r="L4" s="1" t="s">
        <v>429</v>
      </c>
      <c r="M4" s="1" t="s">
        <v>373</v>
      </c>
      <c r="N4" s="1" t="s">
        <v>158</v>
      </c>
      <c r="O4" s="1" t="s">
        <v>430</v>
      </c>
      <c r="P4" s="1" t="s">
        <v>431</v>
      </c>
      <c r="Q4" s="1" t="s">
        <v>432</v>
      </c>
      <c r="R4" s="1"/>
      <c r="S4" s="63" t="s">
        <v>429</v>
      </c>
      <c r="T4" s="1" t="s">
        <v>373</v>
      </c>
      <c r="U4" s="1" t="s">
        <v>158</v>
      </c>
      <c r="V4" s="1" t="s">
        <v>430</v>
      </c>
      <c r="W4" s="1" t="s">
        <v>431</v>
      </c>
      <c r="X4" s="1" t="s">
        <v>432</v>
      </c>
      <c r="Y4" s="63" t="s">
        <v>433</v>
      </c>
      <c r="Z4" s="1" t="s">
        <v>434</v>
      </c>
      <c r="AA4" s="1" t="s">
        <v>435</v>
      </c>
      <c r="AB4" s="1" t="s">
        <v>436</v>
      </c>
      <c r="AC4" s="63" t="s">
        <v>437</v>
      </c>
      <c r="AD4" s="1" t="s">
        <v>433</v>
      </c>
      <c r="AE4" s="1" t="s">
        <v>437</v>
      </c>
      <c r="AF4" s="1" t="s">
        <v>438</v>
      </c>
      <c r="AG4" s="64" t="s">
        <v>439</v>
      </c>
      <c r="AH4" s="1"/>
      <c r="AI4" s="1"/>
      <c r="AJ4" s="1"/>
      <c r="AK4" s="1"/>
      <c r="AL4" s="16" t="s">
        <v>440</v>
      </c>
      <c r="AM4" s="16" t="s">
        <v>441</v>
      </c>
      <c r="AN4" s="16" t="s">
        <v>442</v>
      </c>
      <c r="AO4" s="16" t="s">
        <v>443</v>
      </c>
      <c r="AP4" s="17" t="s">
        <v>444</v>
      </c>
      <c r="AQ4" s="16" t="s">
        <v>445</v>
      </c>
      <c r="AR4" s="15"/>
      <c r="AS4" s="15"/>
      <c r="AT4" s="1" t="s">
        <v>446</v>
      </c>
      <c r="AU4" s="1" t="s">
        <v>447</v>
      </c>
      <c r="AV4" s="1" t="s">
        <v>448</v>
      </c>
      <c r="AW4" s="1" t="s">
        <v>449</v>
      </c>
      <c r="AX4" s="1" t="s">
        <v>450</v>
      </c>
      <c r="AY4" s="1" t="s">
        <v>451</v>
      </c>
      <c r="AZ4" s="15"/>
      <c r="BA4" s="1"/>
      <c r="BB4" s="1"/>
      <c r="BC4" s="15"/>
    </row>
    <row r="5" spans="1:55">
      <c r="A5" s="1" t="s">
        <v>81</v>
      </c>
      <c r="B5" s="1"/>
      <c r="C5" s="1" t="s">
        <v>86</v>
      </c>
      <c r="D5" s="1" t="s">
        <v>452</v>
      </c>
      <c r="E5" s="1" t="s">
        <v>453</v>
      </c>
      <c r="F5" s="1"/>
      <c r="G5" s="1" t="s">
        <v>105</v>
      </c>
      <c r="H5" s="1" t="s">
        <v>105</v>
      </c>
      <c r="I5" s="1" t="s">
        <v>105</v>
      </c>
      <c r="J5" s="1"/>
      <c r="K5" s="1"/>
      <c r="L5" s="1" t="s">
        <v>454</v>
      </c>
      <c r="M5" s="1" t="s">
        <v>455</v>
      </c>
      <c r="N5" s="1" t="s">
        <v>456</v>
      </c>
      <c r="O5" s="1" t="s">
        <v>59</v>
      </c>
      <c r="P5" s="1" t="s">
        <v>370</v>
      </c>
      <c r="Q5" s="1" t="s">
        <v>457</v>
      </c>
      <c r="R5" s="1"/>
      <c r="S5" s="63" t="s">
        <v>454</v>
      </c>
      <c r="T5" s="1" t="s">
        <v>455</v>
      </c>
      <c r="U5" s="1" t="s">
        <v>456</v>
      </c>
      <c r="V5" s="1" t="s">
        <v>59</v>
      </c>
      <c r="W5" s="1" t="s">
        <v>370</v>
      </c>
      <c r="X5" s="1" t="s">
        <v>457</v>
      </c>
      <c r="Y5" s="63" t="s">
        <v>431</v>
      </c>
      <c r="Z5" s="1" t="s">
        <v>430</v>
      </c>
      <c r="AA5" s="1" t="s">
        <v>458</v>
      </c>
      <c r="AB5" s="1" t="s">
        <v>459</v>
      </c>
      <c r="AC5" s="63" t="s">
        <v>460</v>
      </c>
      <c r="AD5" s="1" t="s">
        <v>461</v>
      </c>
      <c r="AE5" s="65" t="s">
        <v>462</v>
      </c>
      <c r="AF5" s="1" t="s">
        <v>463</v>
      </c>
      <c r="AG5" s="64" t="s">
        <v>464</v>
      </c>
      <c r="AH5" s="1"/>
      <c r="AI5" s="1"/>
      <c r="AJ5" s="1"/>
      <c r="AK5" s="1"/>
      <c r="AL5" s="18" t="s">
        <v>465</v>
      </c>
      <c r="AM5" s="18" t="s">
        <v>466</v>
      </c>
      <c r="AN5" s="18" t="s">
        <v>458</v>
      </c>
      <c r="AO5" s="18" t="s">
        <v>467</v>
      </c>
      <c r="AP5" s="18" t="s">
        <v>431</v>
      </c>
      <c r="AQ5" s="18" t="s">
        <v>379</v>
      </c>
      <c r="AR5" s="18"/>
      <c r="AS5" s="18"/>
      <c r="AT5" s="19" t="s">
        <v>465</v>
      </c>
      <c r="AU5" s="20" t="s">
        <v>373</v>
      </c>
      <c r="AV5" s="19" t="s">
        <v>467</v>
      </c>
      <c r="AW5" s="19" t="s">
        <v>458</v>
      </c>
      <c r="AX5" s="20" t="s">
        <v>437</v>
      </c>
      <c r="AY5" s="20" t="s">
        <v>437</v>
      </c>
      <c r="AZ5" s="18"/>
      <c r="BA5" s="1"/>
      <c r="BB5" s="1"/>
      <c r="BC5" s="18"/>
    </row>
    <row r="6" spans="1:55">
      <c r="A6" s="1" t="s">
        <v>409</v>
      </c>
      <c r="B6" s="1"/>
      <c r="C6" s="1" t="s">
        <v>90</v>
      </c>
      <c r="D6" s="1" t="s">
        <v>468</v>
      </c>
      <c r="E6" s="1" t="s">
        <v>469</v>
      </c>
      <c r="F6" s="1"/>
      <c r="G6" s="1" t="s">
        <v>414</v>
      </c>
      <c r="H6" s="1" t="s">
        <v>414</v>
      </c>
      <c r="I6" s="1" t="s">
        <v>414</v>
      </c>
      <c r="J6" s="1"/>
      <c r="K6" s="1"/>
      <c r="L6" s="1" t="s">
        <v>470</v>
      </c>
      <c r="M6" s="1" t="s">
        <v>471</v>
      </c>
      <c r="N6" s="1" t="s">
        <v>472</v>
      </c>
      <c r="O6" s="1" t="s">
        <v>473</v>
      </c>
      <c r="P6" s="1" t="s">
        <v>436</v>
      </c>
      <c r="Q6" s="1" t="s">
        <v>474</v>
      </c>
      <c r="R6" s="1"/>
      <c r="S6" s="63" t="s">
        <v>470</v>
      </c>
      <c r="T6" s="1" t="s">
        <v>471</v>
      </c>
      <c r="U6" s="1" t="s">
        <v>472</v>
      </c>
      <c r="V6" s="1" t="s">
        <v>473</v>
      </c>
      <c r="W6" s="1" t="s">
        <v>436</v>
      </c>
      <c r="X6" s="1" t="s">
        <v>474</v>
      </c>
      <c r="Y6" s="63" t="s">
        <v>475</v>
      </c>
      <c r="Z6" s="1" t="s">
        <v>475</v>
      </c>
      <c r="AA6" s="1" t="s">
        <v>431</v>
      </c>
      <c r="AB6" s="1" t="s">
        <v>466</v>
      </c>
      <c r="AC6" s="63" t="s">
        <v>476</v>
      </c>
      <c r="AD6" s="1" t="s">
        <v>465</v>
      </c>
      <c r="AE6" s="1" t="s">
        <v>465</v>
      </c>
      <c r="AF6" s="1" t="s">
        <v>436</v>
      </c>
      <c r="AG6" s="64" t="s">
        <v>477</v>
      </c>
      <c r="AH6" s="1"/>
      <c r="AI6" s="1"/>
      <c r="AJ6" s="1"/>
      <c r="AK6" s="1"/>
      <c r="AL6" s="18" t="s">
        <v>470</v>
      </c>
      <c r="AM6" s="18" t="s">
        <v>478</v>
      </c>
      <c r="AN6" s="18" t="s">
        <v>467</v>
      </c>
      <c r="AO6" s="18" t="s">
        <v>430</v>
      </c>
      <c r="AP6" s="18" t="s">
        <v>479</v>
      </c>
      <c r="AQ6" s="18" t="s">
        <v>480</v>
      </c>
      <c r="AR6" s="18"/>
      <c r="AS6" s="18"/>
      <c r="AT6" s="21" t="s">
        <v>470</v>
      </c>
      <c r="AU6" s="22" t="s">
        <v>455</v>
      </c>
      <c r="AV6" s="20" t="s">
        <v>430</v>
      </c>
      <c r="AW6" s="21" t="s">
        <v>467</v>
      </c>
      <c r="AX6" s="22" t="s">
        <v>438</v>
      </c>
      <c r="AY6" s="20" t="s">
        <v>462</v>
      </c>
      <c r="AZ6" s="18"/>
      <c r="BA6" s="1"/>
      <c r="BB6" s="1"/>
      <c r="BC6" s="18"/>
    </row>
    <row r="7" spans="1:55">
      <c r="A7" s="1" t="s">
        <v>410</v>
      </c>
      <c r="B7" s="1"/>
      <c r="C7" s="1"/>
      <c r="D7" s="1" t="s">
        <v>481</v>
      </c>
      <c r="E7" s="1"/>
      <c r="F7" s="1"/>
      <c r="G7" s="1" t="s">
        <v>415</v>
      </c>
      <c r="H7" s="1" t="s">
        <v>415</v>
      </c>
      <c r="I7" s="1" t="s">
        <v>415</v>
      </c>
      <c r="J7" s="1"/>
      <c r="K7" s="1"/>
      <c r="L7" s="1" t="s">
        <v>482</v>
      </c>
      <c r="M7" s="1" t="s">
        <v>374</v>
      </c>
      <c r="N7" s="1" t="s">
        <v>483</v>
      </c>
      <c r="O7" s="1" t="s">
        <v>484</v>
      </c>
      <c r="P7" s="1" t="s">
        <v>436</v>
      </c>
      <c r="Q7" s="1" t="s">
        <v>485</v>
      </c>
      <c r="R7" s="1"/>
      <c r="S7" s="63" t="s">
        <v>482</v>
      </c>
      <c r="T7" s="1" t="s">
        <v>374</v>
      </c>
      <c r="U7" s="1" t="s">
        <v>483</v>
      </c>
      <c r="V7" s="1" t="s">
        <v>484</v>
      </c>
      <c r="W7" s="1" t="s">
        <v>436</v>
      </c>
      <c r="X7" s="1" t="s">
        <v>485</v>
      </c>
      <c r="Y7" s="63" t="s">
        <v>485</v>
      </c>
      <c r="Z7" s="1" t="s">
        <v>486</v>
      </c>
      <c r="AA7" s="1" t="s">
        <v>475</v>
      </c>
      <c r="AB7" s="1" t="s">
        <v>487</v>
      </c>
      <c r="AC7" s="63" t="s">
        <v>158</v>
      </c>
      <c r="AD7" s="1" t="s">
        <v>488</v>
      </c>
      <c r="AE7" s="1" t="s">
        <v>489</v>
      </c>
      <c r="AF7" s="1" t="s">
        <v>490</v>
      </c>
      <c r="AG7" s="64" t="s">
        <v>491</v>
      </c>
      <c r="AH7" s="1"/>
      <c r="AI7" s="1"/>
      <c r="AJ7" s="1"/>
      <c r="AK7" s="1"/>
      <c r="AL7" s="18" t="s">
        <v>492</v>
      </c>
      <c r="AM7" s="18" t="s">
        <v>493</v>
      </c>
      <c r="AN7" s="18" t="s">
        <v>473</v>
      </c>
      <c r="AO7" s="18" t="s">
        <v>494</v>
      </c>
      <c r="AP7" s="18" t="s">
        <v>477</v>
      </c>
      <c r="AQ7" s="18" t="s">
        <v>495</v>
      </c>
      <c r="AR7" s="18"/>
      <c r="AS7" s="18"/>
      <c r="AT7" s="19" t="s">
        <v>492</v>
      </c>
      <c r="AU7" s="1" t="s">
        <v>466</v>
      </c>
      <c r="AV7" s="22" t="s">
        <v>59</v>
      </c>
      <c r="AW7" s="20" t="s">
        <v>158</v>
      </c>
      <c r="AX7" s="20" t="s">
        <v>462</v>
      </c>
      <c r="AY7" s="20" t="s">
        <v>464</v>
      </c>
      <c r="AZ7" s="18"/>
      <c r="BA7" s="1"/>
      <c r="BB7" s="1"/>
      <c r="BC7" s="18"/>
    </row>
    <row r="8" spans="1:55">
      <c r="A8" s="1"/>
      <c r="B8" s="1"/>
      <c r="C8" s="1"/>
      <c r="D8" s="1"/>
      <c r="E8" s="1"/>
      <c r="F8" s="1"/>
      <c r="G8" s="1" t="s">
        <v>416</v>
      </c>
      <c r="H8" s="1" t="s">
        <v>416</v>
      </c>
      <c r="I8" s="1" t="s">
        <v>416</v>
      </c>
      <c r="J8" s="1"/>
      <c r="K8" s="1"/>
      <c r="L8" s="1" t="s">
        <v>496</v>
      </c>
      <c r="M8" s="1" t="s">
        <v>497</v>
      </c>
      <c r="N8" s="1" t="s">
        <v>375</v>
      </c>
      <c r="O8" s="1" t="s">
        <v>478</v>
      </c>
      <c r="P8" s="1" t="s">
        <v>99</v>
      </c>
      <c r="Q8" s="1" t="s">
        <v>498</v>
      </c>
      <c r="R8" s="1"/>
      <c r="S8" s="63" t="s">
        <v>496</v>
      </c>
      <c r="T8" s="1" t="s">
        <v>497</v>
      </c>
      <c r="U8" s="1" t="s">
        <v>375</v>
      </c>
      <c r="V8" s="1" t="s">
        <v>478</v>
      </c>
      <c r="W8" s="1" t="s">
        <v>99</v>
      </c>
      <c r="X8" s="1" t="s">
        <v>498</v>
      </c>
      <c r="Y8" s="63" t="s">
        <v>59</v>
      </c>
      <c r="Z8" s="1" t="s">
        <v>158</v>
      </c>
      <c r="AA8" s="1" t="s">
        <v>499</v>
      </c>
      <c r="AB8" s="1" t="s">
        <v>500</v>
      </c>
      <c r="AC8" s="63" t="s">
        <v>501</v>
      </c>
      <c r="AD8" s="65" t="s">
        <v>371</v>
      </c>
      <c r="AE8" s="1" t="s">
        <v>502</v>
      </c>
      <c r="AF8" s="1" t="s">
        <v>503</v>
      </c>
      <c r="AG8" s="64" t="s">
        <v>484</v>
      </c>
      <c r="AH8" s="1"/>
      <c r="AI8" s="1"/>
      <c r="AJ8" s="1"/>
      <c r="AK8" s="1"/>
      <c r="AL8" s="18" t="s">
        <v>496</v>
      </c>
      <c r="AM8" s="18" t="s">
        <v>504</v>
      </c>
      <c r="AN8" s="18" t="s">
        <v>484</v>
      </c>
      <c r="AO8" s="18" t="s">
        <v>505</v>
      </c>
      <c r="AP8" s="18" t="s">
        <v>506</v>
      </c>
      <c r="AQ8" s="18" t="s">
        <v>507</v>
      </c>
      <c r="AR8" s="18"/>
      <c r="AS8" s="18"/>
      <c r="AT8" s="21" t="s">
        <v>496</v>
      </c>
      <c r="AU8" s="20" t="s">
        <v>471</v>
      </c>
      <c r="AV8" s="20" t="s">
        <v>158</v>
      </c>
      <c r="AW8" s="19" t="s">
        <v>473</v>
      </c>
      <c r="AX8" s="22" t="s">
        <v>464</v>
      </c>
      <c r="AY8" s="20" t="s">
        <v>489</v>
      </c>
      <c r="AZ8" s="18"/>
      <c r="BA8" s="1"/>
      <c r="BB8" s="1"/>
      <c r="BC8" s="18"/>
    </row>
    <row r="9" spans="1:55">
      <c r="A9" s="1"/>
      <c r="B9" s="1"/>
      <c r="C9" s="1"/>
      <c r="D9" s="1"/>
      <c r="E9" s="1"/>
      <c r="F9" s="1"/>
      <c r="G9" s="1" t="s">
        <v>417</v>
      </c>
      <c r="H9" s="1" t="s">
        <v>417</v>
      </c>
      <c r="I9" s="1" t="s">
        <v>417</v>
      </c>
      <c r="J9" s="1"/>
      <c r="K9" s="1"/>
      <c r="L9" s="1" t="s">
        <v>378</v>
      </c>
      <c r="M9" s="1" t="s">
        <v>508</v>
      </c>
      <c r="N9" s="1" t="s">
        <v>509</v>
      </c>
      <c r="O9" s="1" t="s">
        <v>503</v>
      </c>
      <c r="P9" s="1" t="s">
        <v>510</v>
      </c>
      <c r="Q9" s="1" t="s">
        <v>371</v>
      </c>
      <c r="R9" s="1"/>
      <c r="S9" s="63" t="s">
        <v>378</v>
      </c>
      <c r="T9" s="1" t="s">
        <v>508</v>
      </c>
      <c r="U9" s="65" t="s">
        <v>509</v>
      </c>
      <c r="V9" s="1" t="s">
        <v>503</v>
      </c>
      <c r="W9" s="1" t="s">
        <v>510</v>
      </c>
      <c r="X9" s="1" t="s">
        <v>371</v>
      </c>
      <c r="Y9" s="63" t="s">
        <v>158</v>
      </c>
      <c r="Z9" s="1" t="s">
        <v>436</v>
      </c>
      <c r="AA9" s="1" t="s">
        <v>511</v>
      </c>
      <c r="AB9" s="1" t="s">
        <v>483</v>
      </c>
      <c r="AC9" s="63" t="s">
        <v>501</v>
      </c>
      <c r="AD9" s="1" t="s">
        <v>512</v>
      </c>
      <c r="AE9" s="1" t="s">
        <v>513</v>
      </c>
      <c r="AF9" s="1" t="s">
        <v>514</v>
      </c>
      <c r="AG9" s="64" t="s">
        <v>515</v>
      </c>
      <c r="AH9" s="1"/>
      <c r="AI9" s="1"/>
      <c r="AJ9" s="1"/>
      <c r="AK9" s="1"/>
      <c r="AL9" s="18" t="s">
        <v>378</v>
      </c>
      <c r="AM9" s="18" t="s">
        <v>516</v>
      </c>
      <c r="AN9" s="18" t="s">
        <v>490</v>
      </c>
      <c r="AO9" s="18" t="s">
        <v>484</v>
      </c>
      <c r="AP9" s="18" t="s">
        <v>517</v>
      </c>
      <c r="AQ9" s="18" t="s">
        <v>518</v>
      </c>
      <c r="AR9" s="18"/>
      <c r="AS9" s="18"/>
      <c r="AT9" s="19" t="s">
        <v>378</v>
      </c>
      <c r="AU9" s="21" t="s">
        <v>478</v>
      </c>
      <c r="AV9" s="20" t="s">
        <v>494</v>
      </c>
      <c r="AW9" s="22" t="s">
        <v>456</v>
      </c>
      <c r="AX9" s="22" t="s">
        <v>465</v>
      </c>
      <c r="AY9" s="22" t="s">
        <v>502</v>
      </c>
      <c r="AZ9" s="18"/>
      <c r="BA9" s="1"/>
      <c r="BB9" s="1"/>
      <c r="BC9" s="18"/>
    </row>
    <row r="10" spans="1:55">
      <c r="A10" s="1"/>
      <c r="B10" s="1"/>
      <c r="C10" s="1"/>
      <c r="D10" s="1"/>
      <c r="E10" s="1"/>
      <c r="F10" s="1"/>
      <c r="G10" s="1"/>
      <c r="H10" s="1"/>
      <c r="I10" s="1"/>
      <c r="J10" s="1"/>
      <c r="K10" s="1"/>
      <c r="L10" s="1" t="s">
        <v>519</v>
      </c>
      <c r="M10" s="1" t="s">
        <v>520</v>
      </c>
      <c r="N10" s="1" t="s">
        <v>504</v>
      </c>
      <c r="O10" s="1" t="s">
        <v>493</v>
      </c>
      <c r="P10" s="1" t="s">
        <v>473</v>
      </c>
      <c r="Q10" s="1" t="s">
        <v>372</v>
      </c>
      <c r="R10" s="1"/>
      <c r="S10" s="63" t="s">
        <v>519</v>
      </c>
      <c r="T10" s="1" t="s">
        <v>520</v>
      </c>
      <c r="U10" s="1" t="s">
        <v>504</v>
      </c>
      <c r="V10" s="1" t="s">
        <v>493</v>
      </c>
      <c r="W10" s="1" t="s">
        <v>473</v>
      </c>
      <c r="X10" s="1" t="s">
        <v>372</v>
      </c>
      <c r="Y10" s="63" t="s">
        <v>521</v>
      </c>
      <c r="Z10" s="1" t="s">
        <v>500</v>
      </c>
      <c r="AA10" s="1" t="s">
        <v>500</v>
      </c>
      <c r="AB10" s="1" t="s">
        <v>375</v>
      </c>
      <c r="AC10" s="63" t="s">
        <v>522</v>
      </c>
      <c r="AD10" s="1" t="s">
        <v>466</v>
      </c>
      <c r="AE10" s="1" t="s">
        <v>477</v>
      </c>
      <c r="AF10" s="1" t="s">
        <v>523</v>
      </c>
      <c r="AG10" s="64" t="s">
        <v>524</v>
      </c>
      <c r="AH10" s="1"/>
      <c r="AI10" s="1"/>
      <c r="AJ10" s="1"/>
      <c r="AK10" s="1"/>
      <c r="AL10" s="18" t="s">
        <v>519</v>
      </c>
      <c r="AM10" s="18" t="s">
        <v>525</v>
      </c>
      <c r="AN10" s="18" t="s">
        <v>526</v>
      </c>
      <c r="AO10" s="18" t="s">
        <v>527</v>
      </c>
      <c r="AP10" s="18" t="s">
        <v>472</v>
      </c>
      <c r="AQ10" s="18" t="s">
        <v>389</v>
      </c>
      <c r="AR10" s="18"/>
      <c r="AS10" s="18"/>
      <c r="AT10" s="21" t="s">
        <v>519</v>
      </c>
      <c r="AU10" s="22" t="s">
        <v>374</v>
      </c>
      <c r="AV10" s="22" t="s">
        <v>505</v>
      </c>
      <c r="AW10" s="21" t="s">
        <v>484</v>
      </c>
      <c r="AX10" s="22" t="s">
        <v>489</v>
      </c>
      <c r="AY10" s="20" t="s">
        <v>513</v>
      </c>
      <c r="AZ10" s="18"/>
      <c r="BA10" s="1"/>
      <c r="BB10" s="1"/>
      <c r="BC10" s="18"/>
    </row>
    <row r="11" spans="1:55">
      <c r="A11" s="1"/>
      <c r="B11" s="1"/>
      <c r="C11" s="1"/>
      <c r="D11" s="1"/>
      <c r="E11" s="1"/>
      <c r="F11" s="1"/>
      <c r="G11" s="1" t="s">
        <v>427</v>
      </c>
      <c r="H11" s="1" t="s">
        <v>452</v>
      </c>
      <c r="I11" s="1" t="s">
        <v>528</v>
      </c>
      <c r="J11" s="1" t="s">
        <v>481</v>
      </c>
      <c r="K11" s="1"/>
      <c r="L11" s="1" t="s">
        <v>504</v>
      </c>
      <c r="M11" s="1" t="s">
        <v>529</v>
      </c>
      <c r="N11" s="1" t="s">
        <v>530</v>
      </c>
      <c r="O11" s="1" t="s">
        <v>508</v>
      </c>
      <c r="P11" s="1" t="s">
        <v>483</v>
      </c>
      <c r="Q11" s="1" t="s">
        <v>531</v>
      </c>
      <c r="R11" s="1"/>
      <c r="S11" s="63" t="s">
        <v>504</v>
      </c>
      <c r="T11" s="1" t="s">
        <v>529</v>
      </c>
      <c r="U11" s="1" t="s">
        <v>530</v>
      </c>
      <c r="V11" s="1" t="s">
        <v>508</v>
      </c>
      <c r="W11" s="1" t="s">
        <v>483</v>
      </c>
      <c r="X11" s="1" t="s">
        <v>531</v>
      </c>
      <c r="Y11" s="63" t="s">
        <v>436</v>
      </c>
      <c r="Z11" s="1" t="s">
        <v>375</v>
      </c>
      <c r="AA11" s="1" t="s">
        <v>532</v>
      </c>
      <c r="AB11" s="1" t="s">
        <v>533</v>
      </c>
      <c r="AC11" s="73" t="s">
        <v>491</v>
      </c>
      <c r="AD11" s="1" t="s">
        <v>515</v>
      </c>
      <c r="AE11" s="1" t="s">
        <v>501</v>
      </c>
      <c r="AF11" s="66" t="s">
        <v>378</v>
      </c>
      <c r="AG11" s="64" t="s">
        <v>534</v>
      </c>
      <c r="AH11" s="1"/>
      <c r="AI11" s="1"/>
      <c r="AJ11" s="1"/>
      <c r="AK11" s="1"/>
      <c r="AL11" s="18" t="s">
        <v>535</v>
      </c>
      <c r="AM11" s="18" t="s">
        <v>536</v>
      </c>
      <c r="AN11" s="18" t="s">
        <v>504</v>
      </c>
      <c r="AO11" s="18" t="s">
        <v>478</v>
      </c>
      <c r="AP11" s="18" t="s">
        <v>478</v>
      </c>
      <c r="AQ11" s="18" t="s">
        <v>537</v>
      </c>
      <c r="AR11" s="18"/>
      <c r="AS11" s="18"/>
      <c r="AT11" s="19" t="s">
        <v>535</v>
      </c>
      <c r="AU11" s="19" t="s">
        <v>493</v>
      </c>
      <c r="AV11" s="20" t="s">
        <v>473</v>
      </c>
      <c r="AW11" s="20" t="s">
        <v>472</v>
      </c>
      <c r="AX11" s="22" t="s">
        <v>502</v>
      </c>
      <c r="AY11" s="20" t="s">
        <v>463</v>
      </c>
      <c r="AZ11" s="18"/>
      <c r="BA11" s="1"/>
      <c r="BB11" s="1"/>
      <c r="BC11" s="18"/>
    </row>
    <row r="12" spans="1:55">
      <c r="A12" s="1"/>
      <c r="B12" s="1"/>
      <c r="C12" s="1"/>
      <c r="D12" s="1"/>
      <c r="E12" s="1"/>
      <c r="F12" s="1"/>
      <c r="G12" s="1" t="s">
        <v>440</v>
      </c>
      <c r="H12" s="1" t="s">
        <v>440</v>
      </c>
      <c r="I12" s="1" t="s">
        <v>440</v>
      </c>
      <c r="J12" s="1" t="s">
        <v>440</v>
      </c>
      <c r="K12" s="1"/>
      <c r="L12" s="1" t="s">
        <v>538</v>
      </c>
      <c r="M12" s="1" t="s">
        <v>538</v>
      </c>
      <c r="N12" s="1" t="s">
        <v>539</v>
      </c>
      <c r="O12" s="1" t="s">
        <v>514</v>
      </c>
      <c r="P12" s="1" t="s">
        <v>540</v>
      </c>
      <c r="Q12" s="1" t="s">
        <v>473</v>
      </c>
      <c r="R12" s="1"/>
      <c r="S12" s="63" t="s">
        <v>538</v>
      </c>
      <c r="T12" s="1" t="s">
        <v>538</v>
      </c>
      <c r="U12" s="1" t="s">
        <v>539</v>
      </c>
      <c r="V12" s="1" t="s">
        <v>514</v>
      </c>
      <c r="W12" s="1" t="s">
        <v>540</v>
      </c>
      <c r="X12" s="1" t="s">
        <v>473</v>
      </c>
      <c r="Y12" s="63" t="s">
        <v>371</v>
      </c>
      <c r="Z12" s="1" t="s">
        <v>541</v>
      </c>
      <c r="AA12" s="1" t="s">
        <v>542</v>
      </c>
      <c r="AB12" s="1" t="s">
        <v>543</v>
      </c>
      <c r="AC12" s="63" t="s">
        <v>466</v>
      </c>
      <c r="AD12" s="1" t="s">
        <v>374</v>
      </c>
      <c r="AE12" s="1" t="s">
        <v>488</v>
      </c>
      <c r="AF12" s="66" t="s">
        <v>544</v>
      </c>
      <c r="AG12" s="64" t="s">
        <v>375</v>
      </c>
      <c r="AH12" s="1"/>
      <c r="AI12" s="1"/>
      <c r="AJ12" s="1"/>
      <c r="AK12" s="1"/>
      <c r="AL12" s="18" t="s">
        <v>545</v>
      </c>
      <c r="AM12" s="18" t="s">
        <v>546</v>
      </c>
      <c r="AN12" s="18" t="s">
        <v>379</v>
      </c>
      <c r="AO12" s="18" t="s">
        <v>547</v>
      </c>
      <c r="AP12" s="18" t="s">
        <v>548</v>
      </c>
      <c r="AQ12" s="18" t="s">
        <v>549</v>
      </c>
      <c r="AR12" s="18"/>
      <c r="AS12" s="18"/>
      <c r="AT12" s="21" t="s">
        <v>545</v>
      </c>
      <c r="AU12" s="20" t="s">
        <v>497</v>
      </c>
      <c r="AV12" s="22" t="s">
        <v>456</v>
      </c>
      <c r="AW12" s="22" t="s">
        <v>483</v>
      </c>
      <c r="AX12" s="20" t="s">
        <v>513</v>
      </c>
      <c r="AY12" s="22" t="s">
        <v>501</v>
      </c>
      <c r="AZ12" s="18"/>
      <c r="BA12" s="1"/>
      <c r="BB12" s="1"/>
      <c r="BC12" s="18"/>
    </row>
    <row r="13" spans="1:55">
      <c r="A13" s="1"/>
      <c r="B13" s="1"/>
      <c r="C13" s="1"/>
      <c r="D13" s="1"/>
      <c r="E13" s="1"/>
      <c r="F13" s="1"/>
      <c r="G13" s="1" t="s">
        <v>441</v>
      </c>
      <c r="H13" s="1" t="s">
        <v>441</v>
      </c>
      <c r="I13" s="1" t="s">
        <v>441</v>
      </c>
      <c r="J13" s="1" t="s">
        <v>441</v>
      </c>
      <c r="K13" s="1"/>
      <c r="L13" s="1" t="s">
        <v>545</v>
      </c>
      <c r="M13" s="1" t="s">
        <v>544</v>
      </c>
      <c r="N13" s="1" t="s">
        <v>550</v>
      </c>
      <c r="O13" s="1" t="s">
        <v>529</v>
      </c>
      <c r="P13" s="1" t="s">
        <v>551</v>
      </c>
      <c r="Q13" s="1" t="s">
        <v>552</v>
      </c>
      <c r="R13" s="1"/>
      <c r="S13" s="63" t="s">
        <v>545</v>
      </c>
      <c r="T13" s="1" t="s">
        <v>544</v>
      </c>
      <c r="U13" s="1" t="s">
        <v>550</v>
      </c>
      <c r="V13" s="1" t="s">
        <v>529</v>
      </c>
      <c r="W13" s="1" t="s">
        <v>551</v>
      </c>
      <c r="X13" s="1" t="s">
        <v>552</v>
      </c>
      <c r="Y13" s="63" t="s">
        <v>553</v>
      </c>
      <c r="Z13" s="1" t="s">
        <v>539</v>
      </c>
      <c r="AA13" s="1" t="s">
        <v>554</v>
      </c>
      <c r="AB13" s="1" t="s">
        <v>555</v>
      </c>
      <c r="AC13" s="63" t="s">
        <v>375</v>
      </c>
      <c r="AD13" s="1" t="s">
        <v>376</v>
      </c>
      <c r="AE13" s="1" t="s">
        <v>556</v>
      </c>
      <c r="AF13" s="66" t="s">
        <v>530</v>
      </c>
      <c r="AG13" s="64" t="s">
        <v>557</v>
      </c>
      <c r="AH13" s="1"/>
      <c r="AI13" s="1"/>
      <c r="AJ13" s="1"/>
      <c r="AK13" s="1"/>
      <c r="AL13" s="18" t="s">
        <v>558</v>
      </c>
      <c r="AM13" s="18" t="s">
        <v>559</v>
      </c>
      <c r="AN13" s="18" t="s">
        <v>560</v>
      </c>
      <c r="AO13" s="18" t="s">
        <v>561</v>
      </c>
      <c r="AP13" s="18" t="s">
        <v>483</v>
      </c>
      <c r="AQ13" s="18" t="s">
        <v>562</v>
      </c>
      <c r="AR13" s="18"/>
      <c r="AS13" s="18"/>
      <c r="AT13" s="19" t="s">
        <v>558</v>
      </c>
      <c r="AU13" s="22" t="s">
        <v>508</v>
      </c>
      <c r="AV13" s="22" t="s">
        <v>484</v>
      </c>
      <c r="AW13" s="20" t="s">
        <v>375</v>
      </c>
      <c r="AX13" s="22" t="s">
        <v>463</v>
      </c>
      <c r="AY13" s="20" t="s">
        <v>488</v>
      </c>
      <c r="AZ13" s="18"/>
      <c r="BA13" s="1"/>
      <c r="BB13" s="1"/>
      <c r="BC13" s="18"/>
    </row>
    <row r="14" spans="1:55">
      <c r="A14" s="1"/>
      <c r="B14" s="1"/>
      <c r="C14" s="1"/>
      <c r="D14" s="1"/>
      <c r="E14" s="1"/>
      <c r="F14" s="1"/>
      <c r="G14" s="1" t="s">
        <v>442</v>
      </c>
      <c r="H14" s="1" t="s">
        <v>442</v>
      </c>
      <c r="I14" s="1" t="s">
        <v>442</v>
      </c>
      <c r="J14" s="1" t="s">
        <v>442</v>
      </c>
      <c r="K14" s="1"/>
      <c r="L14" s="1" t="s">
        <v>563</v>
      </c>
      <c r="M14" s="1" t="s">
        <v>539</v>
      </c>
      <c r="N14" s="1" t="s">
        <v>56</v>
      </c>
      <c r="O14" s="1" t="s">
        <v>564</v>
      </c>
      <c r="P14" s="1" t="s">
        <v>490</v>
      </c>
      <c r="Q14" s="1" t="s">
        <v>565</v>
      </c>
      <c r="R14" s="1"/>
      <c r="S14" s="63" t="s">
        <v>563</v>
      </c>
      <c r="T14" s="1" t="s">
        <v>539</v>
      </c>
      <c r="U14" s="76" t="s">
        <v>56</v>
      </c>
      <c r="V14" s="1" t="s">
        <v>564</v>
      </c>
      <c r="W14" s="1" t="s">
        <v>490</v>
      </c>
      <c r="X14" s="1" t="s">
        <v>565</v>
      </c>
      <c r="Y14" s="63" t="s">
        <v>517</v>
      </c>
      <c r="Z14" s="1" t="s">
        <v>566</v>
      </c>
      <c r="AA14" s="1" t="s">
        <v>567</v>
      </c>
      <c r="AB14" s="1" t="s">
        <v>566</v>
      </c>
      <c r="AC14" s="63" t="s">
        <v>554</v>
      </c>
      <c r="AD14" s="1" t="s">
        <v>568</v>
      </c>
      <c r="AE14" s="1" t="s">
        <v>569</v>
      </c>
      <c r="AF14" s="1" t="s">
        <v>570</v>
      </c>
      <c r="AG14" s="64" t="s">
        <v>571</v>
      </c>
      <c r="AH14" s="1"/>
      <c r="AI14" s="1"/>
      <c r="AJ14" s="1"/>
      <c r="AK14" s="1"/>
      <c r="AL14" s="18" t="s">
        <v>572</v>
      </c>
      <c r="AM14" s="18" t="s">
        <v>573</v>
      </c>
      <c r="AN14" s="18" t="s">
        <v>545</v>
      </c>
      <c r="AO14" s="18" t="s">
        <v>574</v>
      </c>
      <c r="AP14" s="18" t="s">
        <v>509</v>
      </c>
      <c r="AQ14" s="18" t="s">
        <v>575</v>
      </c>
      <c r="AR14" s="18"/>
      <c r="AS14" s="18"/>
      <c r="AT14" s="21" t="s">
        <v>572</v>
      </c>
      <c r="AU14" s="20" t="s">
        <v>520</v>
      </c>
      <c r="AV14" s="21" t="s">
        <v>527</v>
      </c>
      <c r="AW14" s="19" t="s">
        <v>490</v>
      </c>
      <c r="AX14" s="22" t="s">
        <v>477</v>
      </c>
      <c r="AY14" s="20" t="s">
        <v>556</v>
      </c>
      <c r="AZ14" s="18"/>
      <c r="BA14" s="1"/>
      <c r="BB14" s="1"/>
      <c r="BC14" s="18"/>
    </row>
    <row r="15" spans="1:55">
      <c r="A15" s="1"/>
      <c r="B15" s="1"/>
      <c r="C15" s="1"/>
      <c r="D15" s="1"/>
      <c r="E15" s="1"/>
      <c r="F15" s="1"/>
      <c r="G15" s="1" t="s">
        <v>443</v>
      </c>
      <c r="H15" s="1" t="s">
        <v>443</v>
      </c>
      <c r="I15" s="1" t="s">
        <v>443</v>
      </c>
      <c r="J15" s="1" t="s">
        <v>443</v>
      </c>
      <c r="K15" s="1"/>
      <c r="L15" s="1" t="s">
        <v>558</v>
      </c>
      <c r="M15" s="1" t="s">
        <v>516</v>
      </c>
      <c r="N15" s="1" t="s">
        <v>560</v>
      </c>
      <c r="O15" s="1" t="s">
        <v>379</v>
      </c>
      <c r="P15" s="1" t="s">
        <v>509</v>
      </c>
      <c r="Q15" s="1" t="s">
        <v>466</v>
      </c>
      <c r="R15" s="1"/>
      <c r="S15" s="63" t="s">
        <v>558</v>
      </c>
      <c r="T15" s="1" t="s">
        <v>516</v>
      </c>
      <c r="U15" s="1" t="s">
        <v>560</v>
      </c>
      <c r="V15" s="1" t="s">
        <v>379</v>
      </c>
      <c r="W15" s="1" t="s">
        <v>509</v>
      </c>
      <c r="X15" s="1" t="s">
        <v>466</v>
      </c>
      <c r="Y15" s="63" t="s">
        <v>478</v>
      </c>
      <c r="Z15" s="72" t="s">
        <v>380</v>
      </c>
      <c r="AA15" s="1" t="s">
        <v>380</v>
      </c>
      <c r="AB15" s="66" t="s">
        <v>56</v>
      </c>
      <c r="AC15" s="63" t="s">
        <v>496</v>
      </c>
      <c r="AD15" s="1" t="s">
        <v>576</v>
      </c>
      <c r="AE15" s="1" t="s">
        <v>491</v>
      </c>
      <c r="AF15" s="1" t="s">
        <v>577</v>
      </c>
      <c r="AG15" s="77" t="s">
        <v>578</v>
      </c>
      <c r="AH15" s="1"/>
      <c r="AI15" s="1"/>
      <c r="AJ15" s="1"/>
      <c r="AK15" s="1"/>
      <c r="AL15" s="18" t="s">
        <v>579</v>
      </c>
      <c r="AM15" s="18" t="s">
        <v>580</v>
      </c>
      <c r="AN15" s="18" t="s">
        <v>162</v>
      </c>
      <c r="AO15" s="18" t="s">
        <v>581</v>
      </c>
      <c r="AP15" s="18" t="s">
        <v>582</v>
      </c>
      <c r="AQ15" s="18" t="s">
        <v>583</v>
      </c>
      <c r="AR15" s="18"/>
      <c r="AS15" s="18"/>
      <c r="AT15" s="19" t="s">
        <v>579</v>
      </c>
      <c r="AU15" s="22" t="s">
        <v>529</v>
      </c>
      <c r="AV15" s="20" t="s">
        <v>472</v>
      </c>
      <c r="AW15" s="22" t="s">
        <v>509</v>
      </c>
      <c r="AX15" s="22" t="s">
        <v>501</v>
      </c>
      <c r="AY15" s="20" t="s">
        <v>569</v>
      </c>
      <c r="AZ15" s="18"/>
      <c r="BA15" s="1"/>
      <c r="BB15" s="1"/>
      <c r="BC15" s="18"/>
    </row>
    <row r="16" spans="1:55">
      <c r="A16" s="1"/>
      <c r="B16" s="1"/>
      <c r="C16" s="1"/>
      <c r="D16" s="1"/>
      <c r="E16" s="1"/>
      <c r="F16" s="1"/>
      <c r="G16" s="1" t="s">
        <v>444</v>
      </c>
      <c r="H16" s="1" t="s">
        <v>444</v>
      </c>
      <c r="I16" s="1" t="s">
        <v>444</v>
      </c>
      <c r="J16" s="1" t="s">
        <v>444</v>
      </c>
      <c r="K16" s="1"/>
      <c r="L16" s="1" t="s">
        <v>381</v>
      </c>
      <c r="M16" s="1" t="s">
        <v>56</v>
      </c>
      <c r="N16" s="1" t="s">
        <v>584</v>
      </c>
      <c r="O16" s="1" t="s">
        <v>585</v>
      </c>
      <c r="P16" s="1" t="s">
        <v>586</v>
      </c>
      <c r="Q16" s="1" t="s">
        <v>540</v>
      </c>
      <c r="R16" s="1"/>
      <c r="S16" s="63" t="s">
        <v>381</v>
      </c>
      <c r="T16" s="1" t="s">
        <v>56</v>
      </c>
      <c r="U16" s="1" t="s">
        <v>584</v>
      </c>
      <c r="V16" s="1" t="s">
        <v>585</v>
      </c>
      <c r="W16" s="65" t="s">
        <v>586</v>
      </c>
      <c r="X16" s="1" t="s">
        <v>540</v>
      </c>
      <c r="Y16" s="63" t="s">
        <v>587</v>
      </c>
      <c r="Z16" s="1" t="s">
        <v>588</v>
      </c>
      <c r="AA16" s="1" t="s">
        <v>589</v>
      </c>
      <c r="AB16" s="1" t="s">
        <v>590</v>
      </c>
      <c r="AC16" s="63" t="s">
        <v>585</v>
      </c>
      <c r="AD16" s="1" t="s">
        <v>496</v>
      </c>
      <c r="AE16" s="1" t="s">
        <v>591</v>
      </c>
      <c r="AF16" s="1" t="s">
        <v>592</v>
      </c>
      <c r="AG16" s="64" t="s">
        <v>576</v>
      </c>
      <c r="AH16" s="1"/>
      <c r="AI16" s="1"/>
      <c r="AJ16" s="1"/>
      <c r="AK16" s="1"/>
      <c r="AL16" s="18" t="s">
        <v>593</v>
      </c>
      <c r="AM16" s="18" t="s">
        <v>594</v>
      </c>
      <c r="AN16" s="18" t="s">
        <v>563</v>
      </c>
      <c r="AO16" s="18" t="s">
        <v>595</v>
      </c>
      <c r="AP16" s="18" t="s">
        <v>586</v>
      </c>
      <c r="AQ16" s="18" t="s">
        <v>596</v>
      </c>
      <c r="AR16" s="18"/>
      <c r="AS16" s="18"/>
      <c r="AT16" s="21" t="s">
        <v>593</v>
      </c>
      <c r="AU16" s="21" t="s">
        <v>504</v>
      </c>
      <c r="AV16" s="20" t="s">
        <v>478</v>
      </c>
      <c r="AW16" s="19" t="s">
        <v>504</v>
      </c>
      <c r="AX16" s="22" t="s">
        <v>488</v>
      </c>
      <c r="AY16" s="20" t="s">
        <v>491</v>
      </c>
      <c r="AZ16" s="18"/>
      <c r="BA16" s="1"/>
      <c r="BB16" s="1"/>
      <c r="BC16" s="18"/>
    </row>
    <row r="17" spans="7:55">
      <c r="G17" s="1" t="s">
        <v>445</v>
      </c>
      <c r="H17" s="1" t="s">
        <v>445</v>
      </c>
      <c r="I17" s="1" t="s">
        <v>445</v>
      </c>
      <c r="J17" s="1" t="s">
        <v>445</v>
      </c>
      <c r="K17" s="1"/>
      <c r="L17" s="1" t="s">
        <v>597</v>
      </c>
      <c r="M17" s="1" t="s">
        <v>381</v>
      </c>
      <c r="N17" s="1" t="s">
        <v>545</v>
      </c>
      <c r="O17" s="1" t="s">
        <v>598</v>
      </c>
      <c r="P17" s="1" t="s">
        <v>599</v>
      </c>
      <c r="Q17" s="1" t="s">
        <v>551</v>
      </c>
      <c r="R17" s="1"/>
      <c r="S17" s="63" t="s">
        <v>597</v>
      </c>
      <c r="T17" s="65" t="s">
        <v>381</v>
      </c>
      <c r="U17" s="1" t="s">
        <v>545</v>
      </c>
      <c r="V17" s="65" t="s">
        <v>598</v>
      </c>
      <c r="W17" s="1" t="s">
        <v>599</v>
      </c>
      <c r="X17" s="1" t="s">
        <v>551</v>
      </c>
      <c r="Y17" s="63" t="s">
        <v>600</v>
      </c>
      <c r="Z17" s="1" t="s">
        <v>560</v>
      </c>
      <c r="AA17" s="1" t="s">
        <v>595</v>
      </c>
      <c r="AB17" s="1" t="s">
        <v>601</v>
      </c>
      <c r="AC17" s="63" t="s">
        <v>566</v>
      </c>
      <c r="AD17" s="1" t="s">
        <v>504</v>
      </c>
      <c r="AE17" s="1" t="s">
        <v>466</v>
      </c>
      <c r="AF17" s="1" t="s">
        <v>602</v>
      </c>
      <c r="AG17" s="64" t="s">
        <v>554</v>
      </c>
      <c r="AH17" s="1"/>
      <c r="AI17" s="1"/>
      <c r="AJ17" s="1"/>
      <c r="AK17" s="1"/>
      <c r="AL17" s="18" t="s">
        <v>603</v>
      </c>
      <c r="AM17" s="18" t="s">
        <v>604</v>
      </c>
      <c r="AN17" s="18" t="s">
        <v>605</v>
      </c>
      <c r="AO17" s="18" t="s">
        <v>545</v>
      </c>
      <c r="AP17" s="18" t="s">
        <v>508</v>
      </c>
      <c r="AQ17" s="18" t="s">
        <v>606</v>
      </c>
      <c r="AR17" s="18"/>
      <c r="AS17" s="18"/>
      <c r="AT17" s="19" t="s">
        <v>603</v>
      </c>
      <c r="AU17" s="20" t="s">
        <v>538</v>
      </c>
      <c r="AV17" s="22" t="s">
        <v>483</v>
      </c>
      <c r="AW17" s="21" t="s">
        <v>379</v>
      </c>
      <c r="AX17" s="22" t="s">
        <v>436</v>
      </c>
      <c r="AY17" s="20" t="s">
        <v>484</v>
      </c>
      <c r="AZ17" s="18"/>
      <c r="BA17" s="1"/>
      <c r="BB17" s="1"/>
      <c r="BC17" s="18"/>
    </row>
    <row r="18" spans="7:55">
      <c r="G18" s="1"/>
      <c r="H18" s="1"/>
      <c r="I18" s="1"/>
      <c r="J18" s="1"/>
      <c r="K18" s="1"/>
      <c r="L18" s="1" t="s">
        <v>607</v>
      </c>
      <c r="M18" s="1" t="s">
        <v>607</v>
      </c>
      <c r="N18" s="1" t="s">
        <v>608</v>
      </c>
      <c r="O18" s="1" t="s">
        <v>574</v>
      </c>
      <c r="P18" s="1" t="s">
        <v>564</v>
      </c>
      <c r="Q18" s="1" t="s">
        <v>609</v>
      </c>
      <c r="R18" s="1"/>
      <c r="S18" s="63" t="s">
        <v>607</v>
      </c>
      <c r="T18" s="1" t="s">
        <v>607</v>
      </c>
      <c r="U18" s="1" t="s">
        <v>608</v>
      </c>
      <c r="V18" s="1" t="s">
        <v>574</v>
      </c>
      <c r="W18" s="1" t="s">
        <v>564</v>
      </c>
      <c r="X18" s="1" t="s">
        <v>609</v>
      </c>
      <c r="Y18" s="63" t="s">
        <v>375</v>
      </c>
      <c r="Z18" s="1" t="s">
        <v>601</v>
      </c>
      <c r="AA18" s="1" t="s">
        <v>601</v>
      </c>
      <c r="AB18" s="1" t="s">
        <v>610</v>
      </c>
      <c r="AC18" s="63" t="s">
        <v>380</v>
      </c>
      <c r="AD18" s="1" t="s">
        <v>516</v>
      </c>
      <c r="AE18" s="1" t="s">
        <v>611</v>
      </c>
      <c r="AF18" s="1" t="s">
        <v>384</v>
      </c>
      <c r="AG18" s="64" t="s">
        <v>550</v>
      </c>
      <c r="AH18" s="1"/>
      <c r="AI18" s="1"/>
      <c r="AJ18" s="1"/>
      <c r="AK18" s="1"/>
      <c r="AL18" s="18" t="s">
        <v>612</v>
      </c>
      <c r="AM18" s="18" t="s">
        <v>84</v>
      </c>
      <c r="AN18" s="18" t="s">
        <v>613</v>
      </c>
      <c r="AO18" s="18" t="s">
        <v>614</v>
      </c>
      <c r="AP18" s="18" t="s">
        <v>529</v>
      </c>
      <c r="AQ18" s="18" t="s">
        <v>615</v>
      </c>
      <c r="AR18" s="18"/>
      <c r="AS18" s="18"/>
      <c r="AT18" s="21" t="s">
        <v>612</v>
      </c>
      <c r="AU18" s="22" t="s">
        <v>544</v>
      </c>
      <c r="AV18" s="20" t="s">
        <v>375</v>
      </c>
      <c r="AW18" s="19" t="s">
        <v>530</v>
      </c>
      <c r="AX18" s="22" t="s">
        <v>556</v>
      </c>
      <c r="AY18" s="20" t="s">
        <v>466</v>
      </c>
      <c r="AZ18" s="18"/>
      <c r="BA18" s="1"/>
      <c r="BB18" s="1"/>
      <c r="BC18" s="18"/>
    </row>
    <row r="19" spans="7:55">
      <c r="G19" s="1" t="s">
        <v>428</v>
      </c>
      <c r="H19" s="1" t="s">
        <v>616</v>
      </c>
      <c r="I19" s="1" t="s">
        <v>469</v>
      </c>
      <c r="J19" s="1"/>
      <c r="K19" s="1"/>
      <c r="L19" s="1" t="s">
        <v>607</v>
      </c>
      <c r="M19" s="1" t="s">
        <v>546</v>
      </c>
      <c r="N19" s="1" t="s">
        <v>162</v>
      </c>
      <c r="O19" s="1" t="s">
        <v>570</v>
      </c>
      <c r="P19" s="1" t="s">
        <v>617</v>
      </c>
      <c r="Q19" s="1" t="s">
        <v>618</v>
      </c>
      <c r="R19" s="1"/>
      <c r="S19" s="63" t="s">
        <v>607</v>
      </c>
      <c r="T19" s="1" t="s">
        <v>546</v>
      </c>
      <c r="U19" s="1" t="s">
        <v>162</v>
      </c>
      <c r="V19" s="1" t="s">
        <v>570</v>
      </c>
      <c r="W19" s="1" t="s">
        <v>617</v>
      </c>
      <c r="X19" s="1" t="s">
        <v>618</v>
      </c>
      <c r="Y19" s="73" t="s">
        <v>509</v>
      </c>
      <c r="Z19" s="1" t="s">
        <v>619</v>
      </c>
      <c r="AA19" s="1" t="s">
        <v>620</v>
      </c>
      <c r="AB19" s="1" t="s">
        <v>162</v>
      </c>
      <c r="AC19" s="63" t="s">
        <v>581</v>
      </c>
      <c r="AD19" s="1" t="s">
        <v>581</v>
      </c>
      <c r="AE19" s="65" t="s">
        <v>621</v>
      </c>
      <c r="AF19" s="75" t="s">
        <v>92</v>
      </c>
      <c r="AG19" s="64" t="s">
        <v>581</v>
      </c>
      <c r="AH19" s="1"/>
      <c r="AI19" s="1"/>
      <c r="AJ19" s="1"/>
      <c r="AK19" s="1"/>
      <c r="AL19" s="18" t="s">
        <v>622</v>
      </c>
      <c r="AM19" s="18" t="s">
        <v>612</v>
      </c>
      <c r="AN19" s="18" t="s">
        <v>92</v>
      </c>
      <c r="AO19" s="18" t="s">
        <v>623</v>
      </c>
      <c r="AP19" s="18" t="s">
        <v>599</v>
      </c>
      <c r="AQ19" s="18" t="s">
        <v>624</v>
      </c>
      <c r="AR19" s="18"/>
      <c r="AS19" s="18"/>
      <c r="AT19" s="19" t="s">
        <v>622</v>
      </c>
      <c r="AU19" s="20" t="s">
        <v>539</v>
      </c>
      <c r="AV19" s="22" t="s">
        <v>503</v>
      </c>
      <c r="AW19" s="19" t="s">
        <v>539</v>
      </c>
      <c r="AX19" s="20" t="s">
        <v>569</v>
      </c>
      <c r="AY19" s="20" t="s">
        <v>524</v>
      </c>
      <c r="AZ19" s="18"/>
      <c r="BA19" s="1"/>
      <c r="BB19" s="1"/>
      <c r="BC19" s="18"/>
    </row>
    <row r="20" spans="7:55">
      <c r="G20" s="1" t="s">
        <v>446</v>
      </c>
      <c r="H20" s="1" t="s">
        <v>446</v>
      </c>
      <c r="I20" s="1" t="s">
        <v>446</v>
      </c>
      <c r="J20" s="1"/>
      <c r="K20" s="1"/>
      <c r="L20" s="1" t="s">
        <v>625</v>
      </c>
      <c r="M20" s="1" t="s">
        <v>626</v>
      </c>
      <c r="N20" s="1" t="s">
        <v>536</v>
      </c>
      <c r="O20" s="1" t="s">
        <v>550</v>
      </c>
      <c r="P20" s="1" t="s">
        <v>379</v>
      </c>
      <c r="Q20" s="1" t="s">
        <v>627</v>
      </c>
      <c r="R20" s="1"/>
      <c r="S20" s="63" t="s">
        <v>625</v>
      </c>
      <c r="T20" s="1" t="s">
        <v>626</v>
      </c>
      <c r="U20" s="1" t="s">
        <v>536</v>
      </c>
      <c r="V20" s="1" t="s">
        <v>550</v>
      </c>
      <c r="W20" s="1" t="s">
        <v>379</v>
      </c>
      <c r="X20" s="1" t="s">
        <v>627</v>
      </c>
      <c r="Y20" s="63" t="s">
        <v>568</v>
      </c>
      <c r="Z20" s="1" t="s">
        <v>628</v>
      </c>
      <c r="AA20" s="1" t="s">
        <v>629</v>
      </c>
      <c r="AB20" s="1" t="s">
        <v>630</v>
      </c>
      <c r="AC20" s="63" t="s">
        <v>545</v>
      </c>
      <c r="AD20" s="1" t="s">
        <v>545</v>
      </c>
      <c r="AE20" s="1" t="s">
        <v>631</v>
      </c>
      <c r="AF20" s="1" t="s">
        <v>632</v>
      </c>
      <c r="AG20" s="64" t="s">
        <v>620</v>
      </c>
      <c r="AH20" s="1"/>
      <c r="AI20" s="1"/>
      <c r="AJ20" s="1"/>
      <c r="AK20" s="1"/>
      <c r="AL20" s="18" t="s">
        <v>633</v>
      </c>
      <c r="AM20" s="18" t="s">
        <v>633</v>
      </c>
      <c r="AN20" s="18" t="s">
        <v>84</v>
      </c>
      <c r="AO20" s="18" t="s">
        <v>381</v>
      </c>
      <c r="AP20" s="18" t="s">
        <v>564</v>
      </c>
      <c r="AQ20" s="18" t="s">
        <v>396</v>
      </c>
      <c r="AR20" s="18"/>
      <c r="AS20" s="18"/>
      <c r="AT20" s="21" t="s">
        <v>633</v>
      </c>
      <c r="AU20" s="19" t="s">
        <v>516</v>
      </c>
      <c r="AV20" s="22" t="s">
        <v>509</v>
      </c>
      <c r="AW20" s="19" t="s">
        <v>550</v>
      </c>
      <c r="AX20" s="20" t="s">
        <v>491</v>
      </c>
      <c r="AY20" s="20" t="s">
        <v>621</v>
      </c>
      <c r="AZ20" s="18"/>
      <c r="BA20" s="1"/>
      <c r="BB20" s="1"/>
      <c r="BC20" s="18"/>
    </row>
    <row r="21" spans="7:55">
      <c r="G21" s="1" t="s">
        <v>447</v>
      </c>
      <c r="H21" s="1" t="s">
        <v>447</v>
      </c>
      <c r="I21" s="1" t="s">
        <v>447</v>
      </c>
      <c r="J21" s="1"/>
      <c r="K21" s="1"/>
      <c r="L21" s="1" t="s">
        <v>387</v>
      </c>
      <c r="M21" s="1" t="s">
        <v>559</v>
      </c>
      <c r="N21" s="1" t="s">
        <v>634</v>
      </c>
      <c r="O21" s="1" t="s">
        <v>581</v>
      </c>
      <c r="P21" s="1" t="s">
        <v>538</v>
      </c>
      <c r="Q21" s="1" t="s">
        <v>578</v>
      </c>
      <c r="R21" s="1"/>
      <c r="S21" s="67" t="s">
        <v>387</v>
      </c>
      <c r="T21" s="1" t="s">
        <v>559</v>
      </c>
      <c r="U21" s="1" t="s">
        <v>634</v>
      </c>
      <c r="V21" s="1" t="s">
        <v>581</v>
      </c>
      <c r="W21" s="1" t="s">
        <v>538</v>
      </c>
      <c r="X21" s="1" t="s">
        <v>578</v>
      </c>
      <c r="Y21" s="63" t="s">
        <v>493</v>
      </c>
      <c r="Z21" s="1" t="s">
        <v>563</v>
      </c>
      <c r="AA21" s="1" t="s">
        <v>629</v>
      </c>
      <c r="AB21" s="1" t="s">
        <v>635</v>
      </c>
      <c r="AC21" s="67" t="s">
        <v>162</v>
      </c>
      <c r="AD21" s="1" t="s">
        <v>636</v>
      </c>
      <c r="AE21" s="1" t="s">
        <v>637</v>
      </c>
      <c r="AF21" s="1" t="s">
        <v>638</v>
      </c>
      <c r="AG21" s="64" t="s">
        <v>639</v>
      </c>
      <c r="AH21" s="1"/>
      <c r="AI21" s="1"/>
      <c r="AJ21" s="1"/>
      <c r="AK21" s="1"/>
      <c r="AL21" s="18" t="s">
        <v>640</v>
      </c>
      <c r="AM21" s="18" t="s">
        <v>641</v>
      </c>
      <c r="AN21" s="18" t="s">
        <v>642</v>
      </c>
      <c r="AO21" s="18" t="s">
        <v>607</v>
      </c>
      <c r="AP21" s="18" t="s">
        <v>523</v>
      </c>
      <c r="AQ21" s="18" t="s">
        <v>643</v>
      </c>
      <c r="AR21" s="18"/>
      <c r="AS21" s="18"/>
      <c r="AT21" s="19" t="s">
        <v>640</v>
      </c>
      <c r="AU21" s="20" t="s">
        <v>56</v>
      </c>
      <c r="AV21" s="20" t="s">
        <v>493</v>
      </c>
      <c r="AW21" s="19" t="s">
        <v>56</v>
      </c>
      <c r="AX21" s="22" t="s">
        <v>591</v>
      </c>
      <c r="AY21" s="20" t="s">
        <v>375</v>
      </c>
      <c r="AZ21" s="18"/>
      <c r="BA21" s="1"/>
      <c r="BB21" s="1"/>
      <c r="BC21" s="18"/>
    </row>
    <row r="22" spans="7:55">
      <c r="G22" s="1" t="s">
        <v>448</v>
      </c>
      <c r="H22" s="1" t="s">
        <v>448</v>
      </c>
      <c r="I22" s="1" t="s">
        <v>448</v>
      </c>
      <c r="J22" s="1"/>
      <c r="K22" s="1"/>
      <c r="L22" s="1" t="s">
        <v>92</v>
      </c>
      <c r="M22" s="1" t="s">
        <v>592</v>
      </c>
      <c r="N22" s="1" t="s">
        <v>644</v>
      </c>
      <c r="O22" s="1" t="s">
        <v>644</v>
      </c>
      <c r="P22" s="1" t="s">
        <v>645</v>
      </c>
      <c r="Q22" s="1" t="s">
        <v>646</v>
      </c>
      <c r="R22" s="1"/>
      <c r="S22" s="63" t="s">
        <v>92</v>
      </c>
      <c r="T22" s="1" t="s">
        <v>592</v>
      </c>
      <c r="U22" s="1" t="s">
        <v>644</v>
      </c>
      <c r="V22" s="65" t="s">
        <v>644</v>
      </c>
      <c r="W22" s="1" t="s">
        <v>645</v>
      </c>
      <c r="X22" s="1" t="s">
        <v>646</v>
      </c>
      <c r="Y22" s="63" t="s">
        <v>578</v>
      </c>
      <c r="Z22" s="1" t="s">
        <v>607</v>
      </c>
      <c r="AA22" s="1" t="s">
        <v>647</v>
      </c>
      <c r="AB22" s="1" t="s">
        <v>639</v>
      </c>
      <c r="AC22" s="63" t="s">
        <v>648</v>
      </c>
      <c r="AD22" s="1" t="s">
        <v>648</v>
      </c>
      <c r="AE22" s="1" t="s">
        <v>649</v>
      </c>
      <c r="AF22" s="1" t="s">
        <v>650</v>
      </c>
      <c r="AG22" s="64" t="s">
        <v>651</v>
      </c>
      <c r="AH22" s="1"/>
      <c r="AI22" s="1"/>
      <c r="AJ22" s="1"/>
      <c r="AK22" s="1"/>
      <c r="AL22" s="18" t="s">
        <v>652</v>
      </c>
      <c r="AM22" s="18" t="s">
        <v>653</v>
      </c>
      <c r="AN22" s="18" t="s">
        <v>654</v>
      </c>
      <c r="AO22" s="18" t="s">
        <v>594</v>
      </c>
      <c r="AP22" s="18" t="s">
        <v>504</v>
      </c>
      <c r="AQ22" s="1"/>
      <c r="AR22" s="1"/>
      <c r="AS22" s="1"/>
      <c r="AT22" s="19" t="s">
        <v>641</v>
      </c>
      <c r="AU22" s="20" t="s">
        <v>525</v>
      </c>
      <c r="AV22" s="22" t="s">
        <v>547</v>
      </c>
      <c r="AW22" s="19" t="s">
        <v>560</v>
      </c>
      <c r="AX22" s="22" t="s">
        <v>484</v>
      </c>
      <c r="AY22" s="20" t="s">
        <v>490</v>
      </c>
      <c r="AZ22" s="1"/>
      <c r="BA22" s="1"/>
      <c r="BB22" s="1"/>
      <c r="BC22" s="1"/>
    </row>
    <row r="23" spans="7:55">
      <c r="G23" s="1" t="s">
        <v>449</v>
      </c>
      <c r="H23" s="1" t="s">
        <v>449</v>
      </c>
      <c r="I23" s="1" t="s">
        <v>449</v>
      </c>
      <c r="J23" s="1"/>
      <c r="K23" s="1"/>
      <c r="L23" s="1" t="s">
        <v>580</v>
      </c>
      <c r="M23" s="1" t="s">
        <v>573</v>
      </c>
      <c r="N23" s="1" t="s">
        <v>644</v>
      </c>
      <c r="O23" s="1" t="s">
        <v>607</v>
      </c>
      <c r="P23" s="1" t="s">
        <v>380</v>
      </c>
      <c r="Q23" s="1" t="s">
        <v>508</v>
      </c>
      <c r="R23" s="1"/>
      <c r="S23" s="63" t="s">
        <v>580</v>
      </c>
      <c r="T23" s="1" t="s">
        <v>573</v>
      </c>
      <c r="U23" s="1" t="s">
        <v>644</v>
      </c>
      <c r="V23" s="1" t="s">
        <v>607</v>
      </c>
      <c r="W23" s="1" t="s">
        <v>380</v>
      </c>
      <c r="X23" s="1" t="s">
        <v>508</v>
      </c>
      <c r="Y23" s="63" t="s">
        <v>377</v>
      </c>
      <c r="Z23" s="74" t="s">
        <v>655</v>
      </c>
      <c r="AA23" s="1" t="s">
        <v>614</v>
      </c>
      <c r="AB23" s="1" t="s">
        <v>656</v>
      </c>
      <c r="AC23" s="63" t="s">
        <v>657</v>
      </c>
      <c r="AD23" s="1" t="s">
        <v>658</v>
      </c>
      <c r="AE23" s="1" t="s">
        <v>659</v>
      </c>
      <c r="AF23" s="66" t="s">
        <v>562</v>
      </c>
      <c r="AG23" s="64" t="s">
        <v>660</v>
      </c>
      <c r="AH23" s="1"/>
      <c r="AI23" s="1"/>
      <c r="AJ23" s="1"/>
      <c r="AK23" s="1"/>
      <c r="AL23" s="18" t="s">
        <v>661</v>
      </c>
      <c r="AM23" s="18" t="s">
        <v>638</v>
      </c>
      <c r="AN23" s="18" t="s">
        <v>391</v>
      </c>
      <c r="AO23" s="18" t="s">
        <v>662</v>
      </c>
      <c r="AP23" s="18" t="s">
        <v>663</v>
      </c>
      <c r="AQ23" s="1"/>
      <c r="AR23" s="1"/>
      <c r="AS23" s="1"/>
      <c r="AT23" s="21" t="s">
        <v>652</v>
      </c>
      <c r="AU23" s="20" t="s">
        <v>536</v>
      </c>
      <c r="AV23" s="22" t="s">
        <v>508</v>
      </c>
      <c r="AW23" s="20" t="s">
        <v>584</v>
      </c>
      <c r="AX23" s="20" t="s">
        <v>466</v>
      </c>
      <c r="AY23" s="20" t="s">
        <v>503</v>
      </c>
      <c r="AZ23" s="1"/>
      <c r="BA23" s="1"/>
      <c r="BB23" s="1"/>
      <c r="BC23" s="1"/>
    </row>
    <row r="24" spans="7:55">
      <c r="G24" s="1" t="s">
        <v>450</v>
      </c>
      <c r="H24" s="1" t="s">
        <v>450</v>
      </c>
      <c r="I24" s="1" t="s">
        <v>450</v>
      </c>
      <c r="J24" s="1"/>
      <c r="K24" s="1"/>
      <c r="L24" s="1" t="s">
        <v>579</v>
      </c>
      <c r="M24" s="1" t="s">
        <v>387</v>
      </c>
      <c r="N24" s="1" t="s">
        <v>382</v>
      </c>
      <c r="O24" s="1" t="s">
        <v>664</v>
      </c>
      <c r="P24" s="1" t="s">
        <v>56</v>
      </c>
      <c r="Q24" s="1" t="s">
        <v>514</v>
      </c>
      <c r="R24" s="1"/>
      <c r="S24" s="63" t="s">
        <v>579</v>
      </c>
      <c r="T24" s="1" t="s">
        <v>387</v>
      </c>
      <c r="U24" s="1" t="s">
        <v>382</v>
      </c>
      <c r="V24" s="1" t="s">
        <v>664</v>
      </c>
      <c r="W24" s="65" t="s">
        <v>56</v>
      </c>
      <c r="X24" s="1" t="s">
        <v>514</v>
      </c>
      <c r="Y24" s="63" t="s">
        <v>542</v>
      </c>
      <c r="Z24" s="1" t="s">
        <v>559</v>
      </c>
      <c r="AA24" s="1" t="s">
        <v>665</v>
      </c>
      <c r="AB24" s="1" t="s">
        <v>666</v>
      </c>
      <c r="AC24" s="63" t="s">
        <v>634</v>
      </c>
      <c r="AD24" s="1" t="s">
        <v>387</v>
      </c>
      <c r="AE24" s="1" t="s">
        <v>545</v>
      </c>
      <c r="AF24" s="1" t="s">
        <v>667</v>
      </c>
      <c r="AG24" s="64" t="s">
        <v>668</v>
      </c>
      <c r="AH24" s="1"/>
      <c r="AI24" s="1"/>
      <c r="AJ24" s="1"/>
      <c r="AK24" s="1"/>
      <c r="AL24" s="18" t="s">
        <v>400</v>
      </c>
      <c r="AM24" s="18" t="s">
        <v>669</v>
      </c>
      <c r="AN24" s="18" t="s">
        <v>670</v>
      </c>
      <c r="AO24" s="18" t="s">
        <v>671</v>
      </c>
      <c r="AP24" s="18" t="s">
        <v>56</v>
      </c>
      <c r="AQ24" s="1"/>
      <c r="AR24" s="1"/>
      <c r="AS24" s="1"/>
      <c r="AT24" s="19" t="s">
        <v>661</v>
      </c>
      <c r="AU24" s="20" t="s">
        <v>381</v>
      </c>
      <c r="AV24" s="20" t="s">
        <v>514</v>
      </c>
      <c r="AW24" s="21" t="s">
        <v>545</v>
      </c>
      <c r="AX24" s="20" t="s">
        <v>515</v>
      </c>
      <c r="AY24" s="20" t="s">
        <v>557</v>
      </c>
      <c r="AZ24" s="1"/>
      <c r="BA24" s="1"/>
      <c r="BB24" s="1"/>
      <c r="BC24" s="1"/>
    </row>
    <row r="25" spans="7:55">
      <c r="G25" s="1" t="s">
        <v>672</v>
      </c>
      <c r="H25" s="1" t="s">
        <v>672</v>
      </c>
      <c r="I25" s="1" t="s">
        <v>672</v>
      </c>
      <c r="J25" s="1"/>
      <c r="K25" s="1"/>
      <c r="L25" s="1" t="s">
        <v>673</v>
      </c>
      <c r="M25" s="1" t="s">
        <v>92</v>
      </c>
      <c r="N25" s="1" t="s">
        <v>664</v>
      </c>
      <c r="O25" s="1" t="s">
        <v>662</v>
      </c>
      <c r="P25" s="1" t="s">
        <v>620</v>
      </c>
      <c r="Q25" s="1" t="s">
        <v>674</v>
      </c>
      <c r="R25" s="1"/>
      <c r="S25" s="63" t="s">
        <v>673</v>
      </c>
      <c r="T25" s="1" t="s">
        <v>92</v>
      </c>
      <c r="U25" s="1" t="s">
        <v>664</v>
      </c>
      <c r="V25" s="1" t="s">
        <v>662</v>
      </c>
      <c r="W25" s="1" t="s">
        <v>620</v>
      </c>
      <c r="X25" s="1" t="s">
        <v>674</v>
      </c>
      <c r="Y25" s="63" t="s">
        <v>675</v>
      </c>
      <c r="Z25" s="1" t="s">
        <v>592</v>
      </c>
      <c r="AA25" s="1" t="s">
        <v>676</v>
      </c>
      <c r="AB25" s="1" t="s">
        <v>677</v>
      </c>
      <c r="AC25" s="63" t="s">
        <v>382</v>
      </c>
      <c r="AD25" s="1" t="s">
        <v>678</v>
      </c>
      <c r="AE25" s="1" t="s">
        <v>162</v>
      </c>
      <c r="AF25" s="1" t="s">
        <v>400</v>
      </c>
      <c r="AG25" s="64" t="s">
        <v>390</v>
      </c>
      <c r="AH25" s="1"/>
      <c r="AI25" s="1"/>
      <c r="AJ25" s="1"/>
      <c r="AK25" s="1"/>
      <c r="AL25" s="18" t="s">
        <v>669</v>
      </c>
      <c r="AM25" s="18" t="s">
        <v>679</v>
      </c>
      <c r="AN25" s="18" t="s">
        <v>393</v>
      </c>
      <c r="AO25" s="18" t="s">
        <v>680</v>
      </c>
      <c r="AP25" s="18" t="s">
        <v>634</v>
      </c>
      <c r="AQ25" s="1"/>
      <c r="AR25" s="1"/>
      <c r="AS25" s="1"/>
      <c r="AT25" s="21" t="s">
        <v>400</v>
      </c>
      <c r="AU25" s="20" t="s">
        <v>607</v>
      </c>
      <c r="AV25" s="22" t="s">
        <v>529</v>
      </c>
      <c r="AW25" s="20" t="s">
        <v>608</v>
      </c>
      <c r="AX25" s="20" t="s">
        <v>611</v>
      </c>
      <c r="AY25" s="20" t="s">
        <v>571</v>
      </c>
      <c r="AZ25" s="1"/>
      <c r="BA25" s="1"/>
      <c r="BB25" s="1"/>
      <c r="BC25" s="1"/>
    </row>
    <row r="26" spans="7:55">
      <c r="G26" s="1"/>
      <c r="H26" s="1"/>
      <c r="I26" s="1"/>
      <c r="J26" s="1"/>
      <c r="K26" s="1"/>
      <c r="L26" s="1" t="s">
        <v>622</v>
      </c>
      <c r="M26" s="1" t="s">
        <v>678</v>
      </c>
      <c r="N26" s="1" t="s">
        <v>580</v>
      </c>
      <c r="O26" s="1" t="s">
        <v>681</v>
      </c>
      <c r="P26" s="1" t="s">
        <v>682</v>
      </c>
      <c r="Q26" s="1" t="s">
        <v>529</v>
      </c>
      <c r="R26" s="1"/>
      <c r="S26" s="63" t="s">
        <v>622</v>
      </c>
      <c r="T26" s="1" t="s">
        <v>678</v>
      </c>
      <c r="U26" s="1" t="s">
        <v>580</v>
      </c>
      <c r="V26" s="1" t="s">
        <v>681</v>
      </c>
      <c r="W26" s="1" t="s">
        <v>682</v>
      </c>
      <c r="X26" s="1" t="s">
        <v>529</v>
      </c>
      <c r="Y26" s="63" t="s">
        <v>504</v>
      </c>
      <c r="Z26" s="74" t="s">
        <v>683</v>
      </c>
      <c r="AA26" s="1" t="s">
        <v>381</v>
      </c>
      <c r="AB26" s="1" t="s">
        <v>387</v>
      </c>
      <c r="AC26" s="63" t="s">
        <v>607</v>
      </c>
      <c r="AD26" s="1" t="s">
        <v>684</v>
      </c>
      <c r="AE26" s="1" t="s">
        <v>682</v>
      </c>
      <c r="AF26" s="1" t="s">
        <v>669</v>
      </c>
      <c r="AG26" s="64" t="s">
        <v>685</v>
      </c>
      <c r="AH26" s="1"/>
      <c r="AI26" s="1"/>
      <c r="AJ26" s="1"/>
      <c r="AK26" s="1"/>
      <c r="AL26" s="18" t="s">
        <v>669</v>
      </c>
      <c r="AM26" s="18" t="s">
        <v>686</v>
      </c>
      <c r="AN26" s="18" t="s">
        <v>679</v>
      </c>
      <c r="AO26" s="18" t="s">
        <v>633</v>
      </c>
      <c r="AP26" s="18" t="s">
        <v>382</v>
      </c>
      <c r="AQ26" s="1"/>
      <c r="AR26" s="1"/>
      <c r="AS26" s="1"/>
      <c r="AT26" s="19" t="s">
        <v>669</v>
      </c>
      <c r="AU26" s="20" t="s">
        <v>546</v>
      </c>
      <c r="AV26" s="20" t="s">
        <v>564</v>
      </c>
      <c r="AW26" s="22" t="s">
        <v>162</v>
      </c>
      <c r="AX26" s="20" t="s">
        <v>524</v>
      </c>
      <c r="AY26" s="20" t="s">
        <v>514</v>
      </c>
      <c r="AZ26" s="1"/>
      <c r="BA26" s="1"/>
      <c r="BB26" s="1"/>
      <c r="BC26" s="1"/>
    </row>
    <row r="27" spans="7:55">
      <c r="G27" s="1"/>
      <c r="H27" s="1"/>
      <c r="I27" s="1"/>
      <c r="J27" s="1"/>
      <c r="K27" s="1"/>
      <c r="L27" s="1" t="s">
        <v>687</v>
      </c>
      <c r="M27" s="1" t="s">
        <v>594</v>
      </c>
      <c r="N27" s="1" t="s">
        <v>678</v>
      </c>
      <c r="O27" s="1" t="s">
        <v>671</v>
      </c>
      <c r="P27" s="1" t="s">
        <v>558</v>
      </c>
      <c r="Q27" s="1" t="s">
        <v>599</v>
      </c>
      <c r="R27" s="1"/>
      <c r="S27" s="63" t="s">
        <v>687</v>
      </c>
      <c r="T27" s="1" t="s">
        <v>594</v>
      </c>
      <c r="U27" s="1" t="s">
        <v>678</v>
      </c>
      <c r="V27" s="1" t="s">
        <v>671</v>
      </c>
      <c r="W27" s="1" t="s">
        <v>558</v>
      </c>
      <c r="X27" s="1" t="s">
        <v>599</v>
      </c>
      <c r="Y27" s="63" t="s">
        <v>585</v>
      </c>
      <c r="Z27" s="1" t="s">
        <v>387</v>
      </c>
      <c r="AA27" s="1" t="s">
        <v>688</v>
      </c>
      <c r="AB27" s="76" t="s">
        <v>101</v>
      </c>
      <c r="AC27" s="63" t="s">
        <v>683</v>
      </c>
      <c r="AD27" s="1" t="s">
        <v>689</v>
      </c>
      <c r="AE27" s="1" t="s">
        <v>648</v>
      </c>
      <c r="AF27" s="1" t="s">
        <v>690</v>
      </c>
      <c r="AG27" s="68" t="s">
        <v>691</v>
      </c>
      <c r="AH27" s="1"/>
      <c r="AI27" s="1"/>
      <c r="AJ27" s="1"/>
      <c r="AK27" s="1"/>
      <c r="AL27" s="18" t="s">
        <v>692</v>
      </c>
      <c r="AM27" s="18" t="s">
        <v>693</v>
      </c>
      <c r="AN27" s="18" t="s">
        <v>694</v>
      </c>
      <c r="AO27" s="18" t="s">
        <v>695</v>
      </c>
      <c r="AP27" s="18" t="s">
        <v>664</v>
      </c>
      <c r="AQ27" s="1"/>
      <c r="AR27" s="1"/>
      <c r="AS27" s="1"/>
      <c r="AT27" s="23" t="s">
        <v>692</v>
      </c>
      <c r="AU27" s="20" t="s">
        <v>626</v>
      </c>
      <c r="AV27" s="20" t="s">
        <v>504</v>
      </c>
      <c r="AW27" s="21" t="s">
        <v>563</v>
      </c>
      <c r="AX27" s="22" t="s">
        <v>534</v>
      </c>
      <c r="AY27" s="20" t="s">
        <v>659</v>
      </c>
      <c r="AZ27" s="1"/>
      <c r="BA27" s="1"/>
      <c r="BB27" s="1"/>
      <c r="BC27" s="1"/>
    </row>
    <row r="28" spans="7:55">
      <c r="G28" s="1"/>
      <c r="H28" s="1"/>
      <c r="I28" s="1"/>
      <c r="J28" s="1"/>
      <c r="K28" s="1"/>
      <c r="L28" s="1" t="s">
        <v>633</v>
      </c>
      <c r="M28" s="1" t="s">
        <v>84</v>
      </c>
      <c r="N28" s="1" t="s">
        <v>84</v>
      </c>
      <c r="O28" s="1" t="s">
        <v>579</v>
      </c>
      <c r="P28" s="1" t="s">
        <v>381</v>
      </c>
      <c r="Q28" s="1" t="s">
        <v>564</v>
      </c>
      <c r="R28" s="1"/>
      <c r="S28" s="63" t="s">
        <v>633</v>
      </c>
      <c r="T28" s="1" t="s">
        <v>84</v>
      </c>
      <c r="U28" s="1" t="s">
        <v>84</v>
      </c>
      <c r="V28" s="1" t="s">
        <v>579</v>
      </c>
      <c r="W28" s="1" t="s">
        <v>381</v>
      </c>
      <c r="X28" s="1" t="s">
        <v>564</v>
      </c>
      <c r="Y28" s="63" t="s">
        <v>566</v>
      </c>
      <c r="Z28" s="1" t="s">
        <v>92</v>
      </c>
      <c r="AA28" s="1" t="s">
        <v>696</v>
      </c>
      <c r="AB28" s="1" t="s">
        <v>697</v>
      </c>
      <c r="AC28" s="67" t="s">
        <v>387</v>
      </c>
      <c r="AD28" s="1" t="s">
        <v>698</v>
      </c>
      <c r="AE28" s="1" t="s">
        <v>634</v>
      </c>
      <c r="AF28" s="1" t="s">
        <v>679</v>
      </c>
      <c r="AG28" s="64" t="s">
        <v>699</v>
      </c>
      <c r="AH28" s="1"/>
      <c r="AI28" s="1"/>
      <c r="AJ28" s="1"/>
      <c r="AK28" s="1"/>
      <c r="AL28" s="18"/>
      <c r="AM28" s="18"/>
      <c r="AN28" s="18" t="s">
        <v>700</v>
      </c>
      <c r="AO28" s="18" t="s">
        <v>638</v>
      </c>
      <c r="AP28" s="18" t="s">
        <v>546</v>
      </c>
      <c r="AQ28" s="1"/>
      <c r="AR28" s="1"/>
      <c r="AS28" s="1"/>
      <c r="AT28" s="23"/>
      <c r="AU28" s="20" t="s">
        <v>559</v>
      </c>
      <c r="AV28" s="22" t="s">
        <v>379</v>
      </c>
      <c r="AW28" s="19" t="s">
        <v>605</v>
      </c>
      <c r="AX28" s="20" t="s">
        <v>621</v>
      </c>
      <c r="AY28" s="20" t="s">
        <v>554</v>
      </c>
      <c r="AZ28" s="1"/>
      <c r="BA28" s="1"/>
      <c r="BB28" s="1"/>
      <c r="BC28" s="1"/>
    </row>
    <row r="29" spans="7:55">
      <c r="G29" s="1"/>
      <c r="H29" s="1"/>
      <c r="I29" s="1"/>
      <c r="J29" s="1"/>
      <c r="K29" s="1"/>
      <c r="L29" s="1" t="s">
        <v>701</v>
      </c>
      <c r="M29" s="1" t="s">
        <v>681</v>
      </c>
      <c r="N29" s="1" t="s">
        <v>671</v>
      </c>
      <c r="O29" s="1" t="s">
        <v>702</v>
      </c>
      <c r="P29" s="1" t="s">
        <v>703</v>
      </c>
      <c r="Q29" s="1" t="s">
        <v>523</v>
      </c>
      <c r="R29" s="1"/>
      <c r="S29" s="63" t="s">
        <v>701</v>
      </c>
      <c r="T29" s="1" t="s">
        <v>681</v>
      </c>
      <c r="U29" s="1" t="s">
        <v>671</v>
      </c>
      <c r="V29" s="1" t="s">
        <v>702</v>
      </c>
      <c r="W29" s="1" t="s">
        <v>703</v>
      </c>
      <c r="X29" s="1" t="s">
        <v>523</v>
      </c>
      <c r="Y29" s="63" t="s">
        <v>589</v>
      </c>
      <c r="Z29" s="1" t="s">
        <v>662</v>
      </c>
      <c r="AA29" s="1" t="s">
        <v>592</v>
      </c>
      <c r="AB29" s="1" t="s">
        <v>662</v>
      </c>
      <c r="AC29" s="63" t="s">
        <v>704</v>
      </c>
      <c r="AD29" s="1" t="s">
        <v>661</v>
      </c>
      <c r="AE29" s="1" t="s">
        <v>696</v>
      </c>
      <c r="AF29" s="1" t="s">
        <v>705</v>
      </c>
      <c r="AG29" s="68" t="s">
        <v>398</v>
      </c>
      <c r="AH29" s="1"/>
      <c r="AI29" s="1"/>
      <c r="AJ29" s="1"/>
      <c r="AK29" s="1"/>
      <c r="AL29" s="18"/>
      <c r="AM29" s="1"/>
      <c r="AN29" s="18" t="s">
        <v>706</v>
      </c>
      <c r="AO29" s="18" t="s">
        <v>707</v>
      </c>
      <c r="AP29" s="18" t="s">
        <v>666</v>
      </c>
      <c r="AQ29" s="1"/>
      <c r="AR29" s="1"/>
      <c r="AS29" s="1"/>
      <c r="AT29" s="1"/>
      <c r="AU29" s="20" t="s">
        <v>592</v>
      </c>
      <c r="AV29" s="20" t="s">
        <v>561</v>
      </c>
      <c r="AW29" s="20" t="s">
        <v>536</v>
      </c>
      <c r="AX29" s="20" t="s">
        <v>375</v>
      </c>
      <c r="AY29" s="20" t="s">
        <v>523</v>
      </c>
      <c r="AZ29" s="1"/>
      <c r="BA29" s="1"/>
      <c r="BB29" s="1"/>
      <c r="BC29" s="1"/>
    </row>
    <row r="30" spans="7:55">
      <c r="G30" s="1"/>
      <c r="H30" s="1"/>
      <c r="I30" s="1"/>
      <c r="J30" s="1"/>
      <c r="K30" s="1"/>
      <c r="L30" s="1" t="s">
        <v>695</v>
      </c>
      <c r="M30" s="1" t="s">
        <v>593</v>
      </c>
      <c r="N30" s="1" t="s">
        <v>579</v>
      </c>
      <c r="O30" s="1" t="s">
        <v>391</v>
      </c>
      <c r="P30" s="1" t="s">
        <v>708</v>
      </c>
      <c r="Q30" s="1" t="s">
        <v>523</v>
      </c>
      <c r="R30" s="1"/>
      <c r="S30" s="63" t="s">
        <v>695</v>
      </c>
      <c r="T30" s="1" t="s">
        <v>593</v>
      </c>
      <c r="U30" s="1" t="s">
        <v>579</v>
      </c>
      <c r="V30" s="1" t="s">
        <v>391</v>
      </c>
      <c r="W30" s="1" t="s">
        <v>708</v>
      </c>
      <c r="X30" s="1" t="s">
        <v>523</v>
      </c>
      <c r="Y30" s="63" t="s">
        <v>709</v>
      </c>
      <c r="Z30" s="1" t="s">
        <v>710</v>
      </c>
      <c r="AA30" s="1" t="s">
        <v>711</v>
      </c>
      <c r="AB30" s="1" t="s">
        <v>712</v>
      </c>
      <c r="AC30" s="67" t="s">
        <v>713</v>
      </c>
      <c r="AD30" s="1" t="s">
        <v>714</v>
      </c>
      <c r="AE30" s="1" t="s">
        <v>390</v>
      </c>
      <c r="AF30" s="1"/>
      <c r="AG30" s="64" t="s">
        <v>607</v>
      </c>
      <c r="AH30" s="1"/>
      <c r="AI30" s="1"/>
      <c r="AJ30" s="1"/>
      <c r="AK30" s="1"/>
      <c r="AL30" s="18"/>
      <c r="AM30" s="1"/>
      <c r="AN30" s="18" t="s">
        <v>715</v>
      </c>
      <c r="AO30" s="18" t="s">
        <v>716</v>
      </c>
      <c r="AP30" s="18" t="s">
        <v>384</v>
      </c>
      <c r="AQ30" s="1"/>
      <c r="AR30" s="1"/>
      <c r="AS30" s="1"/>
      <c r="AT30" s="1"/>
      <c r="AU30" s="20" t="s">
        <v>573</v>
      </c>
      <c r="AV30" s="20" t="s">
        <v>585</v>
      </c>
      <c r="AW30" s="22" t="s">
        <v>634</v>
      </c>
      <c r="AX30" s="22" t="s">
        <v>490</v>
      </c>
      <c r="AY30" s="20" t="s">
        <v>530</v>
      </c>
      <c r="AZ30" s="1"/>
      <c r="BA30" s="1"/>
      <c r="BB30" s="1"/>
      <c r="BC30" s="1"/>
    </row>
    <row r="31" spans="7:55">
      <c r="G31" s="1"/>
      <c r="H31" s="1"/>
      <c r="I31" s="1"/>
      <c r="J31" s="1"/>
      <c r="K31" s="1"/>
      <c r="L31" s="1" t="s">
        <v>654</v>
      </c>
      <c r="M31" s="1" t="s">
        <v>689</v>
      </c>
      <c r="N31" s="1" t="s">
        <v>642</v>
      </c>
      <c r="O31" s="1" t="s">
        <v>638</v>
      </c>
      <c r="P31" s="1" t="s">
        <v>384</v>
      </c>
      <c r="Q31" s="1" t="s">
        <v>530</v>
      </c>
      <c r="R31" s="1"/>
      <c r="S31" s="63" t="s">
        <v>654</v>
      </c>
      <c r="T31" s="1" t="s">
        <v>689</v>
      </c>
      <c r="U31" s="1" t="s">
        <v>642</v>
      </c>
      <c r="V31" s="1" t="s">
        <v>638</v>
      </c>
      <c r="W31" s="1" t="s">
        <v>384</v>
      </c>
      <c r="X31" s="1" t="s">
        <v>530</v>
      </c>
      <c r="Y31" s="63" t="s">
        <v>682</v>
      </c>
      <c r="Z31" s="1" t="s">
        <v>681</v>
      </c>
      <c r="AA31" s="1" t="s">
        <v>386</v>
      </c>
      <c r="AB31" s="1" t="s">
        <v>713</v>
      </c>
      <c r="AC31" s="63" t="s">
        <v>633</v>
      </c>
      <c r="AD31" s="1" t="s">
        <v>690</v>
      </c>
      <c r="AE31" s="1" t="s">
        <v>717</v>
      </c>
      <c r="AF31" s="1"/>
      <c r="AG31" s="64"/>
      <c r="AH31" s="1"/>
      <c r="AI31" s="1"/>
      <c r="AJ31" s="1"/>
      <c r="AK31" s="1"/>
      <c r="AL31" s="18"/>
      <c r="AM31" s="1"/>
      <c r="AN31" s="18" t="s">
        <v>718</v>
      </c>
      <c r="AO31" s="18" t="s">
        <v>719</v>
      </c>
      <c r="AP31" s="18" t="s">
        <v>720</v>
      </c>
      <c r="AQ31" s="1"/>
      <c r="AR31" s="1"/>
      <c r="AS31" s="1"/>
      <c r="AT31" s="1"/>
      <c r="AU31" s="20" t="s">
        <v>387</v>
      </c>
      <c r="AV31" s="22" t="s">
        <v>530</v>
      </c>
      <c r="AW31" s="20" t="s">
        <v>644</v>
      </c>
      <c r="AX31" s="22" t="s">
        <v>503</v>
      </c>
      <c r="AY31" s="20" t="s">
        <v>570</v>
      </c>
      <c r="AZ31" s="1"/>
      <c r="BA31" s="1"/>
      <c r="BB31" s="1"/>
      <c r="BC31" s="1"/>
    </row>
    <row r="32" spans="7:55">
      <c r="G32" s="1"/>
      <c r="H32" s="1"/>
      <c r="I32" s="1"/>
      <c r="J32" s="1"/>
      <c r="K32" s="1"/>
      <c r="L32" s="1" t="s">
        <v>638</v>
      </c>
      <c r="M32" s="1" t="s">
        <v>641</v>
      </c>
      <c r="N32" s="1" t="s">
        <v>389</v>
      </c>
      <c r="O32" s="1" t="s">
        <v>716</v>
      </c>
      <c r="P32" s="1" t="s">
        <v>385</v>
      </c>
      <c r="Q32" s="1" t="s">
        <v>516</v>
      </c>
      <c r="R32" s="1"/>
      <c r="S32" s="63" t="s">
        <v>638</v>
      </c>
      <c r="T32" s="1" t="s">
        <v>641</v>
      </c>
      <c r="U32" s="1" t="s">
        <v>389</v>
      </c>
      <c r="V32" s="1" t="s">
        <v>716</v>
      </c>
      <c r="W32" s="1" t="s">
        <v>385</v>
      </c>
      <c r="X32" s="1" t="s">
        <v>516</v>
      </c>
      <c r="Y32" s="63" t="s">
        <v>648</v>
      </c>
      <c r="Z32" s="1" t="s">
        <v>713</v>
      </c>
      <c r="AA32" s="1" t="s">
        <v>625</v>
      </c>
      <c r="AB32" s="1" t="s">
        <v>721</v>
      </c>
      <c r="AC32" s="63" t="s">
        <v>722</v>
      </c>
      <c r="AD32" s="76" t="s">
        <v>393</v>
      </c>
      <c r="AE32" s="1" t="s">
        <v>723</v>
      </c>
      <c r="AF32" s="1"/>
      <c r="AG32" s="64"/>
      <c r="AH32" s="1"/>
      <c r="AI32" s="1"/>
      <c r="AJ32" s="1"/>
      <c r="AK32" s="1"/>
      <c r="AL32" s="18"/>
      <c r="AM32" s="1"/>
      <c r="AN32" s="1"/>
      <c r="AO32" s="18" t="s">
        <v>724</v>
      </c>
      <c r="AP32" s="18" t="s">
        <v>725</v>
      </c>
      <c r="AQ32" s="1"/>
      <c r="AR32" s="1"/>
      <c r="AS32" s="1"/>
      <c r="AT32" s="1"/>
      <c r="AU32" s="20" t="s">
        <v>92</v>
      </c>
      <c r="AV32" s="22" t="s">
        <v>598</v>
      </c>
      <c r="AW32" s="20" t="s">
        <v>382</v>
      </c>
      <c r="AX32" s="20" t="s">
        <v>557</v>
      </c>
      <c r="AY32" s="20" t="s">
        <v>550</v>
      </c>
      <c r="AZ32" s="1"/>
      <c r="BA32" s="1"/>
      <c r="BB32" s="1"/>
      <c r="BC32" s="1"/>
    </row>
    <row r="33" spans="12:51">
      <c r="L33" s="1" t="s">
        <v>726</v>
      </c>
      <c r="M33" s="1" t="s">
        <v>726</v>
      </c>
      <c r="N33" s="1" t="s">
        <v>727</v>
      </c>
      <c r="O33" s="1" t="s">
        <v>400</v>
      </c>
      <c r="P33" s="1" t="s">
        <v>386</v>
      </c>
      <c r="Q33" s="1" t="s">
        <v>545</v>
      </c>
      <c r="R33" s="1"/>
      <c r="S33" s="67" t="s">
        <v>726</v>
      </c>
      <c r="T33" s="1" t="s">
        <v>726</v>
      </c>
      <c r="U33" s="1" t="s">
        <v>727</v>
      </c>
      <c r="V33" s="1" t="s">
        <v>400</v>
      </c>
      <c r="W33" s="66" t="s">
        <v>386</v>
      </c>
      <c r="X33" s="1" t="s">
        <v>545</v>
      </c>
      <c r="Y33" s="63" t="s">
        <v>728</v>
      </c>
      <c r="Z33" s="1" t="s">
        <v>729</v>
      </c>
      <c r="AA33" s="1" t="s">
        <v>387</v>
      </c>
      <c r="AB33" s="1" t="s">
        <v>730</v>
      </c>
      <c r="AC33" s="63" t="s">
        <v>638</v>
      </c>
      <c r="AD33" s="1" t="s">
        <v>694</v>
      </c>
      <c r="AE33" s="1" t="s">
        <v>731</v>
      </c>
      <c r="AF33" s="1"/>
      <c r="AG33" s="64"/>
      <c r="AH33" s="1"/>
      <c r="AI33" s="1"/>
      <c r="AJ33" s="1"/>
      <c r="AK33" s="1"/>
      <c r="AL33" s="1"/>
      <c r="AM33" s="1"/>
      <c r="AN33" s="1"/>
      <c r="AO33" s="18" t="s">
        <v>732</v>
      </c>
      <c r="AP33" s="18" t="s">
        <v>733</v>
      </c>
      <c r="AQ33" s="1"/>
      <c r="AR33" s="1"/>
      <c r="AS33" s="1"/>
      <c r="AT33" s="1"/>
      <c r="AU33" s="20" t="s">
        <v>580</v>
      </c>
      <c r="AV33" s="20" t="s">
        <v>539</v>
      </c>
      <c r="AW33" s="22" t="s">
        <v>664</v>
      </c>
      <c r="AX33" s="20" t="s">
        <v>571</v>
      </c>
      <c r="AY33" s="20" t="s">
        <v>581</v>
      </c>
    </row>
    <row r="34" spans="12:51">
      <c r="L34" s="1" t="s">
        <v>716</v>
      </c>
      <c r="M34" s="1" t="s">
        <v>690</v>
      </c>
      <c r="N34" s="1" t="s">
        <v>654</v>
      </c>
      <c r="O34" s="1" t="s">
        <v>669</v>
      </c>
      <c r="P34" s="1" t="s">
        <v>387</v>
      </c>
      <c r="Q34" s="1" t="s">
        <v>682</v>
      </c>
      <c r="R34" s="1"/>
      <c r="S34" s="63" t="s">
        <v>716</v>
      </c>
      <c r="T34" s="1" t="s">
        <v>690</v>
      </c>
      <c r="U34" s="1" t="s">
        <v>654</v>
      </c>
      <c r="V34" s="1" t="s">
        <v>669</v>
      </c>
      <c r="W34" s="1" t="s">
        <v>387</v>
      </c>
      <c r="X34" s="1" t="s">
        <v>682</v>
      </c>
      <c r="Y34" s="73" t="s">
        <v>386</v>
      </c>
      <c r="Z34" s="1" t="s">
        <v>642</v>
      </c>
      <c r="AA34" s="1" t="s">
        <v>734</v>
      </c>
      <c r="AB34" s="1" t="s">
        <v>695</v>
      </c>
      <c r="AC34" s="63" t="s">
        <v>735</v>
      </c>
      <c r="AD34" s="1"/>
      <c r="AE34" s="1" t="s">
        <v>736</v>
      </c>
      <c r="AF34" s="1"/>
      <c r="AG34" s="64"/>
      <c r="AH34" s="1"/>
      <c r="AI34" s="1"/>
      <c r="AJ34" s="1"/>
      <c r="AK34" s="1"/>
      <c r="AL34" s="1"/>
      <c r="AM34" s="1"/>
      <c r="AN34" s="1"/>
      <c r="AO34" s="18" t="s">
        <v>737</v>
      </c>
      <c r="AP34" s="18" t="s">
        <v>738</v>
      </c>
      <c r="AQ34" s="1"/>
      <c r="AR34" s="1"/>
      <c r="AS34" s="1"/>
      <c r="AT34" s="1"/>
      <c r="AU34" s="20" t="s">
        <v>678</v>
      </c>
      <c r="AV34" s="20" t="s">
        <v>574</v>
      </c>
      <c r="AW34" s="21" t="s">
        <v>613</v>
      </c>
      <c r="AX34" s="20" t="s">
        <v>631</v>
      </c>
      <c r="AY34" s="20" t="s">
        <v>620</v>
      </c>
    </row>
    <row r="35" spans="12:51">
      <c r="L35" s="1" t="s">
        <v>739</v>
      </c>
      <c r="M35" s="1" t="s">
        <v>740</v>
      </c>
      <c r="N35" s="1" t="s">
        <v>741</v>
      </c>
      <c r="O35" s="1" t="s">
        <v>737</v>
      </c>
      <c r="P35" s="1" t="s">
        <v>594</v>
      </c>
      <c r="Q35" s="1" t="s">
        <v>648</v>
      </c>
      <c r="R35" s="1"/>
      <c r="S35" s="63" t="s">
        <v>739</v>
      </c>
      <c r="T35" s="1" t="s">
        <v>740</v>
      </c>
      <c r="U35" s="1" t="s">
        <v>741</v>
      </c>
      <c r="V35" s="1" t="s">
        <v>737</v>
      </c>
      <c r="W35" s="1" t="s">
        <v>594</v>
      </c>
      <c r="X35" s="1" t="s">
        <v>648</v>
      </c>
      <c r="Y35" s="63" t="s">
        <v>387</v>
      </c>
      <c r="Z35" s="1" t="s">
        <v>507</v>
      </c>
      <c r="AA35" s="1" t="s">
        <v>742</v>
      </c>
      <c r="AB35" s="1" t="s">
        <v>743</v>
      </c>
      <c r="AC35" s="67" t="s">
        <v>739</v>
      </c>
      <c r="AD35" s="1"/>
      <c r="AE35" s="1" t="s">
        <v>694</v>
      </c>
      <c r="AF35" s="1"/>
      <c r="AG35" s="64"/>
      <c r="AH35" s="1"/>
      <c r="AI35" s="1"/>
      <c r="AJ35" s="1"/>
      <c r="AK35" s="1"/>
      <c r="AL35" s="1"/>
      <c r="AM35" s="1"/>
      <c r="AN35" s="1"/>
      <c r="AO35" s="18" t="s">
        <v>583</v>
      </c>
      <c r="AP35" s="18" t="s">
        <v>651</v>
      </c>
      <c r="AQ35" s="1"/>
      <c r="AR35" s="1"/>
      <c r="AS35" s="1"/>
      <c r="AT35" s="1"/>
      <c r="AU35" s="20" t="s">
        <v>594</v>
      </c>
      <c r="AV35" s="22" t="s">
        <v>570</v>
      </c>
      <c r="AW35" s="19" t="s">
        <v>92</v>
      </c>
      <c r="AX35" s="22" t="s">
        <v>578</v>
      </c>
      <c r="AY35" s="20" t="s">
        <v>545</v>
      </c>
    </row>
    <row r="36" spans="12:51">
      <c r="L36" s="1" t="s">
        <v>400</v>
      </c>
      <c r="M36" s="1" t="s">
        <v>679</v>
      </c>
      <c r="N36" s="1" t="s">
        <v>670</v>
      </c>
      <c r="O36" s="1" t="s">
        <v>744</v>
      </c>
      <c r="P36" s="1" t="s">
        <v>710</v>
      </c>
      <c r="Q36" s="1" t="s">
        <v>381</v>
      </c>
      <c r="R36" s="1"/>
      <c r="S36" s="63" t="s">
        <v>400</v>
      </c>
      <c r="T36" s="1" t="s">
        <v>679</v>
      </c>
      <c r="U36" s="1" t="s">
        <v>670</v>
      </c>
      <c r="V36" s="1" t="s">
        <v>744</v>
      </c>
      <c r="W36" s="1" t="s">
        <v>710</v>
      </c>
      <c r="X36" s="65" t="s">
        <v>381</v>
      </c>
      <c r="Y36" s="63" t="s">
        <v>662</v>
      </c>
      <c r="Z36" s="1" t="s">
        <v>745</v>
      </c>
      <c r="AA36" s="1" t="s">
        <v>746</v>
      </c>
      <c r="AB36" s="1" t="s">
        <v>638</v>
      </c>
      <c r="AC36" s="63" t="s">
        <v>694</v>
      </c>
      <c r="AD36" s="1"/>
      <c r="AE36" s="1" t="s">
        <v>747</v>
      </c>
      <c r="AF36" s="1"/>
      <c r="AG36" s="64"/>
      <c r="AH36" s="1"/>
      <c r="AI36" s="1"/>
      <c r="AJ36" s="1"/>
      <c r="AK36" s="1"/>
      <c r="AL36" s="1"/>
      <c r="AM36" s="1"/>
      <c r="AN36" s="1"/>
      <c r="AO36" s="1"/>
      <c r="AP36" s="18" t="s">
        <v>702</v>
      </c>
      <c r="AQ36" s="1"/>
      <c r="AR36" s="1"/>
      <c r="AS36" s="1"/>
      <c r="AT36" s="1"/>
      <c r="AU36" s="20" t="s">
        <v>604</v>
      </c>
      <c r="AV36" s="20" t="s">
        <v>550</v>
      </c>
      <c r="AW36" s="20" t="s">
        <v>580</v>
      </c>
      <c r="AX36" s="22" t="s">
        <v>637</v>
      </c>
      <c r="AY36" s="20" t="s">
        <v>648</v>
      </c>
    </row>
    <row r="37" spans="12:51">
      <c r="L37" s="1" t="s">
        <v>748</v>
      </c>
      <c r="M37" s="1" t="s">
        <v>686</v>
      </c>
      <c r="N37" s="1" t="s">
        <v>749</v>
      </c>
      <c r="O37" s="1"/>
      <c r="P37" s="1" t="s">
        <v>84</v>
      </c>
      <c r="Q37" s="1" t="s">
        <v>634</v>
      </c>
      <c r="R37" s="1"/>
      <c r="S37" s="63" t="s">
        <v>748</v>
      </c>
      <c r="T37" s="1" t="s">
        <v>686</v>
      </c>
      <c r="U37" s="1" t="s">
        <v>749</v>
      </c>
      <c r="V37" s="1"/>
      <c r="W37" s="1" t="s">
        <v>84</v>
      </c>
      <c r="X37" s="1" t="s">
        <v>634</v>
      </c>
      <c r="Y37" s="63" t="s">
        <v>750</v>
      </c>
      <c r="Z37" s="1" t="s">
        <v>751</v>
      </c>
      <c r="AA37" s="1" t="s">
        <v>84</v>
      </c>
      <c r="AB37" s="1" t="s">
        <v>716</v>
      </c>
      <c r="AC37" s="63" t="s">
        <v>685</v>
      </c>
      <c r="AD37" s="1"/>
      <c r="AE37" s="1" t="s">
        <v>691</v>
      </c>
      <c r="AF37" s="1"/>
      <c r="AG37" s="64"/>
      <c r="AH37" s="1"/>
      <c r="AI37" s="1"/>
      <c r="AJ37" s="1"/>
      <c r="AK37" s="1"/>
      <c r="AL37" s="1"/>
      <c r="AM37" s="1"/>
      <c r="AN37" s="1"/>
      <c r="AO37" s="1"/>
      <c r="AP37" s="18" t="s">
        <v>752</v>
      </c>
      <c r="AQ37" s="1"/>
      <c r="AR37" s="1"/>
      <c r="AS37" s="1"/>
      <c r="AT37" s="1"/>
      <c r="AU37" s="20" t="s">
        <v>84</v>
      </c>
      <c r="AV37" s="20" t="s">
        <v>56</v>
      </c>
      <c r="AW37" s="22" t="s">
        <v>678</v>
      </c>
      <c r="AX37" s="22" t="s">
        <v>576</v>
      </c>
      <c r="AY37" s="20" t="s">
        <v>634</v>
      </c>
    </row>
    <row r="38" spans="12:51">
      <c r="L38" s="1" t="s">
        <v>753</v>
      </c>
      <c r="M38" s="1" t="s">
        <v>694</v>
      </c>
      <c r="N38" s="1" t="s">
        <v>669</v>
      </c>
      <c r="O38" s="1"/>
      <c r="P38" s="1" t="s">
        <v>754</v>
      </c>
      <c r="Q38" s="1" t="s">
        <v>382</v>
      </c>
      <c r="R38" s="1"/>
      <c r="S38" s="63" t="s">
        <v>753</v>
      </c>
      <c r="T38" s="1" t="s">
        <v>694</v>
      </c>
      <c r="U38" s="1" t="s">
        <v>669</v>
      </c>
      <c r="V38" s="1"/>
      <c r="W38" s="1" t="s">
        <v>754</v>
      </c>
      <c r="X38" s="1" t="s">
        <v>382</v>
      </c>
      <c r="Y38" s="63" t="s">
        <v>755</v>
      </c>
      <c r="Z38" s="74" t="s">
        <v>400</v>
      </c>
      <c r="AA38" s="1" t="s">
        <v>756</v>
      </c>
      <c r="AB38" s="1" t="s">
        <v>757</v>
      </c>
      <c r="AC38" s="63" t="s">
        <v>758</v>
      </c>
      <c r="AD38" s="1"/>
      <c r="AE38" s="1" t="s">
        <v>758</v>
      </c>
      <c r="AF38" s="1"/>
      <c r="AG38" s="64"/>
      <c r="AH38" s="1"/>
      <c r="AI38" s="1"/>
      <c r="AJ38" s="1"/>
      <c r="AK38" s="1"/>
      <c r="AL38" s="1"/>
      <c r="AM38" s="1"/>
      <c r="AN38" s="1"/>
      <c r="AO38" s="1"/>
      <c r="AP38" s="18" t="s">
        <v>759</v>
      </c>
      <c r="AQ38" s="1"/>
      <c r="AR38" s="1"/>
      <c r="AS38" s="1"/>
      <c r="AT38" s="1"/>
      <c r="AU38" s="20" t="s">
        <v>681</v>
      </c>
      <c r="AV38" s="19" t="s">
        <v>581</v>
      </c>
      <c r="AW38" s="19" t="s">
        <v>84</v>
      </c>
      <c r="AX38" s="22" t="s">
        <v>649</v>
      </c>
      <c r="AY38" s="20" t="s">
        <v>696</v>
      </c>
    </row>
    <row r="39" spans="12:51">
      <c r="L39" s="1" t="s">
        <v>669</v>
      </c>
      <c r="M39" s="1" t="s">
        <v>737</v>
      </c>
      <c r="N39" s="1" t="s">
        <v>740</v>
      </c>
      <c r="O39" s="1"/>
      <c r="P39" s="1" t="s">
        <v>760</v>
      </c>
      <c r="Q39" s="1" t="s">
        <v>382</v>
      </c>
      <c r="R39" s="1"/>
      <c r="S39" s="63" t="s">
        <v>669</v>
      </c>
      <c r="T39" s="1" t="s">
        <v>737</v>
      </c>
      <c r="U39" s="1" t="s">
        <v>740</v>
      </c>
      <c r="V39" s="1"/>
      <c r="W39" s="1" t="s">
        <v>760</v>
      </c>
      <c r="X39" s="1" t="s">
        <v>382</v>
      </c>
      <c r="Y39" s="63" t="s">
        <v>761</v>
      </c>
      <c r="Z39" s="1" t="s">
        <v>753</v>
      </c>
      <c r="AA39" s="1" t="s">
        <v>593</v>
      </c>
      <c r="AB39" s="1" t="s">
        <v>400</v>
      </c>
      <c r="AC39" s="63" t="s">
        <v>718</v>
      </c>
      <c r="AD39" s="1"/>
      <c r="AE39" s="1" t="s">
        <v>715</v>
      </c>
      <c r="AF39" s="1"/>
      <c r="AG39" s="64"/>
      <c r="AH39" s="1"/>
      <c r="AI39" s="1"/>
      <c r="AJ39" s="1"/>
      <c r="AK39" s="1"/>
      <c r="AL39" s="1"/>
      <c r="AM39" s="1"/>
      <c r="AN39" s="1"/>
      <c r="AO39" s="1"/>
      <c r="AP39" s="18" t="s">
        <v>632</v>
      </c>
      <c r="AQ39" s="1"/>
      <c r="AR39" s="1"/>
      <c r="AS39" s="1"/>
      <c r="AT39" s="1"/>
      <c r="AU39" s="20" t="s">
        <v>593</v>
      </c>
      <c r="AV39" s="21" t="s">
        <v>595</v>
      </c>
      <c r="AW39" s="22" t="s">
        <v>671</v>
      </c>
      <c r="AX39" s="22" t="s">
        <v>514</v>
      </c>
      <c r="AY39" s="20" t="s">
        <v>577</v>
      </c>
    </row>
    <row r="40" spans="12:51" ht="15.95" thickBot="1">
      <c r="L40" s="1" t="s">
        <v>690</v>
      </c>
      <c r="M40" s="1" t="s">
        <v>693</v>
      </c>
      <c r="N40" s="1" t="s">
        <v>393</v>
      </c>
      <c r="O40" s="1"/>
      <c r="P40" s="1" t="s">
        <v>750</v>
      </c>
      <c r="Q40" s="1" t="s">
        <v>762</v>
      </c>
      <c r="R40" s="1"/>
      <c r="S40" s="63" t="s">
        <v>690</v>
      </c>
      <c r="T40" s="1" t="s">
        <v>693</v>
      </c>
      <c r="U40" s="65" t="s">
        <v>393</v>
      </c>
      <c r="V40" s="1"/>
      <c r="W40" s="1" t="s">
        <v>750</v>
      </c>
      <c r="X40" s="1" t="s">
        <v>762</v>
      </c>
      <c r="Y40" s="63" t="s">
        <v>761</v>
      </c>
      <c r="Z40" s="1" t="s">
        <v>686</v>
      </c>
      <c r="AA40" s="1" t="s">
        <v>713</v>
      </c>
      <c r="AB40" s="1" t="s">
        <v>763</v>
      </c>
      <c r="AC40" s="69" t="s">
        <v>764</v>
      </c>
      <c r="AD40" s="70"/>
      <c r="AE40" s="70"/>
      <c r="AF40" s="70"/>
      <c r="AG40" s="71"/>
      <c r="AH40" s="1"/>
      <c r="AI40" s="1"/>
      <c r="AJ40" s="1"/>
      <c r="AK40" s="1"/>
      <c r="AL40" s="1"/>
      <c r="AM40" s="1"/>
      <c r="AN40" s="1"/>
      <c r="AO40" s="1"/>
      <c r="AP40" s="18" t="s">
        <v>765</v>
      </c>
      <c r="AQ40" s="1"/>
      <c r="AR40" s="1"/>
      <c r="AS40" s="1"/>
      <c r="AT40" s="1"/>
      <c r="AU40" s="20" t="s">
        <v>612</v>
      </c>
      <c r="AV40" s="22" t="s">
        <v>560</v>
      </c>
      <c r="AW40" s="20" t="s">
        <v>579</v>
      </c>
      <c r="AX40" s="22" t="s">
        <v>659</v>
      </c>
      <c r="AY40" s="20" t="s">
        <v>592</v>
      </c>
    </row>
    <row r="41" spans="12:51">
      <c r="L41" s="1" t="s">
        <v>766</v>
      </c>
      <c r="M41" s="1" t="s">
        <v>396</v>
      </c>
      <c r="N41" s="1" t="s">
        <v>706</v>
      </c>
      <c r="O41" s="1"/>
      <c r="P41" s="1" t="s">
        <v>642</v>
      </c>
      <c r="Q41" s="1" t="s">
        <v>767</v>
      </c>
      <c r="R41" s="1"/>
      <c r="S41" s="63" t="s">
        <v>766</v>
      </c>
      <c r="T41" s="1" t="s">
        <v>396</v>
      </c>
      <c r="U41" s="1" t="s">
        <v>706</v>
      </c>
      <c r="V41" s="1"/>
      <c r="W41" s="1" t="s">
        <v>642</v>
      </c>
      <c r="X41" s="1" t="s">
        <v>767</v>
      </c>
      <c r="Y41" s="63" t="s">
        <v>695</v>
      </c>
      <c r="Z41" s="1" t="s">
        <v>768</v>
      </c>
      <c r="AA41" s="1" t="s">
        <v>729</v>
      </c>
      <c r="AB41" s="64" t="s">
        <v>769</v>
      </c>
      <c r="AC41" s="1"/>
      <c r="AD41" s="1"/>
      <c r="AE41" s="1"/>
      <c r="AF41" s="1"/>
      <c r="AG41" s="1"/>
      <c r="AH41" s="1"/>
      <c r="AI41" s="1"/>
      <c r="AJ41" s="1"/>
      <c r="AK41" s="1"/>
      <c r="AL41" s="1"/>
      <c r="AM41" s="1"/>
      <c r="AN41" s="1"/>
      <c r="AO41" s="1"/>
      <c r="AP41" s="18" t="s">
        <v>770</v>
      </c>
      <c r="AQ41" s="1"/>
      <c r="AR41" s="1"/>
      <c r="AS41" s="1"/>
      <c r="AT41" s="1"/>
      <c r="AU41" s="20" t="s">
        <v>689</v>
      </c>
      <c r="AV41" s="20" t="s">
        <v>584</v>
      </c>
      <c r="AW41" s="22" t="s">
        <v>642</v>
      </c>
      <c r="AX41" s="20" t="s">
        <v>554</v>
      </c>
      <c r="AY41" s="20" t="s">
        <v>384</v>
      </c>
    </row>
    <row r="42" spans="12:51">
      <c r="L42" s="1" t="s">
        <v>686</v>
      </c>
      <c r="M42" s="1" t="s">
        <v>771</v>
      </c>
      <c r="N42" s="1" t="s">
        <v>718</v>
      </c>
      <c r="O42" s="1"/>
      <c r="P42" s="1" t="s">
        <v>507</v>
      </c>
      <c r="Q42" s="1" t="s">
        <v>738</v>
      </c>
      <c r="R42" s="1"/>
      <c r="S42" s="63" t="s">
        <v>686</v>
      </c>
      <c r="T42" s="1" t="s">
        <v>771</v>
      </c>
      <c r="U42" s="1" t="s">
        <v>718</v>
      </c>
      <c r="V42" s="1"/>
      <c r="W42" s="1" t="s">
        <v>507</v>
      </c>
      <c r="X42" s="1" t="s">
        <v>738</v>
      </c>
      <c r="Y42" s="63" t="s">
        <v>654</v>
      </c>
      <c r="Z42" s="1"/>
      <c r="AA42" s="1" t="s">
        <v>642</v>
      </c>
      <c r="AB42" s="64" t="s">
        <v>772</v>
      </c>
      <c r="AC42" s="1"/>
      <c r="AD42" s="1"/>
      <c r="AE42" s="1"/>
      <c r="AF42" s="1"/>
      <c r="AG42" s="1"/>
      <c r="AH42" s="1"/>
      <c r="AI42" s="1"/>
      <c r="AJ42" s="1"/>
      <c r="AK42" s="1"/>
      <c r="AL42" s="1"/>
      <c r="AM42" s="1"/>
      <c r="AN42" s="1"/>
      <c r="AO42" s="1"/>
      <c r="AP42" s="18" t="s">
        <v>716</v>
      </c>
      <c r="AQ42" s="1"/>
      <c r="AR42" s="1"/>
      <c r="AS42" s="1"/>
      <c r="AT42" s="1"/>
      <c r="AU42" s="20" t="s">
        <v>633</v>
      </c>
      <c r="AV42" s="19" t="s">
        <v>545</v>
      </c>
      <c r="AW42" s="20" t="s">
        <v>389</v>
      </c>
      <c r="AX42" s="22" t="s">
        <v>523</v>
      </c>
      <c r="AY42" s="20" t="s">
        <v>92</v>
      </c>
    </row>
    <row r="43" spans="12:51">
      <c r="L43" s="1" t="s">
        <v>773</v>
      </c>
      <c r="M43" s="1"/>
      <c r="N43" s="1" t="s">
        <v>764</v>
      </c>
      <c r="O43" s="1"/>
      <c r="P43" s="1" t="s">
        <v>761</v>
      </c>
      <c r="Q43" s="1" t="s">
        <v>651</v>
      </c>
      <c r="R43" s="1"/>
      <c r="S43" s="63" t="s">
        <v>773</v>
      </c>
      <c r="T43" s="1"/>
      <c r="U43" s="1" t="s">
        <v>764</v>
      </c>
      <c r="V43" s="1"/>
      <c r="W43" s="1" t="s">
        <v>761</v>
      </c>
      <c r="X43" s="1" t="s">
        <v>651</v>
      </c>
      <c r="Y43" s="63" t="s">
        <v>774</v>
      </c>
      <c r="Z43" s="1"/>
      <c r="AA43" s="1" t="s">
        <v>702</v>
      </c>
      <c r="AB43" s="64" t="s">
        <v>775</v>
      </c>
      <c r="AC43" s="1"/>
      <c r="AD43" s="1"/>
      <c r="AE43" s="1"/>
      <c r="AF43" s="1"/>
      <c r="AG43" s="1"/>
      <c r="AH43" s="1"/>
      <c r="AI43" s="1"/>
      <c r="AJ43" s="1"/>
      <c r="AK43" s="1"/>
      <c r="AL43" s="1"/>
      <c r="AM43" s="1"/>
      <c r="AN43" s="1"/>
      <c r="AO43" s="1"/>
      <c r="AP43" s="18" t="s">
        <v>776</v>
      </c>
      <c r="AQ43" s="1"/>
      <c r="AR43" s="1"/>
      <c r="AS43" s="1"/>
      <c r="AT43" s="1"/>
      <c r="AU43" s="20" t="s">
        <v>653</v>
      </c>
      <c r="AV43" s="20" t="s">
        <v>608</v>
      </c>
      <c r="AW43" s="22" t="s">
        <v>727</v>
      </c>
      <c r="AX43" s="22" t="s">
        <v>378</v>
      </c>
      <c r="AY43" s="20" t="s">
        <v>651</v>
      </c>
    </row>
    <row r="44" spans="12:51">
      <c r="L44" s="1" t="s">
        <v>694</v>
      </c>
      <c r="M44" s="1"/>
      <c r="N44" s="1"/>
      <c r="O44" s="1"/>
      <c r="P44" s="1" t="s">
        <v>687</v>
      </c>
      <c r="Q44" s="1" t="s">
        <v>777</v>
      </c>
      <c r="R44" s="1"/>
      <c r="S44" s="67" t="s">
        <v>694</v>
      </c>
      <c r="T44" s="1"/>
      <c r="U44" s="1"/>
      <c r="V44" s="1"/>
      <c r="W44" s="1" t="s">
        <v>687</v>
      </c>
      <c r="X44" s="1" t="s">
        <v>777</v>
      </c>
      <c r="Y44" s="63" t="s">
        <v>716</v>
      </c>
      <c r="Z44" s="1"/>
      <c r="AA44" s="1" t="s">
        <v>778</v>
      </c>
      <c r="AB44" s="64" t="s">
        <v>766</v>
      </c>
      <c r="AC44" s="1"/>
      <c r="AD44" s="1"/>
      <c r="AE44" s="1"/>
      <c r="AF44" s="1"/>
      <c r="AG44" s="1"/>
      <c r="AH44" s="1"/>
      <c r="AI44" s="1"/>
      <c r="AJ44" s="1"/>
      <c r="AK44" s="1"/>
      <c r="AL44" s="1"/>
      <c r="AM44" s="1"/>
      <c r="AN44" s="1"/>
      <c r="AO44" s="1"/>
      <c r="AP44" s="18" t="s">
        <v>694</v>
      </c>
      <c r="AQ44" s="1"/>
      <c r="AR44" s="1"/>
      <c r="AS44" s="1"/>
      <c r="AT44" s="1"/>
      <c r="AU44" s="20" t="s">
        <v>638</v>
      </c>
      <c r="AV44" s="22" t="s">
        <v>162</v>
      </c>
      <c r="AW44" s="20" t="s">
        <v>654</v>
      </c>
      <c r="AX44" s="22" t="s">
        <v>544</v>
      </c>
      <c r="AY44" s="20" t="s">
        <v>660</v>
      </c>
    </row>
    <row r="45" spans="12:51">
      <c r="L45" s="1" t="s">
        <v>779</v>
      </c>
      <c r="M45" s="1"/>
      <c r="N45" s="1"/>
      <c r="O45" s="1"/>
      <c r="P45" s="1" t="s">
        <v>701</v>
      </c>
      <c r="Q45" s="1" t="s">
        <v>777</v>
      </c>
      <c r="R45" s="1"/>
      <c r="S45" s="63" t="s">
        <v>779</v>
      </c>
      <c r="T45" s="1"/>
      <c r="U45" s="1"/>
      <c r="V45" s="1"/>
      <c r="W45" s="1" t="s">
        <v>701</v>
      </c>
      <c r="X45" s="1" t="s">
        <v>777</v>
      </c>
      <c r="Y45" s="63" t="s">
        <v>780</v>
      </c>
      <c r="Z45" s="1"/>
      <c r="AA45" s="1" t="s">
        <v>781</v>
      </c>
      <c r="AB45" s="64" t="s">
        <v>393</v>
      </c>
      <c r="AC45" s="1"/>
      <c r="AD45" s="1"/>
      <c r="AE45" s="1"/>
      <c r="AF45" s="1"/>
      <c r="AG45" s="1"/>
      <c r="AH45" s="1"/>
      <c r="AI45" s="1"/>
      <c r="AJ45" s="1"/>
      <c r="AK45" s="1"/>
      <c r="AL45" s="1"/>
      <c r="AM45" s="1"/>
      <c r="AN45" s="1"/>
      <c r="AO45" s="1"/>
      <c r="AP45" s="18" t="s">
        <v>624</v>
      </c>
      <c r="AQ45" s="1"/>
      <c r="AR45" s="1"/>
      <c r="AS45" s="1"/>
      <c r="AT45" s="1"/>
      <c r="AU45" s="20" t="s">
        <v>726</v>
      </c>
      <c r="AV45" s="21" t="s">
        <v>614</v>
      </c>
      <c r="AW45" s="22" t="s">
        <v>741</v>
      </c>
      <c r="AX45" s="20" t="s">
        <v>530</v>
      </c>
      <c r="AY45" s="20" t="s">
        <v>668</v>
      </c>
    </row>
    <row r="46" spans="12:51">
      <c r="L46" s="1"/>
      <c r="M46" s="1"/>
      <c r="N46" s="1"/>
      <c r="O46" s="1"/>
      <c r="P46" s="1" t="s">
        <v>695</v>
      </c>
      <c r="Q46" s="1" t="s">
        <v>702</v>
      </c>
      <c r="R46" s="1"/>
      <c r="S46" s="63"/>
      <c r="T46" s="1"/>
      <c r="U46" s="1"/>
      <c r="V46" s="1"/>
      <c r="W46" s="1" t="s">
        <v>695</v>
      </c>
      <c r="X46" s="1" t="s">
        <v>702</v>
      </c>
      <c r="Y46" s="63" t="s">
        <v>749</v>
      </c>
      <c r="Z46" s="1"/>
      <c r="AA46" s="1" t="s">
        <v>761</v>
      </c>
      <c r="AB46" s="64" t="s">
        <v>782</v>
      </c>
      <c r="AC46" s="1"/>
      <c r="AD46" s="1"/>
      <c r="AE46" s="1"/>
      <c r="AF46" s="1"/>
      <c r="AG46" s="1"/>
      <c r="AH46" s="1"/>
      <c r="AI46" s="1"/>
      <c r="AJ46" s="1"/>
      <c r="AK46" s="1"/>
      <c r="AL46" s="1"/>
      <c r="AM46" s="1"/>
      <c r="AN46" s="1"/>
      <c r="AO46" s="1"/>
      <c r="AP46" s="18" t="s">
        <v>764</v>
      </c>
      <c r="AQ46" s="1"/>
      <c r="AR46" s="1"/>
      <c r="AS46" s="1"/>
      <c r="AT46" s="1"/>
      <c r="AU46" s="20" t="s">
        <v>669</v>
      </c>
      <c r="AV46" s="19" t="s">
        <v>623</v>
      </c>
      <c r="AW46" s="19" t="s">
        <v>391</v>
      </c>
      <c r="AX46" s="20" t="s">
        <v>570</v>
      </c>
      <c r="AY46" s="20" t="s">
        <v>390</v>
      </c>
    </row>
    <row r="47" spans="12:51">
      <c r="L47" s="1"/>
      <c r="M47" s="1"/>
      <c r="N47" s="1"/>
      <c r="O47" s="1"/>
      <c r="P47" s="1" t="s">
        <v>654</v>
      </c>
      <c r="Q47" s="1" t="s">
        <v>761</v>
      </c>
      <c r="R47" s="1"/>
      <c r="S47" s="63"/>
      <c r="T47" s="1"/>
      <c r="U47" s="1"/>
      <c r="V47" s="1"/>
      <c r="W47" s="1" t="s">
        <v>654</v>
      </c>
      <c r="X47" s="1" t="s">
        <v>761</v>
      </c>
      <c r="Y47" s="63" t="s">
        <v>783</v>
      </c>
      <c r="Z47" s="1"/>
      <c r="AA47" s="1" t="s">
        <v>730</v>
      </c>
      <c r="AB47" s="64" t="s">
        <v>686</v>
      </c>
      <c r="AC47" s="1"/>
      <c r="AD47" s="1"/>
      <c r="AE47" s="1"/>
      <c r="AF47" s="1"/>
      <c r="AG47" s="1"/>
      <c r="AH47" s="1"/>
      <c r="AI47" s="1"/>
      <c r="AJ47" s="1"/>
      <c r="AK47" s="1"/>
      <c r="AL47" s="1"/>
      <c r="AM47" s="1"/>
      <c r="AN47" s="1"/>
      <c r="AO47" s="1"/>
      <c r="AP47" s="18"/>
      <c r="AQ47" s="1"/>
      <c r="AR47" s="1"/>
      <c r="AS47" s="1"/>
      <c r="AT47" s="1"/>
      <c r="AU47" s="20" t="s">
        <v>690</v>
      </c>
      <c r="AV47" s="20" t="s">
        <v>536</v>
      </c>
      <c r="AW47" s="20" t="s">
        <v>670</v>
      </c>
      <c r="AX47" s="22" t="s">
        <v>550</v>
      </c>
      <c r="AY47" s="20" t="s">
        <v>632</v>
      </c>
    </row>
    <row r="48" spans="12:51">
      <c r="L48" s="1"/>
      <c r="M48" s="1"/>
      <c r="N48" s="1"/>
      <c r="O48" s="1"/>
      <c r="P48" s="1" t="s">
        <v>654</v>
      </c>
      <c r="Q48" s="1" t="s">
        <v>687</v>
      </c>
      <c r="R48" s="1"/>
      <c r="S48" s="63"/>
      <c r="T48" s="1"/>
      <c r="U48" s="1"/>
      <c r="V48" s="1"/>
      <c r="W48" s="1" t="s">
        <v>654</v>
      </c>
      <c r="X48" s="1" t="s">
        <v>687</v>
      </c>
      <c r="Y48" s="63" t="s">
        <v>784</v>
      </c>
      <c r="Z48" s="1"/>
      <c r="AA48" s="1" t="s">
        <v>660</v>
      </c>
      <c r="AB48" s="64" t="s">
        <v>785</v>
      </c>
      <c r="AC48" s="1"/>
      <c r="AD48" s="1"/>
      <c r="AE48" s="1"/>
      <c r="AF48" s="1"/>
      <c r="AG48" s="1"/>
      <c r="AH48" s="1"/>
      <c r="AI48" s="1"/>
      <c r="AJ48" s="1"/>
      <c r="AK48" s="1"/>
      <c r="AL48" s="1"/>
      <c r="AM48" s="1"/>
      <c r="AN48" s="1"/>
      <c r="AO48" s="1"/>
      <c r="AP48" s="1"/>
      <c r="AQ48" s="1"/>
      <c r="AR48" s="1"/>
      <c r="AS48" s="1"/>
      <c r="AT48" s="1"/>
      <c r="AU48" s="20" t="s">
        <v>740</v>
      </c>
      <c r="AV48" s="21" t="s">
        <v>381</v>
      </c>
      <c r="AW48" s="22" t="s">
        <v>749</v>
      </c>
      <c r="AX48" s="20" t="s">
        <v>581</v>
      </c>
      <c r="AY48" s="20" t="s">
        <v>638</v>
      </c>
    </row>
    <row r="49" spans="16:51">
      <c r="P49" s="1" t="s">
        <v>786</v>
      </c>
      <c r="Q49" s="1" t="s">
        <v>787</v>
      </c>
      <c r="R49" s="1"/>
      <c r="S49" s="63"/>
      <c r="T49" s="1"/>
      <c r="U49" s="1"/>
      <c r="V49" s="1"/>
      <c r="W49" s="1" t="s">
        <v>786</v>
      </c>
      <c r="X49" s="1" t="s">
        <v>787</v>
      </c>
      <c r="Y49" s="63" t="s">
        <v>788</v>
      </c>
      <c r="Z49" s="1"/>
      <c r="AA49" s="1" t="s">
        <v>727</v>
      </c>
      <c r="AB49" s="64" t="s">
        <v>685</v>
      </c>
      <c r="AC49" s="1"/>
      <c r="AD49" s="1"/>
      <c r="AE49" s="1"/>
      <c r="AF49" s="1"/>
      <c r="AG49" s="1"/>
      <c r="AH49" s="1"/>
      <c r="AI49" s="1"/>
      <c r="AJ49" s="1"/>
      <c r="AK49" s="1"/>
      <c r="AL49" s="1"/>
      <c r="AM49" s="1"/>
      <c r="AN49" s="1"/>
      <c r="AO49" s="1"/>
      <c r="AP49" s="1"/>
      <c r="AQ49" s="1"/>
      <c r="AR49" s="1"/>
      <c r="AS49" s="1"/>
      <c r="AT49" s="1"/>
      <c r="AU49" s="20" t="s">
        <v>679</v>
      </c>
      <c r="AV49" s="22" t="s">
        <v>634</v>
      </c>
      <c r="AW49" s="20" t="s">
        <v>669</v>
      </c>
      <c r="AX49" s="22" t="s">
        <v>620</v>
      </c>
      <c r="AY49" s="20" t="s">
        <v>650</v>
      </c>
    </row>
    <row r="50" spans="16:51">
      <c r="P50" s="1" t="s">
        <v>391</v>
      </c>
      <c r="Q50" s="1" t="s">
        <v>653</v>
      </c>
      <c r="R50" s="1"/>
      <c r="S50" s="63"/>
      <c r="T50" s="1"/>
      <c r="U50" s="1"/>
      <c r="V50" s="1"/>
      <c r="W50" s="1" t="s">
        <v>391</v>
      </c>
      <c r="X50" s="1" t="s">
        <v>653</v>
      </c>
      <c r="Y50" s="63" t="s">
        <v>396</v>
      </c>
      <c r="Z50" s="1"/>
      <c r="AA50" s="1" t="s">
        <v>695</v>
      </c>
      <c r="AB50" s="64" t="s">
        <v>789</v>
      </c>
      <c r="AC50" s="1"/>
      <c r="AD50" s="1"/>
      <c r="AE50" s="1"/>
      <c r="AF50" s="1"/>
      <c r="AG50" s="1"/>
      <c r="AH50" s="1"/>
      <c r="AI50" s="1"/>
      <c r="AJ50" s="1"/>
      <c r="AK50" s="1"/>
      <c r="AL50" s="1"/>
      <c r="AM50" s="1"/>
      <c r="AN50" s="1"/>
      <c r="AO50" s="1"/>
      <c r="AP50" s="1"/>
      <c r="AQ50" s="1"/>
      <c r="AR50" s="1"/>
      <c r="AS50" s="1"/>
      <c r="AT50" s="1"/>
      <c r="AU50" s="20" t="s">
        <v>686</v>
      </c>
      <c r="AV50" s="20" t="s">
        <v>644</v>
      </c>
      <c r="AW50" s="22" t="s">
        <v>740</v>
      </c>
      <c r="AX50" s="22" t="s">
        <v>545</v>
      </c>
      <c r="AY50" s="20" t="s">
        <v>562</v>
      </c>
    </row>
    <row r="51" spans="16:51">
      <c r="P51" s="1" t="s">
        <v>790</v>
      </c>
      <c r="Q51" s="1" t="s">
        <v>791</v>
      </c>
      <c r="R51" s="1"/>
      <c r="S51" s="63"/>
      <c r="T51" s="1"/>
      <c r="U51" s="1"/>
      <c r="V51" s="1"/>
      <c r="W51" s="1" t="s">
        <v>790</v>
      </c>
      <c r="X51" s="1" t="s">
        <v>791</v>
      </c>
      <c r="Y51" s="63" t="s">
        <v>768</v>
      </c>
      <c r="Z51" s="1"/>
      <c r="AA51" s="1" t="s">
        <v>654</v>
      </c>
      <c r="AB51" s="64" t="s">
        <v>792</v>
      </c>
      <c r="AC51" s="1"/>
      <c r="AD51" s="1"/>
      <c r="AE51" s="1"/>
      <c r="AF51" s="1"/>
      <c r="AG51" s="1"/>
      <c r="AH51" s="1"/>
      <c r="AI51" s="1"/>
      <c r="AJ51" s="1"/>
      <c r="AK51" s="1"/>
      <c r="AL51" s="1"/>
      <c r="AM51" s="1"/>
      <c r="AN51" s="1"/>
      <c r="AO51" s="1"/>
      <c r="AP51" s="1"/>
      <c r="AQ51" s="1"/>
      <c r="AR51" s="1"/>
      <c r="AS51" s="1"/>
      <c r="AT51" s="1"/>
      <c r="AU51" s="20" t="s">
        <v>694</v>
      </c>
      <c r="AV51" s="20" t="s">
        <v>382</v>
      </c>
      <c r="AW51" s="20" t="s">
        <v>393</v>
      </c>
      <c r="AX51" s="22" t="s">
        <v>682</v>
      </c>
      <c r="AY51" s="20" t="s">
        <v>723</v>
      </c>
    </row>
    <row r="52" spans="16:51">
      <c r="P52" s="1" t="s">
        <v>751</v>
      </c>
      <c r="Q52" s="1" t="s">
        <v>776</v>
      </c>
      <c r="R52" s="1"/>
      <c r="S52" s="63"/>
      <c r="T52" s="1"/>
      <c r="U52" s="1"/>
      <c r="V52" s="1"/>
      <c r="W52" s="1" t="s">
        <v>751</v>
      </c>
      <c r="X52" s="1" t="s">
        <v>776</v>
      </c>
      <c r="Y52" s="63" t="s">
        <v>398</v>
      </c>
      <c r="Z52" s="1"/>
      <c r="AA52" s="1" t="s">
        <v>793</v>
      </c>
      <c r="AB52" s="64" t="s">
        <v>794</v>
      </c>
      <c r="AC52" s="1"/>
      <c r="AD52" s="1"/>
      <c r="AE52" s="1"/>
      <c r="AF52" s="1"/>
      <c r="AG52" s="1"/>
      <c r="AH52" s="1"/>
      <c r="AI52" s="1"/>
      <c r="AJ52" s="1"/>
      <c r="AK52" s="1"/>
      <c r="AL52" s="1"/>
      <c r="AM52" s="1"/>
      <c r="AN52" s="1"/>
      <c r="AO52" s="1"/>
      <c r="AP52" s="1"/>
      <c r="AQ52" s="1"/>
      <c r="AR52" s="1"/>
      <c r="AS52" s="1"/>
      <c r="AT52" s="1"/>
      <c r="AU52" s="20" t="s">
        <v>737</v>
      </c>
      <c r="AV52" s="19" t="s">
        <v>607</v>
      </c>
      <c r="AW52" s="21" t="s">
        <v>679</v>
      </c>
      <c r="AX52" s="20" t="s">
        <v>639</v>
      </c>
      <c r="AY52" s="20" t="s">
        <v>731</v>
      </c>
    </row>
    <row r="53" spans="16:51">
      <c r="P53" s="1" t="s">
        <v>653</v>
      </c>
      <c r="Q53" s="1" t="s">
        <v>795</v>
      </c>
      <c r="R53" s="1"/>
      <c r="S53" s="63"/>
      <c r="T53" s="1"/>
      <c r="U53" s="1"/>
      <c r="V53" s="1"/>
      <c r="W53" s="1" t="s">
        <v>653</v>
      </c>
      <c r="X53" s="1" t="s">
        <v>795</v>
      </c>
      <c r="Y53" s="63"/>
      <c r="Z53" s="1"/>
      <c r="AA53" s="1" t="s">
        <v>391</v>
      </c>
      <c r="AB53" s="64" t="s">
        <v>606</v>
      </c>
      <c r="AC53" s="1"/>
      <c r="AD53" s="1"/>
      <c r="AE53" s="1"/>
      <c r="AF53" s="1"/>
      <c r="AG53" s="1"/>
      <c r="AH53" s="1"/>
      <c r="AI53" s="1"/>
      <c r="AJ53" s="1"/>
      <c r="AK53" s="1"/>
      <c r="AL53" s="1"/>
      <c r="AM53" s="1"/>
      <c r="AN53" s="1"/>
      <c r="AO53" s="1"/>
      <c r="AP53" s="1"/>
      <c r="AQ53" s="1"/>
      <c r="AR53" s="1"/>
      <c r="AS53" s="1"/>
      <c r="AT53" s="1"/>
      <c r="AU53" s="20" t="s">
        <v>693</v>
      </c>
      <c r="AV53" s="20" t="s">
        <v>664</v>
      </c>
      <c r="AW53" s="19" t="s">
        <v>694</v>
      </c>
      <c r="AX53" s="22" t="s">
        <v>648</v>
      </c>
      <c r="AY53" s="20" t="s">
        <v>400</v>
      </c>
    </row>
    <row r="54" spans="16:51">
      <c r="P54" s="1" t="s">
        <v>774</v>
      </c>
      <c r="Q54" s="1" t="s">
        <v>393</v>
      </c>
      <c r="R54" s="1"/>
      <c r="S54" s="63"/>
      <c r="T54" s="1"/>
      <c r="U54" s="1"/>
      <c r="V54" s="1"/>
      <c r="W54" s="1" t="s">
        <v>774</v>
      </c>
      <c r="X54" s="65" t="s">
        <v>393</v>
      </c>
      <c r="Y54" s="63"/>
      <c r="Z54" s="1"/>
      <c r="AA54" s="1" t="s">
        <v>796</v>
      </c>
      <c r="AB54" s="64" t="s">
        <v>797</v>
      </c>
      <c r="AC54" s="1"/>
      <c r="AD54" s="1"/>
      <c r="AE54" s="1"/>
      <c r="AF54" s="1"/>
      <c r="AG54" s="1"/>
      <c r="AH54" s="1"/>
      <c r="AI54" s="1"/>
      <c r="AJ54" s="1"/>
      <c r="AK54" s="1"/>
      <c r="AL54" s="1"/>
      <c r="AM54" s="1"/>
      <c r="AN54" s="1"/>
      <c r="AO54" s="1"/>
      <c r="AP54" s="1"/>
      <c r="AQ54" s="1"/>
      <c r="AR54" s="1"/>
      <c r="AS54" s="1"/>
      <c r="AT54" s="1"/>
      <c r="AU54" s="20" t="s">
        <v>396</v>
      </c>
      <c r="AV54" s="20" t="s">
        <v>580</v>
      </c>
      <c r="AW54" s="21" t="s">
        <v>700</v>
      </c>
      <c r="AX54" s="20" t="s">
        <v>634</v>
      </c>
      <c r="AY54" s="20" t="s">
        <v>669</v>
      </c>
    </row>
    <row r="55" spans="16:51">
      <c r="P55" s="1" t="s">
        <v>88</v>
      </c>
      <c r="Q55" s="1" t="s">
        <v>784</v>
      </c>
      <c r="R55" s="1"/>
      <c r="S55" s="63"/>
      <c r="T55" s="1"/>
      <c r="U55" s="1"/>
      <c r="V55" s="1"/>
      <c r="W55" s="1" t="s">
        <v>88</v>
      </c>
      <c r="X55" s="1" t="s">
        <v>784</v>
      </c>
      <c r="Y55" s="63"/>
      <c r="Z55" s="1"/>
      <c r="AA55" s="1" t="s">
        <v>670</v>
      </c>
      <c r="AB55" s="64" t="s">
        <v>693</v>
      </c>
      <c r="AC55" s="1"/>
      <c r="AD55" s="1"/>
      <c r="AE55" s="1"/>
      <c r="AF55" s="1"/>
      <c r="AG55" s="1"/>
      <c r="AH55" s="1"/>
      <c r="AI55" s="1"/>
      <c r="AJ55" s="1"/>
      <c r="AK55" s="1"/>
      <c r="AL55" s="1"/>
      <c r="AM55" s="1"/>
      <c r="AN55" s="1"/>
      <c r="AO55" s="1"/>
      <c r="AP55" s="1"/>
      <c r="AQ55" s="1"/>
      <c r="AR55" s="1"/>
      <c r="AS55" s="1"/>
      <c r="AT55" s="1"/>
      <c r="AU55" s="20" t="s">
        <v>771</v>
      </c>
      <c r="AV55" s="22" t="s">
        <v>678</v>
      </c>
      <c r="AW55" s="22" t="s">
        <v>706</v>
      </c>
      <c r="AX55" s="22" t="s">
        <v>696</v>
      </c>
      <c r="AY55" s="20" t="s">
        <v>679</v>
      </c>
    </row>
    <row r="56" spans="16:51">
      <c r="P56" s="1" t="s">
        <v>562</v>
      </c>
      <c r="Q56" s="1" t="s">
        <v>686</v>
      </c>
      <c r="R56" s="1"/>
      <c r="S56" s="63"/>
      <c r="T56" s="1"/>
      <c r="U56" s="1"/>
      <c r="V56" s="1"/>
      <c r="W56" s="1" t="s">
        <v>562</v>
      </c>
      <c r="X56" s="1" t="s">
        <v>686</v>
      </c>
      <c r="Y56" s="63"/>
      <c r="Z56" s="1"/>
      <c r="AA56" s="1" t="s">
        <v>726</v>
      </c>
      <c r="AB56" s="64" t="s">
        <v>798</v>
      </c>
      <c r="AC56" s="1"/>
      <c r="AD56" s="1"/>
      <c r="AE56" s="1"/>
      <c r="AF56" s="1"/>
      <c r="AG56" s="1"/>
      <c r="AH56" s="1"/>
      <c r="AI56" s="1"/>
      <c r="AJ56" s="1"/>
      <c r="AK56" s="1"/>
      <c r="AL56" s="1"/>
      <c r="AM56" s="1"/>
      <c r="AN56" s="1"/>
      <c r="AO56" s="1"/>
      <c r="AP56" s="1"/>
      <c r="AQ56" s="1"/>
      <c r="AR56" s="1"/>
      <c r="AS56" s="1"/>
      <c r="AT56" s="1"/>
      <c r="AU56" s="24"/>
      <c r="AV56" s="21" t="s">
        <v>594</v>
      </c>
      <c r="AW56" s="21" t="s">
        <v>715</v>
      </c>
      <c r="AX56" s="20" t="s">
        <v>577</v>
      </c>
      <c r="AY56" s="20" t="s">
        <v>694</v>
      </c>
    </row>
    <row r="57" spans="16:51">
      <c r="P57" s="1" t="s">
        <v>799</v>
      </c>
      <c r="Q57" s="1" t="s">
        <v>694</v>
      </c>
      <c r="R57" s="1"/>
      <c r="S57" s="63"/>
      <c r="T57" s="1"/>
      <c r="U57" s="1"/>
      <c r="V57" s="1"/>
      <c r="W57" s="1" t="s">
        <v>799</v>
      </c>
      <c r="X57" s="1" t="s">
        <v>694</v>
      </c>
      <c r="Y57" s="63"/>
      <c r="Z57" s="1"/>
      <c r="AA57" s="1" t="s">
        <v>88</v>
      </c>
      <c r="AB57" s="64" t="s">
        <v>800</v>
      </c>
      <c r="AC57" s="1"/>
      <c r="AD57" s="1"/>
      <c r="AE57" s="1"/>
      <c r="AF57" s="1"/>
      <c r="AG57" s="1"/>
      <c r="AH57" s="1"/>
      <c r="AI57" s="1"/>
      <c r="AJ57" s="1"/>
      <c r="AK57" s="1"/>
      <c r="AL57" s="1"/>
      <c r="AM57" s="1"/>
      <c r="AN57" s="1"/>
      <c r="AO57" s="1"/>
      <c r="AP57" s="1"/>
      <c r="AQ57" s="1"/>
      <c r="AR57" s="1"/>
      <c r="AS57" s="1"/>
      <c r="AT57" s="1"/>
      <c r="AU57" s="1"/>
      <c r="AV57" s="22" t="s">
        <v>662</v>
      </c>
      <c r="AW57" s="20" t="s">
        <v>718</v>
      </c>
      <c r="AX57" s="20" t="s">
        <v>592</v>
      </c>
      <c r="AY57" s="20" t="s">
        <v>747</v>
      </c>
    </row>
    <row r="58" spans="16:51">
      <c r="P58" s="1" t="s">
        <v>393</v>
      </c>
      <c r="Q58" s="1" t="s">
        <v>394</v>
      </c>
      <c r="R58" s="1"/>
      <c r="S58" s="63"/>
      <c r="T58" s="1"/>
      <c r="U58" s="1"/>
      <c r="V58" s="1"/>
      <c r="W58" s="1" t="s">
        <v>393</v>
      </c>
      <c r="X58" s="1" t="s">
        <v>394</v>
      </c>
      <c r="Y58" s="63"/>
      <c r="Z58" s="1"/>
      <c r="AA58" s="1" t="s">
        <v>801</v>
      </c>
      <c r="AB58" s="64" t="s">
        <v>771</v>
      </c>
      <c r="AC58" s="1"/>
      <c r="AD58" s="1"/>
      <c r="AE58" s="1"/>
      <c r="AF58" s="1"/>
      <c r="AG58" s="1"/>
      <c r="AH58" s="1"/>
      <c r="AI58" s="1"/>
      <c r="AJ58" s="1"/>
      <c r="AK58" s="1"/>
      <c r="AL58" s="1"/>
      <c r="AM58" s="1"/>
      <c r="AN58" s="1"/>
      <c r="AO58" s="1"/>
      <c r="AP58" s="1"/>
      <c r="AQ58" s="1"/>
      <c r="AR58" s="1"/>
      <c r="AS58" s="1"/>
      <c r="AT58" s="1"/>
      <c r="AU58" s="1"/>
      <c r="AV58" s="20" t="s">
        <v>84</v>
      </c>
      <c r="AW58" s="19"/>
      <c r="AX58" s="20" t="s">
        <v>602</v>
      </c>
      <c r="AY58" s="20" t="s">
        <v>715</v>
      </c>
    </row>
    <row r="59" spans="16:51">
      <c r="P59" s="1" t="s">
        <v>784</v>
      </c>
      <c r="Q59" s="1" t="s">
        <v>802</v>
      </c>
      <c r="R59" s="1"/>
      <c r="S59" s="63"/>
      <c r="T59" s="1"/>
      <c r="U59" s="1"/>
      <c r="V59" s="1"/>
      <c r="W59" s="1" t="s">
        <v>784</v>
      </c>
      <c r="X59" s="1" t="s">
        <v>802</v>
      </c>
      <c r="Y59" s="63"/>
      <c r="Z59" s="1"/>
      <c r="AA59" s="1" t="s">
        <v>739</v>
      </c>
      <c r="AB59" s="64" t="s">
        <v>718</v>
      </c>
      <c r="AC59" s="1"/>
      <c r="AD59" s="1"/>
      <c r="AE59" s="1"/>
      <c r="AF59" s="1"/>
      <c r="AG59" s="1"/>
      <c r="AH59" s="1"/>
      <c r="AI59" s="1"/>
      <c r="AJ59" s="1"/>
      <c r="AK59" s="1"/>
      <c r="AL59" s="1"/>
      <c r="AM59" s="1"/>
      <c r="AN59" s="1"/>
      <c r="AO59" s="1"/>
      <c r="AP59" s="1"/>
      <c r="AQ59" s="1"/>
      <c r="AR59" s="1"/>
      <c r="AS59" s="1"/>
      <c r="AT59" s="1"/>
      <c r="AU59" s="18"/>
      <c r="AV59" s="20" t="s">
        <v>681</v>
      </c>
      <c r="AW59" s="19"/>
      <c r="AX59" s="20" t="s">
        <v>384</v>
      </c>
      <c r="AY59" s="20" t="s">
        <v>764</v>
      </c>
    </row>
    <row r="60" spans="16:51">
      <c r="P60" s="1" t="s">
        <v>788</v>
      </c>
      <c r="Q60" s="1" t="s">
        <v>758</v>
      </c>
      <c r="R60" s="1"/>
      <c r="S60" s="63"/>
      <c r="T60" s="1"/>
      <c r="U60" s="1"/>
      <c r="V60" s="1"/>
      <c r="W60" s="1" t="s">
        <v>788</v>
      </c>
      <c r="X60" s="1" t="s">
        <v>758</v>
      </c>
      <c r="Y60" s="63"/>
      <c r="Z60" s="1"/>
      <c r="AA60" s="1" t="s">
        <v>803</v>
      </c>
      <c r="AB60" s="64" t="s">
        <v>97</v>
      </c>
      <c r="AC60" s="1"/>
      <c r="AD60" s="1"/>
      <c r="AE60" s="1"/>
      <c r="AF60" s="1"/>
      <c r="AG60" s="1"/>
      <c r="AH60" s="1"/>
      <c r="AI60" s="1"/>
      <c r="AJ60" s="1"/>
      <c r="AK60" s="1"/>
      <c r="AL60" s="1"/>
      <c r="AM60" s="1"/>
      <c r="AN60" s="1"/>
      <c r="AO60" s="1"/>
      <c r="AP60" s="1"/>
      <c r="AQ60" s="1"/>
      <c r="AR60" s="1"/>
      <c r="AS60" s="1"/>
      <c r="AT60" s="1"/>
      <c r="AU60" s="1"/>
      <c r="AV60" s="22" t="s">
        <v>671</v>
      </c>
      <c r="AW60" s="19"/>
      <c r="AX60" s="20" t="s">
        <v>92</v>
      </c>
      <c r="AY60" s="20"/>
    </row>
    <row r="61" spans="16:51">
      <c r="P61" s="1" t="s">
        <v>583</v>
      </c>
      <c r="Q61" s="1" t="s">
        <v>699</v>
      </c>
      <c r="R61" s="1"/>
      <c r="S61" s="63"/>
      <c r="T61" s="1"/>
      <c r="U61" s="1"/>
      <c r="V61" s="1"/>
      <c r="W61" s="1" t="s">
        <v>583</v>
      </c>
      <c r="X61" s="1" t="s">
        <v>699</v>
      </c>
      <c r="Y61" s="63"/>
      <c r="Z61" s="1"/>
      <c r="AA61" s="1" t="s">
        <v>795</v>
      </c>
      <c r="AB61" s="64" t="s">
        <v>397</v>
      </c>
      <c r="AC61" s="1"/>
      <c r="AD61" s="1"/>
      <c r="AE61" s="1"/>
      <c r="AF61" s="1"/>
      <c r="AG61" s="1"/>
      <c r="AH61" s="1"/>
      <c r="AI61" s="1"/>
      <c r="AJ61" s="1"/>
      <c r="AK61" s="1"/>
      <c r="AL61" s="1"/>
      <c r="AM61" s="1"/>
      <c r="AN61" s="1"/>
      <c r="AO61" s="1"/>
      <c r="AP61" s="1"/>
      <c r="AQ61" s="1"/>
      <c r="AR61" s="1"/>
      <c r="AS61" s="1"/>
      <c r="AT61" s="1"/>
      <c r="AU61" s="1"/>
      <c r="AV61" s="20" t="s">
        <v>579</v>
      </c>
      <c r="AW61" s="19"/>
      <c r="AX61" s="20" t="s">
        <v>651</v>
      </c>
      <c r="AY61" s="20"/>
    </row>
    <row r="62" spans="16:51">
      <c r="P62" s="1" t="s">
        <v>744</v>
      </c>
      <c r="Q62" s="1" t="s">
        <v>715</v>
      </c>
      <c r="R62" s="1"/>
      <c r="S62" s="63"/>
      <c r="T62" s="1"/>
      <c r="U62" s="1"/>
      <c r="V62" s="1"/>
      <c r="W62" s="1" t="s">
        <v>744</v>
      </c>
      <c r="X62" s="1" t="s">
        <v>715</v>
      </c>
      <c r="Y62" s="63"/>
      <c r="Z62" s="1"/>
      <c r="AA62" s="1" t="s">
        <v>804</v>
      </c>
      <c r="AB62" s="64" t="s">
        <v>398</v>
      </c>
      <c r="AC62" s="1"/>
      <c r="AD62" s="1"/>
      <c r="AE62" s="1"/>
      <c r="AF62" s="1"/>
      <c r="AG62" s="1"/>
      <c r="AH62" s="1"/>
      <c r="AI62" s="1"/>
      <c r="AJ62" s="1"/>
      <c r="AK62" s="1"/>
      <c r="AL62" s="1"/>
      <c r="AM62" s="1"/>
      <c r="AN62" s="1"/>
      <c r="AO62" s="1"/>
      <c r="AP62" s="1"/>
      <c r="AQ62" s="1"/>
      <c r="AR62" s="1"/>
      <c r="AS62" s="1"/>
      <c r="AT62" s="1"/>
      <c r="AU62" s="1"/>
      <c r="AV62" s="22" t="s">
        <v>642</v>
      </c>
      <c r="AW62" s="19"/>
      <c r="AX62" s="20" t="s">
        <v>660</v>
      </c>
      <c r="AY62" s="20"/>
    </row>
    <row r="63" spans="16:51">
      <c r="P63" s="1" t="s">
        <v>596</v>
      </c>
      <c r="Q63" s="1" t="s">
        <v>397</v>
      </c>
      <c r="R63" s="1"/>
      <c r="S63" s="63"/>
      <c r="T63" s="1"/>
      <c r="U63" s="1"/>
      <c r="V63" s="1"/>
      <c r="W63" s="1" t="s">
        <v>596</v>
      </c>
      <c r="X63" s="1" t="s">
        <v>397</v>
      </c>
      <c r="Y63" s="63"/>
      <c r="Z63" s="1"/>
      <c r="AA63" s="1" t="s">
        <v>805</v>
      </c>
      <c r="AB63" s="64" t="s">
        <v>379</v>
      </c>
      <c r="AC63" s="1"/>
      <c r="AD63" s="1"/>
      <c r="AE63" s="1"/>
      <c r="AF63" s="1"/>
      <c r="AG63" s="1"/>
      <c r="AH63" s="1"/>
      <c r="AI63" s="1"/>
      <c r="AJ63" s="1"/>
      <c r="AK63" s="1"/>
      <c r="AL63" s="1"/>
      <c r="AM63" s="1"/>
      <c r="AN63" s="1"/>
      <c r="AO63" s="1"/>
      <c r="AP63" s="1"/>
      <c r="AQ63" s="1"/>
      <c r="AR63" s="1"/>
      <c r="AS63" s="1"/>
      <c r="AT63" s="1"/>
      <c r="AU63" s="18"/>
      <c r="AV63" s="22" t="s">
        <v>702</v>
      </c>
      <c r="AW63" s="19"/>
      <c r="AX63" s="22" t="s">
        <v>668</v>
      </c>
      <c r="AY63" s="20"/>
    </row>
    <row r="64" spans="16:51">
      <c r="P64" s="1"/>
      <c r="Q64" s="1" t="s">
        <v>764</v>
      </c>
      <c r="R64" s="1"/>
      <c r="S64" s="63"/>
      <c r="T64" s="1"/>
      <c r="U64" s="1"/>
      <c r="V64" s="1"/>
      <c r="W64" s="1"/>
      <c r="X64" s="1" t="s">
        <v>764</v>
      </c>
      <c r="Y64" s="63"/>
      <c r="Z64" s="1"/>
      <c r="AA64" s="1" t="s">
        <v>686</v>
      </c>
      <c r="AB64" s="64"/>
      <c r="AC64" s="1"/>
      <c r="AD64" s="1"/>
      <c r="AE64" s="1"/>
      <c r="AF64" s="1"/>
      <c r="AG64" s="1"/>
      <c r="AH64" s="1"/>
      <c r="AI64" s="1"/>
      <c r="AJ64" s="1"/>
      <c r="AK64" s="1"/>
      <c r="AL64" s="1"/>
      <c r="AM64" s="1"/>
      <c r="AN64" s="1"/>
      <c r="AO64" s="1"/>
      <c r="AP64" s="1"/>
      <c r="AQ64" s="1"/>
      <c r="AR64" s="1"/>
      <c r="AS64" s="1"/>
      <c r="AT64" s="1"/>
      <c r="AU64" s="1"/>
      <c r="AV64" s="20" t="s">
        <v>389</v>
      </c>
      <c r="AW64" s="19"/>
      <c r="AX64" s="20" t="s">
        <v>390</v>
      </c>
      <c r="AY64" s="20"/>
    </row>
    <row r="65" spans="17:51">
      <c r="Q65" s="1" t="s">
        <v>398</v>
      </c>
      <c r="R65" s="1"/>
      <c r="S65" s="63"/>
      <c r="T65" s="1"/>
      <c r="U65" s="1"/>
      <c r="V65" s="1"/>
      <c r="W65" s="1"/>
      <c r="X65" s="1" t="s">
        <v>398</v>
      </c>
      <c r="Y65" s="63"/>
      <c r="Z65" s="1"/>
      <c r="AA65" s="1" t="s">
        <v>806</v>
      </c>
      <c r="AB65" s="64"/>
      <c r="AC65" s="1"/>
      <c r="AD65" s="1"/>
      <c r="AE65" s="1"/>
      <c r="AF65" s="1"/>
      <c r="AG65" s="1"/>
      <c r="AH65" s="1"/>
      <c r="AI65" s="1"/>
      <c r="AJ65" s="1"/>
      <c r="AK65" s="1"/>
      <c r="AL65" s="1"/>
      <c r="AM65" s="1"/>
      <c r="AN65" s="1"/>
      <c r="AO65" s="1"/>
      <c r="AP65" s="1"/>
      <c r="AQ65" s="1"/>
      <c r="AR65" s="1"/>
      <c r="AS65" s="1"/>
      <c r="AT65" s="1"/>
      <c r="AU65" s="1"/>
      <c r="AV65" s="19" t="s">
        <v>680</v>
      </c>
      <c r="AW65" s="19"/>
      <c r="AX65" s="22" t="s">
        <v>632</v>
      </c>
      <c r="AY65" s="20"/>
    </row>
    <row r="66" spans="17:51" ht="15.95" thickBot="1">
      <c r="Q66" s="1" t="s">
        <v>807</v>
      </c>
      <c r="R66" s="1"/>
      <c r="S66" s="69"/>
      <c r="T66" s="70"/>
      <c r="U66" s="70"/>
      <c r="V66" s="70"/>
      <c r="W66" s="70"/>
      <c r="X66" s="70" t="s">
        <v>807</v>
      </c>
      <c r="Y66" s="63"/>
      <c r="Z66" s="1"/>
      <c r="AA66" s="1" t="s">
        <v>808</v>
      </c>
      <c r="AB66" s="64"/>
      <c r="AC66" s="1"/>
      <c r="AD66" s="1"/>
      <c r="AE66" s="1"/>
      <c r="AF66" s="1"/>
      <c r="AG66" s="1"/>
      <c r="AH66" s="1"/>
      <c r="AI66" s="1"/>
      <c r="AJ66" s="1"/>
      <c r="AK66" s="1"/>
      <c r="AL66" s="1"/>
      <c r="AM66" s="1"/>
      <c r="AN66" s="1"/>
      <c r="AO66" s="1"/>
      <c r="AP66" s="1"/>
      <c r="AQ66" s="1"/>
      <c r="AR66" s="1"/>
      <c r="AS66" s="1"/>
      <c r="AT66" s="1"/>
      <c r="AU66" s="1"/>
      <c r="AV66" s="21" t="s">
        <v>633</v>
      </c>
      <c r="AW66" s="19"/>
      <c r="AX66" s="20" t="s">
        <v>638</v>
      </c>
      <c r="AY66" s="20"/>
    </row>
    <row r="67" spans="17:51">
      <c r="Q67" s="1"/>
      <c r="R67" s="1"/>
      <c r="S67" s="1"/>
      <c r="T67" s="1"/>
      <c r="U67" s="1"/>
      <c r="V67" s="1"/>
      <c r="W67" s="1"/>
      <c r="X67" s="1"/>
      <c r="Y67" s="63"/>
      <c r="Z67" s="1"/>
      <c r="AA67" s="1" t="s">
        <v>809</v>
      </c>
      <c r="AB67" s="64"/>
      <c r="AC67" s="1"/>
      <c r="AD67" s="1"/>
      <c r="AE67" s="1"/>
      <c r="AF67" s="1"/>
      <c r="AG67" s="1"/>
      <c r="AH67" s="1"/>
      <c r="AI67" s="1"/>
      <c r="AJ67" s="1"/>
      <c r="AK67" s="1"/>
      <c r="AL67" s="1"/>
      <c r="AM67" s="1"/>
      <c r="AN67" s="1"/>
      <c r="AO67" s="1"/>
      <c r="AP67" s="1"/>
      <c r="AQ67" s="1"/>
      <c r="AR67" s="1"/>
      <c r="AS67" s="1"/>
      <c r="AT67" s="1"/>
      <c r="AU67" s="1"/>
      <c r="AV67" s="22" t="s">
        <v>727</v>
      </c>
      <c r="AW67" s="19"/>
      <c r="AX67" s="20" t="s">
        <v>717</v>
      </c>
      <c r="AY67" s="20"/>
    </row>
    <row r="68" spans="17:51">
      <c r="Q68" s="1"/>
      <c r="R68" s="1"/>
      <c r="S68" s="1"/>
      <c r="T68" s="1"/>
      <c r="U68" s="1"/>
      <c r="V68" s="1"/>
      <c r="W68" s="1"/>
      <c r="X68" s="1"/>
      <c r="Y68" s="63"/>
      <c r="Z68" s="1"/>
      <c r="AA68" s="1" t="s">
        <v>810</v>
      </c>
      <c r="AB68" s="64"/>
      <c r="AC68" s="1"/>
      <c r="AD68" s="1"/>
      <c r="AE68" s="1"/>
      <c r="AF68" s="1"/>
      <c r="AG68" s="1"/>
      <c r="AH68" s="1"/>
      <c r="AI68" s="1"/>
      <c r="AJ68" s="1"/>
      <c r="AK68" s="1"/>
      <c r="AL68" s="1"/>
      <c r="AM68" s="1"/>
      <c r="AN68" s="1"/>
      <c r="AO68" s="1"/>
      <c r="AP68" s="1"/>
      <c r="AQ68" s="1"/>
      <c r="AR68" s="1"/>
      <c r="AS68" s="1"/>
      <c r="AT68" s="1"/>
      <c r="AU68" s="1"/>
      <c r="AV68" s="19" t="s">
        <v>695</v>
      </c>
      <c r="AW68" s="19"/>
      <c r="AX68" s="20" t="s">
        <v>650</v>
      </c>
      <c r="AY68" s="20"/>
    </row>
    <row r="69" spans="17:51" ht="15.95" thickBot="1">
      <c r="Q69" s="1"/>
      <c r="R69" s="1"/>
      <c r="S69" s="1"/>
      <c r="T69" s="1"/>
      <c r="U69" s="1"/>
      <c r="V69" s="1"/>
      <c r="W69" s="1"/>
      <c r="X69" s="1"/>
      <c r="Y69" s="69"/>
      <c r="Z69" s="70"/>
      <c r="AA69" s="70" t="s">
        <v>771</v>
      </c>
      <c r="AB69" s="71"/>
      <c r="AC69" s="1"/>
      <c r="AD69" s="1"/>
      <c r="AE69" s="1"/>
      <c r="AF69" s="1"/>
      <c r="AG69" s="1"/>
      <c r="AH69" s="1"/>
      <c r="AI69" s="1"/>
      <c r="AJ69" s="1"/>
      <c r="AK69" s="1"/>
      <c r="AL69" s="1"/>
      <c r="AM69" s="1"/>
      <c r="AN69" s="1"/>
      <c r="AO69" s="1"/>
      <c r="AP69" s="1"/>
      <c r="AQ69" s="1"/>
      <c r="AR69" s="1"/>
      <c r="AS69" s="1"/>
      <c r="AT69" s="1"/>
      <c r="AU69" s="1"/>
      <c r="AV69" s="20" t="s">
        <v>654</v>
      </c>
      <c r="AW69" s="19"/>
      <c r="AX69" s="20" t="s">
        <v>562</v>
      </c>
      <c r="AY69" s="20"/>
    </row>
    <row r="70" spans="17:51">
      <c r="Q70" s="1"/>
      <c r="R70" s="1"/>
      <c r="S70" s="1"/>
      <c r="T70" s="1"/>
      <c r="U70" s="1"/>
      <c r="V70" s="1"/>
      <c r="W70" s="1"/>
      <c r="X70" s="1"/>
      <c r="Y70" s="1"/>
      <c r="Z70" s="1"/>
      <c r="AA70" s="1" t="s">
        <v>480</v>
      </c>
      <c r="AB70" s="1"/>
      <c r="AC70" s="1"/>
      <c r="AD70" s="1"/>
      <c r="AE70" s="1"/>
      <c r="AF70" s="1"/>
      <c r="AG70" s="1"/>
      <c r="AH70" s="1"/>
      <c r="AI70" s="1"/>
      <c r="AJ70" s="1"/>
      <c r="AK70" s="1"/>
      <c r="AL70" s="1"/>
      <c r="AM70" s="1"/>
      <c r="AN70" s="1"/>
      <c r="AO70" s="1"/>
      <c r="AP70" s="1"/>
      <c r="AQ70" s="1"/>
      <c r="AR70" s="1"/>
      <c r="AS70" s="1"/>
      <c r="AT70" s="1"/>
      <c r="AU70" s="1"/>
      <c r="AV70" s="22" t="s">
        <v>741</v>
      </c>
      <c r="AW70" s="23"/>
      <c r="AX70" s="20" t="s">
        <v>723</v>
      </c>
      <c r="AY70" s="20"/>
    </row>
    <row r="71" spans="17:5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391</v>
      </c>
      <c r="AW71" s="1"/>
      <c r="AX71" s="20" t="s">
        <v>667</v>
      </c>
      <c r="AY71" s="20"/>
    </row>
    <row r="72" spans="17:5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670</v>
      </c>
      <c r="AW72" s="1"/>
      <c r="AX72" s="22" t="s">
        <v>731</v>
      </c>
      <c r="AY72" s="20"/>
    </row>
    <row r="73" spans="17:5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638</v>
      </c>
      <c r="AW73" s="1"/>
      <c r="AX73" s="20" t="s">
        <v>736</v>
      </c>
      <c r="AY73" s="20"/>
    </row>
    <row r="74" spans="17:5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707</v>
      </c>
      <c r="AW74" s="1"/>
      <c r="AX74" s="22" t="s">
        <v>400</v>
      </c>
      <c r="AY74" s="20"/>
    </row>
    <row r="75" spans="17:5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716</v>
      </c>
      <c r="AW75" s="1"/>
      <c r="AX75" s="20" t="s">
        <v>669</v>
      </c>
      <c r="AY75" s="20"/>
    </row>
    <row r="76" spans="17:5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719</v>
      </c>
      <c r="AW76" s="1"/>
      <c r="AX76" s="20" t="s">
        <v>690</v>
      </c>
      <c r="AY76" s="20"/>
    </row>
    <row r="77" spans="17:5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749</v>
      </c>
      <c r="AW77" s="1"/>
      <c r="AX77" s="22" t="s">
        <v>679</v>
      </c>
      <c r="AY77" s="20"/>
    </row>
    <row r="78" spans="17:5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400</v>
      </c>
      <c r="AW78" s="1"/>
      <c r="AX78" s="22" t="s">
        <v>705</v>
      </c>
      <c r="AY78" s="20"/>
    </row>
    <row r="79" spans="17:5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669</v>
      </c>
      <c r="AW79" s="1"/>
      <c r="AX79" s="20" t="s">
        <v>694</v>
      </c>
      <c r="AY79" s="20"/>
    </row>
    <row r="80" spans="17:5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724</v>
      </c>
      <c r="AW80" s="1"/>
      <c r="AX80" s="20" t="s">
        <v>747</v>
      </c>
      <c r="AY80" s="20"/>
    </row>
    <row r="81" spans="48:51">
      <c r="AV81" s="22" t="s">
        <v>740</v>
      </c>
      <c r="AW81" s="1"/>
      <c r="AX81" s="22" t="s">
        <v>685</v>
      </c>
      <c r="AY81" s="22"/>
    </row>
    <row r="82" spans="48:51">
      <c r="AV82" s="19" t="s">
        <v>732</v>
      </c>
      <c r="AW82" s="1"/>
      <c r="AX82" s="20" t="s">
        <v>691</v>
      </c>
      <c r="AY82" s="20"/>
    </row>
    <row r="83" spans="48:51">
      <c r="AV83" s="20" t="s">
        <v>393</v>
      </c>
      <c r="AW83" s="1"/>
      <c r="AX83" s="22" t="s">
        <v>758</v>
      </c>
      <c r="AY83" s="22"/>
    </row>
    <row r="84" spans="48:51">
      <c r="AV84" s="22" t="s">
        <v>737</v>
      </c>
      <c r="AW84" s="1"/>
      <c r="AX84" s="22" t="s">
        <v>699</v>
      </c>
      <c r="AY84" s="20"/>
    </row>
    <row r="85" spans="48:51">
      <c r="AV85" s="19" t="s">
        <v>583</v>
      </c>
      <c r="AW85" s="1"/>
      <c r="AX85" s="20" t="s">
        <v>715</v>
      </c>
      <c r="AY85" s="20"/>
    </row>
    <row r="86" spans="48:51">
      <c r="AV86" s="20" t="s">
        <v>744</v>
      </c>
      <c r="AW86" s="1"/>
      <c r="AX86" s="25" t="s">
        <v>764</v>
      </c>
      <c r="AY86" s="20"/>
    </row>
    <row r="87" spans="48:51">
      <c r="AV87" s="22" t="s">
        <v>706</v>
      </c>
      <c r="AW87" s="1"/>
      <c r="AX87" s="22" t="s">
        <v>398</v>
      </c>
      <c r="AY87" s="25"/>
    </row>
    <row r="88" spans="48:51">
      <c r="AV88" s="20" t="s">
        <v>718</v>
      </c>
      <c r="AW88" s="1"/>
      <c r="AX88" s="22"/>
      <c r="AY88" s="1"/>
    </row>
    <row r="89" spans="48:51">
      <c r="AV89" s="22"/>
      <c r="AW89" s="1"/>
      <c r="AX89" s="22"/>
      <c r="AY89" s="1"/>
    </row>
    <row r="90" spans="48:51">
      <c r="AV90" s="22"/>
      <c r="AW90" s="1"/>
      <c r="AX90" s="22"/>
      <c r="AY90" s="1"/>
    </row>
    <row r="91" spans="48:51">
      <c r="AV91" s="20"/>
      <c r="AW91" s="1"/>
      <c r="AX91" s="22"/>
      <c r="AY91" s="1"/>
    </row>
    <row r="92" spans="48:51">
      <c r="AV92" s="22"/>
      <c r="AW92" s="1"/>
      <c r="AX92" s="25"/>
      <c r="AY92" s="1"/>
    </row>
    <row r="93" spans="48:51">
      <c r="AV93" s="22"/>
      <c r="AW93" s="1"/>
      <c r="AX93" s="1"/>
      <c r="AY93" s="1"/>
    </row>
    <row r="94" spans="48:51">
      <c r="AV94" s="22"/>
      <c r="AW94" s="1"/>
      <c r="AX94" s="1"/>
      <c r="AY94" s="1"/>
    </row>
    <row r="95" spans="48:51">
      <c r="AV95" s="22"/>
      <c r="AW95" s="1"/>
      <c r="AX95" s="1"/>
      <c r="AY95" s="1"/>
    </row>
    <row r="96" spans="48:51">
      <c r="AV96" s="22"/>
      <c r="AW96" s="1"/>
      <c r="AX96" s="1"/>
      <c r="AY96" s="1"/>
    </row>
    <row r="97" spans="48:48">
      <c r="AV97" s="20"/>
    </row>
    <row r="98" spans="48:48">
      <c r="AV98" s="22"/>
    </row>
    <row r="99" spans="48:48">
      <c r="AV99" s="22"/>
    </row>
    <row r="100" spans="48:48">
      <c r="AV100" s="22"/>
    </row>
    <row r="101" spans="48:48">
      <c r="AV101" s="22"/>
    </row>
    <row r="102" spans="48:48">
      <c r="AV102" s="22"/>
    </row>
    <row r="103" spans="48:48">
      <c r="AV103" s="21"/>
    </row>
    <row r="104" spans="48:48">
      <c r="AV104" s="22"/>
    </row>
    <row r="105" spans="48:48">
      <c r="AV105" s="22"/>
    </row>
    <row r="106" spans="48:48">
      <c r="AV106" s="22"/>
    </row>
    <row r="107" spans="48:48">
      <c r="AV107" s="22"/>
    </row>
    <row r="108" spans="48:48">
      <c r="AV108" s="25"/>
    </row>
  </sheetData>
  <mergeCells count="10">
    <mergeCell ref="AL3:AN3"/>
    <mergeCell ref="AO3:AQ3"/>
    <mergeCell ref="S1:AG1"/>
    <mergeCell ref="AL1:AQ1"/>
    <mergeCell ref="AT1:AY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CB1A98D2066F30438A381D4FE44CE3A2" ma:contentTypeVersion="4" ma:contentTypeDescription="Crear nuevo documento." ma:contentTypeScope="" ma:versionID="7432a343c9520d9089daf0409b8f723e">
  <xsd:schema xmlns:xsd="http://www.w3.org/2001/XMLSchema" xmlns:xs="http://www.w3.org/2001/XMLSchema" xmlns:p="http://schemas.microsoft.com/office/2006/metadata/properties" xmlns:ns2="a4562c49-b45c-4362-b20c-f58ba12cde2f" xmlns:ns3="ffa1b9b5-8217-4ebe-90c5-3f2196c49a4f" targetNamespace="http://schemas.microsoft.com/office/2006/metadata/properties" ma:root="true" ma:fieldsID="a9831a0ee939c9e3a94af062f92b87b9" ns2:_="" ns3:_="">
    <xsd:import namespace="a4562c49-b45c-4362-b20c-f58ba12cde2f"/>
    <xsd:import namespace="ffa1b9b5-8217-4ebe-90c5-3f2196c49a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562c49-b45c-4362-b20c-f58ba12cde2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a1b9b5-8217-4ebe-90c5-3f2196c49a4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F86D18D9-0B6E-411F-93FD-BE55E800AD09}"/>
</file>

<file path=customXml/itemProps2.xml><?xml version="1.0" encoding="utf-8"?>
<ds:datastoreItem xmlns:ds="http://schemas.openxmlformats.org/officeDocument/2006/customXml" ds:itemID="{49A8CC42-3498-4AB9-83FD-168387E0E379}"/>
</file>

<file path=customXml/itemProps3.xml><?xml version="1.0" encoding="utf-8"?>
<ds:datastoreItem xmlns:ds="http://schemas.openxmlformats.org/officeDocument/2006/customXml" ds:itemID="{43398591-DCD4-4E84-81B6-C225C92B9877}"/>
</file>

<file path=customXml/itemProps4.xml><?xml version="1.0" encoding="utf-8"?>
<ds:datastoreItem xmlns:ds="http://schemas.openxmlformats.org/officeDocument/2006/customXml" ds:itemID="{493507B7-C361-46E0-AF44-6194D8191CB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2026-03-03T18:07:08Z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0x010100CB1A98D2066F30438A381D4FE44CE3A2</vt:lpwstr>
  </property>
</Properties>
</file>