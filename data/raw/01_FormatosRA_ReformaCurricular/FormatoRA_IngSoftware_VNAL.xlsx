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comments6.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updateLinks="always" defaultThemeVersion="166925"/>
  <mc:AlternateContent xmlns:mc="http://schemas.openxmlformats.org/markup-compatibility/2006">
    <mc:Choice Requires="x15">
      <x15ac:absPath xmlns:x15ac="http://schemas.microsoft.com/office/spreadsheetml/2010/11/ac" url="https://poligran-my.sharepoint.com/personal/micortes_poligran_edu_co/Documents/Escritorio/01_FormatosRA_ReformaCurricular/"/>
    </mc:Choice>
  </mc:AlternateContent>
  <xr:revisionPtr revIDLastSave="4722" documentId="13_ncr:1_{D69AA465-0F16-4CD4-A28F-76D6A3A07DF5}" xr6:coauthVersionLast="47" xr6:coauthVersionMax="47" xr10:uidLastSave="{CBF03170-A0CA-45B5-A2A2-6C05C76C92E6}"/>
  <bookViews>
    <workbookView xWindow="-110" yWindow="-110" windowWidth="19420" windowHeight="10300" firstSheet="4" activeTab="4" xr2:uid="{BD68381A-4EB3-42BA-ADD5-D7B5B6C7E498}"/>
  </bookViews>
  <sheets>
    <sheet name="Paso1 Analisis perfil egreso" sheetId="1" r:id="rId1"/>
    <sheet name="Paso 2 Redacción competen" sheetId="6" r:id="rId2"/>
    <sheet name="Paso 3 Redacción RA " sheetId="5" r:id="rId3"/>
    <sheet name="Paso 4 Estrategias mesocurricu" sheetId="8" r:id="rId4"/>
    <sheet name="Paso 5 Estrategias micro" sheetId="10" r:id="rId5"/>
    <sheet name="Taxonomia para Competencias" sheetId="11" r:id="rId6"/>
    <sheet name="Taxonomias para RA" sheetId="9" r:id="rId7"/>
  </sheets>
  <externalReferences>
    <externalReference r:id="rId8"/>
  </externalReferences>
  <definedNames>
    <definedName name="_xlnm._FilterDatabase" localSheetId="2" hidden="1">'Paso 3 Redacción RA '!$A$2:$I$12</definedName>
    <definedName name="_xlnm._FilterDatabase" localSheetId="3" hidden="1">'Paso 4 Estrategias mesocurricu'!$A$2:$E$11</definedName>
    <definedName name="_xlnm._FilterDatabase" localSheetId="4" hidden="1">'Paso 5 Estrategias micro'!$A$1:$Q$115</definedName>
    <definedName name="actitudinalB" localSheetId="4">Tabla5785[ActitudinalB]</definedName>
    <definedName name="actitudinalB">Tabla5785[ActitudinalB]</definedName>
    <definedName name="ActitudinalBAK">'Taxonomias para RA'!$AC$3:$AG$3</definedName>
    <definedName name="AK" localSheetId="4">Tabla6088[AK]</definedName>
    <definedName name="AK">Tabla6088[AK]</definedName>
    <definedName name="AnálisisAK" localSheetId="4">Tabla99[AnálisisAK]</definedName>
    <definedName name="AnálisisAK">Tabla99[AnálisisAK]</definedName>
    <definedName name="AnálisisB" localSheetId="4">Tabla385280[AnálisisB]</definedName>
    <definedName name="AnálisisB">Tabla385280[AnálisisB]</definedName>
    <definedName name="AnálisisBAK" localSheetId="4">Tabla3865[AnálisisBAK]</definedName>
    <definedName name="AnálisisBAK">Tabla3865[AnálisisBAK]</definedName>
    <definedName name="AnalizarLK" localSheetId="4">Tabla2129[AnalizarLK]</definedName>
    <definedName name="AnalizarLK">Tabla2129[AnalizarLK]</definedName>
    <definedName name="AplicaciónB" localSheetId="4">Tabla375179[AplicaciónB]</definedName>
    <definedName name="AplicaciónB">Tabla375179[AplicaciónB]</definedName>
    <definedName name="AplicaciónBAK" localSheetId="4">Tabla3764[AplicaciónBAK]</definedName>
    <definedName name="AplicaciónBAK">Tabla3764[AplicaciónBAK]</definedName>
    <definedName name="AplicarLK" localSheetId="4">Tabla2028[AplicarLK]</definedName>
    <definedName name="AplicarLK">Tabla2028[AplicarLK]</definedName>
    <definedName name="áreasprofesionales" localSheetId="4">'Paso1 Analisis perfil egreso'!$H$3:$H$13</definedName>
    <definedName name="áreasprofesionales">'Paso1 Analisis perfil egreso'!$H$3:$H$13</definedName>
    <definedName name="BAK" localSheetId="4">Tabla5886[BAK]</definedName>
    <definedName name="BAK">Tabla5886[BAK]</definedName>
    <definedName name="Bloom">'Taxonomias para RA'!$G$3:$I$3</definedName>
    <definedName name="CaracterizarBAK" localSheetId="4">Tabla4776[CaracterizarBAK]</definedName>
    <definedName name="CaracterizarBAK">Tabla4776[CaracterizarBAK]</definedName>
    <definedName name="Cognitivo" localSheetId="4">'Paso1 Analisis perfil egreso'!$E$3:$E$14</definedName>
    <definedName name="Cognitivo">'Paso1 Analisis perfil egreso'!$E$3:$E$14</definedName>
    <definedName name="cognitivoB" localSheetId="4">Tabla5583[CognitivoB]</definedName>
    <definedName name="cognitivoB">Tabla5583[CognitivoB]</definedName>
    <definedName name="CognitivoBAK">'Taxonomias para RA'!$S$3:$X$3</definedName>
    <definedName name="competencias">'Paso 2 Redacción competen'!$F$4:$F$12</definedName>
    <definedName name="ComponentesCompetencias">'[1]Paso1 Analisis perfil egreso'!$E$2:$G$2</definedName>
    <definedName name="ComprenderLK">'Taxonomias para RA'!$AM$5:$AM$27</definedName>
    <definedName name="ComprensiónAK" localSheetId="4">Tabla98[ComprensiónAK]</definedName>
    <definedName name="ComprensiónAK">Tabla98[ComprensiónAK]</definedName>
    <definedName name="ComprensionB" localSheetId="4">Tabla365078[ComprensiónB]</definedName>
    <definedName name="ComprensionB">Tabla365078[ComprensiónB]</definedName>
    <definedName name="ComprensiónBAK" localSheetId="4">Tabla3663[ComprensiónBAK]</definedName>
    <definedName name="ComprensiónBAK">Tabla3663[ComprensiónBAK]</definedName>
    <definedName name="ConceptosLK" localSheetId="4">Tabla91[ConceptosLK]</definedName>
    <definedName name="ConceptosLK">Tabla91[ConceptosLK]</definedName>
    <definedName name="ConocimientoB" localSheetId="4">Tabla354977[ConocimientoB]</definedName>
    <definedName name="ConocimientoB">Tabla354977[ConocimientoB]</definedName>
    <definedName name="ConocimientoBAK" localSheetId="4">Tabla3555[ConocimientoBAK]</definedName>
    <definedName name="ConocimientoBAK">Tabla3555[ConocimientoBAK]</definedName>
    <definedName name="Conocimientos" localSheetId="4">'Paso1 Analisis perfil egreso'!$E$3:$E$14</definedName>
    <definedName name="Conocimientos">'Paso1 Analisis perfil egreso'!$E$3:$E$14</definedName>
    <definedName name="ControlBAK" localSheetId="4">Tabla4271[ControlBAK]</definedName>
    <definedName name="ControlBAK">Tabla4271[ControlBAK]</definedName>
    <definedName name="CrearLK" localSheetId="4">Tabla2333[CrearLK]</definedName>
    <definedName name="CrearLK">Tabla2333[CrearLK]</definedName>
    <definedName name="dominios">'Paso1 Analisis perfil egreso'!$E$2:$G$2</definedName>
    <definedName name="EvaluaciónB" localSheetId="4">Tabla405482[EvaluaciónB]</definedName>
    <definedName name="EvaluaciónB">Tabla405482[EvaluaciónB]</definedName>
    <definedName name="EvaluaciónBAK" localSheetId="4">Tabla4067[EvaluaciónBAK]</definedName>
    <definedName name="EvaluaciónBAK">Tabla4067[EvaluaciónBAK]</definedName>
    <definedName name="EvaluarLK">'Taxonomias para RA'!$AP$5:$AP$46</definedName>
    <definedName name="HechosLK" localSheetId="4">Tabla90[HechosLK]</definedName>
    <definedName name="HechosLK">Tabla90[HechosLK]</definedName>
    <definedName name="ImitaciónBAK" localSheetId="4">Tabla1168[ImitaciónBAK]</definedName>
    <definedName name="ImitaciónBAK">Tabla1168[ImitaciónBAK]</definedName>
    <definedName name="InformaciónAK" localSheetId="4">Tabla94[InformaciónAK]</definedName>
    <definedName name="InformaciónAK">Tabla94[InformaciónAK]</definedName>
    <definedName name="LK" localSheetId="4">Tabla5987[LK]</definedName>
    <definedName name="LK">Tabla5987[LK]</definedName>
    <definedName name="ManipulaciónBAK" localSheetId="4">Tabla3069[ManipulaciónBAK]</definedName>
    <definedName name="ManipulaciónBAK">Tabla3069[ManipulaciónBAK]</definedName>
    <definedName name="MetacogniciónAK" localSheetId="4">Tabla101[MetacogniciónAK]</definedName>
    <definedName name="MetacogniciónAK">Tabla101[MetacogniciónAK]</definedName>
    <definedName name="MetacogniciónLK" localSheetId="4">Tabla93[MetacogniciónLK]</definedName>
    <definedName name="MetacogniciónLK">Tabla93[MetacogniciónLK]</definedName>
    <definedName name="MetocogniciónAK" localSheetId="4">Tabla101[MetacogniciónAK]</definedName>
    <definedName name="MetocogniciónAK">Tabla101[MetacogniciónAK]</definedName>
    <definedName name="ocupacional">'Paso1 Analisis perfil egreso'!$H$2:$J$2</definedName>
    <definedName name="OrganizarBAK" localSheetId="4">Tabla4675[OrganizarBAK]</definedName>
    <definedName name="OrganizarBAK">Tabla4675[OrganizarBAK]</definedName>
    <definedName name="PercepciónBAK">'Taxonomias para RA'!$AC$4:$AC$40</definedName>
    <definedName name="poblacionactuacion" localSheetId="4">'Paso1 Analisis perfil egreso'!$J$3:$J$7</definedName>
    <definedName name="poblacionactuacion">'Paso1 Analisis perfil egreso'!$J$3:$J$7</definedName>
    <definedName name="poblaciones" localSheetId="4">'Paso1 Analisis perfil egreso'!$J$3:$J$7</definedName>
    <definedName name="poblaciones">'Paso1 Analisis perfil egreso'!$J$3:$J$7</definedName>
    <definedName name="poblacionesactuación" localSheetId="4">'Paso1 Analisis perfil egreso'!$J$3:$J$7</definedName>
    <definedName name="poblacionesactuación">'Paso1 Analisis perfil egreso'!$J$3:$J$7</definedName>
    <definedName name="PrecisiónBAK" localSheetId="4">Tabla4170[PrecisiónBAK]</definedName>
    <definedName name="PrecisiónBAK">Tabla4170[PrecisiónBAK]</definedName>
    <definedName name="procedimentalB" localSheetId="4">Tabla5684[ProcedimentalB]</definedName>
    <definedName name="procedimentalB">Tabla5684[ProcedimentalB]</definedName>
    <definedName name="ProcedimentalBAK">'Taxonomias para RA'!$Y$3:$AB$3</definedName>
    <definedName name="ProcedimientosLK" localSheetId="4">Tabla92[ProcedimientosLK]</definedName>
    <definedName name="ProcedimientosLK">Tabla92[ProcedimientosLK]</definedName>
    <definedName name="ProcesosAK" localSheetId="4">Tabla95[ProcesosAK]</definedName>
    <definedName name="ProcesosAK">Tabla95[ProcesosAK]</definedName>
    <definedName name="PsicomotorAK" localSheetId="4">Tabla96[PsicomotorAK]</definedName>
    <definedName name="PsicomotorAK">Tabla96[PsicomotorAK]</definedName>
    <definedName name="RecordarLK">'Taxonomias para RA'!$AL$5:$AL$27</definedName>
    <definedName name="RecuperaciónAK">'Taxonomias para RA'!$AT$4:$AT$27</definedName>
    <definedName name="ResponderBAK" localSheetId="4">Tabla4473[ResponderBAK]</definedName>
    <definedName name="ResponderBAK">Tabla4473[ResponderBAK]</definedName>
    <definedName name="resultadoaprendizaje">'Paso 3 Redacción RA '!$I$3:$I$13</definedName>
    <definedName name="Saber">'Paso1 Analisis perfil egreso'!$E$3:$E$6</definedName>
    <definedName name="Saberhacer" localSheetId="4">'Paso1 Analisis perfil egreso'!$F$3:$F$14</definedName>
    <definedName name="Saberhacer">'Paso1 Analisis perfil egreso'!$F$3:$F$14</definedName>
    <definedName name="saberser" localSheetId="4">'Paso1 Analisis perfil egreso'!$G$3:$G$14</definedName>
    <definedName name="saberser">'Paso1 Analisis perfil egreso'!$G$3:$G$14</definedName>
    <definedName name="SíntesisB" localSheetId="4">Tabla395381[SíntesisB]</definedName>
    <definedName name="SíntesisB">Tabla395381[SíntesisB]</definedName>
    <definedName name="SíntesisBAK" localSheetId="4">Tabla3966[SíntesisBAK]</definedName>
    <definedName name="SíntesisBAK">Tabla3966[SíntesisBAK]</definedName>
    <definedName name="tareas" localSheetId="4">'Paso1 Analisis perfil egreso'!$I$3:$I$13</definedName>
    <definedName name="tareas">'Paso1 Analisis perfil egreso'!$I$3:$I$13</definedName>
    <definedName name="tareasprofesionales" localSheetId="4">'Paso1 Analisis perfil egreso'!$I$3:$I$13</definedName>
    <definedName name="tareasprofesionales">'Paso1 Analisis perfil egreso'!$I$3:$I$13</definedName>
    <definedName name="taxonomiasra" localSheetId="4">Tabla1715[Taxonomías]</definedName>
    <definedName name="taxonomiasra">Tabla1715[Taxonomías]</definedName>
    <definedName name="UsoConocimientoAK">'Taxonomias para RA'!$AW$4:$AW$70</definedName>
    <definedName name="Valoragregado" localSheetId="4">'Paso1 Analisis perfil egreso'!$K$3:$K$7</definedName>
    <definedName name="Valoragregado">'Paso1 Analisis perfil egreso'!$K$3:$K$7</definedName>
    <definedName name="ValorarBAK" localSheetId="4">Tabla4574[ValorarBAK]</definedName>
    <definedName name="ValorarBAK">Tabla4574[ValorarBAK]</definedName>
    <definedName name="VerbosCompetencias">'Taxonomia para Competencias'!$B:$B</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112" i="10" l="1"/>
  <c r="R112" i="10"/>
  <c r="S111" i="10"/>
  <c r="R111" i="10"/>
  <c r="S100" i="10"/>
  <c r="R100" i="10"/>
  <c r="S89" i="10"/>
  <c r="R89" i="10"/>
  <c r="S74" i="10"/>
  <c r="R74" i="10"/>
  <c r="S56" i="10"/>
  <c r="R56" i="10"/>
  <c r="S43" i="10"/>
  <c r="R43" i="10"/>
  <c r="S29" i="10"/>
  <c r="R29" i="10"/>
  <c r="S16" i="10"/>
  <c r="R16" i="10"/>
  <c r="D112" i="10"/>
  <c r="J115" i="10"/>
  <c r="J114" i="10"/>
  <c r="J113" i="10"/>
  <c r="J112" i="10" l="1"/>
  <c r="L17" i="10" l="1"/>
  <c r="K17" i="10"/>
  <c r="K99" i="10"/>
  <c r="L111" i="10"/>
  <c r="K111" i="10"/>
  <c r="L110" i="10"/>
  <c r="K110" i="10"/>
  <c r="L100" i="10"/>
  <c r="K100" i="10"/>
  <c r="L99" i="10"/>
  <c r="L107" i="10"/>
  <c r="K107" i="10"/>
  <c r="L104" i="10"/>
  <c r="K104" i="10"/>
  <c r="L101" i="10"/>
  <c r="K101" i="10"/>
  <c r="L96" i="10"/>
  <c r="K96" i="10"/>
  <c r="L93" i="10"/>
  <c r="K93" i="10"/>
  <c r="L90" i="10"/>
  <c r="K90" i="10"/>
  <c r="L87" i="10"/>
  <c r="K87" i="10"/>
  <c r="L84" i="10"/>
  <c r="K84" i="10"/>
  <c r="L81" i="10"/>
  <c r="K81" i="10"/>
  <c r="L78" i="10"/>
  <c r="K78" i="10"/>
  <c r="L75" i="10"/>
  <c r="K75" i="10"/>
  <c r="L72" i="10"/>
  <c r="K72" i="10"/>
  <c r="L69" i="10"/>
  <c r="K69" i="10"/>
  <c r="L66" i="10"/>
  <c r="K66" i="10"/>
  <c r="L63" i="10"/>
  <c r="K63" i="10"/>
  <c r="L60" i="10"/>
  <c r="K60" i="10"/>
  <c r="L57" i="10"/>
  <c r="K57" i="10"/>
  <c r="L54" i="10"/>
  <c r="K54" i="10"/>
  <c r="L51" i="10"/>
  <c r="K51" i="10"/>
  <c r="L48" i="10"/>
  <c r="K48" i="10"/>
  <c r="L45" i="10"/>
  <c r="K45" i="10"/>
  <c r="L41" i="10"/>
  <c r="L38" i="10"/>
  <c r="L35" i="10"/>
  <c r="L32" i="10"/>
  <c r="K32" i="10"/>
  <c r="K41" i="10"/>
  <c r="K38" i="10"/>
  <c r="K35" i="10"/>
  <c r="L27" i="10"/>
  <c r="L24" i="10"/>
  <c r="L21" i="10"/>
  <c r="L18" i="10"/>
  <c r="K27" i="10"/>
  <c r="K24" i="10"/>
  <c r="K21" i="10"/>
  <c r="K18" i="10"/>
  <c r="L14" i="10"/>
  <c r="L11" i="10"/>
  <c r="L8" i="10"/>
  <c r="L5" i="10"/>
  <c r="K14" i="10"/>
  <c r="K11" i="10"/>
  <c r="K8" i="10"/>
  <c r="K5" i="10"/>
  <c r="L44" i="10"/>
  <c r="K44" i="10"/>
  <c r="L31" i="10"/>
  <c r="K31" i="10"/>
  <c r="L30" i="10"/>
  <c r="K30" i="10"/>
  <c r="L4" i="10"/>
  <c r="K4" i="10"/>
  <c r="L3" i="10"/>
  <c r="K3" i="10"/>
  <c r="A44" i="10"/>
  <c r="A31" i="10"/>
  <c r="A30" i="10"/>
  <c r="A17" i="10"/>
  <c r="A3" i="10"/>
  <c r="A4" i="10"/>
  <c r="A109" i="10"/>
  <c r="A108" i="10"/>
  <c r="A107" i="10"/>
  <c r="A106" i="10"/>
  <c r="A105" i="10"/>
  <c r="A104" i="10"/>
  <c r="A103" i="10"/>
  <c r="A102" i="10"/>
  <c r="A101" i="10"/>
  <c r="A98" i="10"/>
  <c r="A97" i="10"/>
  <c r="A96" i="10"/>
  <c r="A95" i="10"/>
  <c r="A94" i="10"/>
  <c r="A93" i="10"/>
  <c r="A92" i="10"/>
  <c r="A91" i="10"/>
  <c r="A90" i="10"/>
  <c r="A89" i="10"/>
  <c r="A88" i="10"/>
  <c r="A87" i="10"/>
  <c r="A86" i="10"/>
  <c r="A85" i="10"/>
  <c r="A84" i="10"/>
  <c r="A83" i="10"/>
  <c r="A82" i="10"/>
  <c r="A81" i="10"/>
  <c r="A80" i="10"/>
  <c r="A79" i="10"/>
  <c r="A78" i="10"/>
  <c r="A77" i="10"/>
  <c r="A76" i="10"/>
  <c r="A75" i="10"/>
  <c r="A74" i="10"/>
  <c r="A73" i="10"/>
  <c r="A72" i="10"/>
  <c r="A71" i="10"/>
  <c r="A70" i="10"/>
  <c r="A69" i="10"/>
  <c r="A68" i="10"/>
  <c r="A67" i="10"/>
  <c r="A66" i="10"/>
  <c r="A65" i="10"/>
  <c r="A64" i="10"/>
  <c r="A63" i="10"/>
  <c r="A62" i="10"/>
  <c r="A61" i="10"/>
  <c r="A60" i="10"/>
  <c r="A59" i="10"/>
  <c r="A58" i="10"/>
  <c r="A57" i="10"/>
  <c r="A56" i="10"/>
  <c r="A55" i="10"/>
  <c r="A54" i="10"/>
  <c r="A53" i="10"/>
  <c r="A52" i="10"/>
  <c r="A51" i="10"/>
  <c r="A50" i="10"/>
  <c r="A49" i="10"/>
  <c r="A48" i="10"/>
  <c r="A47" i="10"/>
  <c r="A46" i="10"/>
  <c r="A45" i="10"/>
  <c r="A43" i="10"/>
  <c r="A42" i="10"/>
  <c r="A41" i="10"/>
  <c r="A40" i="10"/>
  <c r="A39" i="10"/>
  <c r="A38" i="10"/>
  <c r="A37" i="10"/>
  <c r="A36" i="10"/>
  <c r="A35" i="10"/>
  <c r="A34" i="10"/>
  <c r="A33" i="10"/>
  <c r="A32" i="10"/>
  <c r="A29" i="10"/>
  <c r="A28" i="10"/>
  <c r="A27" i="10"/>
  <c r="A26" i="10"/>
  <c r="A25" i="10"/>
  <c r="A24" i="10"/>
  <c r="A23" i="10"/>
  <c r="A22" i="10"/>
  <c r="A21" i="10"/>
  <c r="A20" i="10"/>
  <c r="A19" i="10"/>
  <c r="A18" i="10"/>
  <c r="A16" i="10"/>
  <c r="A15" i="10"/>
  <c r="A14" i="10"/>
  <c r="A13" i="10"/>
  <c r="A12" i="10"/>
  <c r="A11" i="10"/>
  <c r="A9" i="10"/>
  <c r="A10" i="10"/>
  <c r="A8" i="10"/>
  <c r="A6" i="10"/>
  <c r="A7" i="10"/>
  <c r="A5" i="10"/>
  <c r="M11" i="10" l="1"/>
  <c r="M24" i="10"/>
  <c r="M48" i="10"/>
  <c r="M66" i="10"/>
  <c r="M75" i="10"/>
  <c r="M81" i="10"/>
  <c r="M84" i="10"/>
  <c r="M93" i="10"/>
  <c r="M87" i="10"/>
  <c r="M96" i="10"/>
  <c r="M27" i="10"/>
  <c r="M5" i="10"/>
  <c r="M18" i="10"/>
  <c r="M41" i="10"/>
  <c r="M104" i="10"/>
  <c r="M99" i="10"/>
  <c r="M8" i="10"/>
  <c r="M21" i="10"/>
  <c r="M32" i="10"/>
  <c r="M45" i="10"/>
  <c r="M54" i="10"/>
  <c r="M63" i="10"/>
  <c r="M100" i="10"/>
  <c r="M51" i="10"/>
  <c r="M60" i="10"/>
  <c r="M72" i="10"/>
  <c r="M90" i="10"/>
  <c r="M101" i="10"/>
  <c r="M111" i="10"/>
  <c r="M14" i="10"/>
  <c r="M35" i="10"/>
  <c r="M38" i="10"/>
  <c r="M78" i="10"/>
  <c r="M107" i="10"/>
  <c r="M44" i="10"/>
  <c r="M57" i="10"/>
  <c r="M69" i="10"/>
  <c r="M110" i="10"/>
  <c r="M30" i="10" l="1"/>
  <c r="M31" i="10"/>
  <c r="M17" i="10"/>
  <c r="M3" i="10"/>
  <c r="M4"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C1" authorId="0" shapeId="0" xr:uid="{E338DED5-79E3-45EA-817F-66D8D3C549D2}">
      <text>
        <r>
          <rPr>
            <sz val="11"/>
            <color theme="1"/>
            <rFont val="Calibri"/>
            <family val="2"/>
            <scheme val="minor"/>
          </rPr>
          <t>Diana Shirley Velasquez Rojas:
Escriba el perfil del egresado que tiene el programa en su documento maestro o el que se haya ajustado de acuerdo con las tendencias o necesidades del entorno que lo hayan generado.</t>
        </r>
      </text>
    </comment>
    <comment ref="E2" authorId="0" shapeId="0" xr:uid="{12792177-0D62-47E7-9BFF-318A4AB271E4}">
      <text>
        <r>
          <rPr>
            <b/>
            <sz val="9"/>
            <color indexed="81"/>
            <rFont val="Tahoma"/>
            <family val="2"/>
          </rPr>
          <t>Dir. Currículo:</t>
        </r>
        <r>
          <rPr>
            <sz val="9"/>
            <color indexed="81"/>
            <rFont val="Tahoma"/>
            <family val="2"/>
          </rPr>
          <t xml:space="preserve">
Son los conocimientos generales que caracterizan el saber del egresado.</t>
        </r>
      </text>
    </comment>
    <comment ref="F2" authorId="0" shapeId="0" xr:uid="{F061F63A-3635-4989-89F1-6CCF984D96A3}">
      <text>
        <r>
          <rPr>
            <b/>
            <sz val="9"/>
            <color indexed="81"/>
            <rFont val="Tahoma"/>
            <family val="2"/>
          </rPr>
          <t>Dir. Currículo:</t>
        </r>
        <r>
          <rPr>
            <sz val="9"/>
            <color indexed="81"/>
            <rFont val="Tahoma"/>
            <family val="2"/>
          </rPr>
          <t xml:space="preserve">
Es el conocimiento referente a la ejecución de estrategias, técnicas, habilidades, métodos y procedimientos; implican fuerza, rapidez y precisión; hacen referencia a saber cómo hacer y saber hacer.</t>
        </r>
      </text>
    </comment>
    <comment ref="G2" authorId="0" shapeId="0" xr:uid="{389D3840-7D6C-4F77-AE2B-C83F9926A6C6}">
      <text>
        <r>
          <rPr>
            <b/>
            <sz val="9"/>
            <color indexed="81"/>
            <rFont val="Tahoma"/>
            <family val="2"/>
          </rPr>
          <t>Dir. Currículo:</t>
        </r>
        <r>
          <rPr>
            <sz val="9"/>
            <color indexed="81"/>
            <rFont val="Tahoma"/>
            <family val="2"/>
          </rPr>
          <t xml:space="preserve">
Se refiere a cómo debe ser el egresado en el contexto profesional, abarca los principios, normas, condiciones de contexto y reglas, entre otros.</t>
        </r>
      </text>
    </comment>
    <comment ref="H2" authorId="0" shapeId="0" xr:uid="{91F787E4-9F42-4666-B6D1-66DE9D88CA79}">
      <text>
        <r>
          <rPr>
            <b/>
            <sz val="9"/>
            <color indexed="81"/>
            <rFont val="Tahoma"/>
            <family val="2"/>
          </rPr>
          <t>Dir. Currículo:</t>
        </r>
        <r>
          <rPr>
            <sz val="9"/>
            <color indexed="81"/>
            <rFont val="Tahoma"/>
            <family val="2"/>
          </rPr>
          <t xml:space="preserve">
Áreas en las que podrá laborar el profesional.</t>
        </r>
      </text>
    </comment>
    <comment ref="I2" authorId="0" shapeId="0" xr:uid="{4990A9C5-31E1-4BCB-81EB-7C14549AB462}">
      <text>
        <r>
          <rPr>
            <b/>
            <sz val="9"/>
            <color indexed="81"/>
            <rFont val="Tahoma"/>
            <family val="2"/>
          </rPr>
          <t>Dir. Currículo:</t>
        </r>
        <r>
          <rPr>
            <sz val="9"/>
            <color indexed="81"/>
            <rFont val="Tahoma"/>
            <family val="2"/>
          </rPr>
          <t xml:space="preserve">
Tareas potenciales que hará el profesional.</t>
        </r>
      </text>
    </comment>
    <comment ref="J2" authorId="0" shapeId="0" xr:uid="{7BF9192D-7FC7-43E0-A6DE-5F1A0C0CB845}">
      <text>
        <r>
          <rPr>
            <b/>
            <sz val="9"/>
            <color indexed="81"/>
            <rFont val="Tahoma"/>
            <family val="2"/>
          </rPr>
          <t>Dir. Currículo:</t>
        </r>
        <r>
          <rPr>
            <sz val="9"/>
            <color indexed="81"/>
            <rFont val="Tahoma"/>
            <family val="2"/>
          </rPr>
          <t xml:space="preserve">
Poblaciones o contextos donde podrán laborar los profesionales o dónde podrán ejercer su profesión.</t>
        </r>
      </text>
    </comment>
    <comment ref="K2" authorId="0" shapeId="0" xr:uid="{1CF5AD7F-64EB-4A95-94F5-CEFC52E18578}">
      <text>
        <r>
          <rPr>
            <b/>
            <sz val="9"/>
            <color indexed="81"/>
            <rFont val="Tahoma"/>
            <family val="2"/>
          </rPr>
          <t>Dir. Currículo:</t>
        </r>
        <r>
          <rPr>
            <sz val="9"/>
            <color indexed="81"/>
            <rFont val="Tahoma"/>
            <family val="2"/>
          </rPr>
          <t xml:space="preserve">
Elementos diferenciales que caracterizan al egresado.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3" authorId="0" shapeId="0" xr:uid="{53EF9953-5C1D-409D-ADCD-293F780FDCB1}">
      <text>
        <r>
          <rPr>
            <b/>
            <sz val="9"/>
            <color indexed="81"/>
            <rFont val="Tahoma"/>
            <family val="2"/>
          </rPr>
          <t>Dir. Currículo:</t>
        </r>
        <r>
          <rPr>
            <sz val="9"/>
            <color indexed="81"/>
            <rFont val="Tahoma"/>
            <family val="2"/>
          </rPr>
          <t xml:space="preserve">
Respecto al número de competencias a redactar no hay una restricción ni número limitante, solo se debe tener en cuenta que el programa deberá garantizar y demostrar su desarrollo a través del proceso de aprendizaje que lleve a cabo el estudiante y que se desglosarán y declararán por medio de los resultados de aprendizaje.</t>
        </r>
      </text>
    </comment>
    <comment ref="B3" authorId="0" shapeId="0" xr:uid="{89B1F064-85DD-446C-A9DE-35C70EC4764C}">
      <text>
        <r>
          <rPr>
            <b/>
            <sz val="9"/>
            <color indexed="81"/>
            <rFont val="Tahoma"/>
            <family val="2"/>
          </rPr>
          <t xml:space="preserve">Dir. de Currículo:
</t>
        </r>
        <r>
          <rPr>
            <sz val="9"/>
            <color indexed="81"/>
            <rFont val="Tahoma"/>
            <family val="2"/>
          </rPr>
          <t>Si desea incluir un verbo puede hacerlo en la hoja Taxonomía para competencias, solo procure usar verbos que pueda desagregarse en verbos medibles</t>
        </r>
        <r>
          <rPr>
            <b/>
            <sz val="9"/>
            <color indexed="81"/>
            <rFont val="Tahoma"/>
            <family val="2"/>
          </rPr>
          <t xml:space="preserve">. </t>
        </r>
        <r>
          <rPr>
            <sz val="9"/>
            <color indexed="81"/>
            <rFont val="Tahoma"/>
            <family val="2"/>
          </rPr>
          <t xml:space="preserve">Después de incluirlo podrá elegirlo en la celda que lo requiera.
</t>
        </r>
      </text>
    </comment>
    <comment ref="C3" authorId="0" shapeId="0" xr:uid="{845B80FF-0F7D-4D93-B3F5-84DCA285350F}">
      <text>
        <r>
          <rPr>
            <b/>
            <sz val="9"/>
            <color indexed="81"/>
            <rFont val="Tahoma"/>
            <family val="2"/>
          </rPr>
          <t>Dir. Currículo:</t>
        </r>
        <r>
          <rPr>
            <sz val="9"/>
            <color indexed="81"/>
            <rFont val="Tahoma"/>
            <family val="2"/>
          </rPr>
          <t xml:space="preserve">
Recuerde que el objeto conceptual hace referencia a qué debe saber (conocimientos, hechos, teorías) el egresado cuando termine su formación profesional.</t>
        </r>
      </text>
    </comment>
    <comment ref="D3" authorId="0" shapeId="0" xr:uid="{DA64038A-6099-4D22-9EF8-C8D9FC3F33E7}">
      <text>
        <r>
          <rPr>
            <b/>
            <sz val="9"/>
            <color indexed="81"/>
            <rFont val="Tahoma"/>
            <family val="2"/>
          </rPr>
          <t>Dir. Currículo:</t>
        </r>
        <r>
          <rPr>
            <sz val="9"/>
            <color indexed="81"/>
            <rFont val="Tahoma"/>
            <family val="2"/>
          </rPr>
          <t xml:space="preserve">
La finalidad se refiere al para qué, se centra en qué es lo que el egresado sabrá hacer (procedimientos, procesos, metodologías, entre otros) con el saber enunciado como objeto conceptual.
El saber hacer o los elementos del componente ocupacional pueden ayudar a declarar la finalidad. Se listaron en la hoja Paso 1.</t>
        </r>
      </text>
    </comment>
    <comment ref="E3" authorId="0" shapeId="0" xr:uid="{7AD9CEF8-C620-4D74-A493-6111E862964C}">
      <text>
        <r>
          <rPr>
            <b/>
            <sz val="9"/>
            <color indexed="81"/>
            <rFont val="Tahoma"/>
            <family val="2"/>
          </rPr>
          <t>Dir. Currículo:</t>
        </r>
        <r>
          <rPr>
            <sz val="9"/>
            <color indexed="81"/>
            <rFont val="Tahoma"/>
            <family val="2"/>
          </rPr>
          <t xml:space="preserve">
Describe los referentes y parámetros, requerimientos o retos que se necesitan para alcanzar las características del perfil en el contexto donde el egresado se desenvolverá. 
Una pregunta orientadora para diligenciar esta componente es: ¿Qué condición se requiere para que lograr lo estableció en el perfil, en el contexto donde se desenvolverá el egresado? </t>
        </r>
      </text>
    </comment>
    <comment ref="F3" authorId="0" shapeId="0" xr:uid="{1DDC73BF-6D66-45D6-8CC2-D2CCBDED89EA}">
      <text>
        <r>
          <rPr>
            <b/>
            <sz val="9"/>
            <color indexed="81"/>
            <rFont val="Tahoma"/>
            <family val="2"/>
          </rPr>
          <t>Dir. Currículo:</t>
        </r>
        <r>
          <rPr>
            <sz val="9"/>
            <color indexed="81"/>
            <rFont val="Tahoma"/>
            <family val="2"/>
          </rPr>
          <t xml:space="preserve">
Tenga en cuenta que la competencia indica qué acción hará el egresado con un saber determinado, con un fin asociado a lo que debe saber hacer con el saber y unas condiciones de contexto o referencia, que enmarcan su comportamiento en el ámbito profesional.</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2" authorId="0" shapeId="0" xr:uid="{D3F143C3-D231-4875-B93F-43DD53FE5195}">
      <text>
        <r>
          <rPr>
            <b/>
            <sz val="9"/>
            <color indexed="81"/>
            <rFont val="Tahoma"/>
            <family val="2"/>
          </rPr>
          <t>Dir. Currículo:</t>
        </r>
        <r>
          <rPr>
            <sz val="9"/>
            <color indexed="81"/>
            <rFont val="Tahoma"/>
            <family val="2"/>
          </rPr>
          <t xml:space="preserve">
Recuerde que cada competencia hace referencia a tres dominios que demostrará el estudiante, el cognitivo, el procedimental y el actitudinal o valorativo.
La competencia es lo que demostrará el estudiante en el ámbito profesional y en la academia se implementarán acciones educativas que mostrarán los resultados de lo que el estudiante aprendió y que están orientados a verificar que el estudiante saber, saber hacer y sabe ser en un contexto determinado.</t>
        </r>
      </text>
    </comment>
    <comment ref="B2" authorId="0" shapeId="0" xr:uid="{B1FB04BB-65D6-44B8-8F8C-4AC9B8A95942}">
      <text>
        <r>
          <rPr>
            <b/>
            <sz val="9"/>
            <color indexed="81"/>
            <rFont val="Tahoma"/>
            <family val="2"/>
          </rPr>
          <t>Dir. Currículo:</t>
        </r>
        <r>
          <rPr>
            <sz val="9"/>
            <color indexed="81"/>
            <rFont val="Tahoma"/>
            <family val="2"/>
          </rPr>
          <t xml:space="preserve">
Los resultados deben ser concretos, entre más competencias se declaren más resultados se deberán demostrar.</t>
        </r>
      </text>
    </comment>
    <comment ref="C2" authorId="0" shapeId="0" xr:uid="{958DBB57-68B3-466F-A186-1D6CED4E13CE}">
      <text>
        <r>
          <rPr>
            <b/>
            <sz val="9"/>
            <color indexed="81"/>
            <rFont val="Tahoma"/>
            <family val="2"/>
          </rPr>
          <t>Dir. Currículo:</t>
        </r>
        <r>
          <rPr>
            <sz val="9"/>
            <color indexed="81"/>
            <rFont val="Tahoma"/>
            <family val="2"/>
          </rPr>
          <t xml:space="preserve">
Dado que la competencia se determina por el saber, saber hacer y saber ser, se va a redactar por lo menos un resultado de aprendizaje por cada saber.
Pero puede ocurrir que un resultado sea el mismo para dos o más competencias.</t>
        </r>
      </text>
    </comment>
    <comment ref="D2" authorId="0" shapeId="0" xr:uid="{179B26A7-FC6E-4158-A82B-747AD08A87C0}">
      <text>
        <r>
          <rPr>
            <b/>
            <sz val="9"/>
            <color indexed="81"/>
            <rFont val="Tahoma"/>
            <family val="2"/>
          </rPr>
          <t>Dir. Currículo:</t>
        </r>
        <r>
          <rPr>
            <sz val="9"/>
            <color indexed="81"/>
            <rFont val="Tahoma"/>
            <family val="2"/>
          </rPr>
          <t xml:space="preserve">
El listado despliega, según el saber elegido en la columna C, lo que se escribió en el paso 1 para ese tipo de saber.</t>
        </r>
      </text>
    </comment>
    <comment ref="E2" authorId="0" shapeId="0" xr:uid="{DC2391F0-23C2-4858-A4CC-DE1159046B64}">
      <text>
        <r>
          <rPr>
            <b/>
            <sz val="9"/>
            <color indexed="81"/>
            <rFont val="Tahoma"/>
            <family val="2"/>
          </rPr>
          <t xml:space="preserve">Dir. Currículo:
</t>
        </r>
        <r>
          <rPr>
            <sz val="9"/>
            <color indexed="81"/>
            <rFont val="Tahoma"/>
            <family val="2"/>
          </rPr>
          <t>Se elije según los conocimientos que se tienen sobre ellas, la más empleada es la de Bloom, pero existen muchas otras.
Si requiere emplear una distinta puede adaptar el formato a sus necesidades.</t>
        </r>
      </text>
    </comment>
    <comment ref="F2" authorId="0" shapeId="0" xr:uid="{BA81069A-F375-4BBA-B338-1D6EDE5CE274}">
      <text>
        <r>
          <rPr>
            <b/>
            <sz val="9"/>
            <color indexed="81"/>
            <rFont val="Tahoma"/>
            <family val="2"/>
          </rPr>
          <t>Dir. Currículo:</t>
        </r>
        <r>
          <rPr>
            <sz val="9"/>
            <color indexed="81"/>
            <rFont val="Tahoma"/>
            <family val="2"/>
          </rPr>
          <t xml:space="preserve">
En la columna C se indicó el saber que se trabajará por lo que aquí se debe elegir el dominio que debe alcanzar el estudiante.
Recuerde, el saber corresponde al dominio cognitivo en alguna taxonomía, el saber hacer hace referencia al dominio procedimental y el saber ser al dominio actitudinal.</t>
        </r>
      </text>
    </comment>
    <comment ref="G2" authorId="0" shapeId="0" xr:uid="{314680C8-A08A-49DA-998F-2218755A6E23}">
      <text>
        <r>
          <rPr>
            <b/>
            <sz val="9"/>
            <color indexed="81"/>
            <rFont val="Tahoma"/>
            <family val="2"/>
          </rPr>
          <t>Dir. Currículo:</t>
        </r>
        <r>
          <rPr>
            <sz val="9"/>
            <color indexed="81"/>
            <rFont val="Tahoma"/>
            <family val="2"/>
          </rPr>
          <t xml:space="preserve">
Las taxonomías se clasifican en niveles, por eso, al elegirlo en la columna E, las filas los despliegan y se selecciona según la coherencia de éste con el dominio por desarrollará. Elegir el nivel permite que en la columna H aparezcan los verbos recomendados.</t>
        </r>
      </text>
    </comment>
    <comment ref="H2" authorId="0" shapeId="0" xr:uid="{C91CCBA1-C27D-4136-A997-8392C8F3ED69}">
      <text>
        <r>
          <rPr>
            <b/>
            <sz val="9"/>
            <color indexed="81"/>
            <rFont val="Tahoma"/>
            <family val="2"/>
          </rPr>
          <t>Dir. Currículo:</t>
        </r>
        <r>
          <rPr>
            <sz val="9"/>
            <color indexed="81"/>
            <rFont val="Tahoma"/>
            <family val="2"/>
          </rPr>
          <t xml:space="preserve">
En las celdas se despliegan los verbos sugeridos para la categoría seleccionada en la columna G.</t>
        </r>
      </text>
    </comment>
    <comment ref="I2" authorId="0" shapeId="0" xr:uid="{3F53F5B1-B1E3-4596-A9B1-55041ACD33EB}">
      <text>
        <r>
          <rPr>
            <b/>
            <sz val="9"/>
            <color indexed="81"/>
            <rFont val="Tahoma"/>
            <family val="2"/>
          </rPr>
          <t>Dir. Currículo:</t>
        </r>
        <r>
          <rPr>
            <sz val="9"/>
            <color indexed="81"/>
            <rFont val="Tahoma"/>
            <family val="2"/>
          </rPr>
          <t xml:space="preserve">
En las filas de esta columna articule las columnas H y D en una oración que comience por el verbo (col. H), que recaiga sobre el objeto conceptual (col. D) y termine con un complemento de oración, conocida como condición de contexto, que indique para qué, como, con qué, o lo que considere conveniente para dar cierre al resultado de aprendizaje.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B2" authorId="0" shapeId="0" xr:uid="{C011BE17-7130-44E8-AB43-A7ABB726547F}">
      <text>
        <r>
          <rPr>
            <b/>
            <sz val="9"/>
            <color indexed="81"/>
            <rFont val="Tahoma"/>
            <family val="2"/>
          </rPr>
          <t>Dir. Currículo:</t>
        </r>
        <r>
          <rPr>
            <sz val="9"/>
            <color indexed="81"/>
            <rFont val="Tahoma"/>
            <family val="2"/>
          </rPr>
          <t xml:space="preserve">
Escriba las estrategias que el programa emplea para evaluar los resultados de aprendizaje.</t>
        </r>
      </text>
    </comment>
    <comment ref="D2" authorId="0" shapeId="0" xr:uid="{866CD5F0-AA71-406A-BF4F-2F8088056BD6}">
      <text>
        <r>
          <rPr>
            <b/>
            <sz val="9"/>
            <color indexed="81"/>
            <rFont val="Tahoma"/>
            <family val="2"/>
          </rPr>
          <t>Dir. Currículo:</t>
        </r>
        <r>
          <rPr>
            <sz val="9"/>
            <color indexed="81"/>
            <rFont val="Tahoma"/>
            <family val="2"/>
          </rPr>
          <t xml:space="preserve">
Los indicadores de logro, indican cómo cada estrategia contribuye al resultado de aprendizaje y serán aquellos a los que el programa apuntará para ser alcanzados por los estudiantes.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E1" authorId="0" shapeId="0" xr:uid="{70784CBA-9D53-4A90-B97A-05E3615D36F9}">
      <text>
        <r>
          <rPr>
            <b/>
            <sz val="9"/>
            <color indexed="81"/>
            <rFont val="Tahoma"/>
            <family val="2"/>
          </rPr>
          <t>Dir. Currículo:</t>
        </r>
        <r>
          <rPr>
            <sz val="9"/>
            <color indexed="81"/>
            <rFont val="Tahoma"/>
            <family val="2"/>
          </rPr>
          <t xml:space="preserve">
Los indicadores de logro, indican cómo cada asignatura o módulo contribuye al resultado de aprendizaje y serán aquellos a los que los docentes deberán apuntar para que con sus estrategias sean alcanzados por los estudiantes.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Y4" authorId="0" shapeId="0" xr:uid="{9607C37A-C8B3-44AC-90C2-DDC4836F9013}">
      <text>
        <r>
          <rPr>
            <b/>
            <sz val="9"/>
            <color indexed="81"/>
            <rFont val="Tahoma"/>
            <family val="2"/>
          </rPr>
          <t>Dir. Currículo:</t>
        </r>
        <r>
          <rPr>
            <sz val="9"/>
            <color indexed="81"/>
            <rFont val="Tahoma"/>
            <family val="2"/>
          </rPr>
          <t xml:space="preserve">
Hay cuatro tipos de pensamiento del sistema del yo que son relevantes para la Nueva Taxonomía: (1) examinar la importancia, (2) examinar la eficacia, (3) examinar la respuesta emocional y (4) examinar la motivación general.</t>
        </r>
      </text>
    </comment>
  </commentList>
</comments>
</file>

<file path=xl/sharedStrings.xml><?xml version="1.0" encoding="utf-8"?>
<sst xmlns="http://schemas.openxmlformats.org/spreadsheetml/2006/main" count="2334" uniqueCount="765">
  <si>
    <t>[Escribir el nombre del programa]</t>
  </si>
  <si>
    <t>[Escribir la modalidad: presencial o virtual]</t>
  </si>
  <si>
    <t>[Escribir el perfil profesional del egresado.]</t>
  </si>
  <si>
    <t>[Escribir el perfil ocupacional del egresado.]</t>
  </si>
  <si>
    <r>
      <rPr>
        <b/>
        <sz val="11"/>
        <color theme="0"/>
        <rFont val="Gill Sans MT"/>
        <family val="2"/>
      </rPr>
      <t>Componentes fundamentales para definir competencias</t>
    </r>
    <r>
      <rPr>
        <b/>
        <sz val="8"/>
        <color theme="0"/>
        <rFont val="Gill Sans MT"/>
        <family val="2"/>
      </rPr>
      <t xml:space="preserve">
</t>
    </r>
    <r>
      <rPr>
        <sz val="8"/>
        <color theme="0"/>
        <rFont val="Gill Sans MT"/>
        <family val="2"/>
      </rPr>
      <t>[Listar las palabras clave, no armar oraciones, respecto qué debe saber el egresado en las categorías de Saber -conocimientos, hechos, teorías-, Saber hacer -técnicas, procedimientos, metodologías-, y Saber ser -valores, condiciones. Esta información se estructura a partir del perfil profesional y cada saber hacer depende del saber ubicado a su izquierda, lo mismo ocurre con el saber ser.]</t>
    </r>
  </si>
  <si>
    <r>
      <rPr>
        <b/>
        <sz val="11"/>
        <color theme="0"/>
        <rFont val="Gill Sans MT"/>
        <family val="2"/>
      </rPr>
      <t>Componentes fundamentales de la ocupación laboral del profesional</t>
    </r>
    <r>
      <rPr>
        <b/>
        <sz val="8"/>
        <color theme="0"/>
        <rFont val="Gill Sans MT"/>
        <family val="2"/>
      </rPr>
      <t xml:space="preserve">
</t>
    </r>
    <r>
      <rPr>
        <sz val="8"/>
        <color theme="0"/>
        <rFont val="Gill Sans MT"/>
        <family val="2"/>
      </rPr>
      <t>[Listar, según lo escrito en el perfil ocupacional, en qué áreas, qué tareas potenciales y en qué poblaciones o contextos podrá laborar el profesional. Esta información es un listado general no requiere dependencia horizontal]</t>
    </r>
  </si>
  <si>
    <r>
      <rPr>
        <b/>
        <sz val="11"/>
        <color theme="0"/>
        <rFont val="Gill Sans MT"/>
        <family val="2"/>
      </rPr>
      <t>Diferencial (valor agregado) del profesional</t>
    </r>
    <r>
      <rPr>
        <b/>
        <sz val="8"/>
        <color theme="0"/>
        <rFont val="Gill Sans MT"/>
        <family val="2"/>
      </rPr>
      <t xml:space="preserve">
</t>
    </r>
    <r>
      <rPr>
        <sz val="8"/>
        <color theme="0"/>
        <rFont val="Gill Sans MT"/>
        <family val="2"/>
      </rPr>
      <t>[Listar, según lo escrito en los perfiles, los elementos que son diferenciales y generan un valor agregado al egresado. Debe ser disciplinar, asociado al perfil, ¿qué es lo que lo hace diferente a otros perfiles similares.]</t>
    </r>
  </si>
  <si>
    <t>Programa</t>
  </si>
  <si>
    <t>Modalidad</t>
  </si>
  <si>
    <t>Perfil profesional</t>
  </si>
  <si>
    <t>Perfil ocupacional</t>
  </si>
  <si>
    <t>Saber</t>
  </si>
  <si>
    <t>Saberhacer</t>
  </si>
  <si>
    <t>Saberser</t>
  </si>
  <si>
    <t>ÁreasProfesionales</t>
  </si>
  <si>
    <t>TareasProfesionales</t>
  </si>
  <si>
    <t>PoblacionesActuacion</t>
  </si>
  <si>
    <t>ValorAgregado</t>
  </si>
  <si>
    <t>Ingeniería de Software</t>
  </si>
  <si>
    <t>Virtual</t>
  </si>
  <si>
    <t>El profesional en Ingeniería de Software del Politécnico Grancolombiano se forma con competencias sólidas en desarrollo de software, algoritmia, gestión de datos y administración de proyectos TIC, integrando conocimientos en redes, arquitectura de software y verificación de calidad. Combina habilidades técnicas con pensamiento crítico, permitiéndole liderar o participar en proyectos tecnológicos de manera autónoma, creativa y metódica. Está preparado para desarrollar e integrar software, así como diseñar e implementar soluciones que respondan a las demandas del entorno productivo y las capacidades tecnológicas de las organizaciones.</t>
  </si>
  <si>
    <r>
      <t xml:space="preserve">Está capacitado para desempeñarse en organizaciones públicas o privadas liderando la formulación de estrategias tecnológicas, la gestión de proyectos informáticos y la implementación de soluciones digitales. Puede dirigir procesos de diseño e integración, así como coordinar equipos de desarrollo de </t>
    </r>
    <r>
      <rPr>
        <i/>
        <sz val="11"/>
        <color theme="1"/>
        <rFont val="Gill Sans MT"/>
        <family val="2"/>
      </rPr>
      <t>software</t>
    </r>
    <r>
      <rPr>
        <sz val="11"/>
        <color theme="1"/>
        <rFont val="Gill Sans MT"/>
        <family val="2"/>
      </rPr>
      <t xml:space="preserve"> y alinear tecnologías emergentes con los objetivos empresariales. Asimismo, desempeña funciones como analista de operaciones, evaluando el rendimiento de sistemas y proponiendo mejoras continuas, o como gestor tecnológico, articulando los objetivos empresariales con la competitividad en diferentes sectores productivos, y participa en procesos de transformación digital, consultoría tecnológica y desarrollo de soluciones a medida.</t>
    </r>
  </si>
  <si>
    <t>Ingeniería de software e infraestructuras TIC</t>
  </si>
  <si>
    <t>desarrollar planes operativos y proyectos de software</t>
  </si>
  <si>
    <t>que integren estrategias de seguimiento y evaluación de soluciones tecnológicas en contextos organizacionales.</t>
  </si>
  <si>
    <t>Ingeniería de desarrollo especializado
Área de evaluación y análisis de software.
Áreas de tecnología enfocadas en el diseño, desarrollo e implementación de software.
Consultoría de redes y diseño de software.</t>
  </si>
  <si>
    <t>Análisis de software.
Análisis, diseño, pruebas y seguimiento a soluciones informáticas.
Planeación, gestión y desarrollo tecnológico.
Liderazgo de proyectos TIC.
Diseño de modelos estructurales.
Análisis de calidad de software.
Planeación, gestión y desarrollo tecnológico.</t>
  </si>
  <si>
    <t>Organizaciones que requieran soluciones tecnológicas.
Organizaciones o áreas de tecnología  enfocadas en el diseño, desarrollo e implementación de software.</t>
  </si>
  <si>
    <t>El programa de Ingeniería de Software del Politécnico Grancolombiano integra en su proceso formativo, los aprendizajes disciplinares y sociohumanísticos, de modo que el estudiante pueda aplicar los conocimientos, teorías y habilidades de manera práctica en problemáticas u oportunidades de mejora, que se diseñan desde las necesidades reales del mercado laboral y así, a través del proceso de pensamiento crítico, la arquitectura de software, el desarrollo y gestión de TIC junto con metodologías de proyectos, pueda construir soluciones automatizadas con sistemas de software de calidad.</t>
  </si>
  <si>
    <t>Algoritmia y programación</t>
  </si>
  <si>
    <t>diseñar componentes que soporten una solución informática</t>
  </si>
  <si>
    <t>haciendo uso de criterios técnicos y métodos formales, respondiendo a las necesidades tecnológicas de las organizaciones.</t>
  </si>
  <si>
    <t>Sistemas de base y manejo de datos</t>
  </si>
  <si>
    <t>formular estructuras de información</t>
  </si>
  <si>
    <t>de acuerdo con los requerimientos de los proyectos de software de las organizaciones.</t>
  </si>
  <si>
    <t>Fenómenos contemporáneos</t>
  </si>
  <si>
    <t>reconocer sus afectaciones o contribuciones en el marco de las ciudadanías globales y de una sociedad responsable y sostenible.</t>
  </si>
  <si>
    <t>desde una perspectiva glocal, soportada en datos, con una mirada ética y crítica</t>
  </si>
  <si>
    <t>Elementos para redactar las competencias que desarrollará el programa</t>
  </si>
  <si>
    <t>[Enumerar las competencias que se van a declarar.]</t>
  </si>
  <si>
    <t>[A partir de la celda B2 dar clic sobre el ícono de lista desplegable y elegir el verbo que considere adecuado.]</t>
  </si>
  <si>
    <t>[A partir de la celda C2 dar clic sobre la lista desplegable y elegir el saber extraído del perfil de egreso.]</t>
  </si>
  <si>
    <t>[Escribir para qué se abordará el saber elegido. Se sugiere apoyarse en el saber hacer.]</t>
  </si>
  <si>
    <t>[Escribir la condición describiendo los referentes, parámetros, principios, requerimientos o retos que se necesitan para alcanzar las características del perfil en el contexto donde el egresado se desenvolverá.]</t>
  </si>
  <si>
    <t>[Articular los componentes. Iniciar con el verbo, continuar con el objeto conceptual, luego la finalidad y condición de contexto o referencia; estos últimos no requieren un orden particular.]</t>
  </si>
  <si>
    <t>[Escribir el tipo de competencia del perfil: Específica (si es del bloque Disciplinar para pregrado o de los componentes para el caso de posgrado) o Genérica (si aplica bloque institucional pregrado)]</t>
  </si>
  <si>
    <t>No.</t>
  </si>
  <si>
    <t>Verbo competencia</t>
  </si>
  <si>
    <t>Objeto conceptual</t>
  </si>
  <si>
    <t>Finalidad</t>
  </si>
  <si>
    <t>Condición de contexto o referencia</t>
  </si>
  <si>
    <t>Redacción competencia</t>
  </si>
  <si>
    <t>Tipo competencia</t>
  </si>
  <si>
    <t>Implementar</t>
  </si>
  <si>
    <t>Implementar conceptos propios de ingeniería de software e infraestructuras TIC para desarrollar planes operativos y proyectos de software, que integren estrategias de seguimiento y evaluación de soluciones tecnológicas en contextos organizacionales.</t>
  </si>
  <si>
    <t>Específica</t>
  </si>
  <si>
    <t>Aplicar</t>
  </si>
  <si>
    <t>Aplicar conceptos de algoritmia y programación para diseñar componentes que soporten una solución informática, haciendo uso de criterios técnicos y métodos formales, respondiendo a las necesidades tecnológicas de las organizaciones.</t>
  </si>
  <si>
    <t>Desarrollar</t>
  </si>
  <si>
    <t>Desarrollar sistemas de base y manejo de datos para formular estructuras de información, de acuerdo con los requerimientos de los proyectos de software las organizaciones.</t>
  </si>
  <si>
    <t>Analizar</t>
  </si>
  <si>
    <t>Analizar los fenómenos contemporáneos desde una perspectiva glocal, soportada en datos, con una mirada ética y crítica, para reconocer sus afectaciones o contribuciones en el marco de las ciudadanías globales y de una sociedad responsable y sostenible.</t>
  </si>
  <si>
    <t>Genérica</t>
  </si>
  <si>
    <t>[A partir de la celda A2 dar clic en la lista desplegable y seleccionar la competencia redactada en el paso 2.]</t>
  </si>
  <si>
    <t>[Enumerar los resultados de aprendizaje que se van a declarar.]</t>
  </si>
  <si>
    <t>[A partir de la celda C2, dar clic en la lista desplegable y elegir el tipo de dominio a tratar en el resultado de aprendizaje.]</t>
  </si>
  <si>
    <t>[A partir de la cela D2, dar clic en la lista desplegable y elegir el saber correspondiente al dominio.]</t>
  </si>
  <si>
    <t>[A partir de la celda E2, dar clic en la lista desplegable y elegir la  taxonomía que se considere adecuada, solo se elige una para todos los saberes.]</t>
  </si>
  <si>
    <t>[A partir de la celda F2, dar clic en la lista desplegable y elegir el dominio que se considera adecuado.]</t>
  </si>
  <si>
    <t>[A partir de la celda G2, dar clic en la lista desplegable y elegir el nivel del dominio que se considera adecuado.]</t>
  </si>
  <si>
    <t>[A partir de la celda H2, dar clic en la lista desplegable y elegir el verbo que se considera adecuado.]</t>
  </si>
  <si>
    <t>[Iniciar con el verbo elegido (columna H), en infinitivo, luego el objeto sobre el cual recae la acción (columna D) y finalmente la condición de contexto (académico, disciplinar, social u otro).]</t>
  </si>
  <si>
    <t>Competencia por desarrollar</t>
  </si>
  <si>
    <t>Número de resultado</t>
  </si>
  <si>
    <t>TipoSaber</t>
  </si>
  <si>
    <t>SaberAsociado</t>
  </si>
  <si>
    <t>Taxonomía</t>
  </si>
  <si>
    <t>Dominio Asociado</t>
  </si>
  <si>
    <t>Nivel Dominio</t>
  </si>
  <si>
    <t>Verbo RA</t>
  </si>
  <si>
    <t>Resultados Aprendizaje</t>
  </si>
  <si>
    <t>BAK</t>
  </si>
  <si>
    <t>CognitivoBAK</t>
  </si>
  <si>
    <t>SíntesisBAK</t>
  </si>
  <si>
    <t>Interpretar</t>
  </si>
  <si>
    <t>Interpreta patrones propios de la ingeniería de software y de las infraestructuras TIC, para identificar las necesidades técnicas y tecnológicas de los proyectos de software en áreas de tecnología.</t>
  </si>
  <si>
    <t>ProcedimentalBAK</t>
  </si>
  <si>
    <t>PrecisiónBAK</t>
  </si>
  <si>
    <t>Desarrolla planes operativos y proyectos de software para estructurar soluciones tecnológicas que respondan a necesidades organizacionales.</t>
  </si>
  <si>
    <t>ActitudinalBAK</t>
  </si>
  <si>
    <t>ValorarBAK</t>
  </si>
  <si>
    <t>Emplear</t>
  </si>
  <si>
    <t>Emplea estrategias de seguimiento y evaluación de soluciones tecnológicas, haciendo uso de requerimientos técnicos y métodos formales, para contribuir con sus propuestas a los proyectos de software y al cubrimiento de necesidades tecnólogicas de las organizaciones.</t>
  </si>
  <si>
    <t>AnálisisBAK</t>
  </si>
  <si>
    <t>Relacionar</t>
  </si>
  <si>
    <t>Relaciona principios de algoritmia y programación para diseñar soluciones de software, considerando los requerimientos funcionales y tecnológicos del contexto.</t>
  </si>
  <si>
    <t>ManipulaciónBAK</t>
  </si>
  <si>
    <t>Aplica herramientas de estructura de información para construir componentes que respondan a problemas específicos del contexto tecnológico.</t>
  </si>
  <si>
    <t>Analiza sistemas de base y manejos de datos para determinar su idoneidad en la resolución de problemas computacionales, teniendo en cuenta los requerimientos tecnológicos del contexto.</t>
  </si>
  <si>
    <t>Bloom</t>
  </si>
  <si>
    <t>CognitivoB</t>
  </si>
  <si>
    <t>ComprensiónB</t>
  </si>
  <si>
    <t>Identificar</t>
  </si>
  <si>
    <t>Identifica fenómenos contemporáneos y su relación con la profesión, para determinar sus impactos e influencia en la sociedad, de forma responsable y crítica.</t>
  </si>
  <si>
    <t>[A partir de la celda A3 despliegue el(los) resultado(s) de aprendizaje y elegir aquel (aquellos)  al(a los) que se contribuye desde la estrategia.]</t>
  </si>
  <si>
    <t>[Escribir el nombre de la estrategia a desarrollar. Participación de los estudiantes en cursos, talleres, seminarios, conferencias, pruebas estandarizadas, investigaciones, actividades o experiencias, cuerpos académicos, redes, comunidades, la elaboración de textos y materiales, así como las publicaciones, entre otros.]</t>
  </si>
  <si>
    <t>[Describir la(s) estrategia(s) definidas por el programa.]</t>
  </si>
  <si>
    <t>[Escribir los indicadores de impacto de la estrategia. Se sugieren indicadores como: Valora el nivel de contribución de la estrategia a los resultados de aprendizaje; Número de estudiantes que participan en la estrategia; Número de veces que se realiza la estrategia, entre otros.]</t>
  </si>
  <si>
    <t>[Escribir las acciones de retroalimentación que usará el programa para comunicar a los estudiantes sobre el alcance de sus resultados de aprendizaje.]</t>
  </si>
  <si>
    <t>[Escribir, para cada indicador con qué instrumento se recogerá información para evidenciar el (los) impacto (s) declarados. Encuesta, lista de asistencia, informe, entre otros.]</t>
  </si>
  <si>
    <t>Resultado de aprendizaje</t>
  </si>
  <si>
    <t>Estrategia del programa</t>
  </si>
  <si>
    <t>Descripción</t>
  </si>
  <si>
    <t>Indicador de Impacto de la Estrategia</t>
  </si>
  <si>
    <t>Acciones de retroalimentación para los estudiantes</t>
  </si>
  <si>
    <t>Instrumentos de medición</t>
  </si>
  <si>
    <t>Visitas técnicas</t>
  </si>
  <si>
    <t>Realización de visitas técnicas presenciales y virtuales a empresas públicas y privadas afines a las asignaturas del programa con el fin de reconocer  los elementos conceptuales vistos en el aula en espacios de aplicación real en empresas del sector e identificar los entornos empresariales de aplicación de los conocimientos adquiridos, así como las tendencias de la industria.</t>
  </si>
  <si>
    <t>Valoración de la estrategia respecto al nivel de aporte a los resultados de aprendizaje del programa.</t>
  </si>
  <si>
    <t>Informar a estudiantes y docentes, mediante un informe anual, el grado de alineación entre lo observado en las visitas técnicas y los resultados de aprendizaje del programa.
Formar a los estudiantes, a través de talleres posteriores a las visitas, en la aplicación práctica de los conceptos observados en empresas reales.</t>
  </si>
  <si>
    <t>Encuesta de valoración para los estudiantes</t>
  </si>
  <si>
    <t xml:space="preserve"> Número de estudiantes que participan en la estrategia. </t>
  </si>
  <si>
    <t>Listados de participación de los estudiantes</t>
  </si>
  <si>
    <t xml:space="preserve"> Número de veces que se realiza la estrategia por año.</t>
  </si>
  <si>
    <t>Informe o Reporte</t>
  </si>
  <si>
    <t>Monitorías académicas</t>
  </si>
  <si>
    <t>Se proveen los recursos y habilitan los espacios en modalidad presencial, remota o combinada para que estudiantes con excelente desempeño académico, conocimientos y habilidades en asignaturas específicas y cualidades humanas orienten y apoyen a sus compañeros que tienen dificultades en determinados campos del saber con el objetivo de fortalecer las prácticas pedagógicas y el mejoramiento del desempeño académico, en un marco de solidaridad entre estudiantes.</t>
  </si>
  <si>
    <t>Prevenir dificultades recurrentes en el aprendizaje al identificar, durante las monitorías, los temas en los que los estudiantes muestran mayores vacíos conceptuales.
Ayudar a tomar decisiones sobre ajustes pedagógicos en las asignaturas al sistematizar la información recogida en las monitorías.</t>
  </si>
  <si>
    <t xml:space="preserve">Número de estudiantes que participan en la estrategia. </t>
  </si>
  <si>
    <t xml:space="preserve"> Número de veces que se realiza la estrategia por periodo académico.</t>
  </si>
  <si>
    <t>Líderes académicos en el aula</t>
  </si>
  <si>
    <t>Incentivar a los estudiantes que participan de los espacios académicos, desarrollar habilidades blandas como liderazgo, trabajo en equipo, comunicación asertiva, ejerciendo un papel como líder académico al interior del aula. De tal forma que pueda ser un enlace entre el docente y el grupo de estudiantes.</t>
  </si>
  <si>
    <t>Formar a los estudiantes líderes en habilidades de comunicación y gestión académica que potencien su papel como enlace entre el docente y el grupo.</t>
  </si>
  <si>
    <t>Consultorías, auditorías e interventorías</t>
  </si>
  <si>
    <t>Designación de expertos en temáticas específicas de las TIC, encargados de definir de forma dinámica los campos de desarrollo de procesos de consultorías, auditorías e interventorías.
Creación de espacios conformados por estudiantes, egresados, docentes y expertos capacitados para desarrollar procesos de consultoría y/o auditoría en temáticas asociadas a la ingeniería de telecomunicaciones.</t>
  </si>
  <si>
    <t>Informar a la comunidad académica sobre los resultados, hallazgos y aprendizajes derivados de los procesos de consultoría, auditoría e interventoría desarrollados con participación estudiantil.
Ayudar a tomar decisiones sobre la actualización curricular y las líneas de proyección del programa a partir de la sistematización de los aportes y necesidades identificadas en dichos procesos.</t>
  </si>
  <si>
    <t>Grupos de interés 
(Asociaciones, grupos de estudio)</t>
  </si>
  <si>
    <t>Grupos estudiantiles adscritos a una agremiación nacional o internacional (Ejemplo IEEE) o para el desarrollo de una temática propia del programa (Ejemplo grupo de estudio en matemáticas), con el fin de profundizar en los contenidos desarrollados en los espacios académicos, participar en eventos, desarrollar proyectos de formación en investigación, entre otros.</t>
  </si>
  <si>
    <t>Prevenir la desconexión entre las actividades de los grupos y los objetivos curriculares mediante un seguimiento de sus proyectos y logros.</t>
  </si>
  <si>
    <t>Semilleros</t>
  </si>
  <si>
    <t>Grupos de trabajo orientados a la discusión y apropiación en diferentes áreas temáticas propuestas por la facultad, adquiriendo en esta dinámica habilidades investigativas. 
Se generan a partir del desarrollo de las líneas de investigación del grupo CITIC y estan liderados por docentes con asignación de investigación de la escuela TIC.</t>
  </si>
  <si>
    <t>Informar periódicamente a estudiantes y docentes sobre los avances, productos y logros obtenidos en los semilleros, destacando su aporte a los resultados de aprendizaje del programa.
Formar a los participantes en metodologías de investigación aplicada que fortalezcan su capacidad para producir software, gestionar datos e implementar algoritmos en proyectos académicos.</t>
  </si>
  <si>
    <t>Tutorías</t>
  </si>
  <si>
    <t>Espacios en los que se recibe ayuda y realimentación por parte de profesores, de manera presencial o en línea, respecto a temas o actividades del diario vivir del estudiante, haciendo uso de las herramientas tecnológicas apropiadas para los fines</t>
  </si>
  <si>
    <t>Prevenir la repetición de dificultades de aprendizaje al registrar y analizar los temas más consultados en las tutorías para orientar mejoras pedagógicas.
Ayudar a tomar decisiones sobre la pertinencia de reforzar ciertos contenidos o metodologías en las asignaturas a partir de la evidencia recogida en las tutorías.</t>
  </si>
  <si>
    <t>[Estas celdas se diligencian automáticamente. No ajustar.]</t>
  </si>
  <si>
    <t>[A partir de la celda A3 despliegue el(los) resultado(s) de aprendizaje y elija aquel (aquellos) al(a los) que se contribuye desde la asignatura o módulo).]</t>
  </si>
  <si>
    <t>[Escribir el semestre en el que se cursa la asignatura o módulo.]</t>
  </si>
  <si>
    <t>[Escribir el nombre de la asignatura o módulo que contribuye al logro del resultado de aprendizaje.]</t>
  </si>
  <si>
    <t>[Redactar los indicadores iniciando con el verbo en presente indicativo, luego el objeto conceptual y finalmente el complemento de oración (que indique una condición o finalidad, con, para, de, entre otros conectores).]</t>
  </si>
  <si>
    <t> [Escribir la tipología: T (teórico), P (Práctico), TP (Teórico Práctico)]</t>
  </si>
  <si>
    <t>[Marcar con X el bloque o componente al que pertenece la asignatura o módulo. Por favor ajustar para posgrado, eliminar una columna y ubicar los títulos C.Fundamentación y C.Profundización.]</t>
  </si>
  <si>
    <t>[Escribir el número de créditos de la asignatura o módulo]</t>
  </si>
  <si>
    <t>[Escribir el número de horas de trabajo directo: 16*# o 12*#, para presencial o virtual, según sea el caso.]</t>
  </si>
  <si>
    <t>[Escribir el número de horas de trabajo independiente: 32*# columna J o 36*# columna J, para presencial o virtual, respectivamente.]</t>
  </si>
  <si>
    <t>[Escribir la suma de los números de horas de las dos celdas anteriores.]</t>
  </si>
  <si>
    <t>[Escribir el nombre de los cuatro núcleos temáticos que abordará la asignatura o el módulo.]</t>
  </si>
  <si>
    <t>[Escribir las lecturas, talleres, análisis, referentes, etc., que realiza el estudiante, clasificadas en trabajo directo e independiente.]</t>
  </si>
  <si>
    <t xml:space="preserve">[Escribir las actividades de evaluación que se emplean para identificar el alcance del (de los) indicador(es) de logro(s).] </t>
  </si>
  <si>
    <t>[Escribir las acciones de retroalimentación que se emplearán en la asignatura o módulo, para retroalimentar a los estudiantes respecto al alcance de los indicadores de logro. Recordar que son cuatro acciones: informar, formar, prevenir y ayudar a tomar decisiones e indique cómo.]</t>
  </si>
  <si>
    <t>Tipo de Saber</t>
  </si>
  <si>
    <t>Semestre</t>
  </si>
  <si>
    <t>Nombre asignatura o módulo</t>
  </si>
  <si>
    <t>Indicadores de logro asignatura o módulo</t>
  </si>
  <si>
    <t>Tipología</t>
  </si>
  <si>
    <t>B.Institucional</t>
  </si>
  <si>
    <t>B.Disciplinar</t>
  </si>
  <si>
    <t>B.Electivo</t>
  </si>
  <si>
    <t>Créditos</t>
  </si>
  <si>
    <t>Número de horas trabajo directo</t>
  </si>
  <si>
    <t>Número de horas trabajo independiente</t>
  </si>
  <si>
    <t>Total de horas</t>
  </si>
  <si>
    <t>Núcleos temáticos</t>
  </si>
  <si>
    <t>Actividades de aprendizaje</t>
  </si>
  <si>
    <t>Actividades de evaluación</t>
  </si>
  <si>
    <t>Acciones de retroalimentación</t>
  </si>
  <si>
    <t>Razonamiento Cuantitativo</t>
  </si>
  <si>
    <t>Analiza datos numéricos presentados en tablas, gráficos o textos para proponer soluciones informadas a situaciones problema del contexto.</t>
  </si>
  <si>
    <t>TP</t>
  </si>
  <si>
    <t>X</t>
  </si>
  <si>
    <t>1.	Pensamiento numérico. Interpretación y representación de información numérica
2.	Pensamiento algebraico. Desde la representación de regularidades y patrones
3.	Pensamiento algebraico. Desde las relaciones de comparación entre cantidades o expresiones numéricas
4.	Pensamiento geométrico. Propiedades, formas y relaciones espaciales</t>
  </si>
  <si>
    <t>Trabajo directo:
Ecuentros sincrónicos
Mensajería interna
Anuncios
Trabajo independiente:
Lecturas fundamentales y complementarias
Material de trabajo
Participación en foros</t>
  </si>
  <si>
    <t xml:space="preserve">Evaluación diagnóstica: Cuestionario inicial de, mínimo, cinco preguntas, que recopila información sobre el conocimiento previo y las habilidades del estudiante. 
Actividad formativa: Foro individual o grupal, creado para que el estudiante participe activamente en la construcción de su conocimiento y desarrollo de habilidades. Varía entre una actividad entregable y la participación en un foro. 
Actividad de entrega: Actividad individual o grupal, diseñada para evaluar de manera integral el nivel de conocimiento, comprensión y el desempeño de los indicadores de logro. Varía entre entregas independientes o secuenciales. Al ser un módulo teórico, ésta es la única actividad de entrega. 
Actividad evaluativa: Cuestionario de, mínimo, cinco preguntas, que da cuenta del desarrollo total o parcial de los indicadores de logro y el desarrollo de los temas vistos hasta la unidad 3. 
Examen final: Cuestionario de, mínimo, quince preguntas, que da cuenta del desarrollo total o parcial de los indicadores de logro y el desarrollo de los temas vistos en el módulo. 
Autoevaluación: Cuestionario final de, mínimo, cinco preguntas, en el cual el estudiante reflexiona sobre su propio desempeño, habilidades y resultados en un contexto específico. </t>
  </si>
  <si>
    <t>Informar oportunamente a través de la plataforma institucional y sesiones sincrónicas sobre el propósito, el proceso de realización, entrega de la actividad y criterios de evaluación. 
En las sesiones sincrónicas, atender las inquietudes y dar orientaciones al respecto, así como invitar a tomar asesorías ofrecidas por la Escuela de Ciencia Básicas, como estrategia de prevención y ayuda. 
Ayudar a tomar decisiones a través de preguntas orientadoras y actividades de refuerzo dentro del trabajo directo y autónomo. 
Retroalimentación por medio de rúbrica que indica el nivel de alcance del logro obtenido. 
Retroalimentación general del docente acorde a los resultados alcanzados por el grupo</t>
  </si>
  <si>
    <t>Cultura, Política y Sociedad</t>
  </si>
  <si>
    <t>Reconoce las problemáticas, escenarios y mecanismos de participación ciudadana en el marco de sociedades de información y digitales para abordarlas desde iniciativas investigativas. 
Identifica los objetivos de desarrollo sostenible para la comprensión de problemáticas sociales, ambientales y culturales. 
Reflexiona los impactos de avances tecnológicos en su contexto profesional y ciudadano para el análisis de contextos situados.</t>
  </si>
  <si>
    <t>1. ODS, problemas locales: una mirada a Colombia, territorio en búsqueda de la consolidación de la Paz.   
2. Ciudadanía y su lugar: relaciones, dinámicas, construcción, expresión y mecanismos de participación.  
3. Ecosistemas digitales: relaciones, dinámicas, construcción, expresión e impactos en el contexto profesional.  
4. Narrativas y contenidos digitales: análisis de contextos situados.</t>
  </si>
  <si>
    <t>1. Evaluación diagnóstica escenario 1: Cuestionario inicial de mínimo cinco preguntas que recopila información sobre el conocimiento previo y las habilidades del estudiante.
2. Actividad formativa escenario 2: Foro individual o grupal, creado para que el estudiante participe activamente en la construcción de su conocimiento y desarrollo de habilidades. Varía entre una actividad entregable y la participación en un foro.
3. Actividad de entrega 1 escenario 4: Actividad individual o grupal, diseñada para evaluar de manera integral el nivel de conocimiento, comprensión y el desempeño de los indicadores de logro. Varía entre entregas independientes o secuenciales.
4. Actividad formativa escenario 5: Foro individual o grupal, creado para que el estudiante participe activamente en la construcción de su conocimiento y desarrollo de habilidades. Varía entre una actividad entregable y la participación en un foro.
5. Actividad evaluativa escenario 6: Cuestionario de, mínimo, cinco preguntas, que da cuenta del desarrollo total o parcial de los indicadores de logro y el desarrollo de los temas vistos hasta la unidad 3.
6. Actividad de entrega 2 escenario 7: Actividad individual o grupal, diseñada para evaluar de manera integral el nivel de conocimiento, comprensión y el desempeño de los indicadores de logro. Varía entre entregas independientes o secuenciales.
7. Autoevaluación escenario 8: Cuestionario final de mínimo cinco preguntas en el cual el estudiante reflexiona sobre su propio desempeño, habilidades y resultados en un contexto específico.</t>
  </si>
  <si>
    <t>Las acciones de retroalimentación giran en torno a las siguientes.
Formar: donde se crean las condiciones para que los estudiantes adquieran conocimientos, habilidades, actitudes, aptitudes y destrezas. Además, debe promover su desarrollo integral y debe acompañarlos en las situaciones académicas que enfrenten durante el desarrollo de un módulo o una asignatura.  
Informar: para que los estudiantes identifiquen los cambios que pueden afectarlos directa o indirectamente tanto en el aula de clase como en otros espacios. 
Prevenir: con el fin de anticiparse a las situaciones académicas que pueden representar dificultad para los estudiantes. Esto se logra a través de la interacción individual con los estudiantes y del completo conocimiento del contexto educativo en que el tutor se desenvuelve.  
Ayudar a decidir: donde se orienta a los estudiantes para que tomen la mejor decisión ante una situación concreta. El objetivo es que el estudiante fortalezca su autonomía y la toma de decisiones responsable.</t>
  </si>
  <si>
    <t>Introducción a las Redes de Datos</t>
  </si>
  <si>
    <t>Identifica los elementos que hacen parte de una red de telecomunicaciones, para diseñar infraestructuras y servicios de tecnologías de la información y las comunicaciones, teniendo en cuenta condiciones, restricciones y requerimientos técnicos de un proyecto desde un abordaje teórico-práctico, a través de herramientas de simulación, análisis de casos y uso de equipos de laboratorio. 
Configura los elementos que hacen parte de una red de telecomunicaciones, para implementar infraestructuras y servicios de tecnologías de la información y las comunicaciones, teniendo en cuenta condiciones, restricciones y requerimientos técnicos de un proyecto desde un abordaje teórico-práctico, a través de herramientas de simulación, análisis de casos y uso de equipos de laboratorio.
Emplea los elementos que hacen parte de una red de telecomunicaciones, para resolver problemas asociados a la administración de los sistemas de telecomunicaciones, infraestructuras TIC, teniendo en cuenta condiciones, restricciones y requerimientos técnicos, desde un abordaje teórico-práctico, a través de herramientas de simulación, análisis de casos y uso de equipos de laboratorio.</t>
  </si>
  <si>
    <t>1.	Fundamentos de redes de datos
	2.	Modelos de referencia OSI y TCP/IP
	3.	Protocolos de comunicación
	4.	Configuración básica de redes</t>
  </si>
  <si>
    <t>Trabajo directo: 
Encuentros sincrónicos 
Mensajería interna 
Anuncios
Trabajo independiente: 
Lecturas fundamentales y complementarias 
Recursos de apoyo
Trabajo Colaborativo   
Foros de discusión grupal</t>
  </si>
  <si>
    <t xml:space="preserve">Evaluación diagnóstica (semana 1- Cuestionario inicial de, mínimo, cinco preguntas, que recopila información sobre el conocimiento previo o las habilidades del estudiante). 
Actividad formativa (semana 2 - Foro individual o grupal, creado para que el estudiante participe activamente en la construcción de su conocimiento y desarrollo de habilidades. Varía entre una actividad entregable y la participación en un foro). 
Actividad de entrega 1 (semana 4 - Actividad individual o grupal, diseñada para evaluar de manera integral el nivel de conocimiento, comprensión y el desempeño de los indicadores de logro. Varía entre entregas independientes o secuenciales). 
Actividad formativa (semana 5 - Foro individual o grupal, creado para que el estudiante participe activamente en la construcción de su conocimiento y desarrollo de habilidades. Varía entre una actividad entregable y la participación en un foro). 
Actividad evaluativa (semana 6 - Cuestionario de mínimo cinco preguntas, que da cuenta del desarrollo total o parcial de los indicadores de logro y el desarrollo de los temas vistos hasta la unidad 3). 
Actividad de entrega 2 (semana 7 - Actividad individual o grupal, diseñada para evaluar de manera integral el nivel de conocimiento, comprensión y el desempeño de los indicadores de logro. Varía entre entregas independientes o secuenciales). 
Autoevaluación (semana 8 - Cuestionario final de, mínimo, cinco preguntas, en el cual el estudiante reflexiona sobre su propio desempeño, habilidades y resultados en un contexto específico). </t>
  </si>
  <si>
    <t>Introducción a la Ingeniería y Ciencias Básicas</t>
  </si>
  <si>
    <t>Reconoce conceptos básicos de ingeniería, herramientas técnicas y principios éticos para identificar problemas sencillos de ingeniería según su naturaleza técnica, social y ambiental.</t>
  </si>
  <si>
    <t>1. Fundamentos de la Ingeniería
2. Herramientas y Técnicas de Ingeniería
3. Aplicaciones Prácticas y Proyectos
4. Ingeniería y Sostenibilidad</t>
  </si>
  <si>
    <t xml:space="preserve">Actividad de puntos evaluables (semana 2 – Cuestionario de 5 preguntas). 
Entrega previa 1 (semana 3 - Laboratorio, taller, ejercicios, resolución de casos o de problemas, desarrollo de procesos o ejecución de propuestas. Entrega de forma individual o grupal, según indicaciones del profesor). 
Parcial (semana 4 - Cuestionarios de entre 15 y 20 preguntas). 
Entrega previa 2 (semana 5 - Laboratorio, taller, ejercicios, resolución de casos o de problemas, desarrollo de procesos o ejecución de propuestas. Entrega de forma individual o grupal, según indicaciones dadas por el profesor). 
Entrega final (semana 7 - Laboratorio, taller, ejercicios, resolución de casos o de problemas, desarrollo de procesos o ejecución de propuestas. Entrega de forma individual o grupal, según indicaciones dadas por el profesor). 
Evaluación final (semana 8 - Cuestionario de entre 15 y 20 preguntas). </t>
  </si>
  <si>
    <t>Pensamiento Algorítmico</t>
  </si>
  <si>
    <t>Identifica variables relevantes, su naturaleza y la forma en que se relacionan para modelar un problema computacional básico.
Implementa expresiones matemáticas y estructuras básicas de programación para desarrollar soluciones a problemas computacionales básicos.</t>
  </si>
  <si>
    <t>T</t>
  </si>
  <si>
    <t>1. Fundamentos de pensamiento algorítmico 
2. Modelado y especificación de problemas 
3. Estructuras básicas de un algoritmo 
4. Relaciones de recurrencias</t>
  </si>
  <si>
    <t>Pensamiento Sistémico</t>
  </si>
  <si>
    <t>Identifica las partes que conforman un sistema y las relaciones entre ellas para crear un modelo que lo represente.
Crea diagramas sencillos de representación de sistemas para determinar el tipo de retroalimentación entre sus componentes.
Discrimina los efectos que tiene cada una de las partes de un sistema sobre las demás para identificar la dinámica emergente del sistema como un todo.</t>
  </si>
  <si>
    <t>1. Fundamentos de pensamiento sistémico
2. Diagramas de bucle causal
3. Dinámica de sistemas
4. Control de sistemas</t>
  </si>
  <si>
    <t xml:space="preserve">Evaluación diagnóstica (semana 1- Cuestionario inicial de, mínimo, cinco preguntas, que recopila información sobre el conocimiento previo y las habilidades del estudiante). 
Actividad formativa (semana 2 - Foro individual o grupal, creado para que el estudiante participe activamente en la construcción de su conocimiento y desarrollo de habilidades. Varía entre una actividad entregable y la participación en un foro). 
Actividades de entrega (semana 4 - Actividad individual o grupal, diseñada para evaluar de manera integral el nivel de conocimiento, comprensión y el desempeño de los indicadores de logro. Varía entre entregas independientes o secuenciales. Al ser un módulo teórico, ésta es la única actividad de entrega). 
Actividad formativa (semana 5 - Foro individual o grupal, creado para que el estudiante participe activamente en la construcción de su conocimiento y desarrollo de habilidades. Varía entre una actividad entregable y la participación en un foro). 
Actividad evaluativa (semana 6 - Cuestionario de, mínimo, cinco preguntas, que da cuenta del desarrollo total o parcial de los indicadores de logro y el desarrollo de los temas vistos hasta la unidad 3). 
Examen final (semana 8 - Cuestionario de, mínimo, quince preguntas, que da cuenta del desarrollo total o parcial de los indicadores de logro y el desarrollo de los temas vistos en el módulo). 
Autoevaluación (semana 8 - Cuestionario final de, mínimo, cinco preguntas, en el cual el estudiante reflexiona sobre su propio desempeño, habilidades y resultados en un contexto específico). </t>
  </si>
  <si>
    <t>Análisis y Visualización de Datos</t>
  </si>
  <si>
    <t>Identifica conceptos básicos relacionados con el análisis y visualización de datos con el propósito de comunicar información relevante de manera efectiva en diversos contextos. 
Utiliza herramientas para realizar análisis y transformación de datos que garanticen una visualización sencilla y eficiente. 
Utiliza asistentes virtuales para realizar tareas prácticas y resolver problemas en su campo de estudio. 
Evalúa la presencia de sesgos y cuestiones éticas en el análisis y tratamiento de dato para garantizar que su uso esté desprovisto de efectos negativos en el entorno.</t>
  </si>
  <si>
    <t xml:space="preserve">1. Contextualización 
2. Análisis de Datos y Visualización 
3. Usos de la Inteligencia Artificial 
4. Casos de Estudio </t>
  </si>
  <si>
    <t>Cálculo Diferencial</t>
  </si>
  <si>
    <t>Aplica representaciones y razonamientos matemáticos, para analizar situaciones de variación y cambio a partir de la interpretación de resultados en contextos teóricos y aplicados.</t>
  </si>
  <si>
    <t>1. Funciones de valor real
2. Límites
3. La derivada
4. Aplicaciones de la derivada</t>
  </si>
  <si>
    <t>Programación de Computadores</t>
  </si>
  <si>
    <t>Describe objetos del mundo real y cómo se relacionan entre ellos para proponer soluciones a problemas computacionales por medio de datos y expresiones matemáticas.
Aplica estructuras de control en la construcción de programas para resolver problemas computacionales.</t>
  </si>
  <si>
    <t>1. Fundamentos de programación de computadores
2. Estructuras de control
3. Estructuras de datos básicas
4. Recursividad</t>
  </si>
  <si>
    <t>Herramientas de Lógica Computacional</t>
  </si>
  <si>
    <t>Transforma proposiciones existentes en el mundo real a proposiciones de lógica de predicados para modelar la lógica computacional.
Aplica las operaciones de álgebra booleana para determinar valores de verdad de proposiciones.
Usa diferentes métodos de demostración para establecer propiedades elementales de los números.</t>
  </si>
  <si>
    <t>1. Lógica proposicional
2. Métodos de Demostración
3. Cálculo de predicados
4. Introducción a la teoría de conjuntos</t>
  </si>
  <si>
    <t>Análisis y Diseño de Sistemas</t>
  </si>
  <si>
    <t>Genera modelos de una organización usando herramientas gráficas para identificar los flujos de información en el contexto de un caso de estudio.
Identifica necesidades de información para generar un análisis de los requerimientos de información en el contexto de un caso de estudio.</t>
  </si>
  <si>
    <t>1. Introducción a los sistemas, roles y metodologías de desarrollo
2. Comprensión y modelado de los sistemas organizacionales
3. Análisis de los requerimientos de información 
4. Fundamentos del diseño de sistemas</t>
  </si>
  <si>
    <t>Oportunidades para Emprender</t>
  </si>
  <si>
    <t>Propone soluciones a los problemas, frustraciones y expectativas de un grupo de personas en su comunidad para idear productos o servicios con valor agregado dentro de su campo de acción profesional.
Diseña una idea de negocio que represente una oportunidad de mercado teniendo en cuenta sus habilidades para emprender y el análisis del entorno.</t>
  </si>
  <si>
    <t>1. Empatía y Comprensión del Usuario   
2. Co-creación con los Usuarios   
3. Enfoque en la Experiencia del Usuario   
4. Diseño del modelo de negocio</t>
  </si>
  <si>
    <t xml:space="preserve">Evaluación diagnóstica: Cuestionario inicial de mínimo cinco preguntas que recopila información sobre el conocimiento previo y las habilidades del estudiante. 
Actividad formativa: Foro individual o grupal, creado para que el estudiante participe activamente en la construcción de su conocimiento y desarrollo de habilidades. Varía entre una actividad entregable y la participación en un foro. 
Actividad de entrega 1 y 2: Actividad individual o grupal, diseñada para evaluar de manera integral el nivel de conocimiento, comprensión y el desempeño de los indicadores de logro. Varía entre entregas independientes o secuenciales. 
Actividad evaluativa: Cuestionario de, mínimo, cinco preguntas, que da cuenta del desarrollo total o parcial de los indicadores de logro y el desarrollo de los temas vistos hasta la unidad 3. 
Autoevaluación: Cuestionario final de mínimo cinco preguntas en el cual el estudiante reflexiona sobre su propio desempeño, habilidades y resultados en un contexto específico. 
</t>
  </si>
  <si>
    <t>Pensamiento Crítico y Ciudadanías Activas</t>
  </si>
  <si>
    <t xml:space="preserve">Identifica los Derechos y Deberes consignados en la Constitución 1991 en relación con la ciudadanía de manera local y global para la comprensión de inmersiones sociales éticas. 
Reflexiona los impactos de la investigación- acción sin daño en los espacios académicos y los territorios para el abordaje desde proyectos de investigación formativa. 
Elabora el diseño de planes detallados desde abordajes investigativos e inmersiones creativas para divulgar hallazgos en el ámbito académico. </t>
  </si>
  <si>
    <t>1. Pacto social colombiano y marco de referencias de DDHH internacionales
2. Planes detallados e inmersiones sociales desde procesos participativos, acciones sociales e iniciativas ciudadanas como respuesta a problemas glocales
3. Perspectivas para la participación ciudadana en los territorios
4. Los avances tecnológicos y su impacto en lo social, cultural y ambiental en el marco de las sociedades de información</t>
  </si>
  <si>
    <t>1. Actividad de puntos evaluables escenario 1 (diagnóstica) - Cuestionario de 5 preguntas.
2. Entrega escenario 2 (formativa)
3. Entrega escenario 4 (formativa)
4. Entrega escenario 5 (formativa)
5. Quiz escenario 6 (sumativa.)</t>
  </si>
  <si>
    <t>Elementos de Teoría de la Computación</t>
  </si>
  <si>
    <t>Aplica los conceptos lógicos y conjuntistas para demostrar propiedades de las operaciones conjuntistas.
Analiza ecuaciones recurrentes para modelar fenómenos sucesivos.
Usa de manera correcta conceptos de conteo para resolver problemas prácticos o teóricos.</t>
  </si>
  <si>
    <t>1. Técnicas de demostración en teoría elemental de conjuntos
2. Ecuaciones recurrentes e inducción matemática
3. Aritmética modular
4. Permutaciones y combinaciones</t>
  </si>
  <si>
    <t>Estructuras de Datos</t>
  </si>
  <si>
    <t xml:space="preserve">Aplica conceptos de análisis de algoritmos y notación asintótica para determinar la complejidad temporal y espacial de un programa.
Describe objetos del mundo real y cómo se relacionan entre ellos para proponer soluciones a problemas computacionales por medio de estructuras de datos.  </t>
  </si>
  <si>
    <t>1. Introducción al análisis de algoritmos
2. Estructuras de datos lineales
3. Estructuras de datos jerárquicas
4. Tablas hash y grafos</t>
  </si>
  <si>
    <t>Paradigmas de Programación</t>
  </si>
  <si>
    <t>Elige un lenguaje de programación según las características del paradigma para construir soluciones apropiadas.
Usa un lenguaje orientado a objetos para desarrollar programas aplicando los conceptos que lo definen.
Emplea los paradigmas de programación funcional y lógico para la creación de programas simples.</t>
  </si>
  <si>
    <t>1. Exploración de los principales paradigmas de programación
2. Paradigma de programación orientada a objetos
3. Paradigma de programación funcional
4. Paradigma de programación lógica</t>
  </si>
  <si>
    <t>Álgebra Lineal</t>
  </si>
  <si>
    <t>Establece conexiones entre los objetos, conceptos y procesos del álgebra lineal para resolver diferentes situaciones en contextos reales o teóricos.</t>
  </si>
  <si>
    <t>1. Álgebra matricial, determinantes y sistemas de ecuaciones lineales
2. Vectores, geometría en ℝⁿ y operaciones vectoriales
3. Espacios vectoriales y estructura algebraica
4. Transformaciones lineales y operadores</t>
  </si>
  <si>
    <t>Desarrollo Sostenible</t>
  </si>
  <si>
    <t>Identifica ejemplos de problemas ambientales, sociales y económicos en la sociedad contemporánea para analizar sus causas y efectos desde el enfoque del desarrollo sostenible a escala local y global. 
Compara enfoques y aproximaciones tanto privados como público/colectivos desde la sostenibilidad y otras visiones alternativas para proponer ideas de solución que respondan a los desafíos contemporáneos.</t>
  </si>
  <si>
    <t xml:space="preserve">1. Análisis de la Era del Antropoceno 
2. Otras Alternativas al Desarrollo Sostenible 
3. Ciudadanía y Políticas Públicas para el Desarrollo Sostenible 
4. El aporte de Negocios para la Búsqueda del Desarrollo Sostenible </t>
  </si>
  <si>
    <t xml:space="preserve">Evaluación diagnóstica: Cuestionario inicial de mínimo cinco preguntas que recopila información sobre el conocimiento previo y las habilidades del estudiante. 
Actividad formativa: Foro individual o grupal, creado para que el estudiante participe activamente en la construcción de su conocimiento y desarrollo de habilidades. Varía entre una actividad entregable y la participación en un foro. 
Actividad de entrega 1 y 2: Actividad individual o grupal, diseñada para evaluar de manera integral el nivel de conocimiento, comprensión y el desempeño de los indicadores de logro. Varía entre entregas independientes o secuenciales. 
Actividad evaluativa: Cuestionario de, mínimo, cinco preguntas, que da cuenta del desarrollo total o parcial de los indicadores de logro y el desarrollo de los temas vistos hasta la unidad 3. 
Autoevaluación: Cuestionario final de mínimo cinco preguntas en el cual el estudiante reflexiona sobre su propio desempeño, habilidades y resultados en un contexto específico. </t>
  </si>
  <si>
    <t>Bases de Datos</t>
  </si>
  <si>
    <t>Identifica las estructuras de las bases de datos como los atributos, tablas, llaves y tipos de relaciones que conforman una entidad de una base de datos relacional para aplicarlos en un sistema de información en el tiempo real.
Utiliza el lenguaje de diseño, construcción y administración de bases de datos, para desarrollar sistemas de información.</t>
  </si>
  <si>
    <t>1. Generalidades de las bases de  datos relacionales vs NoSQL
2. Modelo conceptual y normalización
3. Modelo lógico y álgebra relacional
4. Modelo físico, SQL, PLSQL y caso de estudio</t>
  </si>
  <si>
    <t>Fundamentos de Ciencia de Datos</t>
  </si>
  <si>
    <t>Reconoce las etapas del proceso de ciencia de datos para desarrollar soluciones a problemas en un contexto de caso de estudio.
Implementa reportes de análisis de datos para visualizar gráficos de datos en un caso de estudio.</t>
  </si>
  <si>
    <t>1. Conceptos básicos de Ciencia de Datos
2. Proceso de ciencia de datos
3. Estadística y probabilidad para Ciencia de Datos
4. Comunicación efectiva de soluciones de ciencia de datos</t>
  </si>
  <si>
    <t>Cálculo Integral</t>
  </si>
  <si>
    <t>Aplica los principios del cálculo integral para resolver problemas que involucren procesos de integración y acumulación desde la anti-derivación, el análisis de áreas y comportamientos infinitos con la interpretación de resultados en contextos matemáticos y aplicados.</t>
  </si>
  <si>
    <t>1. Funciones trascendentes    
2. Integral definida e indefinida
3. Técnicas de integración e integral impropia
4. Aplicaciones de la integral – Sucesiones y series</t>
  </si>
  <si>
    <t>Física Mecánica</t>
  </si>
  <si>
    <t>Identifica las cantidades, leyes y principios fundamentales del movimiento de los cuerpos en la mecánica clásica para analizar contextos reales y situaciones de aprendizaje.
Aplica las leyes y principios fundamentales de la física mecánica para desarrollarlas en los procesos de solución de situaciones prácticas.</t>
  </si>
  <si>
    <t>1. El Movimiento. Cinemática unidimensional y bidimensional de una partícula
2. Fuerza. Dinámica, leyes de Newton y aplicaciones
3. Análisis de energía. Trabajo, energía mecánica, sistema de partículas y cantidad de movimiento
4. Cinemática y dinámica de cuerpo rígido. Torques, momento de inercia, rodadura y momento angular</t>
  </si>
  <si>
    <t>Ingeniería de Software I</t>
  </si>
  <si>
    <t>Reconoce las fases del ciclo de vida del software para desarrollar soluciones de software en un contexto de un caso de estudio.
Modela soluciones usando el lenguaje unificado de modelado (UML) y patrones de diseño para construir un producto de software de acuerdo a las reglas de negocio definidas.
Implementa prototipos funcionales de software para aplicar buenas prácticas de desarrollo de software en un contexto de un caso de estudio.</t>
  </si>
  <si>
    <t>1. Conceptos básicos de la ingeniería de software
2. Metodologías y modelos de proceso
3. Generalidades de calidad de software
4. Patrones de software</t>
  </si>
  <si>
    <t>Análisis y Verificación de Algoritmos</t>
  </si>
  <si>
    <t>Establece la especificación formal de un problema de programación para demostrar la corrección de un algoritmo que lo solucione.
Crea algoritmos eficientes haciendo uso de técnicas de diseño en la resolución de problemas del mundo real.   
Establece la complejidad de los programas en función de su tamaño para identificar los requerimientos de memoria y costo computacional.</t>
  </si>
  <si>
    <t>1. Verificación de programas
2. Análisis de algoritmos
3. Técnicas de diseño de algoritmos
4. Intratabilidad</t>
  </si>
  <si>
    <t>Análisis Descriptivo de Datos</t>
  </si>
  <si>
    <t>Aplica herramientas tecnológicas y modelos probabilísticos, para representar procesos, aleatorios y determinar valores de probabilidad en diferentes escenarios.
Aplica conceptos de probabilidad elemental y distribuciones como la normal y la binomial, para apoyar la toma de decisiones en diversos contextos.</t>
  </si>
  <si>
    <t>1. Estadística descriptiva
2. Teoría de la probabilidad y variables aleatorias
3. Distribuciones de probabilidad de variable discreta
4. Distribuciones de probabilidad de variable continua</t>
  </si>
  <si>
    <t>Fundamentos de Gestión Informática</t>
  </si>
  <si>
    <t>Configura procedimientos y técnicas de gestión informática para enfrentar situaciones de desarrollo de software en contextos reales.
Integra conceptos de  gestión informática para atender demandas funcionales durante el ciclo de vida del software.</t>
  </si>
  <si>
    <t>1. Administración de infraestructura
2. Gestión de servicios
3. Norma ISO-27000
4. Diseño de políticas de continuidad del servicio a mediano y largo plazo</t>
  </si>
  <si>
    <t>Investigación de Operaciones</t>
  </si>
  <si>
    <t>Modela sistemas a partir de los elementos que lo conforman y sus restricciones, con el uso de abstracciones de carácter matemático, para determinar soluciones factibles y la solución óptima que responde a sus características.  
Aplica las técnicas básicas y avanzadas de la programación lineal para resolver problemas de optimización relacionados con la asignación de recursos y la eficiencia en el flujo de procesos.</t>
  </si>
  <si>
    <t>1.Programación lineal y formulación
2.Métodos de solución - Lenguaje de modelaje matemático
3.Teoría de la dualidad y análisis de sensibilidad
4.Flujo en redes</t>
  </si>
  <si>
    <t>Métodos Númericos</t>
  </si>
  <si>
    <t xml:space="preserve">Implementa métodos y herramientas de aproximación numérica para resolver problemas teóricos y aplicados que involucren ecuaciones, ajuste de curvas, cálculo diferencial e integral, y ecuaciones diferenciales ordinarias. </t>
  </si>
  <si>
    <t xml:space="preserve">1. Solución numérica de ecuaciones y sistemas de ecuaciones. 
2. Ajuste de curvas 
3. Derivación e Integración numérica 
4. Solución numérica de ecuaciones diferenciales ordinarias </t>
  </si>
  <si>
    <t>Ingeniería de Software II</t>
  </si>
  <si>
    <t>Realiza estimaciones de requisitos y funcionalidades para medir tiempo, alcance y recursos dentro del desarrollo de proyectos de construcción de software.
Define planes de ejecución y pruebas tanto unitarios, de integración y de usuario final acordes al plan de construcción definido para implementar estrategias de aseguramiento de calidad del software.
Construye soluciones de software acordes a un diseño para satisfacer requisitos funcionales y no funcionales.</t>
  </si>
  <si>
    <t xml:space="preserve">1. Panorama de la ingeniería de software                                                
2. Planeación y estimación de proyectos de ingeniería de software                                                
3. Patrones de diseño y arquitectura de software                               
4. Gestión de calidad, testing y documentación         </t>
  </si>
  <si>
    <t>Infraestructura en la Nube</t>
  </si>
  <si>
    <t>Identifica los elementos que hacen parte de sistemas de cómputo, redes de telecomunicaciones, para diseñar infraestructuras y servicios de tecnologías de la información y las comunicaciones, teniendo en cuenta condiciones, restricciones y requerimientos técnicos de un proyecto desde un abordaje teórico-práctico, a través de herramientas de simulación, análisis de casos y uso de equipos de laboratorio. 
Configura los elementos que hacen parte de sistemas de cómputo, redes de telecomunicaciones, para implementar infraestructuras y servicios de tecnologías de la información y las comunicaciones, teniendo en cuenta condiciones, restricciones y requerimientos técnicos de un proyecto desde un abordaje teórico-práctico, a través de herramientas de simulación, análisis de casos y uso de equipos de laboratorio.
Emplea los elementos que hacen parte de sistemas de cómputo, redes de telecomunicaciones, para resolver problemas asociados a la administración de los sistemas de telecomunicaciones, infraestructuras TIC, teniendo en cuenta condiciones, restricciones y requerimientos técnicos, desde un abordaje teórico-práctico, a través de herramientas de simulación, análisis de casos y uso de equipos de laboratorio.</t>
  </si>
  <si>
    <t>1.	 Introducción a la Infraestructura como Código
	2.	Gestión y Automatización de Infraestructura
	3.	Fundamentos de Computación en la Nube
	4.	Automatización y Escalabilidad</t>
  </si>
  <si>
    <t>Gerencia de Proyectos Informáticos</t>
  </si>
  <si>
    <t>Reconoce los elementos de una metodología de gerencia de proyectos de desarrollo de software para planificar, diseñar y desarrollar soluciones de Tecnologías de la Información en un contexto de un caso de estudio.</t>
  </si>
  <si>
    <t>1. Marco conceptual y aspectos generales
2. Preparación: iniciación y definición- alcance- requisitos
3. Ejecución y control: planeación y asignación de recursos, control y revisión
4. Cierre: Terminación y evaluación</t>
  </si>
  <si>
    <t>Pruebas y Calidad de Software</t>
  </si>
  <si>
    <t>Verifica conceptos y técnicas de pruebas y calidad de software para seleccionar enfoques adecuados en situaciones de práctica y toma de decisiones informadas.</t>
  </si>
  <si>
    <t>1.Calidad del software y el ciclo de vida las pruebas
2. Definiendo y ejecutando el plan de pruebas de software
3. Administración del proceso de pruebas
4. Lista de chequeo y herramientas de verificación automática</t>
  </si>
  <si>
    <t>Emprendimiento de Base Tecnológica</t>
  </si>
  <si>
    <t>Reconoce conceptos de emprendimiento y seguimiento tecnológico para enfocar los recursos de una organización.
Documenta procedimientos, soluciones y técnicas tecnológicas para solucionar problemas frecuentes en el análisis y mantenimiento de sistemas.</t>
  </si>
  <si>
    <t>1. Introducción al emprendimiento de base tecnológica
2. Lean startup en emprendimientos de base tecnológica
3. Salida al mercado, expansión y crecimiento acelerado
4. Visibilidad y relaciones públicas</t>
  </si>
  <si>
    <t>Arquitectura de Software</t>
  </si>
  <si>
    <t>Configura procedimientos y técnicas de despliegue de Software para enfrentar situaciones de implementación en contextos reales</t>
  </si>
  <si>
    <t xml:space="preserve">1.	Introducción y conceptos generales sobre arquitecturas del software
2.	Arquitectura del software orientada a servicios y rest
3.	Arquitecturas y buses de integración
4.	Procesos y documentación de la arquitectura </t>
  </si>
  <si>
    <t>Proyecto Aplicado en Desarrollo de Software</t>
  </si>
  <si>
    <t>Planifica actividades individuales y de equipo para generar propuestas que aporten al cumplimiento de los objetivos de un proyecto aplicado a la gestión de software, teniendo en cuenta requisitos y restricciones, de manera autónoma.
Implementa una solución de software para resolver una necesidad organizacional simulada.</t>
  </si>
  <si>
    <t>P</t>
  </si>
  <si>
    <t>1. Conceptualización y antecedentes
2. Identificación de soluciones
3. Análisis y evaluación de soluciones
4. Diseño técnico y elaboración de entregables funcionales</t>
  </si>
  <si>
    <t xml:space="preserve"> 
Evaluación diagnóstica (semana 1- Cuestionario inicial de, mínimo, cinco preguntas, que recopila información sobre el conocimiento previo o las habilidades del estudiante). 
Actividad formativa (semanas 2 a 7 - Foro individual o grupal, diseñado para que el estudiante participe activamente en la construcción de su conocimiento y desarrollo de habilidades. Este foro permanecerá abierto de la semana 2 a la semana 7). 
Actividad de entrega 1 (semana 5 - Actividad individual o grupal, diseñada para evaluar de manera integral el nivel de conocimiento, comprensión y el desempeño de los indicadores de logro. Varía entre entregas independientes o secuenciales). 
Actividad de entrega final (semana 7 - Actividad individual o grupal, diseñada para evaluar de manera integral el nivel de conocimiento, comprensión y el desempeño de los indicadores de logro. Varía entre entregas independientes o secuenciales). 
Autoevaluación (semana 8 - Cuestionario final de, mínimo, cinco preguntas, en el cual el estudiante reflexiona sobre su propio desempeño, habilidades y resultados en un contexto específico). </t>
  </si>
  <si>
    <t>Sistemas Operacionales</t>
  </si>
  <si>
    <t>Identifica las características de un sistema operacional para hacer la instalación del sistema operativo en una plataforma en contraste con los recursos de hardware disponibles.
Observa los procesos que ejecuta un sistema operacional para construir aplicaciones seguras que saquen el mayor rendimiento del hardware y el software que corra sobre dicha plataforma.
Diseña procedimientos para operar, administrar y proteger un sistema operacional, según la plataforma sobre la que se ejecuta.</t>
  </si>
  <si>
    <t>1. Conceptos fundamentales sistemas operacionales en general y el sistema Linux
2. Gestores de un Sistema Operativo
3. Componentes de un Sistema Operativo
4. Seguridad y Sistemas operacionales para móviles</t>
  </si>
  <si>
    <t>Electiva I</t>
  </si>
  <si>
    <t>Electiva 2</t>
  </si>
  <si>
    <t>Proyecto Aplicado en Integración y Despliegue (CI/CD)</t>
  </si>
  <si>
    <t>Planifica actividades individuales y de equipo para generar propuestas que aporten al cumplimiento de los objetivos de un proyecto informatico particular, teniendo en cuenta requisitos y restricciones, de manera autónoma.
Establece un conjunto de componentes que definen la arquitectura de una solución para resolver una necesidad informática teniendo en cuenta requisitos y restricciones.</t>
  </si>
  <si>
    <t>Proyecto Aplicado en Computación</t>
  </si>
  <si>
    <t>Planifica actividades individuales y de equipo para generar propuestas que aporten al cumplimiento de los objetivos de un proyecto aplicado en computación, teniendo en cuenta requisitos y restricciones, de manera autónoma.
Implementa algoritmos para solucionar un problema computacional de manera eficiente.</t>
  </si>
  <si>
    <t>Sistemas Distribuidos</t>
  </si>
  <si>
    <t>Conecta equipos en red para compartir información y realizar tareas de manera compartida para generar sistemas de información distribuidas.
Construye algoritmos de ejecución en paralelo para mejorar el desempeño de la aplicación.
Administra sistemas de cómputo en la nube, haciendo uso de sus recursos para desarrollo de aplicaciones de software.</t>
  </si>
  <si>
    <t>1. Conceptos fundamentales de sistemas distribuidos
2. Programación y computación paralela
3. Algoritmos distribuidos y bases de datos distribuidas
4. Definición y características de la computación en la nube</t>
  </si>
  <si>
    <t>Electiva 3</t>
  </si>
  <si>
    <t>Electiva 4</t>
  </si>
  <si>
    <t>Total módulos del programa</t>
  </si>
  <si>
    <t>Total créditos programa</t>
  </si>
  <si>
    <t>Total créditos bloque institucional</t>
  </si>
  <si>
    <t>Total créditos bloque disciplinar</t>
  </si>
  <si>
    <t>Total créditos bloque electivo</t>
  </si>
  <si>
    <t>Verbos Competencias</t>
  </si>
  <si>
    <t>Actualizar</t>
  </si>
  <si>
    <t>Administrar</t>
  </si>
  <si>
    <t>Asegurar</t>
  </si>
  <si>
    <t>Asesorar</t>
  </si>
  <si>
    <t>Auditar</t>
  </si>
  <si>
    <t>Comunicar</t>
  </si>
  <si>
    <t>Conducir</t>
  </si>
  <si>
    <t>Conocer</t>
  </si>
  <si>
    <t>Coordinar</t>
  </si>
  <si>
    <t>Definir</t>
  </si>
  <si>
    <t>Dirigir</t>
  </si>
  <si>
    <t>Diseñar</t>
  </si>
  <si>
    <t>Dominar</t>
  </si>
  <si>
    <t>Establecer</t>
  </si>
  <si>
    <t>Evaluar</t>
  </si>
  <si>
    <t>Fiscalizar</t>
  </si>
  <si>
    <t>Formular</t>
  </si>
  <si>
    <t>Generar</t>
  </si>
  <si>
    <t>Gestionar</t>
  </si>
  <si>
    <t>Hacer</t>
  </si>
  <si>
    <t>Liderar</t>
  </si>
  <si>
    <t>Modelar</t>
  </si>
  <si>
    <t>Participar</t>
  </si>
  <si>
    <t>Planear</t>
  </si>
  <si>
    <t>Presidir</t>
  </si>
  <si>
    <t>Producir</t>
  </si>
  <si>
    <t>Resolver</t>
  </si>
  <si>
    <t>Sistematizar</t>
  </si>
  <si>
    <t>Supervisar</t>
  </si>
  <si>
    <t>Transformar</t>
  </si>
  <si>
    <t>Usar</t>
  </si>
  <si>
    <t>Validar</t>
  </si>
  <si>
    <t>Verificar</t>
  </si>
  <si>
    <t>Taxonomía de Bloom Adaptada bajo las ideas de Anderson y Krathwohl</t>
  </si>
  <si>
    <t>Taxonomía de Bloom adaptada bajo las ideas de Lorin y Krathwohl (LK)</t>
  </si>
  <si>
    <t>Taxonomía de Bloom adaptada bajo las ideas de Anderson y Kendal (AK)</t>
  </si>
  <si>
    <t>Taxonomía de Bloom</t>
  </si>
  <si>
    <t>Cognitivo(BAK)</t>
  </si>
  <si>
    <t>Procedimental(BAK)</t>
  </si>
  <si>
    <t>Actitudinal(BAK)</t>
  </si>
  <si>
    <t>Taxonomías</t>
  </si>
  <si>
    <t>LK</t>
  </si>
  <si>
    <t>AK</t>
  </si>
  <si>
    <t>ProcedimentalB</t>
  </si>
  <si>
    <t>ActitudinalB</t>
  </si>
  <si>
    <t>ConocimientoB</t>
  </si>
  <si>
    <t>AplicaciónB</t>
  </si>
  <si>
    <t>AnálisisB</t>
  </si>
  <si>
    <t>SíntesisB</t>
  </si>
  <si>
    <t>EvaluaciónB</t>
  </si>
  <si>
    <t>ConocimientoBAK</t>
  </si>
  <si>
    <t>ComprensiónBAK</t>
  </si>
  <si>
    <t>AplicaciónBAK</t>
  </si>
  <si>
    <t>EvaluaciónBAK</t>
  </si>
  <si>
    <t>ImitaciónBAK</t>
  </si>
  <si>
    <t>ControlBAK</t>
  </si>
  <si>
    <t>PercepciónBAK</t>
  </si>
  <si>
    <t>ResponderBAK</t>
  </si>
  <si>
    <t>OrganizarBAK</t>
  </si>
  <si>
    <t>CaracterizarBAK</t>
  </si>
  <si>
    <t>Procesos cognitivos de orden inferior</t>
  </si>
  <si>
    <t>Procesos cognitivos de orden superior</t>
  </si>
  <si>
    <t>HechosLK</t>
  </si>
  <si>
    <t>InformaciónAK</t>
  </si>
  <si>
    <t>Adquirir</t>
  </si>
  <si>
    <t>Aislar</t>
  </si>
  <si>
    <t>Adaptar</t>
  </si>
  <si>
    <t>Aconsejar</t>
  </si>
  <si>
    <t>Ajustar</t>
  </si>
  <si>
    <t>Direccionar</t>
  </si>
  <si>
    <t>Disponer</t>
  </si>
  <si>
    <t>Remover</t>
  </si>
  <si>
    <t>Aprobar</t>
  </si>
  <si>
    <t>Adoptar</t>
  </si>
  <si>
    <t>Extraer</t>
  </si>
  <si>
    <t>Negociar</t>
  </si>
  <si>
    <t>RecordarLK</t>
  </si>
  <si>
    <t>ComprenderLK</t>
  </si>
  <si>
    <t>AplicarLK</t>
  </si>
  <si>
    <t>AnalizarLK</t>
  </si>
  <si>
    <t>EvaluarLK</t>
  </si>
  <si>
    <t>CrearLK</t>
  </si>
  <si>
    <t>RecuperaciónAK</t>
  </si>
  <si>
    <t>ComprensiónAK</t>
  </si>
  <si>
    <t>AnálisisAK</t>
  </si>
  <si>
    <t>UsoConocimientoAK</t>
  </si>
  <si>
    <t>MetacogniciónAK</t>
  </si>
  <si>
    <t>SistemadelYoAK</t>
  </si>
  <si>
    <t>ConceptosLK</t>
  </si>
  <si>
    <t>ProcesosMentalesAK</t>
  </si>
  <si>
    <t>Buscar</t>
  </si>
  <si>
    <t>Bosquejar</t>
  </si>
  <si>
    <t>Calisificar</t>
  </si>
  <si>
    <t>Adjuntar</t>
  </si>
  <si>
    <t>Desmontar</t>
  </si>
  <si>
    <t>Quitar</t>
  </si>
  <si>
    <t>Autorizar</t>
  </si>
  <si>
    <t>Resumir</t>
  </si>
  <si>
    <t>Ofrecer</t>
  </si>
  <si>
    <t>Afirmar</t>
  </si>
  <si>
    <t>Clasificar</t>
  </si>
  <si>
    <t>Actuar</t>
  </si>
  <si>
    <t>Agrupar</t>
  </si>
  <si>
    <t>Aceptar</t>
  </si>
  <si>
    <t>ProcedimientoslLK</t>
  </si>
  <si>
    <t>PsicomotorAK</t>
  </si>
  <si>
    <t>Citar</t>
  </si>
  <si>
    <t>Comentar</t>
  </si>
  <si>
    <t>Combinar</t>
  </si>
  <si>
    <t>Calcular</t>
  </si>
  <si>
    <t>Arreglar</t>
  </si>
  <si>
    <t>Agregar</t>
  </si>
  <si>
    <t>Modificar</t>
  </si>
  <si>
    <t>Dramatizar</t>
  </si>
  <si>
    <t>Apalancar</t>
  </si>
  <si>
    <t>Suprimir</t>
  </si>
  <si>
    <t>Demostrar</t>
  </si>
  <si>
    <t>Promover</t>
  </si>
  <si>
    <t>Comparar</t>
  </si>
  <si>
    <t>Añadir</t>
  </si>
  <si>
    <t>Elaborar</t>
  </si>
  <si>
    <t>Adelantar</t>
  </si>
  <si>
    <t>MetacogniciónLK</t>
  </si>
  <si>
    <t>Consignar</t>
  </si>
  <si>
    <t>Componer</t>
  </si>
  <si>
    <t>Categorizar</t>
  </si>
  <si>
    <t>Alinear</t>
  </si>
  <si>
    <t>Concretar</t>
  </si>
  <si>
    <t>Docificar</t>
  </si>
  <si>
    <t>Levantar</t>
  </si>
  <si>
    <t>Eliminar</t>
  </si>
  <si>
    <t>Comportarse bajo condiciones</t>
  </si>
  <si>
    <t>Copiar</t>
  </si>
  <si>
    <t>Contrastar</t>
  </si>
  <si>
    <t>Asumir</t>
  </si>
  <si>
    <t>Apoyar</t>
  </si>
  <si>
    <t>Maximizar</t>
  </si>
  <si>
    <t>Afinar</t>
  </si>
  <si>
    <t>Decir</t>
  </si>
  <si>
    <t>Convertir</t>
  </si>
  <si>
    <t>Articular</t>
  </si>
  <si>
    <t>Arbitrar</t>
  </si>
  <si>
    <t>Dibujar</t>
  </si>
  <si>
    <t>Estimular</t>
  </si>
  <si>
    <t>Retirar</t>
  </si>
  <si>
    <t>Ratificar</t>
  </si>
  <si>
    <t>Fomentar</t>
  </si>
  <si>
    <t>Completar</t>
  </si>
  <si>
    <t>Buscar similitudes</t>
  </si>
  <si>
    <t>Argumentar</t>
  </si>
  <si>
    <t>Mejorar</t>
  </si>
  <si>
    <t>Agradecer</t>
  </si>
  <si>
    <t>Criticar</t>
  </si>
  <si>
    <t>Construir</t>
  </si>
  <si>
    <t>Considerar</t>
  </si>
  <si>
    <t>Aumentar</t>
  </si>
  <si>
    <t>Trazar</t>
  </si>
  <si>
    <t>Localizar</t>
  </si>
  <si>
    <t>Extirpar</t>
  </si>
  <si>
    <t>Manejar</t>
  </si>
  <si>
    <t>Apreciar</t>
  </si>
  <si>
    <t>Anticipar</t>
  </si>
  <si>
    <t>Discutir</t>
  </si>
  <si>
    <t>Conectar</t>
  </si>
  <si>
    <t>Cambiar</t>
  </si>
  <si>
    <t>Minimizar</t>
  </si>
  <si>
    <t>Ambicionar</t>
  </si>
  <si>
    <t>Deletrear</t>
  </si>
  <si>
    <t>Dar ejemplos</t>
  </si>
  <si>
    <t>Ubicar</t>
  </si>
  <si>
    <t>Disipar</t>
  </si>
  <si>
    <t>Guiar</t>
  </si>
  <si>
    <t>Comprender</t>
  </si>
  <si>
    <t>Proponer</t>
  </si>
  <si>
    <t>Acabar</t>
  </si>
  <si>
    <t>Ejemplificar</t>
  </si>
  <si>
    <t xml:space="preserve">Construir </t>
  </si>
  <si>
    <t>Centrarse</t>
  </si>
  <si>
    <t>Anhelar</t>
  </si>
  <si>
    <t>ProcedimientosLK</t>
  </si>
  <si>
    <t>Debatir</t>
  </si>
  <si>
    <t>Determinar</t>
  </si>
  <si>
    <t>Atar</t>
  </si>
  <si>
    <t>Encontrar</t>
  </si>
  <si>
    <t>Realizar</t>
  </si>
  <si>
    <t>Hablar</t>
  </si>
  <si>
    <t>Defender</t>
  </si>
  <si>
    <t>Terminar</t>
  </si>
  <si>
    <t xml:space="preserve">Duplicar </t>
  </si>
  <si>
    <t>Esquematizar</t>
  </si>
  <si>
    <t>Pensar</t>
  </si>
  <si>
    <t>Describir</t>
  </si>
  <si>
    <t>Cuestionar</t>
  </si>
  <si>
    <t>Computar</t>
  </si>
  <si>
    <t>Perforar</t>
  </si>
  <si>
    <t>Colocar</t>
  </si>
  <si>
    <t>Reproducir</t>
  </si>
  <si>
    <t>Estimar</t>
  </si>
  <si>
    <t>Proteger</t>
  </si>
  <si>
    <t>Contextualizar</t>
  </si>
  <si>
    <t>Elegir</t>
  </si>
  <si>
    <t>Explicar</t>
  </si>
  <si>
    <t>Correlacionar</t>
  </si>
  <si>
    <t>Compilar</t>
  </si>
  <si>
    <t xml:space="preserve">Planear </t>
  </si>
  <si>
    <t>Desplegar</t>
  </si>
  <si>
    <t>Discriminar</t>
  </si>
  <si>
    <t>Concluir</t>
  </si>
  <si>
    <t>Calificar</t>
  </si>
  <si>
    <t>Organizar</t>
  </si>
  <si>
    <t>Ejercitar</t>
  </si>
  <si>
    <t>Traducir</t>
  </si>
  <si>
    <t>Cooperar</t>
  </si>
  <si>
    <t>Tasar</t>
  </si>
  <si>
    <t>Escribir</t>
  </si>
  <si>
    <t>Expresar</t>
  </si>
  <si>
    <t>Descomponer</t>
  </si>
  <si>
    <t>Enseñar</t>
  </si>
  <si>
    <t>Deducir</t>
  </si>
  <si>
    <t>Censurar</t>
  </si>
  <si>
    <t>Ordenar</t>
  </si>
  <si>
    <t>Hallar</t>
  </si>
  <si>
    <t>Entregar</t>
  </si>
  <si>
    <t>Admitir</t>
  </si>
  <si>
    <t>Colaborar</t>
  </si>
  <si>
    <t>Aspirar</t>
  </si>
  <si>
    <t>Leer</t>
  </si>
  <si>
    <t>Generalizar</t>
  </si>
  <si>
    <t>Diferenciar</t>
  </si>
  <si>
    <t>Reescribir</t>
  </si>
  <si>
    <t>Asistir</t>
  </si>
  <si>
    <t>Situar</t>
  </si>
  <si>
    <t>Actuar recíprocamente</t>
  </si>
  <si>
    <t>Listar</t>
  </si>
  <si>
    <t>Ilustrar</t>
  </si>
  <si>
    <t>Distinguir</t>
  </si>
  <si>
    <t>Convencer</t>
  </si>
  <si>
    <t>Simplificar</t>
  </si>
  <si>
    <t>Duplicar</t>
  </si>
  <si>
    <t>Detectar</t>
  </si>
  <si>
    <t>Crear</t>
  </si>
  <si>
    <t>Acordar</t>
  </si>
  <si>
    <t>Bajar</t>
  </si>
  <si>
    <t>Valorar</t>
  </si>
  <si>
    <t>Obrar recíprocamente</t>
  </si>
  <si>
    <t>Discernir</t>
  </si>
  <si>
    <t>Inferir</t>
  </si>
  <si>
    <t>Dividir</t>
  </si>
  <si>
    <t>Suponer</t>
  </si>
  <si>
    <t>Atender</t>
  </si>
  <si>
    <t>Etiquetar</t>
  </si>
  <si>
    <t>Diagramar</t>
  </si>
  <si>
    <t>Decidir</t>
  </si>
  <si>
    <t>Manipular</t>
  </si>
  <si>
    <t>Reparar</t>
  </si>
  <si>
    <t>Recitar</t>
  </si>
  <si>
    <t>Creer</t>
  </si>
  <si>
    <t>Percibir</t>
  </si>
  <si>
    <t>Memorizar</t>
  </si>
  <si>
    <t xml:space="preserve">Informar </t>
  </si>
  <si>
    <t>Entrevistar</t>
  </si>
  <si>
    <t>Sustituir</t>
  </si>
  <si>
    <t>Examinar</t>
  </si>
  <si>
    <t>Emparejar</t>
  </si>
  <si>
    <t>Conformar</t>
  </si>
  <si>
    <t>Armar</t>
  </si>
  <si>
    <t>Ser partidario de</t>
  </si>
  <si>
    <t>Juzgar</t>
  </si>
  <si>
    <t>Mostrar</t>
  </si>
  <si>
    <t>Hacer uso</t>
  </si>
  <si>
    <t>Teorizar</t>
  </si>
  <si>
    <t>ProcesosAK</t>
  </si>
  <si>
    <t>Derivar</t>
  </si>
  <si>
    <t>Constrastar</t>
  </si>
  <si>
    <t>Ensamblar</t>
  </si>
  <si>
    <t>Medir</t>
  </si>
  <si>
    <t>Reemplazar</t>
  </si>
  <si>
    <t>Enumerar</t>
  </si>
  <si>
    <t>Cuidar</t>
  </si>
  <si>
    <t>Reconocer</t>
  </si>
  <si>
    <t>Nombrar</t>
  </si>
  <si>
    <t>Encuestar</t>
  </si>
  <si>
    <t>Testar</t>
  </si>
  <si>
    <t>Grabar</t>
  </si>
  <si>
    <t>Exponer</t>
  </si>
  <si>
    <t>Contabilizar</t>
  </si>
  <si>
    <t>Reunir</t>
  </si>
  <si>
    <t>Ejecutar</t>
  </si>
  <si>
    <t>Racionar</t>
  </si>
  <si>
    <t>Preguntar</t>
  </si>
  <si>
    <t>Narrar</t>
  </si>
  <si>
    <t>Observar</t>
  </si>
  <si>
    <t>Controlar</t>
  </si>
  <si>
    <t>Explorar</t>
  </si>
  <si>
    <t>Separer</t>
  </si>
  <si>
    <t>Reponer</t>
  </si>
  <si>
    <t>Interrogar</t>
  </si>
  <si>
    <t>Referir</t>
  </si>
  <si>
    <t>Servir</t>
  </si>
  <si>
    <t>Omitir</t>
  </si>
  <si>
    <t>Parafrasear</t>
  </si>
  <si>
    <t>Visualizar</t>
  </si>
  <si>
    <t>Aunar</t>
  </si>
  <si>
    <t>Estructurar</t>
  </si>
  <si>
    <t>Desempeñar</t>
  </si>
  <si>
    <t>Corregir</t>
  </si>
  <si>
    <t>Edificar</t>
  </si>
  <si>
    <t>Publicar</t>
  </si>
  <si>
    <t>Preocuparse de o por</t>
  </si>
  <si>
    <t>Cumplir</t>
  </si>
  <si>
    <t>Rastrear</t>
  </si>
  <si>
    <t>Predecir</t>
  </si>
  <si>
    <t>Encajar</t>
  </si>
  <si>
    <t>Repartir</t>
  </si>
  <si>
    <t>Asisitir</t>
  </si>
  <si>
    <t>Ejercer</t>
  </si>
  <si>
    <t>Inspeccionar</t>
  </si>
  <si>
    <t>Descubrir</t>
  </si>
  <si>
    <t>Experimentar</t>
  </si>
  <si>
    <t>Mezclar</t>
  </si>
  <si>
    <t>Seleccionar</t>
  </si>
  <si>
    <t>Practicar</t>
  </si>
  <si>
    <t>Investigar</t>
  </si>
  <si>
    <t>Constatar</t>
  </si>
  <si>
    <t>AutoSistemaAK</t>
  </si>
  <si>
    <t>Mostar</t>
  </si>
  <si>
    <t>Culminar</t>
  </si>
  <si>
    <t>Preparar</t>
  </si>
  <si>
    <t>Acceder</t>
  </si>
  <si>
    <t>Porcionar</t>
  </si>
  <si>
    <t>Correr</t>
  </si>
  <si>
    <t>Escoger</t>
  </si>
  <si>
    <t>Motivar</t>
  </si>
  <si>
    <t>Compartir</t>
  </si>
  <si>
    <t>Indicar</t>
  </si>
  <si>
    <t>Inventariar</t>
  </si>
  <si>
    <t>Llevar</t>
  </si>
  <si>
    <t>Ocupar</t>
  </si>
  <si>
    <t>Relatar</t>
  </si>
  <si>
    <t>Soportar</t>
  </si>
  <si>
    <t>Revisar</t>
  </si>
  <si>
    <t>Numerar</t>
  </si>
  <si>
    <t>Convocar</t>
  </si>
  <si>
    <t>Revelar</t>
  </si>
  <si>
    <t>Repetir</t>
  </si>
  <si>
    <t>Mover</t>
  </si>
  <si>
    <t>Seguir</t>
  </si>
  <si>
    <t>Contar</t>
  </si>
  <si>
    <t>Unir</t>
  </si>
  <si>
    <t>Exteriorizar</t>
  </si>
  <si>
    <t>Simular</t>
  </si>
  <si>
    <t>Obtener</t>
  </si>
  <si>
    <t>Estudiar</t>
  </si>
  <si>
    <t>Comprobar</t>
  </si>
  <si>
    <t>Maniobrar</t>
  </si>
  <si>
    <t>Trasladar</t>
  </si>
  <si>
    <t>Informar</t>
  </si>
  <si>
    <t>Transferir</t>
  </si>
  <si>
    <t>Priorizar</t>
  </si>
  <si>
    <t>Extender</t>
  </si>
  <si>
    <t>Figurar</t>
  </si>
  <si>
    <t>Escuchar</t>
  </si>
  <si>
    <t>Probar</t>
  </si>
  <si>
    <t>Esculpir</t>
  </si>
  <si>
    <t>Anotar</t>
  </si>
  <si>
    <t>Razonar</t>
  </si>
  <si>
    <t>Hipotetizar</t>
  </si>
  <si>
    <t>Emitir</t>
  </si>
  <si>
    <t>Entallar</t>
  </si>
  <si>
    <t>Proporcionar</t>
  </si>
  <si>
    <t>Reorganizar</t>
  </si>
  <si>
    <t>Influir</t>
  </si>
  <si>
    <t>Presentar</t>
  </si>
  <si>
    <t>Operar</t>
  </si>
  <si>
    <t>Registrar</t>
  </si>
  <si>
    <t>Abrir</t>
  </si>
  <si>
    <t>Resaltar</t>
  </si>
  <si>
    <t>Innovar</t>
  </si>
  <si>
    <t>Limpiar</t>
  </si>
  <si>
    <t>Destapar</t>
  </si>
  <si>
    <t>Coser</t>
  </si>
  <si>
    <t>Contribuir</t>
  </si>
  <si>
    <t>Separar</t>
  </si>
  <si>
    <t>Justificar</t>
  </si>
  <si>
    <t>Reportar</t>
  </si>
  <si>
    <t>Patronar</t>
  </si>
  <si>
    <t>Filtrar</t>
  </si>
  <si>
    <t>Instalar</t>
  </si>
  <si>
    <t>Comenzar</t>
  </si>
  <si>
    <t>Soldar</t>
  </si>
  <si>
    <t>Provocar</t>
  </si>
  <si>
    <t>Subdividir</t>
  </si>
  <si>
    <t>Poner</t>
  </si>
  <si>
    <t>Recordar</t>
  </si>
  <si>
    <t>Recoger</t>
  </si>
  <si>
    <t>Opinar</t>
  </si>
  <si>
    <t>Introducir</t>
  </si>
  <si>
    <t>Recaudar</t>
  </si>
  <si>
    <t>Impulsar</t>
  </si>
  <si>
    <t>Originar</t>
  </si>
  <si>
    <t>Inventar</t>
  </si>
  <si>
    <t>Juntar</t>
  </si>
  <si>
    <t>Finalizar</t>
  </si>
  <si>
    <t>Ampliar</t>
  </si>
  <si>
    <t>Ensanchar</t>
  </si>
  <si>
    <t>Persuadir</t>
  </si>
  <si>
    <t>Formar</t>
  </si>
  <si>
    <t>Cotejar</t>
  </si>
  <si>
    <t>Premiar</t>
  </si>
  <si>
    <t>Repasar</t>
  </si>
  <si>
    <t>Rotular</t>
  </si>
  <si>
    <t>Empaquetar</t>
  </si>
  <si>
    <t>Balancear</t>
  </si>
  <si>
    <t>Recomendar</t>
  </si>
  <si>
    <t>Marcar</t>
  </si>
  <si>
    <t>Envasar</t>
  </si>
  <si>
    <t>Subrayar</t>
  </si>
  <si>
    <t>Pintar</t>
  </si>
  <si>
    <t>Cortar</t>
  </si>
  <si>
    <t>Recortar</t>
  </si>
  <si>
    <t>Sincronizar</t>
  </si>
  <si>
    <t>Bailar</t>
  </si>
  <si>
    <t>Perfeccionar</t>
  </si>
  <si>
    <t>Peritar</t>
  </si>
  <si>
    <t>Planificar</t>
  </si>
  <si>
    <t>Pronosticar</t>
  </si>
  <si>
    <t>Señalar</t>
  </si>
  <si>
    <t>Difundir</t>
  </si>
  <si>
    <t>Tocar</t>
  </si>
  <si>
    <t>Transmitir</t>
  </si>
  <si>
    <t>Representar</t>
  </si>
  <si>
    <t>Tapizar</t>
  </si>
  <si>
    <t>Entrenar</t>
  </si>
  <si>
    <t>Proyectar</t>
  </si>
  <si>
    <t>Sacar</t>
  </si>
  <si>
    <t>Utilizar</t>
  </si>
  <si>
    <t>Sugerir</t>
  </si>
  <si>
    <t>Imprimir</t>
  </si>
  <si>
    <t>Ponderar</t>
  </si>
  <si>
    <t>Estampar</t>
  </si>
  <si>
    <t>Mecanizar</t>
  </si>
  <si>
    <t>Industrializar</t>
  </si>
  <si>
    <t>Codificar</t>
  </si>
  <si>
    <t>Fabricar</t>
  </si>
  <si>
    <t>Vincular</t>
  </si>
  <si>
    <t>Reducir</t>
  </si>
  <si>
    <t>Mitigar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</si>
</sst>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8" x14ac:knownFonts="1">
    <font>
      <sz val="11"/>
      <color theme="1"/>
      <name val="Calibri"/>
      <family val="2"/>
      <scheme val="minor"/>
    </font>
    <font>
      <sz val="9"/>
      <color indexed="81"/>
      <name val="Tahoma"/>
      <family val="2"/>
    </font>
    <font>
      <b/>
      <sz val="9"/>
      <color indexed="81"/>
      <name val="Tahoma"/>
      <family val="2"/>
    </font>
    <font>
      <sz val="11"/>
      <color theme="1"/>
      <name val="Gill Sans MT"/>
      <family val="2"/>
    </font>
    <font>
      <sz val="11"/>
      <color rgb="FF000000"/>
      <name val="Gill Sans MT"/>
      <family val="2"/>
    </font>
    <font>
      <b/>
      <sz val="11"/>
      <color theme="0"/>
      <name val="Gill Sans MT"/>
      <family val="2"/>
    </font>
    <font>
      <sz val="11"/>
      <color theme="0"/>
      <name val="Gill Sans MT"/>
      <family val="2"/>
    </font>
    <font>
      <b/>
      <sz val="11"/>
      <name val="Gill Sans MT"/>
      <family val="2"/>
    </font>
    <font>
      <b/>
      <sz val="11"/>
      <color theme="1"/>
      <name val="Gill Sans MT"/>
      <family val="2"/>
    </font>
    <font>
      <sz val="11"/>
      <name val="Gill Sans MT"/>
      <family val="2"/>
    </font>
    <font>
      <sz val="10"/>
      <color theme="1"/>
      <name val="Gill Sans MT"/>
      <family val="2"/>
    </font>
    <font>
      <sz val="10"/>
      <color rgb="FF000000"/>
      <name val="Gill Sans MT"/>
      <family val="2"/>
    </font>
    <font>
      <sz val="10"/>
      <name val="Gill Sans MT"/>
      <family val="2"/>
    </font>
    <font>
      <sz val="10"/>
      <color rgb="FF000000"/>
      <name val="Candara"/>
      <family val="2"/>
    </font>
    <font>
      <sz val="10"/>
      <color theme="1"/>
      <name val="Candara"/>
      <family val="2"/>
    </font>
    <font>
      <sz val="11"/>
      <color rgb="FFFF0000"/>
      <name val="Gill Sans MT"/>
      <family val="2"/>
    </font>
    <font>
      <sz val="8"/>
      <color rgb="FFFFFFFF"/>
      <name val="Gill Sans MT"/>
      <family val="2"/>
    </font>
    <font>
      <b/>
      <sz val="11"/>
      <color rgb="FFFFFFFF"/>
      <name val="Gill Sans MT"/>
      <family val="2"/>
    </font>
    <font>
      <b/>
      <sz val="8"/>
      <color theme="0"/>
      <name val="Gill Sans MT"/>
      <family val="2"/>
    </font>
    <font>
      <sz val="8"/>
      <color theme="0"/>
      <name val="Gill Sans MT"/>
      <family val="2"/>
    </font>
    <font>
      <sz val="8"/>
      <color rgb="FF000000"/>
      <name val="Gill Sans MT"/>
      <family val="2"/>
    </font>
    <font>
      <sz val="8"/>
      <color theme="1"/>
      <name val="Gill Sans MT"/>
      <family val="2"/>
    </font>
    <font>
      <b/>
      <sz val="11"/>
      <color rgb="FF000000"/>
      <name val="Gill Sans MT"/>
      <family val="2"/>
    </font>
    <font>
      <sz val="8"/>
      <name val="Gill Sans MT"/>
      <family val="2"/>
    </font>
    <font>
      <b/>
      <sz val="10"/>
      <color rgb="FFFFFFFF"/>
      <name val="Gill Sans MT"/>
      <family val="2"/>
    </font>
    <font>
      <i/>
      <sz val="11"/>
      <color theme="1"/>
      <name val="Gill Sans MT"/>
      <family val="2"/>
    </font>
    <font>
      <b/>
      <sz val="10"/>
      <color theme="1"/>
      <name val="Gill Sans MT"/>
      <family val="2"/>
    </font>
    <font>
      <b/>
      <sz val="10"/>
      <color rgb="FF000000"/>
      <name val="Gill Sans MT"/>
      <family val="2"/>
    </font>
  </fonts>
  <fills count="11">
    <fill>
      <patternFill patternType="none"/>
    </fill>
    <fill>
      <patternFill patternType="gray125"/>
    </fill>
    <fill>
      <patternFill patternType="solid">
        <fgColor rgb="FF0F385A"/>
        <bgColor indexed="64"/>
      </patternFill>
    </fill>
    <fill>
      <patternFill patternType="solid">
        <fgColor rgb="FF1FB2DE"/>
        <bgColor indexed="64"/>
      </patternFill>
    </fill>
    <fill>
      <patternFill patternType="solid">
        <fgColor theme="4"/>
        <bgColor indexed="64"/>
      </patternFill>
    </fill>
    <fill>
      <patternFill patternType="solid">
        <fgColor theme="4" tint="0.79998168889431442"/>
        <bgColor theme="4" tint="0.79998168889431442"/>
      </patternFill>
    </fill>
    <fill>
      <patternFill patternType="solid">
        <fgColor rgb="FF0F385A"/>
        <bgColor rgb="FF000000"/>
      </patternFill>
    </fill>
    <fill>
      <patternFill patternType="solid">
        <fgColor theme="7" tint="0.79998168889431442"/>
        <bgColor indexed="64"/>
      </patternFill>
    </fill>
    <fill>
      <patternFill patternType="solid">
        <fgColor rgb="FFDDEBF7"/>
        <bgColor rgb="FF000000"/>
      </patternFill>
    </fill>
    <fill>
      <patternFill patternType="solid">
        <fgColor rgb="FF1FB2DE"/>
        <bgColor rgb="FF000000"/>
      </patternFill>
    </fill>
    <fill>
      <patternFill patternType="solid">
        <fgColor theme="4" tint="0.79998168889431442"/>
        <bgColor indexed="64"/>
      </patternFill>
    </fill>
  </fills>
  <borders count="18">
    <border>
      <left/>
      <right/>
      <top/>
      <bottom/>
      <diagonal/>
    </border>
    <border>
      <left style="thin">
        <color auto="1"/>
      </left>
      <right style="thin">
        <color auto="1"/>
      </right>
      <top style="thin">
        <color auto="1"/>
      </top>
      <bottom style="thin">
        <color auto="1"/>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thin">
        <color theme="4" tint="0.39997558519241921"/>
      </left>
      <right style="thin">
        <color theme="4" tint="0.39997558519241921"/>
      </right>
      <top style="thin">
        <color theme="4" tint="0.39997558519241921"/>
      </top>
      <bottom/>
      <diagonal/>
    </border>
    <border>
      <left/>
      <right/>
      <top style="medium">
        <color indexed="64"/>
      </top>
      <bottom style="medium">
        <color indexed="64"/>
      </bottom>
      <diagonal/>
    </border>
    <border>
      <left/>
      <right/>
      <top style="medium">
        <color indexed="64"/>
      </top>
      <bottom/>
      <diagonal/>
    </border>
    <border>
      <left/>
      <right/>
      <top style="thin">
        <color auto="1"/>
      </top>
      <bottom/>
      <diagonal/>
    </border>
    <border>
      <left/>
      <right/>
      <top/>
      <bottom style="medium">
        <color indexed="64"/>
      </bottom>
      <diagonal/>
    </border>
    <border>
      <left style="thin">
        <color rgb="FF1FB2DE"/>
      </left>
      <right/>
      <top/>
      <bottom/>
      <diagonal/>
    </border>
    <border>
      <left/>
      <right/>
      <top/>
      <bottom style="medium">
        <color rgb="FF000000"/>
      </bottom>
      <diagonal/>
    </border>
    <border>
      <left style="thin">
        <color rgb="FF1FB2DE"/>
      </left>
      <right style="thin">
        <color rgb="FF1FB2DE"/>
      </right>
      <top/>
      <bottom style="thin">
        <color rgb="FF1FB2DE"/>
      </bottom>
      <diagonal/>
    </border>
    <border>
      <left style="thin">
        <color auto="1"/>
      </left>
      <right style="thin">
        <color auto="1"/>
      </right>
      <top/>
      <bottom style="thin">
        <color auto="1"/>
      </bottom>
      <diagonal/>
    </border>
    <border>
      <left style="thin">
        <color rgb="FF1FB2DE"/>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medium">
        <color indexed="64"/>
      </top>
      <bottom style="medium">
        <color rgb="FF000000"/>
      </bottom>
      <diagonal/>
    </border>
    <border>
      <left/>
      <right/>
      <top style="medium">
        <color rgb="FF000000"/>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72">
    <xf numFmtId="0" fontId="0" fillId="0" borderId="0" xfId="0"/>
    <xf numFmtId="0" fontId="3" fillId="0" borderId="0" xfId="0" applyFont="1"/>
    <xf numFmtId="0" fontId="4" fillId="0" borderId="0" xfId="0" applyFont="1" applyAlignment="1">
      <alignment vertical="center"/>
    </xf>
    <xf numFmtId="0" fontId="6" fillId="0" borderId="0" xfId="0" applyFont="1" applyAlignment="1">
      <alignment horizontal="center" vertical="center"/>
    </xf>
    <xf numFmtId="0" fontId="6" fillId="0" borderId="0" xfId="0" applyFont="1" applyAlignment="1">
      <alignment vertical="center"/>
    </xf>
    <xf numFmtId="0" fontId="4" fillId="5" borderId="2" xfId="0" applyFont="1" applyFill="1" applyBorder="1" applyAlignment="1">
      <alignment vertical="center"/>
    </xf>
    <xf numFmtId="0" fontId="4" fillId="0" borderId="2" xfId="0" applyFont="1" applyBorder="1" applyAlignment="1">
      <alignment vertical="center"/>
    </xf>
    <xf numFmtId="0" fontId="3" fillId="5" borderId="2" xfId="0" applyFont="1" applyFill="1" applyBorder="1"/>
    <xf numFmtId="0" fontId="3" fillId="0" borderId="2" xfId="0" applyFont="1" applyBorder="1"/>
    <xf numFmtId="0" fontId="3" fillId="5" borderId="3" xfId="0" applyFont="1" applyFill="1" applyBorder="1"/>
    <xf numFmtId="0" fontId="4" fillId="5" borderId="3" xfId="0" applyFont="1" applyFill="1" applyBorder="1" applyAlignment="1">
      <alignment vertical="center"/>
    </xf>
    <xf numFmtId="0" fontId="3" fillId="0" borderId="3" xfId="0" applyFont="1" applyBorder="1"/>
    <xf numFmtId="0" fontId="3" fillId="0" borderId="0" xfId="0" applyFont="1" applyAlignment="1">
      <alignment vertical="center"/>
    </xf>
    <xf numFmtId="0" fontId="4" fillId="0" borderId="0" xfId="0" applyFont="1" applyAlignment="1">
      <alignment horizontal="center" vertical="center"/>
    </xf>
    <xf numFmtId="0" fontId="3" fillId="0" borderId="0" xfId="0" applyFont="1" applyAlignment="1">
      <alignment horizontal="center"/>
    </xf>
    <xf numFmtId="0" fontId="16" fillId="6" borderId="1" xfId="0" applyFont="1" applyFill="1" applyBorder="1" applyAlignment="1">
      <alignment horizontal="center" vertical="center" wrapText="1"/>
    </xf>
    <xf numFmtId="0" fontId="3" fillId="0" borderId="0" xfId="0" applyFont="1" applyAlignment="1">
      <alignment horizontal="left" vertical="center" wrapText="1"/>
    </xf>
    <xf numFmtId="0" fontId="3" fillId="0" borderId="6" xfId="0" applyFont="1" applyBorder="1" applyAlignment="1">
      <alignment vertical="center" wrapText="1"/>
    </xf>
    <xf numFmtId="0" fontId="16" fillId="6" borderId="0" xfId="0" applyFont="1" applyFill="1" applyAlignment="1">
      <alignment horizontal="center" vertical="center" wrapText="1"/>
    </xf>
    <xf numFmtId="0" fontId="3" fillId="0" borderId="0" xfId="0" applyFont="1" applyAlignment="1">
      <alignment horizontal="center" vertical="center" wrapText="1"/>
    </xf>
    <xf numFmtId="0" fontId="4" fillId="0" borderId="0" xfId="0" applyFont="1" applyAlignment="1">
      <alignment vertical="center" wrapText="1"/>
    </xf>
    <xf numFmtId="0" fontId="3" fillId="0" borderId="0" xfId="0" applyFont="1" applyAlignment="1">
      <alignment vertical="center" wrapText="1"/>
    </xf>
    <xf numFmtId="0" fontId="4" fillId="0" borderId="0" xfId="0" applyFont="1" applyAlignment="1">
      <alignment horizontal="left" vertical="center" wrapText="1"/>
    </xf>
    <xf numFmtId="0" fontId="3" fillId="0" borderId="0" xfId="0" applyFont="1" applyAlignment="1">
      <alignment wrapText="1"/>
    </xf>
    <xf numFmtId="0" fontId="3" fillId="0" borderId="0" xfId="0" applyFont="1" applyAlignment="1">
      <alignment horizontal="left" vertical="center"/>
    </xf>
    <xf numFmtId="0" fontId="15" fillId="0" borderId="0" xfId="0" applyFont="1" applyAlignment="1">
      <alignment horizontal="left" vertical="center" wrapText="1"/>
    </xf>
    <xf numFmtId="0" fontId="3" fillId="0" borderId="7" xfId="0" applyFont="1" applyBorder="1" applyAlignment="1">
      <alignment horizontal="center" vertical="center" wrapText="1"/>
    </xf>
    <xf numFmtId="0" fontId="3" fillId="0" borderId="7" xfId="0" applyFont="1" applyBorder="1" applyAlignment="1">
      <alignment horizontal="left" vertical="center" wrapText="1"/>
    </xf>
    <xf numFmtId="0" fontId="3" fillId="0" borderId="5" xfId="0" applyFont="1" applyBorder="1" applyAlignment="1">
      <alignment horizontal="left" vertical="center" wrapText="1"/>
    </xf>
    <xf numFmtId="0" fontId="20" fillId="9" borderId="1" xfId="0" applyFont="1" applyFill="1" applyBorder="1" applyAlignment="1">
      <alignment horizontal="center" vertical="center" wrapText="1"/>
    </xf>
    <xf numFmtId="0" fontId="21" fillId="0" borderId="0" xfId="0" applyFont="1" applyAlignment="1">
      <alignment horizontal="center" vertical="center" wrapText="1"/>
    </xf>
    <xf numFmtId="0" fontId="22" fillId="9" borderId="1" xfId="0" applyFont="1" applyFill="1" applyBorder="1" applyAlignment="1">
      <alignment horizontal="center" vertical="center" wrapText="1"/>
    </xf>
    <xf numFmtId="0" fontId="9" fillId="0" borderId="0" xfId="0" applyFont="1" applyAlignment="1">
      <alignment horizontal="center" vertical="center" wrapText="1"/>
    </xf>
    <xf numFmtId="0" fontId="8" fillId="0" borderId="0" xfId="0" applyFont="1" applyAlignment="1">
      <alignment vertical="center" wrapText="1"/>
    </xf>
    <xf numFmtId="0" fontId="17" fillId="6" borderId="1" xfId="0" applyFont="1" applyFill="1" applyBorder="1" applyAlignment="1">
      <alignment horizontal="center" vertical="center" wrapText="1"/>
    </xf>
    <xf numFmtId="0" fontId="21" fillId="0" borderId="0" xfId="0" applyFont="1" applyAlignment="1">
      <alignment horizontal="left" vertical="center" wrapText="1"/>
    </xf>
    <xf numFmtId="0" fontId="17" fillId="6" borderId="0" xfId="0" applyFont="1" applyFill="1" applyAlignment="1">
      <alignment horizontal="center" vertical="center" wrapText="1"/>
    </xf>
    <xf numFmtId="0" fontId="8" fillId="0" borderId="0" xfId="0" applyFont="1" applyAlignment="1">
      <alignment horizontal="left" vertical="center" wrapText="1"/>
    </xf>
    <xf numFmtId="0" fontId="4" fillId="0" borderId="0" xfId="0" applyFont="1" applyAlignment="1">
      <alignment horizontal="center" vertical="center" wrapText="1"/>
    </xf>
    <xf numFmtId="0" fontId="0" fillId="0" borderId="0" xfId="0" applyAlignment="1">
      <alignment horizontal="left" vertical="center"/>
    </xf>
    <xf numFmtId="0" fontId="3" fillId="0" borderId="7" xfId="0" applyFont="1" applyBorder="1" applyAlignment="1">
      <alignment vertical="center" wrapText="1"/>
    </xf>
    <xf numFmtId="0" fontId="3" fillId="0" borderId="7" xfId="0" applyFont="1" applyBorder="1" applyAlignment="1">
      <alignment vertical="center"/>
    </xf>
    <xf numFmtId="0" fontId="4" fillId="0" borderId="7" xfId="0" applyFont="1" applyBorder="1" applyAlignment="1">
      <alignment vertical="center" wrapText="1"/>
    </xf>
    <xf numFmtId="0" fontId="4" fillId="0" borderId="7" xfId="0" applyFont="1" applyBorder="1" applyAlignment="1">
      <alignment horizontal="center" vertical="center" wrapText="1"/>
    </xf>
    <xf numFmtId="0" fontId="3" fillId="0" borderId="5" xfId="0" applyFont="1" applyBorder="1" applyAlignment="1">
      <alignment vertical="center" wrapText="1"/>
    </xf>
    <xf numFmtId="0" fontId="3" fillId="0" borderId="5" xfId="0" applyFont="1" applyBorder="1" applyAlignment="1">
      <alignment horizontal="center" vertical="center" wrapText="1"/>
    </xf>
    <xf numFmtId="0" fontId="3" fillId="0" borderId="0" xfId="0" applyFont="1" applyAlignment="1">
      <alignment horizontal="center" vertical="center"/>
    </xf>
    <xf numFmtId="0" fontId="10" fillId="0" borderId="0" xfId="0" applyFont="1" applyAlignment="1">
      <alignment horizontal="center" vertical="center"/>
    </xf>
    <xf numFmtId="0" fontId="10" fillId="0" borderId="0" xfId="0" applyFont="1" applyAlignment="1">
      <alignment horizontal="center" vertical="center" wrapText="1"/>
    </xf>
    <xf numFmtId="0" fontId="10" fillId="0" borderId="0" xfId="0" applyFont="1" applyAlignment="1" applyProtection="1">
      <alignment horizontal="left" vertical="center" wrapText="1"/>
      <protection locked="0"/>
    </xf>
    <xf numFmtId="0" fontId="10" fillId="0" borderId="0" xfId="0" applyFont="1" applyAlignment="1" applyProtection="1">
      <alignment horizontal="center" vertical="center" wrapText="1"/>
      <protection locked="0"/>
    </xf>
    <xf numFmtId="0" fontId="11" fillId="0" borderId="0" xfId="0" applyFont="1" applyAlignment="1">
      <alignment horizontal="center" vertical="center" wrapText="1"/>
    </xf>
    <xf numFmtId="0" fontId="11" fillId="0" borderId="0" xfId="0" applyFont="1" applyAlignment="1">
      <alignment horizontal="left" vertical="center" wrapText="1"/>
    </xf>
    <xf numFmtId="0" fontId="10" fillId="0" borderId="0" xfId="0" applyFont="1" applyAlignment="1">
      <alignment horizontal="left" vertical="center" wrapText="1"/>
    </xf>
    <xf numFmtId="0" fontId="11" fillId="0" borderId="0" xfId="0" applyFont="1" applyAlignment="1">
      <alignment horizontal="center" vertical="center"/>
    </xf>
    <xf numFmtId="0" fontId="12" fillId="0" borderId="0" xfId="0" applyFont="1" applyAlignment="1">
      <alignment horizontal="center" vertical="center" wrapText="1"/>
    </xf>
    <xf numFmtId="0" fontId="13" fillId="0" borderId="0" xfId="0" applyFont="1" applyAlignment="1">
      <alignment horizontal="center" vertical="center" wrapText="1"/>
    </xf>
    <xf numFmtId="0" fontId="10" fillId="0" borderId="0" xfId="0" applyFont="1" applyAlignment="1" applyProtection="1">
      <alignment horizontal="left" vertical="center"/>
      <protection locked="0"/>
    </xf>
    <xf numFmtId="0" fontId="14" fillId="0" borderId="0" xfId="0" applyFont="1" applyAlignment="1">
      <alignment horizontal="left" vertical="center" wrapText="1"/>
    </xf>
    <xf numFmtId="0" fontId="14" fillId="0" borderId="0" xfId="0" applyFont="1" applyAlignment="1">
      <alignment horizontal="center" vertical="center" wrapText="1"/>
    </xf>
    <xf numFmtId="0" fontId="12" fillId="0" borderId="0" xfId="0" applyFont="1" applyAlignment="1">
      <alignment horizontal="left" vertical="center" wrapText="1"/>
    </xf>
    <xf numFmtId="0" fontId="10" fillId="0" borderId="0" xfId="0" applyFont="1" applyAlignment="1">
      <alignment horizontal="left" vertical="center"/>
    </xf>
    <xf numFmtId="0" fontId="17" fillId="6" borderId="0" xfId="0" applyFont="1" applyFill="1" applyAlignment="1">
      <alignment horizontal="left" vertical="center" wrapText="1"/>
    </xf>
    <xf numFmtId="0" fontId="11" fillId="0" borderId="0" xfId="0" applyFont="1" applyAlignment="1" applyProtection="1">
      <alignment horizontal="left" vertical="center" wrapText="1"/>
      <protection locked="0"/>
    </xf>
    <xf numFmtId="0" fontId="4" fillId="0" borderId="0" xfId="0" applyFont="1"/>
    <xf numFmtId="0" fontId="3" fillId="0" borderId="0" xfId="0" applyFont="1" applyAlignment="1" applyProtection="1">
      <alignment horizontal="left" vertical="center" wrapText="1"/>
      <protection locked="0"/>
    </xf>
    <xf numFmtId="0" fontId="3" fillId="0" borderId="0" xfId="0" applyFont="1" applyAlignment="1" applyProtection="1">
      <alignment horizontal="center" vertical="center" wrapText="1"/>
      <protection locked="0"/>
    </xf>
    <xf numFmtId="0" fontId="4" fillId="0" borderId="0" xfId="0" applyFont="1" applyAlignment="1" applyProtection="1">
      <alignment horizontal="left" vertical="center" wrapText="1"/>
      <protection locked="0"/>
    </xf>
    <xf numFmtId="0" fontId="3" fillId="0" borderId="0" xfId="0" applyFont="1" applyAlignment="1" applyProtection="1">
      <alignment horizontal="left" vertical="center"/>
      <protection locked="0"/>
    </xf>
    <xf numFmtId="0" fontId="3" fillId="7" borderId="5" xfId="0" applyFont="1" applyFill="1" applyBorder="1" applyAlignment="1">
      <alignment horizontal="left" vertical="center" wrapText="1"/>
    </xf>
    <xf numFmtId="0" fontId="3" fillId="7" borderId="5" xfId="0" applyFont="1" applyFill="1" applyBorder="1" applyAlignment="1">
      <alignment horizontal="center" vertical="center" wrapText="1"/>
    </xf>
    <xf numFmtId="0" fontId="4" fillId="7" borderId="5" xfId="0" applyFont="1" applyFill="1" applyBorder="1" applyAlignment="1">
      <alignment horizontal="center" vertical="center" wrapText="1"/>
    </xf>
    <xf numFmtId="0" fontId="4" fillId="7" borderId="5" xfId="0" applyFont="1" applyFill="1" applyBorder="1" applyAlignment="1">
      <alignment horizontal="left" vertical="center" wrapText="1"/>
    </xf>
    <xf numFmtId="49" fontId="3" fillId="7" borderId="5" xfId="0" applyNumberFormat="1" applyFont="1" applyFill="1" applyBorder="1" applyAlignment="1">
      <alignment horizontal="left" vertical="center" wrapText="1"/>
    </xf>
    <xf numFmtId="0" fontId="3" fillId="7" borderId="5" xfId="0" applyFont="1" applyFill="1" applyBorder="1" applyAlignment="1">
      <alignment horizontal="center" vertical="center"/>
    </xf>
    <xf numFmtId="0" fontId="3" fillId="7" borderId="5" xfId="0" applyFont="1" applyFill="1" applyBorder="1" applyAlignment="1" applyProtection="1">
      <alignment horizontal="center" vertical="center" wrapText="1"/>
      <protection locked="0"/>
    </xf>
    <xf numFmtId="0" fontId="4" fillId="7" borderId="5" xfId="0" applyFont="1" applyFill="1" applyBorder="1" applyAlignment="1">
      <alignment vertical="center" wrapText="1"/>
    </xf>
    <xf numFmtId="0" fontId="4" fillId="7" borderId="5" xfId="0" applyFont="1" applyFill="1" applyBorder="1" applyAlignment="1" applyProtection="1">
      <alignment horizontal="left" vertical="center" wrapText="1"/>
      <protection locked="0"/>
    </xf>
    <xf numFmtId="0" fontId="3" fillId="10" borderId="4" xfId="0" applyFont="1" applyFill="1" applyBorder="1" applyAlignment="1">
      <alignment horizontal="left" vertical="center" wrapText="1"/>
    </xf>
    <xf numFmtId="0" fontId="3" fillId="10" borderId="4" xfId="0" applyFont="1" applyFill="1" applyBorder="1" applyAlignment="1">
      <alignment horizontal="center" vertical="center"/>
    </xf>
    <xf numFmtId="0" fontId="3" fillId="10" borderId="4" xfId="0" applyFont="1" applyFill="1" applyBorder="1" applyAlignment="1">
      <alignment horizontal="center" vertical="center" wrapText="1"/>
    </xf>
    <xf numFmtId="0" fontId="3" fillId="10" borderId="4" xfId="0" applyFont="1" applyFill="1" applyBorder="1" applyAlignment="1" applyProtection="1">
      <alignment horizontal="left" vertical="center"/>
      <protection locked="0"/>
    </xf>
    <xf numFmtId="0" fontId="3" fillId="10" borderId="4" xfId="0" applyFont="1" applyFill="1" applyBorder="1" applyAlignment="1" applyProtection="1">
      <alignment horizontal="center" vertical="center" wrapText="1"/>
      <protection locked="0"/>
    </xf>
    <xf numFmtId="0" fontId="4" fillId="10" borderId="4" xfId="0" applyFont="1" applyFill="1" applyBorder="1" applyAlignment="1">
      <alignment horizontal="left" vertical="center" wrapText="1"/>
    </xf>
    <xf numFmtId="0" fontId="4" fillId="10" borderId="4" xfId="0" applyFont="1" applyFill="1" applyBorder="1" applyAlignment="1" applyProtection="1">
      <alignment horizontal="left" vertical="center" wrapText="1"/>
      <protection locked="0"/>
    </xf>
    <xf numFmtId="0" fontId="3" fillId="10" borderId="5" xfId="0" applyFont="1" applyFill="1" applyBorder="1" applyAlignment="1">
      <alignment horizontal="left" vertical="center" wrapText="1"/>
    </xf>
    <xf numFmtId="0" fontId="3" fillId="10" borderId="5" xfId="0" applyFont="1" applyFill="1" applyBorder="1" applyAlignment="1">
      <alignment horizontal="center" vertical="center"/>
    </xf>
    <xf numFmtId="0" fontId="3" fillId="10" borderId="5" xfId="0" applyFont="1" applyFill="1" applyBorder="1" applyAlignment="1">
      <alignment horizontal="center" vertical="center" wrapText="1"/>
    </xf>
    <xf numFmtId="0" fontId="3" fillId="10" borderId="5" xfId="0" applyFont="1" applyFill="1" applyBorder="1" applyAlignment="1" applyProtection="1">
      <alignment horizontal="center" vertical="center" wrapText="1"/>
      <protection locked="0"/>
    </xf>
    <xf numFmtId="0" fontId="4" fillId="10" borderId="5" xfId="0" applyFont="1" applyFill="1" applyBorder="1" applyAlignment="1" applyProtection="1">
      <alignment horizontal="left" vertical="center" wrapText="1"/>
      <protection locked="0"/>
    </xf>
    <xf numFmtId="0" fontId="3" fillId="7" borderId="4" xfId="0" applyFont="1" applyFill="1" applyBorder="1" applyAlignment="1">
      <alignment horizontal="left" vertical="center" wrapText="1"/>
    </xf>
    <xf numFmtId="0" fontId="3" fillId="0" borderId="8" xfId="0" applyFont="1" applyBorder="1" applyAlignment="1">
      <alignment vertical="center" wrapText="1"/>
    </xf>
    <xf numFmtId="0" fontId="3" fillId="0" borderId="9" xfId="0" applyFont="1" applyBorder="1" applyAlignment="1">
      <alignment horizontal="left" vertical="center"/>
    </xf>
    <xf numFmtId="0" fontId="4" fillId="7" borderId="4" xfId="0" applyFont="1" applyFill="1" applyBorder="1" applyAlignment="1">
      <alignment horizontal="left" vertical="center" wrapText="1"/>
    </xf>
    <xf numFmtId="0" fontId="4" fillId="7" borderId="4" xfId="0" applyFont="1" applyFill="1" applyBorder="1" applyAlignment="1">
      <alignment vertical="center" wrapText="1"/>
    </xf>
    <xf numFmtId="0" fontId="24" fillId="6" borderId="10" xfId="0" applyFont="1" applyFill="1" applyBorder="1" applyAlignment="1">
      <alignment horizontal="center" vertical="center" wrapText="1"/>
    </xf>
    <xf numFmtId="0" fontId="24" fillId="6" borderId="11" xfId="0" applyFont="1" applyFill="1" applyBorder="1" applyAlignment="1">
      <alignment horizontal="center" vertical="center" wrapText="1"/>
    </xf>
    <xf numFmtId="0" fontId="23" fillId="0" borderId="0" xfId="0" applyFont="1" applyAlignment="1">
      <alignment horizontal="center" vertical="center" wrapText="1"/>
    </xf>
    <xf numFmtId="0" fontId="24" fillId="6" borderId="1" xfId="0" applyFont="1" applyFill="1" applyBorder="1" applyAlignment="1">
      <alignment horizontal="center" vertical="center" wrapText="1"/>
    </xf>
    <xf numFmtId="0" fontId="20" fillId="0" borderId="0" xfId="0" applyFont="1" applyAlignment="1">
      <alignment horizontal="center" vertical="center" wrapText="1"/>
    </xf>
    <xf numFmtId="0" fontId="3" fillId="7" borderId="7" xfId="0" applyFont="1" applyFill="1" applyBorder="1" applyAlignment="1">
      <alignment horizontal="left" vertical="center"/>
    </xf>
    <xf numFmtId="0" fontId="3" fillId="0" borderId="9" xfId="0" applyFont="1" applyBorder="1" applyAlignment="1">
      <alignment vertical="center" wrapText="1"/>
    </xf>
    <xf numFmtId="0" fontId="3" fillId="0" borderId="9" xfId="0" applyFont="1" applyBorder="1" applyAlignment="1">
      <alignment vertical="center"/>
    </xf>
    <xf numFmtId="0" fontId="3" fillId="7" borderId="4" xfId="0" applyFont="1" applyFill="1" applyBorder="1" applyAlignment="1">
      <alignment horizontal="center" vertical="center" wrapText="1"/>
    </xf>
    <xf numFmtId="0" fontId="4" fillId="7" borderId="4" xfId="0" applyFont="1" applyFill="1" applyBorder="1" applyAlignment="1">
      <alignment horizontal="center" vertical="center" wrapText="1"/>
    </xf>
    <xf numFmtId="0" fontId="23" fillId="9" borderId="1" xfId="0" applyFont="1" applyFill="1" applyBorder="1" applyAlignment="1">
      <alignment horizontal="center" vertical="center" wrapText="1"/>
    </xf>
    <xf numFmtId="0" fontId="7" fillId="9" borderId="1" xfId="0" applyFont="1" applyFill="1" applyBorder="1" applyAlignment="1">
      <alignment horizontal="center" vertical="center" wrapText="1"/>
    </xf>
    <xf numFmtId="0" fontId="20" fillId="8" borderId="11" xfId="0" applyFont="1" applyFill="1" applyBorder="1" applyAlignment="1">
      <alignment horizontal="center" vertical="center" wrapText="1"/>
    </xf>
    <xf numFmtId="0" fontId="20" fillId="9" borderId="14" xfId="0" applyFont="1" applyFill="1" applyBorder="1" applyAlignment="1">
      <alignment horizontal="center" vertical="center" wrapText="1"/>
    </xf>
    <xf numFmtId="0" fontId="16" fillId="6" borderId="14" xfId="0" applyFont="1" applyFill="1" applyBorder="1" applyAlignment="1">
      <alignment horizontal="center" vertical="center" wrapText="1"/>
    </xf>
    <xf numFmtId="0" fontId="22" fillId="8" borderId="11" xfId="0" applyFont="1" applyFill="1" applyBorder="1" applyAlignment="1">
      <alignment horizontal="center" vertical="center" wrapText="1"/>
    </xf>
    <xf numFmtId="0" fontId="22" fillId="9" borderId="14" xfId="0" applyFont="1" applyFill="1" applyBorder="1" applyAlignment="1">
      <alignment horizontal="center" vertical="center" wrapText="1"/>
    </xf>
    <xf numFmtId="0" fontId="17" fillId="6" borderId="14" xfId="0" applyFont="1" applyFill="1" applyBorder="1" applyAlignment="1">
      <alignment horizontal="center" vertical="center" wrapText="1"/>
    </xf>
    <xf numFmtId="0" fontId="3" fillId="7" borderId="15" xfId="0" applyFont="1" applyFill="1" applyBorder="1" applyAlignment="1">
      <alignment horizontal="center" vertical="center" wrapText="1"/>
    </xf>
    <xf numFmtId="0" fontId="3" fillId="10" borderId="7" xfId="0" applyFont="1" applyFill="1" applyBorder="1" applyAlignment="1" applyProtection="1">
      <alignment horizontal="center" vertical="center" wrapText="1"/>
      <protection locked="0"/>
    </xf>
    <xf numFmtId="0" fontId="3" fillId="0" borderId="6" xfId="0" applyFont="1" applyBorder="1" applyAlignment="1">
      <alignment horizontal="left" vertical="center" wrapText="1"/>
    </xf>
    <xf numFmtId="0" fontId="3" fillId="0" borderId="9" xfId="0" applyFont="1" applyBorder="1" applyAlignment="1">
      <alignment horizontal="center" vertical="center" wrapText="1"/>
    </xf>
    <xf numFmtId="0" fontId="0" fillId="0" borderId="0" xfId="0" applyAlignment="1">
      <alignment vertical="center"/>
    </xf>
    <xf numFmtId="0" fontId="0" fillId="0" borderId="7" xfId="0" applyBorder="1" applyAlignment="1">
      <alignment vertical="center"/>
    </xf>
    <xf numFmtId="0" fontId="9" fillId="0" borderId="6" xfId="0" applyFont="1" applyBorder="1" applyAlignment="1">
      <alignment vertical="center" wrapText="1"/>
    </xf>
    <xf numFmtId="0" fontId="9" fillId="0" borderId="0" xfId="0" applyFont="1" applyAlignment="1">
      <alignment vertical="center" wrapText="1"/>
    </xf>
    <xf numFmtId="0" fontId="9" fillId="0" borderId="7" xfId="0" applyFont="1" applyBorder="1" applyAlignment="1">
      <alignment vertical="center" wrapText="1"/>
    </xf>
    <xf numFmtId="0" fontId="9" fillId="0" borderId="5" xfId="0" applyFont="1" applyBorder="1" applyAlignment="1">
      <alignment vertical="center" wrapText="1"/>
    </xf>
    <xf numFmtId="0" fontId="17" fillId="6" borderId="9" xfId="0" applyFont="1" applyFill="1" applyBorder="1" applyAlignment="1">
      <alignment horizontal="center" vertical="center" wrapText="1"/>
    </xf>
    <xf numFmtId="0" fontId="3" fillId="10" borderId="4" xfId="0" applyFont="1" applyFill="1" applyBorder="1" applyAlignment="1">
      <alignment horizontal="left" vertical="center"/>
    </xf>
    <xf numFmtId="0" fontId="16" fillId="6" borderId="17" xfId="0" applyFont="1" applyFill="1" applyBorder="1" applyAlignment="1">
      <alignment horizontal="center" vertical="center" wrapText="1"/>
    </xf>
    <xf numFmtId="0" fontId="18" fillId="2" borderId="17" xfId="0" applyFont="1" applyFill="1" applyBorder="1" applyAlignment="1">
      <alignment horizontal="center" vertical="center" wrapText="1"/>
    </xf>
    <xf numFmtId="0" fontId="5" fillId="2" borderId="17" xfId="0" applyFont="1" applyFill="1" applyBorder="1" applyAlignment="1">
      <alignment horizontal="center" vertical="center" wrapText="1"/>
    </xf>
    <xf numFmtId="0" fontId="7" fillId="3" borderId="17" xfId="0" applyFont="1" applyFill="1" applyBorder="1" applyAlignment="1">
      <alignment horizontal="center" vertical="center" wrapText="1"/>
    </xf>
    <xf numFmtId="0" fontId="26" fillId="0" borderId="0" xfId="0" applyFont="1" applyAlignment="1">
      <alignment horizontal="center" vertical="center" wrapText="1"/>
    </xf>
    <xf numFmtId="0" fontId="27" fillId="0" borderId="0" xfId="0" applyFont="1" applyAlignment="1">
      <alignment horizontal="center" vertical="center" wrapText="1"/>
    </xf>
    <xf numFmtId="0" fontId="4" fillId="0" borderId="0" xfId="0" applyFont="1" applyAlignment="1">
      <alignment horizontal="center" vertical="center" wrapText="1"/>
    </xf>
    <xf numFmtId="0" fontId="18" fillId="2" borderId="17" xfId="0" applyFont="1" applyFill="1" applyBorder="1" applyAlignment="1">
      <alignment horizontal="center" vertical="center" wrapText="1"/>
    </xf>
    <xf numFmtId="0" fontId="3" fillId="0" borderId="0" xfId="0" applyFont="1" applyAlignment="1">
      <alignment horizontal="center" vertical="center" wrapText="1"/>
    </xf>
    <xf numFmtId="0" fontId="3" fillId="0" borderId="0" xfId="0" applyFont="1" applyAlignment="1">
      <alignment horizontal="left" vertical="center" wrapText="1"/>
    </xf>
    <xf numFmtId="0" fontId="17" fillId="6" borderId="12" xfId="0" applyFont="1" applyFill="1" applyBorder="1" applyAlignment="1">
      <alignment horizontal="center" vertical="center" wrapText="1"/>
    </xf>
    <xf numFmtId="0" fontId="17" fillId="6" borderId="13" xfId="0" applyFont="1" applyFill="1" applyBorder="1" applyAlignment="1">
      <alignment horizontal="center" vertical="center" wrapText="1"/>
    </xf>
    <xf numFmtId="0" fontId="4" fillId="0" borderId="6" xfId="0" applyFont="1" applyBorder="1" applyAlignment="1">
      <alignment horizontal="center" vertical="center" wrapText="1"/>
    </xf>
    <xf numFmtId="0" fontId="4" fillId="0" borderId="7" xfId="0" applyFont="1" applyBorder="1" applyAlignment="1">
      <alignment horizontal="center" vertical="center" wrapText="1"/>
    </xf>
    <xf numFmtId="0" fontId="4" fillId="0" borderId="13" xfId="0" applyFont="1" applyBorder="1" applyAlignment="1">
      <alignment horizontal="center" vertical="center" wrapText="1"/>
    </xf>
    <xf numFmtId="0" fontId="4" fillId="0" borderId="5" xfId="0" applyFont="1" applyBorder="1" applyAlignment="1">
      <alignment horizontal="center" vertical="center" wrapText="1"/>
    </xf>
    <xf numFmtId="0" fontId="9" fillId="0" borderId="6" xfId="0" applyFont="1" applyBorder="1" applyAlignment="1">
      <alignment horizontal="center" vertical="center" wrapText="1"/>
    </xf>
    <xf numFmtId="0" fontId="9" fillId="0" borderId="0" xfId="0" applyFont="1" applyAlignment="1">
      <alignment horizontal="center" vertical="center" wrapText="1"/>
    </xf>
    <xf numFmtId="0" fontId="9" fillId="0" borderId="7" xfId="0" applyFont="1" applyBorder="1" applyAlignment="1">
      <alignment horizontal="center" vertical="center" wrapText="1"/>
    </xf>
    <xf numFmtId="0" fontId="9" fillId="0" borderId="5" xfId="0" applyFont="1" applyBorder="1" applyAlignment="1">
      <alignment horizontal="center" vertical="center" wrapText="1"/>
    </xf>
    <xf numFmtId="0" fontId="3" fillId="0" borderId="16"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3" fillId="0" borderId="16" xfId="0" applyFont="1" applyBorder="1" applyAlignment="1">
      <alignment horizontal="center" vertical="center" wrapText="1"/>
    </xf>
    <xf numFmtId="0" fontId="3" fillId="0" borderId="7" xfId="0" applyFont="1" applyBorder="1" applyAlignment="1">
      <alignment horizontal="center" vertical="center" wrapText="1"/>
    </xf>
    <xf numFmtId="0" fontId="3" fillId="0" borderId="5" xfId="0" applyFont="1" applyBorder="1" applyAlignment="1">
      <alignment horizontal="center" vertical="center" wrapText="1"/>
    </xf>
    <xf numFmtId="0" fontId="4" fillId="0" borderId="5" xfId="0" applyFont="1" applyBorder="1" applyAlignment="1">
      <alignment horizontal="center" vertical="center"/>
    </xf>
    <xf numFmtId="0" fontId="4" fillId="0" borderId="0" xfId="0" applyFont="1" applyAlignment="1">
      <alignment horizontal="center" vertical="center"/>
    </xf>
    <xf numFmtId="0" fontId="4" fillId="0" borderId="9" xfId="0" applyFont="1" applyBorder="1" applyAlignment="1">
      <alignment horizontal="center" vertical="center"/>
    </xf>
    <xf numFmtId="0" fontId="4" fillId="0" borderId="9" xfId="0" applyFont="1" applyBorder="1" applyAlignment="1">
      <alignment horizontal="center" vertical="center" wrapText="1"/>
    </xf>
    <xf numFmtId="0" fontId="16" fillId="6" borderId="0" xfId="0" applyFont="1" applyFill="1" applyAlignment="1">
      <alignment horizontal="center" vertical="center" wrapText="1"/>
    </xf>
    <xf numFmtId="0" fontId="4" fillId="0" borderId="0" xfId="0" applyFont="1" applyAlignment="1" applyProtection="1">
      <alignment horizontal="left" vertical="center" wrapText="1"/>
      <protection locked="0"/>
    </xf>
    <xf numFmtId="0" fontId="4" fillId="0" borderId="7" xfId="0" applyFont="1" applyBorder="1" applyAlignment="1" applyProtection="1">
      <alignment horizontal="left" vertical="center" wrapText="1"/>
      <protection locked="0"/>
    </xf>
    <xf numFmtId="0" fontId="3" fillId="0" borderId="5" xfId="0" applyFont="1" applyBorder="1" applyAlignment="1" applyProtection="1">
      <alignment horizontal="left" vertical="center" wrapText="1"/>
      <protection locked="0"/>
    </xf>
    <xf numFmtId="0" fontId="3" fillId="0" borderId="0" xfId="0" applyFont="1" applyAlignment="1" applyProtection="1">
      <alignment horizontal="left" vertical="center" wrapText="1"/>
      <protection locked="0"/>
    </xf>
    <xf numFmtId="0" fontId="3" fillId="0" borderId="7" xfId="0" applyFont="1" applyBorder="1" applyAlignment="1" applyProtection="1">
      <alignment horizontal="left" vertical="center" wrapText="1"/>
      <protection locked="0"/>
    </xf>
    <xf numFmtId="0" fontId="3" fillId="0" borderId="5" xfId="0" applyFont="1" applyBorder="1" applyAlignment="1">
      <alignment horizontal="center" vertical="center"/>
    </xf>
    <xf numFmtId="0" fontId="3" fillId="0" borderId="5" xfId="0" applyFont="1" applyBorder="1" applyAlignment="1">
      <alignment horizontal="left" vertical="center" wrapText="1"/>
    </xf>
    <xf numFmtId="0" fontId="3" fillId="0" borderId="7" xfId="0" applyFont="1" applyBorder="1" applyAlignment="1">
      <alignment horizontal="left" vertical="center" wrapText="1"/>
    </xf>
    <xf numFmtId="0" fontId="4" fillId="0" borderId="5" xfId="0" applyFont="1" applyBorder="1" applyAlignment="1">
      <alignment horizontal="left" vertical="center" wrapText="1"/>
    </xf>
    <xf numFmtId="0" fontId="4" fillId="0" borderId="0" xfId="0" applyFont="1" applyAlignment="1">
      <alignment horizontal="left" vertical="center" wrapText="1"/>
    </xf>
    <xf numFmtId="0" fontId="4" fillId="0" borderId="5" xfId="0" applyFont="1" applyBorder="1" applyAlignment="1" applyProtection="1">
      <alignment horizontal="left" vertical="center" wrapText="1"/>
      <protection locked="0"/>
    </xf>
    <xf numFmtId="0" fontId="3" fillId="0" borderId="9" xfId="0" applyFont="1" applyBorder="1" applyAlignment="1" applyProtection="1">
      <alignment horizontal="left" vertical="center" wrapText="1"/>
      <protection locked="0"/>
    </xf>
    <xf numFmtId="0" fontId="3" fillId="0" borderId="9" xfId="0" applyFont="1" applyBorder="1" applyAlignment="1">
      <alignment horizontal="center" vertical="center" wrapText="1"/>
    </xf>
    <xf numFmtId="0" fontId="4" fillId="0" borderId="9" xfId="0" applyFont="1" applyBorder="1" applyAlignment="1" applyProtection="1">
      <alignment horizontal="left" vertical="center" wrapText="1"/>
      <protection locked="0"/>
    </xf>
    <xf numFmtId="0" fontId="3" fillId="0" borderId="0" xfId="0" applyFont="1" applyAlignment="1">
      <alignment horizontal="center"/>
    </xf>
    <xf numFmtId="0" fontId="5" fillId="4" borderId="1" xfId="0" applyFont="1" applyFill="1" applyBorder="1" applyAlignment="1">
      <alignment horizontal="center"/>
    </xf>
  </cellXfs>
  <cellStyles count="1">
    <cellStyle name="Normal" xfId="0" builtinId="0"/>
  </cellStyles>
  <dxfs count="152">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strike val="0"/>
        <outline val="0"/>
        <shadow val="0"/>
        <u val="none"/>
        <vertAlign val="baseline"/>
        <sz val="11"/>
        <name val="Gill Sans MT"/>
        <family val="2"/>
        <scheme val="none"/>
      </font>
    </dxf>
    <dxf>
      <font>
        <strike val="0"/>
        <outline val="0"/>
        <shadow val="0"/>
        <u val="none"/>
        <vertAlign val="baseline"/>
        <sz val="11"/>
        <name val="Gill Sans MT"/>
        <family val="2"/>
        <scheme val="none"/>
      </font>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strike val="0"/>
        <outline val="0"/>
        <shadow val="0"/>
        <u val="none"/>
        <vertAlign val="baseline"/>
        <sz val="11"/>
        <color theme="1"/>
        <name val="Gill Sans MT"/>
        <family val="2"/>
        <scheme val="none"/>
      </font>
    </dxf>
    <dxf>
      <font>
        <strike val="0"/>
        <outline val="0"/>
        <shadow val="0"/>
        <u val="none"/>
        <vertAlign val="baseline"/>
        <sz val="11"/>
        <color theme="1"/>
        <name val="Gill Sans MT"/>
        <family val="2"/>
        <scheme val="none"/>
      </font>
    </dxf>
    <dxf>
      <font>
        <strike val="0"/>
        <outline val="0"/>
        <shadow val="0"/>
        <u val="none"/>
        <vertAlign val="baseline"/>
        <sz val="11"/>
        <color theme="1"/>
        <name val="Gill Sans MT"/>
        <family val="2"/>
        <scheme val="none"/>
      </font>
    </dxf>
    <dxf>
      <fill>
        <patternFill>
          <bgColor theme="8" tint="0.79998168889431442"/>
        </patternFill>
      </fill>
      <border>
        <left style="thin">
          <color auto="1"/>
        </left>
        <right style="thin">
          <color auto="1"/>
        </right>
        <top style="thin">
          <color auto="1"/>
        </top>
        <bottom style="thin">
          <color auto="1"/>
        </bottom>
      </border>
    </dxf>
    <dxf>
      <fill>
        <patternFill patternType="none">
          <bgColor auto="1"/>
        </patternFill>
      </fill>
    </dxf>
    <dxf>
      <fill>
        <patternFill>
          <bgColor theme="4"/>
        </patternFill>
      </fill>
      <border>
        <left style="thin">
          <color auto="1"/>
        </left>
        <right style="thin">
          <color auto="1"/>
        </right>
        <top style="thin">
          <color auto="1"/>
        </top>
        <bottom style="thin">
          <color auto="1"/>
        </bottom>
        <vertical style="thin">
          <color auto="1"/>
        </vertical>
        <horizontal style="thin">
          <color auto="1"/>
        </horizontal>
      </border>
    </dxf>
  </dxfs>
  <tableStyles count="3" defaultTableStyle="TableStyleMedium2" defaultPivotStyle="PivotStyleLight16">
    <tableStyle name="Estilo de tabla 1" pivot="0" count="1" xr9:uid="{D31AC5D5-9EFB-4153-9086-9AA6037B7BF8}">
      <tableStyleElement type="headerRow" dxfId="151"/>
    </tableStyle>
    <tableStyle name="Estilo de tabla 2" pivot="0" count="1" xr9:uid="{C6F8D6C6-DD7E-42E8-8328-19C722F9F97F}">
      <tableStyleElement type="wholeTable" dxfId="150"/>
    </tableStyle>
    <tableStyle name="Estilo de tabla 3" pivot="0" count="1" xr9:uid="{BD8219D8-F95E-4ADD-BD98-5883EDA7E91C}">
      <tableStyleElement type="headerRow" dxfId="149"/>
    </tableStyle>
  </tableStyles>
  <colors>
    <mruColors>
      <color rgb="FFF5B0B0"/>
      <color rgb="FF1FB2DE"/>
      <color rgb="FF0F385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https://poligran-my.sharepoint.com/personal/dvelasquez_poligran_edu_co/Documents/02_Curriculo_Virtual/05_Documentos_Reforzamiento%20curricular/ReforzamientoCurricular2022/03_Entregables/Nivel%20Micro/06_FormatosRA2024_AC/01_Renovacion/FormatoRA_TecProfJudicial_VNAL.xlsx" TargetMode="External"/><Relationship Id="rId2" Type="http://schemas.microsoft.com/office/2019/04/relationships/externalLinkLongPath" Target="/personal/dvelasquez_poligran_edu_co/Documents/02_Curriculo_Virtual/05_Documentos_Reforzamiento%20curricular/ReforzamientoCurricular2022/03_Entregables/Nivel%20Micro/06_FormatosRA2024_AC/01_Renovacion/FormatoRA_TecProfJudicial_VNAL.xlsx?0A18EC3A" TargetMode="External"/><Relationship Id="rId1" Type="http://schemas.openxmlformats.org/officeDocument/2006/relationships/externalLinkPath" Target="file:///\\0A18EC3A\FormatoRA_TecProfJudicial_VNAL.xlsx" TargetMode="External"/><Relationship Id="rId4" Type="http://schemas.openxmlformats.org/officeDocument/2006/relationships/externalLinkPath" Target="../../../../dvelasquez_poligran_edu_co/Documents/02_Curriculo_Virtual/05_Documentos_Reforzamiento%20curricular/ReforzamientoCurricular2022/03_Entregables/Nivel%20Micro/06_FormatosRA2024_AC/01_Renovacion/FormatoRA_TecProfJudicial_VNA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cni8NL5dwkaGySQFxD1mpD9Up9Jq245OlXEFAEVxh_yGpr5orbeXS77QVIKZKnPK" itemId="012I3KOA5EEP7EY6FKXFEKPBOGH5NVIR4O">
      <xxl21:absoluteUrl r:id="rId3"/>
      <xxl21:relativeUrl r:id="rId4"/>
    </xxl21:alternateUrls>
    <sheetNames>
      <sheetName val="Paso1 Analisis perfil egreso"/>
      <sheetName val="Paso 2 Redacción competen"/>
      <sheetName val="Paso 3 Redacción RA "/>
      <sheetName val="Paso 4 Estrategias mesocurricu"/>
      <sheetName val="Paso 5 Estrategias microcurricu"/>
      <sheetName val="Taxonomía para competencias"/>
      <sheetName val="Taxonomias para RA"/>
    </sheetNames>
    <sheetDataSet>
      <sheetData sheetId="0"/>
      <sheetData sheetId="1"/>
      <sheetData sheetId="2"/>
      <sheetData sheetId="3"/>
      <sheetData sheetId="4"/>
      <sheetData sheetId="5"/>
      <sheetData sheetId="6"/>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C8770C3-071D-499F-9BF2-620169EB50C6}" name="Tabla33103" displayName="Tabla33103" ref="B1:B38" totalsRowShown="0" headerRowDxfId="148" dataDxfId="147">
  <autoFilter ref="B1:B38" xr:uid="{5C8770C3-071D-499F-9BF2-620169EB50C6}"/>
  <sortState xmlns:xlrd2="http://schemas.microsoft.com/office/spreadsheetml/2017/richdata2" ref="B2:B38">
    <sortCondition ref="B1:B38"/>
  </sortState>
  <tableColumns count="1">
    <tableColumn id="1" xr3:uid="{4942F65A-DE34-45AD-8AFA-EDFC3B88631B}" name="Verbos Competencias" dataDxfId="14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8FC5A9A-4920-4623-A07A-3CF9371DCF4A}" name="Tabla1715" displayName="Tabla1715" ref="A3:A7" totalsRowShown="0" headerRowDxfId="145" dataDxfId="144">
  <autoFilter ref="A3:A7" xr:uid="{48FC5A9A-4920-4623-A07A-3CF9371DCF4A}"/>
  <tableColumns count="1">
    <tableColumn id="1" xr3:uid="{63D540FA-82EB-4145-8DC7-B519D8CD7CC0}" name="Taxonomías" dataDxfId="143"/>
  </tableColumns>
  <tableStyleInfo name="Estilo de tabla 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59BF92EC-A277-4656-A963-5B1EAB7D46D6}" name="Tabla1816" displayName="Tabla1816" ref="AL4:AL32" totalsRowShown="0" headerRowDxfId="142" dataDxfId="141">
  <autoFilter ref="AL4:AL32" xr:uid="{59BF92EC-A277-4656-A963-5B1EAB7D46D6}"/>
  <sortState xmlns:xlrd2="http://schemas.microsoft.com/office/spreadsheetml/2017/richdata2" ref="AL5:AL32">
    <sortCondition ref="AL5:AL32"/>
  </sortState>
  <tableColumns count="1">
    <tableColumn id="1" xr3:uid="{F4C3BEC3-A8BA-43A6-AF00-06D2C8E04D5E}" name="RecordarLK" dataDxfId="140"/>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B3A057E8-BC14-4481-9B47-B7A94BC9D97A}" name="Tabla1926" displayName="Tabla1926" ref="AM4:AM28" totalsRowShown="0" headerRowDxfId="139" dataDxfId="138">
  <autoFilter ref="AM4:AM28" xr:uid="{B3A057E8-BC14-4481-9B47-B7A94BC9D97A}"/>
  <sortState xmlns:xlrd2="http://schemas.microsoft.com/office/spreadsheetml/2017/richdata2" ref="AM5:AM28">
    <sortCondition ref="AM5:AM28"/>
  </sortState>
  <tableColumns count="1">
    <tableColumn id="1" xr3:uid="{22C36FE7-AAEE-4B9D-8345-61BDDF16672A}" name="ComprenderLK" dataDxfId="137"/>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CD6709B3-878C-4665-A64F-6617D841DAF8}" name="Tabla2028" displayName="Tabla2028" ref="AN4:AN31" totalsRowShown="0" headerRowDxfId="136" dataDxfId="135">
  <autoFilter ref="AN4:AN31" xr:uid="{CD6709B3-878C-4665-A64F-6617D841DAF8}"/>
  <sortState xmlns:xlrd2="http://schemas.microsoft.com/office/spreadsheetml/2017/richdata2" ref="AN5:AN31">
    <sortCondition ref="AN5:AN31"/>
  </sortState>
  <tableColumns count="1">
    <tableColumn id="1" xr3:uid="{E0748E34-505E-4B6C-88AD-69D1650A1458}" name="AplicarLK" dataDxfId="134"/>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C6F0B0E8-A8D0-4F61-A40D-B1423DE7B813}" name="Tabla2129" displayName="Tabla2129" ref="AO4:AO35" totalsRowShown="0" headerRowDxfId="133" dataDxfId="132">
  <autoFilter ref="AO4:AO35" xr:uid="{C6F0B0E8-A8D0-4F61-A40D-B1423DE7B813}"/>
  <sortState xmlns:xlrd2="http://schemas.microsoft.com/office/spreadsheetml/2017/richdata2" ref="AO5:AO35">
    <sortCondition ref="AO5:AO35"/>
  </sortState>
  <tableColumns count="1">
    <tableColumn id="1" xr3:uid="{4EC3AE28-DA86-4BC0-BF7B-BF5699537101}" name="AnalizarLK" dataDxfId="131"/>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7847CBB9-9D6E-4D0E-8127-07F853DB7AC6}" name="Tabla2230" displayName="Tabla2230" ref="AP4:AP47" totalsRowShown="0" headerRowDxfId="130" dataDxfId="129">
  <autoFilter ref="AP4:AP47" xr:uid="{7847CBB9-9D6E-4D0E-8127-07F853DB7AC6}"/>
  <sortState xmlns:xlrd2="http://schemas.microsoft.com/office/spreadsheetml/2017/richdata2" ref="AP5:AP47">
    <sortCondition ref="AP5:AP47"/>
  </sortState>
  <tableColumns count="1">
    <tableColumn id="1" xr3:uid="{47FDF88B-30DA-4104-BC28-92F05B1464DC}" name="EvaluarLK" dataDxfId="128"/>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1D29FBDA-C4C7-4802-9945-B1136AA1A5B6}" name="Tabla2333" displayName="Tabla2333" ref="AQ4:AQ21" totalsRowShown="0" headerRowDxfId="127" dataDxfId="126">
  <autoFilter ref="AQ4:AQ21" xr:uid="{1D29FBDA-C4C7-4802-9945-B1136AA1A5B6}"/>
  <sortState xmlns:xlrd2="http://schemas.microsoft.com/office/spreadsheetml/2017/richdata2" ref="AQ5:AQ21">
    <sortCondition ref="AQ5:AQ21"/>
  </sortState>
  <tableColumns count="1">
    <tableColumn id="1" xr3:uid="{695E3FF0-9053-4D06-82E6-12950FD1BCA1}" name="CrearLK" dataDxfId="125"/>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F8CECA1C-3082-403C-A916-A3F7860E419B}" name="Tabla3555" displayName="Tabla3555" ref="S3:S45" totalsRowShown="0" headerRowDxfId="124" dataDxfId="123">
  <autoFilter ref="S3:S45" xr:uid="{F8CECA1C-3082-403C-A916-A3F7860E419B}"/>
  <sortState xmlns:xlrd2="http://schemas.microsoft.com/office/spreadsheetml/2017/richdata2" ref="S4:S45">
    <sortCondition ref="S4:S45"/>
  </sortState>
  <tableColumns count="1">
    <tableColumn id="1" xr3:uid="{E8288FDF-6DC1-467B-8083-3BB5E5966D23}" name="ConocimientoBAK" dataDxfId="122"/>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91DAFDAE-F212-4BAF-BC19-DDD22FBAA62D}" name="Tabla3663" displayName="Tabla3663" ref="T3:T42" totalsRowShown="0" headerRowDxfId="121" dataDxfId="120">
  <autoFilter ref="T3:T42" xr:uid="{91DAFDAE-F212-4BAF-BC19-DDD22FBAA62D}"/>
  <sortState xmlns:xlrd2="http://schemas.microsoft.com/office/spreadsheetml/2017/richdata2" ref="T4:T42">
    <sortCondition ref="T4:T42"/>
  </sortState>
  <tableColumns count="1">
    <tableColumn id="1" xr3:uid="{BE0B8AE9-98EE-44F6-8C48-260F8C2558A0}" name="ComprensiónBAK" dataDxfId="119"/>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B1A040A9-8CFD-4596-8FBC-27FD56392945}" name="Tabla3764" displayName="Tabla3764" ref="U3:U43" totalsRowShown="0" headerRowDxfId="118" dataDxfId="117">
  <autoFilter ref="U3:U43" xr:uid="{B1A040A9-8CFD-4596-8FBC-27FD56392945}"/>
  <sortState xmlns:xlrd2="http://schemas.microsoft.com/office/spreadsheetml/2017/richdata2" ref="U4:U43">
    <sortCondition ref="U4:U43"/>
  </sortState>
  <tableColumns count="1">
    <tableColumn id="1" xr3:uid="{37523E1E-21F0-4AD5-AE5F-B4C6B322C81C}" name="AplicaciónBAK" dataDxfId="116"/>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2AA761F5-FCA1-4A0B-90D8-1C642DDF1D1A}" name="Tabla3865" displayName="Tabla3865" ref="V3:V36" totalsRowShown="0" headerRowDxfId="115" dataDxfId="114">
  <autoFilter ref="V3:V36" xr:uid="{2AA761F5-FCA1-4A0B-90D8-1C642DDF1D1A}"/>
  <sortState xmlns:xlrd2="http://schemas.microsoft.com/office/spreadsheetml/2017/richdata2" ref="V4:V36">
    <sortCondition ref="V4:V36"/>
  </sortState>
  <tableColumns count="1">
    <tableColumn id="1" xr3:uid="{AF14FE7A-A899-43F9-A3C0-8119863088B1}" name="AnálisisBAK" dataDxfId="113"/>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F6A45780-86A0-4428-88DB-1A555C4970E6}" name="Tabla3966" displayName="Tabla3966" ref="W3:W63" totalsRowShown="0" headerRowDxfId="112" dataDxfId="111">
  <autoFilter ref="W3:W63" xr:uid="{F6A45780-86A0-4428-88DB-1A555C4970E6}"/>
  <sortState xmlns:xlrd2="http://schemas.microsoft.com/office/spreadsheetml/2017/richdata2" ref="W4:W63">
    <sortCondition ref="W4:W63"/>
  </sortState>
  <tableColumns count="1">
    <tableColumn id="1" xr3:uid="{8D1F3CAA-A929-411E-B3AB-90C77CB5BC14}" name="SíntesisBAK" dataDxfId="110"/>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3245156A-EE8E-4F9F-B3E3-F1F013A29E6E}" name="Tabla4067" displayName="Tabla4067" ref="X3:X66" totalsRowShown="0" headerRowDxfId="109" dataDxfId="108">
  <autoFilter ref="X3:X66" xr:uid="{3245156A-EE8E-4F9F-B3E3-F1F013A29E6E}"/>
  <sortState xmlns:xlrd2="http://schemas.microsoft.com/office/spreadsheetml/2017/richdata2" ref="X4:X66">
    <sortCondition ref="X4:X66"/>
  </sortState>
  <tableColumns count="1">
    <tableColumn id="1" xr3:uid="{D08EDAAB-166E-48F7-9B09-46F65D2F2270}" name="EvaluaciónBAK" dataDxfId="107"/>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0C46EE9B-0911-4522-BB5D-1931406AB4AB}" name="Tabla1168" displayName="Tabla1168" ref="Y3:Y52" totalsRowShown="0" headerRowDxfId="106" dataDxfId="105">
  <autoFilter ref="Y3:Y52" xr:uid="{0C46EE9B-0911-4522-BB5D-1931406AB4AB}"/>
  <tableColumns count="1">
    <tableColumn id="1" xr3:uid="{CDE7758F-9A83-44EB-B2E4-CC670F5593B8}" name="ImitaciónBAK" dataDxfId="104"/>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300A78DD-9219-4A2F-A2DA-93669B9B6AF3}" name="Tabla3069" displayName="Tabla3069" ref="Z3:Z40" totalsRowShown="0" headerRowDxfId="103" dataDxfId="102">
  <autoFilter ref="Z3:Z40" xr:uid="{300A78DD-9219-4A2F-A2DA-93669B9B6AF3}"/>
  <tableColumns count="1">
    <tableColumn id="1" xr3:uid="{3C407CCE-B486-4656-BA81-116BE1090143}" name="ManipulaciónBAK" dataDxfId="101"/>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6877FA86-1F49-4E2D-9448-AFF0346B8BB8}" name="Tabla4170" displayName="Tabla4170" ref="AA3:AA70" totalsRowShown="0" headerRowDxfId="100" dataDxfId="99">
  <autoFilter ref="AA3:AA70" xr:uid="{6877FA86-1F49-4E2D-9448-AFF0346B8BB8}"/>
  <tableColumns count="1">
    <tableColumn id="1" xr3:uid="{D21AF291-1BAF-43EA-AFD3-DAFB2D955E09}" name="PrecisiónBAK" dataDxfId="98"/>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FD38FA61-1361-4EA5-A764-8E58B96581E9}" name="Tabla4271" displayName="Tabla4271" ref="AB3:AB62" totalsRowShown="0" headerRowDxfId="97" dataDxfId="96">
  <autoFilter ref="AB3:AB62" xr:uid="{FD38FA61-1361-4EA5-A764-8E58B96581E9}"/>
  <tableColumns count="1">
    <tableColumn id="1" xr3:uid="{982D722A-3D7A-4AAD-A2DF-5EE8DF5E4D9D}" name="ControlBAK" dataDxfId="95"/>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503448E5-D0D5-4B82-B461-0CD544CE9D23}" name="Tabla4372" displayName="Tabla4372" ref="AC3:AC43" totalsRowShown="0" headerRowDxfId="94" dataDxfId="93">
  <autoFilter ref="AC3:AC43" xr:uid="{503448E5-D0D5-4B82-B461-0CD544CE9D23}"/>
  <tableColumns count="1">
    <tableColumn id="1" xr3:uid="{03441D59-E383-407F-99E2-74596636CEF0}" name="PercepciónBAK" dataDxfId="92"/>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08B46976-D2F4-4AEA-B0BA-6ECF06521BA8}" name="Tabla4473" displayName="Tabla4473" ref="AD3:AD34" totalsRowShown="0" headerRowDxfId="91" dataDxfId="90">
  <autoFilter ref="AD3:AD34" xr:uid="{08B46976-D2F4-4AEA-B0BA-6ECF06521BA8}"/>
  <tableColumns count="1">
    <tableColumn id="1" xr3:uid="{0C49A45E-6C59-4AAB-BD6C-F53324766649}" name="ResponderBAK" dataDxfId="89"/>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49448539-0C4F-43C9-9924-5A219B16757C}" name="Tabla4574" displayName="Tabla4574" ref="AE3:AE38" totalsRowShown="0" headerRowDxfId="88" dataDxfId="87">
  <autoFilter ref="AE3:AE38" xr:uid="{49448539-0C4F-43C9-9924-5A219B16757C}"/>
  <tableColumns count="1">
    <tableColumn id="1" xr3:uid="{E2890547-6570-4474-811E-70109D5F5465}" name="ValorarBAK" dataDxfId="86"/>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21E76DB2-0E8B-466D-A413-2ABD524DDEEA}" name="Tabla4675" displayName="Tabla4675" ref="AF3:AF29" totalsRowShown="0" headerRowDxfId="85" dataDxfId="84">
  <autoFilter ref="AF3:AF29" xr:uid="{21E76DB2-0E8B-466D-A413-2ABD524DDEEA}"/>
  <tableColumns count="1">
    <tableColumn id="1" xr3:uid="{674DA899-A4D0-4618-B839-C8613BA61338}" name="OrganizarBAK" dataDxfId="83"/>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835318B2-CEAD-4A84-8E6B-21115489F3F9}" name="Tabla4776" displayName="Tabla4776" ref="AG3:AG29" totalsRowShown="0" headerRowDxfId="82" dataDxfId="81">
  <autoFilter ref="AG3:AG29" xr:uid="{835318B2-CEAD-4A84-8E6B-21115489F3F9}"/>
  <tableColumns count="1">
    <tableColumn id="1" xr3:uid="{C98AB4FD-C9CE-4966-B509-E36C390C09C7}" name="CaracterizarBAK" dataDxfId="80"/>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9E4643CC-87B6-4485-9E83-A8ED35E11905}" name="Tabla354977" displayName="Tabla354977" ref="L3:L45" totalsRowShown="0" headerRowDxfId="79" dataDxfId="78">
  <autoFilter ref="L3:L45" xr:uid="{9E4643CC-87B6-4485-9E83-A8ED35E11905}"/>
  <sortState xmlns:xlrd2="http://schemas.microsoft.com/office/spreadsheetml/2017/richdata2" ref="L4:L45">
    <sortCondition ref="L4:L45"/>
  </sortState>
  <tableColumns count="1">
    <tableColumn id="1" xr3:uid="{29725637-71B1-4F7E-96A8-CB90D5C646B2}" name="ConocimientoB" dataDxfId="77"/>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C726BD4C-A167-44A9-8F1B-6936952A7A59}" name="Tabla365078" displayName="Tabla365078" ref="M3:M42" totalsRowShown="0" headerRowDxfId="76" dataDxfId="75">
  <autoFilter ref="M3:M42" xr:uid="{C726BD4C-A167-44A9-8F1B-6936952A7A59}"/>
  <sortState xmlns:xlrd2="http://schemas.microsoft.com/office/spreadsheetml/2017/richdata2" ref="M4:M42">
    <sortCondition ref="M4:M42"/>
  </sortState>
  <tableColumns count="1">
    <tableColumn id="1" xr3:uid="{302CEF3F-D9B7-44E2-B341-CAA4B0E1BEB1}" name="ComprensiónB" dataDxfId="74"/>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85965F80-D722-4217-9624-BAE055366227}" name="Tabla375179" displayName="Tabla375179" ref="N3:N43" totalsRowShown="0" headerRowDxfId="73" dataDxfId="72">
  <autoFilter ref="N3:N43" xr:uid="{85965F80-D722-4217-9624-BAE055366227}"/>
  <sortState xmlns:xlrd2="http://schemas.microsoft.com/office/spreadsheetml/2017/richdata2" ref="N4:N43">
    <sortCondition ref="N4:N43"/>
  </sortState>
  <tableColumns count="1">
    <tableColumn id="1" xr3:uid="{8CDFD0B2-187A-490F-B898-52C789C626A8}" name="AplicaciónB" dataDxfId="71"/>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 xr:uid="{4F44782F-9CE2-445E-8EAA-F5D6BC4CE9FF}" name="Tabla385280" displayName="Tabla385280" ref="O3:O36" totalsRowShown="0" headerRowDxfId="70" dataDxfId="69">
  <autoFilter ref="O3:O36" xr:uid="{4F44782F-9CE2-445E-8EAA-F5D6BC4CE9FF}"/>
  <sortState xmlns:xlrd2="http://schemas.microsoft.com/office/spreadsheetml/2017/richdata2" ref="O4:O36">
    <sortCondition ref="O4:O36"/>
  </sortState>
  <tableColumns count="1">
    <tableColumn id="1" xr3:uid="{7941CE9F-DC23-4AFF-A5EC-374F0F21BBEB}" name="AnálisisB" dataDxfId="68"/>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8357A631-F2AC-40DB-8ACA-80F00DED06A3}" name="Tabla395381" displayName="Tabla395381" ref="P3:P63" totalsRowShown="0" headerRowDxfId="67" dataDxfId="66">
  <autoFilter ref="P3:P63" xr:uid="{8357A631-F2AC-40DB-8ACA-80F00DED06A3}"/>
  <sortState xmlns:xlrd2="http://schemas.microsoft.com/office/spreadsheetml/2017/richdata2" ref="P4:P63">
    <sortCondition ref="P4:P63"/>
  </sortState>
  <tableColumns count="1">
    <tableColumn id="1" xr3:uid="{E9C49887-DB96-4751-9494-F1CFAE7E02AD}" name="SíntesisB" dataDxfId="65"/>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 xr:uid="{141F631B-4F40-430C-9880-8A1F264F50D0}" name="Tabla405482" displayName="Tabla405482" ref="Q3:Q66" totalsRowShown="0" headerRowDxfId="64" dataDxfId="63">
  <autoFilter ref="Q3:Q66" xr:uid="{141F631B-4F40-430C-9880-8A1F264F50D0}"/>
  <sortState xmlns:xlrd2="http://schemas.microsoft.com/office/spreadsheetml/2017/richdata2" ref="Q4:Q66">
    <sortCondition ref="Q4:Q66"/>
  </sortState>
  <tableColumns count="1">
    <tableColumn id="1" xr3:uid="{42FB5979-4CFB-474A-948A-4C9E2A15A2FA}" name="EvaluaciónB" dataDxfId="62"/>
  </tableColumns>
  <tableStyleInfo name="TableStyleMedium2"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7" xr:uid="{284779C2-7F70-4C90-85C0-9E3404733D87}" name="Tabla6088" displayName="Tabla6088" ref="E3:E6" totalsRowShown="0" headerRowDxfId="61" dataDxfId="60">
  <autoFilter ref="E3:E6" xr:uid="{284779C2-7F70-4C90-85C0-9E3404733D87}"/>
  <tableColumns count="1">
    <tableColumn id="1" xr3:uid="{CE47A420-A4CC-4416-8E2B-4A40C2078194}" name="AK" dataDxfId="59"/>
  </tableColumns>
  <tableStyleInfo name="Estilo de tabla 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6" xr:uid="{0359C141-9677-47C3-845D-242D3C20A7BD}" name="Tabla5987" displayName="Tabla5987" ref="D3:D7" totalsRowShown="0" headerRowDxfId="58" dataDxfId="57">
  <autoFilter ref="D3:D7" xr:uid="{0359C141-9677-47C3-845D-242D3C20A7BD}"/>
  <tableColumns count="1">
    <tableColumn id="1" xr3:uid="{027F3234-EBF7-434A-A95C-3D90248F7600}" name="LK" dataDxfId="56"/>
  </tableColumns>
  <tableStyleInfo name="Estilo de tabla 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 xr:uid="{60F5C8CF-3F5B-45A8-90A3-91960BC0CC3F}" name="Tabla5886" displayName="Tabla5886" ref="C3:C6" totalsRowShown="0" headerRowDxfId="55" dataDxfId="54">
  <autoFilter ref="C3:C6" xr:uid="{60F5C8CF-3F5B-45A8-90A3-91960BC0CC3F}"/>
  <tableColumns count="1">
    <tableColumn id="1" xr3:uid="{7261A279-5B41-48E2-A232-E66D4B2C997C}" name="BAK" dataDxfId="53"/>
  </tableColumns>
  <tableStyleInfo name="Estilo de tabla 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 xr:uid="{46409B6B-E133-4AC9-A20A-4A73C6DBD813}" name="Tabla5785" displayName="Tabla5785" ref="I3:I9" totalsRowShown="0" headerRowDxfId="52" dataDxfId="51">
  <autoFilter ref="I3:I9" xr:uid="{46409B6B-E133-4AC9-A20A-4A73C6DBD813}"/>
  <tableColumns count="1">
    <tableColumn id="1" xr3:uid="{12B3014A-6B1D-4C6D-9FA4-0161E9656EA6}" name="ActitudinalB" dataDxfId="50"/>
  </tableColumns>
  <tableStyleInfo name="Estilo de tabla 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3" xr:uid="{4FBECC47-261F-41D0-B554-ADEA02FBDD3E}" name="Tabla5684" displayName="Tabla5684" ref="H3:H9" totalsRowShown="0" headerRowDxfId="49" dataDxfId="48">
  <autoFilter ref="H3:H9" xr:uid="{4FBECC47-261F-41D0-B554-ADEA02FBDD3E}"/>
  <tableColumns count="1">
    <tableColumn id="1" xr3:uid="{D263AD73-E936-424B-80A9-E791CCE4D60C}" name="ProcedimentalB" dataDxfId="47"/>
  </tableColumns>
  <tableStyleInfo name="Estilo de tabla 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2" xr:uid="{E7A59938-F7EA-457A-87F1-AA0873A8FDA8}" name="Tabla5583" displayName="Tabla5583" ref="G3:G9" totalsRowShown="0" headerRowDxfId="46" dataDxfId="45">
  <autoFilter ref="G3:G9" xr:uid="{E7A59938-F7EA-457A-87F1-AA0873A8FDA8}"/>
  <tableColumns count="1">
    <tableColumn id="1" xr3:uid="{9BE87125-AAAE-4780-B69A-FA583B2B341A}" name="CognitivoB" dataDxfId="44"/>
  </tableColumns>
  <tableStyleInfo name="Estilo de tabla 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0" xr:uid="{FB5563E9-3423-496B-A7C6-740A8638246F}" name="Tabla90" displayName="Tabla90" ref="G11:G17" totalsRowShown="0" headerRowDxfId="43" dataDxfId="42">
  <autoFilter ref="G11:G17" xr:uid="{FB5563E9-3423-496B-A7C6-740A8638246F}"/>
  <tableColumns count="1">
    <tableColumn id="1" xr3:uid="{D2F8054E-C594-43A9-96F5-5294D078E620}" name="HechosLK" dataDxfId="41"/>
  </tableColumns>
  <tableStyleInfo name="Estilo de tabla 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1" xr:uid="{5235961D-4B2F-4CB8-AC75-46CF8A859099}" name="Tabla91" displayName="Tabla91" ref="H11:H17" totalsRowShown="0" headerRowDxfId="40" dataDxfId="39">
  <autoFilter ref="H11:H17" xr:uid="{5235961D-4B2F-4CB8-AC75-46CF8A859099}"/>
  <tableColumns count="1">
    <tableColumn id="1" xr3:uid="{DF3A0232-2B49-4FF7-B62E-7F56B2A16095}" name="ConceptosLK" dataDxfId="38"/>
  </tableColumns>
  <tableStyleInfo name="Estilo de tabla 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2" xr:uid="{74EFBE03-70FE-4E61-AF1A-7CAE74394FB0}" name="Tabla92" displayName="Tabla92" ref="I11:I17" totalsRowShown="0" headerRowDxfId="37" dataDxfId="36">
  <autoFilter ref="I11:I17" xr:uid="{74EFBE03-70FE-4E61-AF1A-7CAE74394FB0}"/>
  <tableColumns count="1">
    <tableColumn id="1" xr3:uid="{02D20833-4DB8-415C-A919-A0178DA3CC95}" name="ProcedimientosLK" dataDxfId="35"/>
  </tableColumns>
  <tableStyleInfo name="Estilo de tabla 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3" xr:uid="{01D445B2-006B-45B1-9326-AB65B144ABD8}" name="Tabla93" displayName="Tabla93" ref="J11:J17" totalsRowShown="0" headerRowDxfId="34" dataDxfId="33">
  <autoFilter ref="J11:J17" xr:uid="{01D445B2-006B-45B1-9326-AB65B144ABD8}"/>
  <tableColumns count="1">
    <tableColumn id="1" xr3:uid="{B548BB39-2B40-4E98-AE24-D564B24A0831}" name="MetacogniciónLK" dataDxfId="32"/>
  </tableColumns>
  <tableStyleInfo name="Estilo de tabla 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4" xr:uid="{8F99EDF7-BECB-4CB8-94CB-15DEF8DBE8E0}" name="Tabla94" displayName="Tabla94" ref="G19:G25" totalsRowShown="0" headerRowDxfId="31" dataDxfId="30">
  <autoFilter ref="G19:G25" xr:uid="{8F99EDF7-BECB-4CB8-94CB-15DEF8DBE8E0}"/>
  <tableColumns count="1">
    <tableColumn id="1" xr3:uid="{995D4B7F-2557-48EF-AE97-D4FE09E63D59}" name="InformaciónAK" dataDxfId="29"/>
  </tableColumns>
  <tableStyleInfo name="Estilo de tabla 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5" xr:uid="{DFB0C1EA-F7F7-4443-9626-BCD7D06ACAA7}" name="Tabla95" displayName="Tabla95" ref="H19:H25" totalsRowShown="0" headerRowDxfId="28" dataDxfId="27">
  <autoFilter ref="H19:H25" xr:uid="{DFB0C1EA-F7F7-4443-9626-BCD7D06ACAA7}"/>
  <tableColumns count="1">
    <tableColumn id="1" xr3:uid="{977268A2-A618-4E2F-BE67-44E018AA2B3D}" name="ProcesosAK" dataDxfId="26"/>
  </tableColumns>
  <tableStyleInfo name="Estilo de tabla 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6" xr:uid="{AC2042AB-A078-4FDF-91CA-322668C40EBE}" name="Tabla96" displayName="Tabla96" ref="I19:I25" totalsRowShown="0" headerRowDxfId="25" dataDxfId="24">
  <autoFilter ref="I19:I25" xr:uid="{AC2042AB-A078-4FDF-91CA-322668C40EBE}"/>
  <tableColumns count="1">
    <tableColumn id="1" xr3:uid="{AAE35896-9168-4715-8D56-25997B0AB9C8}" name="PsicomotorAK" dataDxfId="23"/>
  </tableColumns>
  <tableStyleInfo name="Estilo de tabla 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538ED7E5-6B58-402B-94DF-D07C13DE2D9E}" name="Tabla97" displayName="Tabla97" ref="AT4:AT28" totalsRowShown="0" headerRowDxfId="22" dataDxfId="21" tableBorderDxfId="20">
  <autoFilter ref="AT4:AT28" xr:uid="{538ED7E5-6B58-402B-94DF-D07C13DE2D9E}"/>
  <sortState xmlns:xlrd2="http://schemas.microsoft.com/office/spreadsheetml/2017/richdata2" ref="AT5:AT28">
    <sortCondition ref="AT5:AT28"/>
  </sortState>
  <tableColumns count="1">
    <tableColumn id="1" xr3:uid="{BBBA71C3-D37D-42D2-B57F-3792E560AED8}" name="RecuperaciónAK" dataDxfId="19"/>
  </tableColumns>
  <tableStyleInfo name="TableStyleMedium2"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0217E0C4-2DD9-4417-BE26-3FF0FF3F395D}" name="Tabla98" displayName="Tabla98" ref="AU4:AU56" totalsRowShown="0" headerRowDxfId="18" dataDxfId="17">
  <autoFilter ref="AU4:AU56" xr:uid="{0217E0C4-2DD9-4417-BE26-3FF0FF3F395D}"/>
  <sortState xmlns:xlrd2="http://schemas.microsoft.com/office/spreadsheetml/2017/richdata2" ref="AU5:AU56">
    <sortCondition ref="AU5:AU56"/>
  </sortState>
  <tableColumns count="1">
    <tableColumn id="1" xr3:uid="{EEF7A2C9-904A-475E-B946-D75F88E5CF1A}" name="ComprensiónAK" dataDxfId="16"/>
  </tableColumns>
  <tableStyleInfo name="TableStyleMedium2"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9" xr:uid="{522023D2-447B-4863-8827-33272C577B77}" name="Tabla99" displayName="Tabla99" ref="AV4:AV108" totalsRowShown="0" headerRowDxfId="15" dataDxfId="14" tableBorderDxfId="13">
  <autoFilter ref="AV4:AV108" xr:uid="{522023D2-447B-4863-8827-33272C577B77}"/>
  <sortState xmlns:xlrd2="http://schemas.microsoft.com/office/spreadsheetml/2017/richdata2" ref="AV5:AV108">
    <sortCondition ref="AV5:AV108"/>
  </sortState>
  <tableColumns count="1">
    <tableColumn id="1" xr3:uid="{9344A526-D889-455B-8393-6E992E4F8707}" name="AnálisisAK" dataDxfId="12"/>
  </tableColumns>
  <tableStyleInfo name="TableStyleMedium2"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0" xr:uid="{6AB46F11-6BD0-4EBD-B99F-F1D1FC283558}" name="Tabla100" displayName="Tabla100" ref="AW4:AW70" totalsRowShown="0" headerRowDxfId="11" dataDxfId="10" tableBorderDxfId="9">
  <autoFilter ref="AW4:AW70" xr:uid="{6AB46F11-6BD0-4EBD-B99F-F1D1FC283558}"/>
  <sortState xmlns:xlrd2="http://schemas.microsoft.com/office/spreadsheetml/2017/richdata2" ref="AW5:AW70">
    <sortCondition ref="AW5:AW70"/>
  </sortState>
  <tableColumns count="1">
    <tableColumn id="1" xr3:uid="{9B864D54-9851-4B93-B3C8-06FA6FD5E1D3}" name="UsoConocimientoAK" dataDxfId="8"/>
  </tableColumns>
  <tableStyleInfo name="TableStyleMedium2"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1" xr:uid="{5C094C7C-8551-4EC0-B36D-BC7DA6369C48}" name="Tabla101" displayName="Tabla101" ref="AX4:AX92" totalsRowShown="0" headerRowDxfId="7" dataDxfId="6" tableBorderDxfId="5">
  <autoFilter ref="AX4:AX92" xr:uid="{5C094C7C-8551-4EC0-B36D-BC7DA6369C48}"/>
  <sortState xmlns:xlrd2="http://schemas.microsoft.com/office/spreadsheetml/2017/richdata2" ref="AX5:AX92">
    <sortCondition ref="AX5:AX92"/>
  </sortState>
  <tableColumns count="1">
    <tableColumn id="1" xr3:uid="{02A922E1-8BFE-426F-8C44-897F7B4F7498}" name="MetacogniciónAK" dataDxfId="4"/>
  </tableColumns>
  <tableStyleInfo name="TableStyleMedium2"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E028CBBA-0913-46A4-9A7A-1484F73BB293}" name="Tabla11" displayName="Tabla11" ref="AY4:AY87" totalsRowShown="0" headerRowDxfId="3" dataDxfId="2" tableBorderDxfId="1">
  <autoFilter ref="AY4:AY87" xr:uid="{E028CBBA-0913-46A4-9A7A-1484F73BB293}"/>
  <tableColumns count="1">
    <tableColumn id="1" xr3:uid="{0478638C-EFB5-452E-960C-8B4E2E4D8F5A}" name="SistemadelYoAK" dataDxfId="0"/>
  </tableColumns>
  <tableStyleInfo name="TableStyleMedium2"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3" Type="http://schemas.openxmlformats.org/officeDocument/2006/relationships/table" Target="../tables/table13.xml"/><Relationship Id="rId18" Type="http://schemas.openxmlformats.org/officeDocument/2006/relationships/table" Target="../tables/table18.xml"/><Relationship Id="rId26" Type="http://schemas.openxmlformats.org/officeDocument/2006/relationships/table" Target="../tables/table26.xml"/><Relationship Id="rId39" Type="http://schemas.openxmlformats.org/officeDocument/2006/relationships/table" Target="../tables/table39.xml"/><Relationship Id="rId21" Type="http://schemas.openxmlformats.org/officeDocument/2006/relationships/table" Target="../tables/table21.xml"/><Relationship Id="rId34" Type="http://schemas.openxmlformats.org/officeDocument/2006/relationships/table" Target="../tables/table34.xml"/><Relationship Id="rId42" Type="http://schemas.openxmlformats.org/officeDocument/2006/relationships/table" Target="../tables/table42.xml"/><Relationship Id="rId47" Type="http://schemas.openxmlformats.org/officeDocument/2006/relationships/table" Target="../tables/table47.xml"/><Relationship Id="rId7" Type="http://schemas.openxmlformats.org/officeDocument/2006/relationships/table" Target="../tables/table7.xml"/><Relationship Id="rId2" Type="http://schemas.openxmlformats.org/officeDocument/2006/relationships/table" Target="../tables/table2.xml"/><Relationship Id="rId16" Type="http://schemas.openxmlformats.org/officeDocument/2006/relationships/table" Target="../tables/table16.xml"/><Relationship Id="rId29" Type="http://schemas.openxmlformats.org/officeDocument/2006/relationships/table" Target="../tables/table29.xml"/><Relationship Id="rId11" Type="http://schemas.openxmlformats.org/officeDocument/2006/relationships/table" Target="../tables/table11.xml"/><Relationship Id="rId24" Type="http://schemas.openxmlformats.org/officeDocument/2006/relationships/table" Target="../tables/table24.xml"/><Relationship Id="rId32" Type="http://schemas.openxmlformats.org/officeDocument/2006/relationships/table" Target="../tables/table32.xml"/><Relationship Id="rId37" Type="http://schemas.openxmlformats.org/officeDocument/2006/relationships/table" Target="../tables/table37.xml"/><Relationship Id="rId40" Type="http://schemas.openxmlformats.org/officeDocument/2006/relationships/table" Target="../tables/table40.xml"/><Relationship Id="rId45" Type="http://schemas.openxmlformats.org/officeDocument/2006/relationships/table" Target="../tables/table45.xml"/><Relationship Id="rId5" Type="http://schemas.openxmlformats.org/officeDocument/2006/relationships/table" Target="../tables/table5.xml"/><Relationship Id="rId15" Type="http://schemas.openxmlformats.org/officeDocument/2006/relationships/table" Target="../tables/table15.xml"/><Relationship Id="rId23" Type="http://schemas.openxmlformats.org/officeDocument/2006/relationships/table" Target="../tables/table23.xml"/><Relationship Id="rId28" Type="http://schemas.openxmlformats.org/officeDocument/2006/relationships/table" Target="../tables/table28.xml"/><Relationship Id="rId36" Type="http://schemas.openxmlformats.org/officeDocument/2006/relationships/table" Target="../tables/table36.xml"/><Relationship Id="rId49" Type="http://schemas.openxmlformats.org/officeDocument/2006/relationships/comments" Target="../comments6.xml"/><Relationship Id="rId10" Type="http://schemas.openxmlformats.org/officeDocument/2006/relationships/table" Target="../tables/table10.xml"/><Relationship Id="rId19" Type="http://schemas.openxmlformats.org/officeDocument/2006/relationships/table" Target="../tables/table19.xml"/><Relationship Id="rId31" Type="http://schemas.openxmlformats.org/officeDocument/2006/relationships/table" Target="../tables/table31.xml"/><Relationship Id="rId44" Type="http://schemas.openxmlformats.org/officeDocument/2006/relationships/table" Target="../tables/table44.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 Id="rId22" Type="http://schemas.openxmlformats.org/officeDocument/2006/relationships/table" Target="../tables/table22.xml"/><Relationship Id="rId27" Type="http://schemas.openxmlformats.org/officeDocument/2006/relationships/table" Target="../tables/table27.xml"/><Relationship Id="rId30" Type="http://schemas.openxmlformats.org/officeDocument/2006/relationships/table" Target="../tables/table30.xml"/><Relationship Id="rId35" Type="http://schemas.openxmlformats.org/officeDocument/2006/relationships/table" Target="../tables/table35.xml"/><Relationship Id="rId43" Type="http://schemas.openxmlformats.org/officeDocument/2006/relationships/table" Target="../tables/table43.xml"/><Relationship Id="rId48" Type="http://schemas.openxmlformats.org/officeDocument/2006/relationships/table" Target="../tables/table48.xml"/><Relationship Id="rId8" Type="http://schemas.openxmlformats.org/officeDocument/2006/relationships/table" Target="../tables/table8.xml"/><Relationship Id="rId3" Type="http://schemas.openxmlformats.org/officeDocument/2006/relationships/table" Target="../tables/table3.xml"/><Relationship Id="rId12" Type="http://schemas.openxmlformats.org/officeDocument/2006/relationships/table" Target="../tables/table12.xml"/><Relationship Id="rId17" Type="http://schemas.openxmlformats.org/officeDocument/2006/relationships/table" Target="../tables/table17.xml"/><Relationship Id="rId25" Type="http://schemas.openxmlformats.org/officeDocument/2006/relationships/table" Target="../tables/table25.xml"/><Relationship Id="rId33" Type="http://schemas.openxmlformats.org/officeDocument/2006/relationships/table" Target="../tables/table33.xml"/><Relationship Id="rId38" Type="http://schemas.openxmlformats.org/officeDocument/2006/relationships/table" Target="../tables/table38.xml"/><Relationship Id="rId46" Type="http://schemas.openxmlformats.org/officeDocument/2006/relationships/table" Target="../tables/table46.xml"/><Relationship Id="rId20" Type="http://schemas.openxmlformats.org/officeDocument/2006/relationships/table" Target="../tables/table20.xml"/><Relationship Id="rId41" Type="http://schemas.openxmlformats.org/officeDocument/2006/relationships/table" Target="../tables/table41.xml"/><Relationship Id="rId1" Type="http://schemas.openxmlformats.org/officeDocument/2006/relationships/vmlDrawing" Target="../drawings/vmlDrawing6.vml"/><Relationship Id="rId6"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A7EDF-246F-4EE0-BFE4-7EACACD45C48}">
  <dimension ref="A1:K14"/>
  <sheetViews>
    <sheetView topLeftCell="A2" zoomScaleNormal="100" workbookViewId="0"/>
  </sheetViews>
  <sheetFormatPr baseColWidth="10" defaultColWidth="76.26953125" defaultRowHeight="16.5" x14ac:dyDescent="0.35"/>
  <cols>
    <col min="1" max="1" width="23.1796875" style="21" customWidth="1"/>
    <col min="2" max="2" width="17.1796875" style="21" customWidth="1"/>
    <col min="3" max="3" width="53.453125" style="21" customWidth="1"/>
    <col min="4" max="4" width="55.1796875" style="21" customWidth="1"/>
    <col min="5" max="5" width="32.1796875" style="21" customWidth="1"/>
    <col min="6" max="6" width="34" style="12" customWidth="1"/>
    <col min="7" max="7" width="51" style="21" customWidth="1"/>
    <col min="8" max="8" width="23.453125" style="21" customWidth="1"/>
    <col min="9" max="9" width="30.26953125" style="21" customWidth="1"/>
    <col min="10" max="10" width="35.26953125" style="21" customWidth="1"/>
    <col min="11" max="16384" width="76.26953125" style="21"/>
  </cols>
  <sheetData>
    <row r="1" spans="1:11" s="19" customFormat="1" ht="42.5" x14ac:dyDescent="0.35">
      <c r="A1" s="125" t="s">
        <v>0</v>
      </c>
      <c r="B1" s="125" t="s">
        <v>1</v>
      </c>
      <c r="C1" s="125" t="s">
        <v>2</v>
      </c>
      <c r="D1" s="125" t="s">
        <v>3</v>
      </c>
      <c r="E1" s="132" t="s">
        <v>4</v>
      </c>
      <c r="F1" s="132"/>
      <c r="G1" s="132"/>
      <c r="H1" s="132" t="s">
        <v>5</v>
      </c>
      <c r="I1" s="132"/>
      <c r="J1" s="132"/>
      <c r="K1" s="126" t="s">
        <v>6</v>
      </c>
    </row>
    <row r="2" spans="1:11" s="19" customFormat="1" x14ac:dyDescent="0.35">
      <c r="A2" s="127" t="s">
        <v>7</v>
      </c>
      <c r="B2" s="127" t="s">
        <v>8</v>
      </c>
      <c r="C2" s="127" t="s">
        <v>9</v>
      </c>
      <c r="D2" s="127" t="s">
        <v>10</v>
      </c>
      <c r="E2" s="128" t="s">
        <v>11</v>
      </c>
      <c r="F2" s="128" t="s">
        <v>12</v>
      </c>
      <c r="G2" s="128" t="s">
        <v>13</v>
      </c>
      <c r="H2" s="128" t="s">
        <v>14</v>
      </c>
      <c r="I2" s="128" t="s">
        <v>15</v>
      </c>
      <c r="J2" s="128" t="s">
        <v>16</v>
      </c>
      <c r="K2" s="128" t="s">
        <v>17</v>
      </c>
    </row>
    <row r="3" spans="1:11" ht="60.75" customHeight="1" x14ac:dyDescent="0.35">
      <c r="A3" s="133" t="s">
        <v>18</v>
      </c>
      <c r="B3" s="133" t="s">
        <v>19</v>
      </c>
      <c r="C3" s="133" t="s">
        <v>20</v>
      </c>
      <c r="D3" s="133" t="s">
        <v>21</v>
      </c>
      <c r="E3" s="21" t="s">
        <v>22</v>
      </c>
      <c r="F3" s="21" t="s">
        <v>23</v>
      </c>
      <c r="G3" s="21" t="s">
        <v>24</v>
      </c>
      <c r="H3" s="134" t="s">
        <v>25</v>
      </c>
      <c r="I3" s="134" t="s">
        <v>26</v>
      </c>
      <c r="J3" s="134" t="s">
        <v>27</v>
      </c>
      <c r="K3" s="131" t="s">
        <v>28</v>
      </c>
    </row>
    <row r="4" spans="1:11" ht="55" customHeight="1" x14ac:dyDescent="0.35">
      <c r="A4" s="133"/>
      <c r="B4" s="133"/>
      <c r="C4" s="133"/>
      <c r="D4" s="133"/>
      <c r="E4" s="21" t="s">
        <v>29</v>
      </c>
      <c r="F4" s="21" t="s">
        <v>30</v>
      </c>
      <c r="G4" s="21" t="s">
        <v>31</v>
      </c>
      <c r="H4" s="134"/>
      <c r="I4" s="134"/>
      <c r="J4" s="134"/>
      <c r="K4" s="131"/>
    </row>
    <row r="5" spans="1:11" ht="55" customHeight="1" thickBot="1" x14ac:dyDescent="0.4">
      <c r="A5" s="133"/>
      <c r="B5" s="133"/>
      <c r="C5" s="133"/>
      <c r="D5" s="133"/>
      <c r="E5" s="42" t="s">
        <v>32</v>
      </c>
      <c r="F5" s="42" t="s">
        <v>33</v>
      </c>
      <c r="G5" s="42" t="s">
        <v>34</v>
      </c>
      <c r="H5" s="134"/>
      <c r="I5" s="134"/>
      <c r="J5" s="134"/>
      <c r="K5" s="131"/>
    </row>
    <row r="6" spans="1:11" ht="66" x14ac:dyDescent="0.35">
      <c r="A6" s="133"/>
      <c r="B6" s="133"/>
      <c r="C6" s="133"/>
      <c r="D6" s="133"/>
      <c r="E6" s="21" t="s">
        <v>35</v>
      </c>
      <c r="F6" s="21" t="s">
        <v>36</v>
      </c>
      <c r="G6" s="20" t="s">
        <v>37</v>
      </c>
      <c r="H6" s="134"/>
      <c r="I6" s="134"/>
      <c r="J6" s="134"/>
      <c r="K6" s="131"/>
    </row>
    <row r="7" spans="1:11" x14ac:dyDescent="0.35">
      <c r="C7" s="20"/>
      <c r="H7" s="16"/>
      <c r="K7" s="91"/>
    </row>
    <row r="8" spans="1:11" x14ac:dyDescent="0.35">
      <c r="E8" s="22"/>
      <c r="F8" s="16"/>
      <c r="G8" s="22"/>
      <c r="H8" s="16"/>
    </row>
    <row r="9" spans="1:11" x14ac:dyDescent="0.35">
      <c r="E9" s="16"/>
      <c r="F9" s="16"/>
      <c r="G9" s="16"/>
      <c r="H9" s="16"/>
    </row>
    <row r="10" spans="1:11" x14ac:dyDescent="0.35">
      <c r="E10" s="22"/>
      <c r="F10" s="22"/>
      <c r="G10" s="22"/>
      <c r="H10" s="16"/>
    </row>
    <row r="11" spans="1:11" x14ac:dyDescent="0.35">
      <c r="E11" s="22"/>
      <c r="F11" s="22"/>
      <c r="G11" s="22"/>
      <c r="H11" s="16"/>
    </row>
    <row r="12" spans="1:11" x14ac:dyDescent="0.35">
      <c r="E12" s="16"/>
      <c r="F12" s="16"/>
      <c r="H12" s="16"/>
    </row>
    <row r="13" spans="1:11" x14ac:dyDescent="0.35">
      <c r="E13" s="16"/>
      <c r="F13" s="16"/>
      <c r="H13" s="16"/>
      <c r="I13" s="20"/>
    </row>
    <row r="14" spans="1:11" x14ac:dyDescent="0.35">
      <c r="E14" s="16"/>
      <c r="F14" s="16"/>
    </row>
  </sheetData>
  <mergeCells count="10">
    <mergeCell ref="K3:K6"/>
    <mergeCell ref="E1:G1"/>
    <mergeCell ref="H1:J1"/>
    <mergeCell ref="A3:A6"/>
    <mergeCell ref="B3:B6"/>
    <mergeCell ref="C3:C6"/>
    <mergeCell ref="D3:D6"/>
    <mergeCell ref="J3:J6"/>
    <mergeCell ref="I3:I6"/>
    <mergeCell ref="H3:H6"/>
  </mergeCells>
  <dataValidations count="1">
    <dataValidation allowBlank="1" showInputMessage="1" showErrorMessage="1" sqref="E8:E10 E3:E6" xr:uid="{27C591BA-C3BF-4762-98CA-55FF4063ED86}"/>
  </dataValidation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1850E-A9C8-4F69-8E80-DEAF9721FFBF}">
  <dimension ref="A1:G12"/>
  <sheetViews>
    <sheetView zoomScaleNormal="100" workbookViewId="0">
      <selection sqref="A1:G1"/>
    </sheetView>
  </sheetViews>
  <sheetFormatPr baseColWidth="10" defaultColWidth="11.453125" defaultRowHeight="16.5" x14ac:dyDescent="0.35"/>
  <cols>
    <col min="1" max="1" width="19" style="21" customWidth="1"/>
    <col min="2" max="2" width="18" style="21" customWidth="1"/>
    <col min="3" max="3" width="30.453125" style="21" customWidth="1"/>
    <col min="4" max="4" width="34" style="21" customWidth="1"/>
    <col min="5" max="5" width="56.7265625" style="21" customWidth="1"/>
    <col min="6" max="6" width="90.453125" style="21" customWidth="1"/>
    <col min="7" max="7" width="32.453125" style="21" customWidth="1"/>
    <col min="8" max="16384" width="11.453125" style="21"/>
  </cols>
  <sheetData>
    <row r="1" spans="1:7" x14ac:dyDescent="0.35">
      <c r="A1" s="135" t="s">
        <v>38</v>
      </c>
      <c r="B1" s="136"/>
      <c r="C1" s="136"/>
      <c r="D1" s="136"/>
      <c r="E1" s="136"/>
      <c r="F1" s="136"/>
      <c r="G1" s="136"/>
    </row>
    <row r="2" spans="1:7" s="30" customFormat="1" ht="52" x14ac:dyDescent="0.35">
      <c r="A2" s="107" t="s">
        <v>39</v>
      </c>
      <c r="B2" s="108" t="s">
        <v>40</v>
      </c>
      <c r="C2" s="108" t="s">
        <v>41</v>
      </c>
      <c r="D2" s="108" t="s">
        <v>42</v>
      </c>
      <c r="E2" s="108" t="s">
        <v>43</v>
      </c>
      <c r="F2" s="109" t="s">
        <v>44</v>
      </c>
      <c r="G2" s="109" t="s">
        <v>45</v>
      </c>
    </row>
    <row r="3" spans="1:7" s="33" customFormat="1" ht="33" x14ac:dyDescent="0.35">
      <c r="A3" s="110" t="s">
        <v>46</v>
      </c>
      <c r="B3" s="111" t="s">
        <v>47</v>
      </c>
      <c r="C3" s="111" t="s">
        <v>48</v>
      </c>
      <c r="D3" s="111" t="s">
        <v>49</v>
      </c>
      <c r="E3" s="111" t="s">
        <v>50</v>
      </c>
      <c r="F3" s="112" t="s">
        <v>51</v>
      </c>
      <c r="G3" s="112" t="s">
        <v>52</v>
      </c>
    </row>
    <row r="4" spans="1:7" ht="49.5" x14ac:dyDescent="0.35">
      <c r="A4" s="19">
        <v>1</v>
      </c>
      <c r="B4" s="12" t="s">
        <v>53</v>
      </c>
      <c r="C4" s="21" t="s">
        <v>22</v>
      </c>
      <c r="D4" s="20" t="s">
        <v>23</v>
      </c>
      <c r="E4" s="20" t="s">
        <v>24</v>
      </c>
      <c r="F4" s="115" t="s">
        <v>54</v>
      </c>
      <c r="G4" s="17" t="s">
        <v>55</v>
      </c>
    </row>
    <row r="5" spans="1:7" s="20" customFormat="1" ht="49.5" x14ac:dyDescent="0.35">
      <c r="A5" s="38">
        <v>2</v>
      </c>
      <c r="B5" s="20" t="s">
        <v>56</v>
      </c>
      <c r="C5" s="20" t="s">
        <v>29</v>
      </c>
      <c r="D5" s="20" t="s">
        <v>30</v>
      </c>
      <c r="E5" s="20" t="s">
        <v>31</v>
      </c>
      <c r="F5" s="16" t="s">
        <v>57</v>
      </c>
      <c r="G5" s="20" t="s">
        <v>55</v>
      </c>
    </row>
    <row r="6" spans="1:7" ht="33" x14ac:dyDescent="0.35">
      <c r="A6" s="116">
        <v>3</v>
      </c>
      <c r="B6" s="102" t="s">
        <v>58</v>
      </c>
      <c r="C6" s="101" t="s">
        <v>32</v>
      </c>
      <c r="D6" s="101" t="s">
        <v>33</v>
      </c>
      <c r="E6" s="101" t="s">
        <v>34</v>
      </c>
      <c r="F6" s="27" t="s">
        <v>59</v>
      </c>
      <c r="G6" s="21" t="s">
        <v>55</v>
      </c>
    </row>
    <row r="7" spans="1:7" ht="66" x14ac:dyDescent="0.35">
      <c r="A7" s="19">
        <v>4</v>
      </c>
      <c r="B7" s="22" t="s">
        <v>60</v>
      </c>
      <c r="C7" s="21" t="s">
        <v>35</v>
      </c>
      <c r="D7" s="21" t="s">
        <v>36</v>
      </c>
      <c r="E7" s="20" t="s">
        <v>37</v>
      </c>
      <c r="F7" s="20" t="s">
        <v>61</v>
      </c>
      <c r="G7" s="28" t="s">
        <v>62</v>
      </c>
    </row>
    <row r="8" spans="1:7" x14ac:dyDescent="0.35">
      <c r="A8" s="19"/>
      <c r="C8" s="22"/>
      <c r="D8" s="22"/>
      <c r="E8" s="22"/>
      <c r="F8" s="20"/>
    </row>
    <row r="9" spans="1:7" x14ac:dyDescent="0.35">
      <c r="A9" s="19"/>
      <c r="C9" s="22"/>
      <c r="D9" s="22"/>
      <c r="E9" s="22"/>
      <c r="F9" s="20"/>
    </row>
    <row r="10" spans="1:7" x14ac:dyDescent="0.35">
      <c r="A10" s="19"/>
      <c r="C10" s="22"/>
      <c r="D10" s="22"/>
      <c r="E10" s="22"/>
      <c r="F10" s="20"/>
    </row>
    <row r="11" spans="1:7" x14ac:dyDescent="0.35">
      <c r="A11" s="19"/>
      <c r="C11" s="22"/>
      <c r="D11" s="22"/>
      <c r="E11" s="22"/>
      <c r="F11" s="20"/>
    </row>
    <row r="12" spans="1:7" x14ac:dyDescent="0.35">
      <c r="A12" s="19"/>
      <c r="C12" s="22"/>
      <c r="D12" s="22"/>
      <c r="E12" s="22"/>
      <c r="F12" s="20"/>
    </row>
  </sheetData>
  <mergeCells count="1">
    <mergeCell ref="A1:G1"/>
  </mergeCells>
  <dataValidations count="2">
    <dataValidation type="list" allowBlank="1" showInputMessage="1" showErrorMessage="1" sqref="C4:C7" xr:uid="{296160A6-FB03-49EA-93B2-DD1CAF2E1EB2}">
      <formula1>Conocimientos</formula1>
    </dataValidation>
    <dataValidation type="list" allowBlank="1" showInputMessage="1" showErrorMessage="1" sqref="B4:B7" xr:uid="{7FF6EE86-2F70-4AF5-821E-634C08680A10}">
      <formula1>VerbosCompetencias</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A220B9CE-1396-4DA7-80A3-45F6B150EC3C}">
          <x14:formula1>
            <xm:f>'Paso1 Analisis perfil egreso'!$F$3:$F$6</xm:f>
          </x14:formula1>
          <xm:sqref>D4:D7</xm:sqref>
        </x14:dataValidation>
        <x14:dataValidation type="list" allowBlank="1" showInputMessage="1" showErrorMessage="1" xr:uid="{4F8201DA-7213-4189-A471-6A1EAE3DD9E1}">
          <x14:formula1>
            <xm:f>'Paso1 Analisis perfil egreso'!$G$3:$G$6</xm:f>
          </x14:formula1>
          <xm:sqref>E4:E7</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AF649-42F4-466A-BE11-44357078F961}">
  <dimension ref="A1:K21"/>
  <sheetViews>
    <sheetView zoomScale="80" zoomScaleNormal="80" workbookViewId="0">
      <pane ySplit="2" topLeftCell="A3" activePane="bottomLeft" state="frozen"/>
      <selection pane="bottomLeft"/>
    </sheetView>
  </sheetViews>
  <sheetFormatPr baseColWidth="10" defaultColWidth="11.453125" defaultRowHeight="16.5" x14ac:dyDescent="0.35"/>
  <cols>
    <col min="1" max="1" width="77.453125" style="16" customWidth="1"/>
    <col min="2" max="2" width="23.1796875" style="19" customWidth="1"/>
    <col min="3" max="3" width="23" style="21" customWidth="1"/>
    <col min="4" max="4" width="30.7265625" style="21" customWidth="1"/>
    <col min="5" max="5" width="25.453125" style="21" customWidth="1"/>
    <col min="6" max="6" width="21.81640625" style="21" customWidth="1"/>
    <col min="7" max="7" width="27.453125" style="12" customWidth="1"/>
    <col min="8" max="8" width="20" style="12" customWidth="1"/>
    <col min="9" max="9" width="72" style="39" customWidth="1"/>
    <col min="10" max="16384" width="11.453125" style="16"/>
  </cols>
  <sheetData>
    <row r="1" spans="1:11" s="35" customFormat="1" ht="52" x14ac:dyDescent="0.35">
      <c r="A1" s="15" t="s">
        <v>63</v>
      </c>
      <c r="B1" s="15" t="s">
        <v>64</v>
      </c>
      <c r="C1" s="29" t="s">
        <v>65</v>
      </c>
      <c r="D1" s="105" t="s">
        <v>66</v>
      </c>
      <c r="E1" s="105" t="s">
        <v>67</v>
      </c>
      <c r="F1" s="29" t="s">
        <v>68</v>
      </c>
      <c r="G1" s="29" t="s">
        <v>69</v>
      </c>
      <c r="H1" s="29" t="s">
        <v>70</v>
      </c>
      <c r="I1" s="15" t="s">
        <v>71</v>
      </c>
    </row>
    <row r="2" spans="1:11" s="37" customFormat="1" x14ac:dyDescent="0.35">
      <c r="A2" s="34" t="s">
        <v>72</v>
      </c>
      <c r="B2" s="34" t="s">
        <v>73</v>
      </c>
      <c r="C2" s="31" t="s">
        <v>74</v>
      </c>
      <c r="D2" s="106" t="s">
        <v>75</v>
      </c>
      <c r="E2" s="106" t="s">
        <v>76</v>
      </c>
      <c r="F2" s="31" t="s">
        <v>77</v>
      </c>
      <c r="G2" s="31" t="s">
        <v>78</v>
      </c>
      <c r="H2" s="31" t="s">
        <v>79</v>
      </c>
      <c r="I2" s="34" t="s">
        <v>80</v>
      </c>
    </row>
    <row r="3" spans="1:11" ht="49.5" x14ac:dyDescent="0.35">
      <c r="A3" s="21" t="s">
        <v>54</v>
      </c>
      <c r="B3" s="19">
        <v>1</v>
      </c>
      <c r="C3" s="21" t="s">
        <v>11</v>
      </c>
      <c r="D3" s="16" t="s">
        <v>22</v>
      </c>
      <c r="E3" s="16" t="s">
        <v>81</v>
      </c>
      <c r="F3" s="117" t="s">
        <v>82</v>
      </c>
      <c r="G3" s="117" t="s">
        <v>83</v>
      </c>
      <c r="H3" s="16" t="s">
        <v>84</v>
      </c>
      <c r="I3" s="20" t="s">
        <v>85</v>
      </c>
    </row>
    <row r="4" spans="1:11" ht="49.5" x14ac:dyDescent="0.5">
      <c r="A4" s="21" t="s">
        <v>54</v>
      </c>
      <c r="B4" s="19">
        <v>3</v>
      </c>
      <c r="C4" s="21" t="s">
        <v>12</v>
      </c>
      <c r="D4" s="16" t="s">
        <v>23</v>
      </c>
      <c r="E4" s="16" t="s">
        <v>81</v>
      </c>
      <c r="F4" s="117" t="s">
        <v>86</v>
      </c>
      <c r="G4" s="117" t="s">
        <v>87</v>
      </c>
      <c r="H4" s="16" t="s">
        <v>58</v>
      </c>
      <c r="I4" s="20" t="s">
        <v>88</v>
      </c>
      <c r="K4" s="64"/>
    </row>
    <row r="5" spans="1:11" ht="66" x14ac:dyDescent="0.35">
      <c r="A5" s="40" t="s">
        <v>54</v>
      </c>
      <c r="B5" s="26">
        <v>4</v>
      </c>
      <c r="C5" s="40" t="s">
        <v>13</v>
      </c>
      <c r="D5" s="27" t="s">
        <v>24</v>
      </c>
      <c r="E5" s="27" t="s">
        <v>81</v>
      </c>
      <c r="F5" s="118" t="s">
        <v>89</v>
      </c>
      <c r="G5" s="118" t="s">
        <v>90</v>
      </c>
      <c r="H5" s="27" t="s">
        <v>91</v>
      </c>
      <c r="I5" s="42" t="s">
        <v>92</v>
      </c>
    </row>
    <row r="6" spans="1:11" s="22" customFormat="1" ht="49.5" x14ac:dyDescent="0.35">
      <c r="A6" s="20" t="s">
        <v>57</v>
      </c>
      <c r="B6" s="38">
        <v>5</v>
      </c>
      <c r="C6" s="20" t="s">
        <v>11</v>
      </c>
      <c r="D6" s="16" t="s">
        <v>29</v>
      </c>
      <c r="E6" s="16" t="s">
        <v>81</v>
      </c>
      <c r="F6" s="117" t="s">
        <v>82</v>
      </c>
      <c r="G6" s="117" t="s">
        <v>93</v>
      </c>
      <c r="H6" s="16" t="s">
        <v>94</v>
      </c>
      <c r="I6" s="20" t="s">
        <v>95</v>
      </c>
    </row>
    <row r="7" spans="1:11" s="22" customFormat="1" ht="49.5" x14ac:dyDescent="0.35">
      <c r="A7" s="20" t="s">
        <v>57</v>
      </c>
      <c r="B7" s="38">
        <v>6</v>
      </c>
      <c r="C7" s="20" t="s">
        <v>12</v>
      </c>
      <c r="D7" s="16" t="s">
        <v>30</v>
      </c>
      <c r="E7" s="16" t="s">
        <v>81</v>
      </c>
      <c r="F7" s="117" t="s">
        <v>86</v>
      </c>
      <c r="G7" s="117" t="s">
        <v>96</v>
      </c>
      <c r="H7" s="16" t="s">
        <v>56</v>
      </c>
      <c r="I7" s="20" t="s">
        <v>97</v>
      </c>
    </row>
    <row r="8" spans="1:11" s="22" customFormat="1" ht="66" x14ac:dyDescent="0.35">
      <c r="A8" s="42" t="s">
        <v>57</v>
      </c>
      <c r="B8" s="43">
        <v>4</v>
      </c>
      <c r="C8" s="42" t="s">
        <v>13</v>
      </c>
      <c r="D8" s="27" t="s">
        <v>31</v>
      </c>
      <c r="E8" s="27" t="s">
        <v>81</v>
      </c>
      <c r="F8" s="118" t="s">
        <v>89</v>
      </c>
      <c r="G8" s="118" t="s">
        <v>90</v>
      </c>
      <c r="H8" s="27" t="s">
        <v>91</v>
      </c>
      <c r="I8" s="42" t="s">
        <v>92</v>
      </c>
    </row>
    <row r="9" spans="1:11" s="25" customFormat="1" ht="49.5" x14ac:dyDescent="0.35">
      <c r="A9" s="20" t="s">
        <v>59</v>
      </c>
      <c r="B9" s="38">
        <v>7</v>
      </c>
      <c r="C9" s="20" t="s">
        <v>11</v>
      </c>
      <c r="D9" s="16" t="s">
        <v>32</v>
      </c>
      <c r="E9" s="16" t="s">
        <v>81</v>
      </c>
      <c r="F9" s="117" t="s">
        <v>82</v>
      </c>
      <c r="G9" s="117" t="s">
        <v>93</v>
      </c>
      <c r="H9" s="16" t="s">
        <v>60</v>
      </c>
      <c r="I9" s="20" t="s">
        <v>98</v>
      </c>
    </row>
    <row r="10" spans="1:11" s="25" customFormat="1" ht="33" x14ac:dyDescent="0.35">
      <c r="A10" s="20" t="s">
        <v>59</v>
      </c>
      <c r="B10" s="38">
        <v>6</v>
      </c>
      <c r="C10" s="20" t="s">
        <v>12</v>
      </c>
      <c r="D10" s="16" t="s">
        <v>33</v>
      </c>
      <c r="E10" s="16" t="s">
        <v>81</v>
      </c>
      <c r="F10" s="117" t="s">
        <v>86</v>
      </c>
      <c r="G10" s="117" t="s">
        <v>96</v>
      </c>
      <c r="H10" s="16" t="s">
        <v>56</v>
      </c>
      <c r="I10" s="20" t="s">
        <v>97</v>
      </c>
    </row>
    <row r="11" spans="1:11" s="25" customFormat="1" ht="66" x14ac:dyDescent="0.35">
      <c r="A11" s="42" t="s">
        <v>59</v>
      </c>
      <c r="B11" s="43">
        <v>4</v>
      </c>
      <c r="C11" s="42" t="s">
        <v>13</v>
      </c>
      <c r="D11" s="27" t="s">
        <v>34</v>
      </c>
      <c r="E11" s="27" t="s">
        <v>81</v>
      </c>
      <c r="F11" s="118" t="s">
        <v>89</v>
      </c>
      <c r="G11" s="118" t="s">
        <v>90</v>
      </c>
      <c r="H11" s="27" t="s">
        <v>91</v>
      </c>
      <c r="I11" s="42" t="s">
        <v>92</v>
      </c>
    </row>
    <row r="12" spans="1:11" ht="49.5" x14ac:dyDescent="0.35">
      <c r="A12" s="20" t="s">
        <v>61</v>
      </c>
      <c r="B12" s="45">
        <v>2</v>
      </c>
      <c r="C12" s="20" t="s">
        <v>11</v>
      </c>
      <c r="D12" s="28" t="s">
        <v>35</v>
      </c>
      <c r="E12" s="16" t="s">
        <v>99</v>
      </c>
      <c r="F12" s="117" t="s">
        <v>100</v>
      </c>
      <c r="G12" s="117" t="s">
        <v>101</v>
      </c>
      <c r="H12" s="16" t="s">
        <v>102</v>
      </c>
      <c r="I12" s="20" t="s">
        <v>103</v>
      </c>
    </row>
    <row r="13" spans="1:11" x14ac:dyDescent="0.35">
      <c r="A13" s="20"/>
      <c r="C13" s="20"/>
      <c r="D13" s="20"/>
      <c r="E13" s="20"/>
      <c r="F13" s="20"/>
      <c r="G13" s="2"/>
      <c r="H13" s="2"/>
      <c r="I13" s="16"/>
    </row>
    <row r="14" spans="1:11" x14ac:dyDescent="0.35">
      <c r="A14" s="20"/>
      <c r="C14" s="20"/>
      <c r="D14" s="20"/>
      <c r="E14" s="20"/>
      <c r="F14" s="20"/>
      <c r="G14" s="2"/>
      <c r="H14" s="2"/>
      <c r="I14" s="16"/>
    </row>
    <row r="15" spans="1:11" x14ac:dyDescent="0.35">
      <c r="A15" s="20"/>
      <c r="C15" s="20"/>
      <c r="D15" s="20"/>
      <c r="E15" s="20"/>
      <c r="F15" s="20"/>
      <c r="G15" s="2"/>
      <c r="H15" s="2"/>
      <c r="I15" s="16"/>
    </row>
    <row r="16" spans="1:11" x14ac:dyDescent="0.35">
      <c r="A16" s="20"/>
      <c r="C16" s="20"/>
      <c r="D16" s="20"/>
      <c r="E16" s="20"/>
      <c r="F16" s="20"/>
      <c r="G16" s="2"/>
      <c r="H16" s="2"/>
      <c r="I16" s="20"/>
    </row>
    <row r="17" spans="1:9" x14ac:dyDescent="0.35">
      <c r="A17" s="20"/>
      <c r="C17" s="20"/>
      <c r="D17" s="20"/>
      <c r="E17" s="20"/>
      <c r="F17" s="20"/>
      <c r="G17" s="2"/>
      <c r="H17" s="2"/>
      <c r="I17" s="16"/>
    </row>
    <row r="18" spans="1:9" x14ac:dyDescent="0.35">
      <c r="A18" s="20"/>
      <c r="C18" s="20"/>
      <c r="D18" s="20"/>
      <c r="E18" s="20"/>
      <c r="F18" s="20"/>
      <c r="G18" s="2"/>
      <c r="H18" s="2"/>
      <c r="I18" s="20"/>
    </row>
    <row r="19" spans="1:9" x14ac:dyDescent="0.35">
      <c r="A19" s="20"/>
      <c r="C19" s="20"/>
      <c r="D19" s="20"/>
      <c r="E19" s="20"/>
      <c r="F19" s="20"/>
      <c r="G19" s="2"/>
      <c r="H19" s="2"/>
      <c r="I19" s="16"/>
    </row>
    <row r="21" spans="1:9" x14ac:dyDescent="0.5">
      <c r="A21" s="23"/>
    </row>
  </sheetData>
  <autoFilter ref="A2:I12" xr:uid="{94AAF649-42F4-466A-BE11-44357078F961}"/>
  <dataValidations count="6">
    <dataValidation type="list" allowBlank="1" showInputMessage="1" showErrorMessage="1" sqref="C3:C12" xr:uid="{3B0FAE21-4414-4928-BE47-40DBF73D85A6}">
      <formula1>dominios</formula1>
    </dataValidation>
    <dataValidation type="list" allowBlank="1" showInputMessage="1" showErrorMessage="1" sqref="H3:H12" xr:uid="{E59DFBA7-2284-4CAA-BDB2-52E79E43A9B7}">
      <formula1>INDIRECT($G3)</formula1>
    </dataValidation>
    <dataValidation type="list" allowBlank="1" showInputMessage="1" showErrorMessage="1" sqref="A3:A19" xr:uid="{1BC8411C-0029-4475-BC4D-F429B66D863D}">
      <formula1>competencias</formula1>
    </dataValidation>
    <dataValidation type="list" allowBlank="1" showInputMessage="1" showErrorMessage="1" sqref="F3:F12" xr:uid="{A480F2F5-58D6-4B8C-988F-F938D2322D04}">
      <formula1>INDIRECT($E3)</formula1>
    </dataValidation>
    <dataValidation type="list" allowBlank="1" showInputMessage="1" showErrorMessage="1" sqref="D3:D12" xr:uid="{D2786A4C-D4BE-47D1-BDF5-271CFB539CAE}">
      <formula1>INDIRECT($C3)</formula1>
    </dataValidation>
    <dataValidation type="list" allowBlank="1" showInputMessage="1" showErrorMessage="1" sqref="G3:G12" xr:uid="{8C468B6D-4397-4126-A487-185296EB7098}">
      <formula1>INDIRECT($F3)</formula1>
    </dataValidation>
  </dataValidations>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26B80-E6B4-4ED4-A764-E59AF4E18393}">
  <dimension ref="A1:F25"/>
  <sheetViews>
    <sheetView zoomScale="75" zoomScaleNormal="100" workbookViewId="0"/>
  </sheetViews>
  <sheetFormatPr baseColWidth="10" defaultColWidth="11.453125" defaultRowHeight="16.5" x14ac:dyDescent="0.35"/>
  <cols>
    <col min="1" max="1" width="98.81640625" style="12" customWidth="1"/>
    <col min="2" max="2" width="55" style="46" customWidth="1"/>
    <col min="3" max="3" width="49.1796875" style="46" customWidth="1"/>
    <col min="4" max="4" width="61.453125" style="12" customWidth="1"/>
    <col min="5" max="5" width="39.1796875" style="12" customWidth="1"/>
    <col min="6" max="6" width="47.7265625" style="12" customWidth="1"/>
    <col min="7" max="16384" width="11.453125" style="12"/>
  </cols>
  <sheetData>
    <row r="1" spans="1:6" ht="52" x14ac:dyDescent="0.35">
      <c r="A1" s="15" t="s">
        <v>104</v>
      </c>
      <c r="B1" s="15" t="s">
        <v>105</v>
      </c>
      <c r="C1" s="15" t="s">
        <v>106</v>
      </c>
      <c r="D1" s="15" t="s">
        <v>107</v>
      </c>
      <c r="E1" s="15" t="s">
        <v>108</v>
      </c>
      <c r="F1" s="15" t="s">
        <v>109</v>
      </c>
    </row>
    <row r="2" spans="1:6" ht="33" x14ac:dyDescent="0.35">
      <c r="A2" s="34" t="s">
        <v>110</v>
      </c>
      <c r="B2" s="34" t="s">
        <v>111</v>
      </c>
      <c r="C2" s="34" t="s">
        <v>112</v>
      </c>
      <c r="D2" s="34" t="s">
        <v>113</v>
      </c>
      <c r="E2" s="34" t="s">
        <v>114</v>
      </c>
      <c r="F2" s="34" t="s">
        <v>115</v>
      </c>
    </row>
    <row r="3" spans="1:6" ht="33" x14ac:dyDescent="0.35">
      <c r="A3" s="17" t="s">
        <v>88</v>
      </c>
      <c r="B3" s="137" t="s">
        <v>116</v>
      </c>
      <c r="C3" s="141" t="s">
        <v>117</v>
      </c>
      <c r="D3" s="119" t="s">
        <v>118</v>
      </c>
      <c r="E3" s="137" t="s">
        <v>119</v>
      </c>
      <c r="F3" s="17" t="s">
        <v>120</v>
      </c>
    </row>
    <row r="4" spans="1:6" ht="33" x14ac:dyDescent="0.35">
      <c r="A4" s="21" t="s">
        <v>98</v>
      </c>
      <c r="B4" s="131"/>
      <c r="C4" s="142"/>
      <c r="D4" s="120" t="s">
        <v>121</v>
      </c>
      <c r="E4" s="131"/>
      <c r="F4" s="21" t="s">
        <v>122</v>
      </c>
    </row>
    <row r="5" spans="1:6" ht="33.5" thickBot="1" x14ac:dyDescent="0.4">
      <c r="A5" s="40" t="s">
        <v>97</v>
      </c>
      <c r="B5" s="138"/>
      <c r="C5" s="143"/>
      <c r="D5" s="121" t="s">
        <v>123</v>
      </c>
      <c r="E5" s="138"/>
      <c r="F5" s="41" t="s">
        <v>124</v>
      </c>
    </row>
    <row r="6" spans="1:6" ht="33" x14ac:dyDescent="0.35">
      <c r="A6" s="44" t="s">
        <v>85</v>
      </c>
      <c r="B6" s="140" t="s">
        <v>125</v>
      </c>
      <c r="C6" s="144" t="s">
        <v>126</v>
      </c>
      <c r="D6" s="122" t="s">
        <v>118</v>
      </c>
      <c r="E6" s="140" t="s">
        <v>127</v>
      </c>
      <c r="F6" s="44" t="s">
        <v>120</v>
      </c>
    </row>
    <row r="7" spans="1:6" ht="33" x14ac:dyDescent="0.35">
      <c r="A7" s="21" t="s">
        <v>95</v>
      </c>
      <c r="B7" s="131"/>
      <c r="C7" s="142"/>
      <c r="D7" s="120" t="s">
        <v>128</v>
      </c>
      <c r="E7" s="131"/>
      <c r="F7" s="21" t="s">
        <v>122</v>
      </c>
    </row>
    <row r="8" spans="1:6" ht="50" thickBot="1" x14ac:dyDescent="0.4">
      <c r="A8" s="40" t="s">
        <v>92</v>
      </c>
      <c r="B8" s="138"/>
      <c r="C8" s="143"/>
      <c r="D8" s="121" t="s">
        <v>129</v>
      </c>
      <c r="E8" s="138"/>
      <c r="F8" s="41" t="s">
        <v>124</v>
      </c>
    </row>
    <row r="9" spans="1:6" ht="33" x14ac:dyDescent="0.35">
      <c r="A9" s="44" t="s">
        <v>85</v>
      </c>
      <c r="B9" s="140" t="s">
        <v>130</v>
      </c>
      <c r="C9" s="140" t="s">
        <v>131</v>
      </c>
      <c r="D9" s="122" t="s">
        <v>118</v>
      </c>
      <c r="E9" s="131" t="s">
        <v>132</v>
      </c>
      <c r="F9" s="44" t="s">
        <v>120</v>
      </c>
    </row>
    <row r="10" spans="1:6" ht="33" x14ac:dyDescent="0.35">
      <c r="A10" s="21" t="s">
        <v>95</v>
      </c>
      <c r="B10" s="131"/>
      <c r="C10" s="131"/>
      <c r="D10" s="120" t="s">
        <v>128</v>
      </c>
      <c r="E10" s="131"/>
      <c r="F10" s="21" t="s">
        <v>122</v>
      </c>
    </row>
    <row r="11" spans="1:6" ht="50" thickBot="1" x14ac:dyDescent="0.4">
      <c r="A11" s="40" t="s">
        <v>92</v>
      </c>
      <c r="B11" s="138"/>
      <c r="C11" s="138"/>
      <c r="D11" s="121" t="s">
        <v>123</v>
      </c>
      <c r="E11" s="139"/>
      <c r="F11" s="41" t="s">
        <v>124</v>
      </c>
    </row>
    <row r="12" spans="1:6" ht="33" x14ac:dyDescent="0.35">
      <c r="A12" s="44" t="s">
        <v>88</v>
      </c>
      <c r="B12" s="150" t="s">
        <v>133</v>
      </c>
      <c r="C12" s="150" t="s">
        <v>134</v>
      </c>
      <c r="D12" s="120" t="s">
        <v>118</v>
      </c>
      <c r="E12" s="137" t="s">
        <v>135</v>
      </c>
      <c r="F12" s="21" t="s">
        <v>120</v>
      </c>
    </row>
    <row r="13" spans="1:6" ht="33" x14ac:dyDescent="0.35">
      <c r="A13" s="21" t="s">
        <v>95</v>
      </c>
      <c r="B13" s="133"/>
      <c r="C13" s="133"/>
      <c r="D13" s="120" t="s">
        <v>128</v>
      </c>
      <c r="E13" s="131"/>
      <c r="F13" s="21" t="s">
        <v>122</v>
      </c>
    </row>
    <row r="14" spans="1:6" ht="50" thickBot="1" x14ac:dyDescent="0.4">
      <c r="A14" s="40" t="s">
        <v>92</v>
      </c>
      <c r="B14" s="149"/>
      <c r="C14" s="149"/>
      <c r="D14" s="121" t="s">
        <v>123</v>
      </c>
      <c r="E14" s="138"/>
      <c r="F14" s="41" t="s">
        <v>124</v>
      </c>
    </row>
    <row r="15" spans="1:6" ht="33" x14ac:dyDescent="0.35">
      <c r="A15" s="21" t="s">
        <v>88</v>
      </c>
      <c r="B15" s="150" t="s">
        <v>136</v>
      </c>
      <c r="C15" s="150" t="s">
        <v>137</v>
      </c>
      <c r="D15" s="122" t="s">
        <v>118</v>
      </c>
      <c r="E15" s="140" t="s">
        <v>138</v>
      </c>
      <c r="F15" s="44" t="s">
        <v>120</v>
      </c>
    </row>
    <row r="16" spans="1:6" ht="33" x14ac:dyDescent="0.35">
      <c r="A16" s="21" t="s">
        <v>98</v>
      </c>
      <c r="B16" s="133"/>
      <c r="C16" s="133"/>
      <c r="D16" s="120" t="s">
        <v>128</v>
      </c>
      <c r="E16" s="131"/>
      <c r="F16" s="21" t="s">
        <v>122</v>
      </c>
    </row>
    <row r="17" spans="1:6" ht="33.5" thickBot="1" x14ac:dyDescent="0.4">
      <c r="A17" s="40" t="s">
        <v>97</v>
      </c>
      <c r="B17" s="149"/>
      <c r="C17" s="149"/>
      <c r="D17" s="121" t="s">
        <v>123</v>
      </c>
      <c r="E17" s="138"/>
      <c r="F17" s="41" t="s">
        <v>124</v>
      </c>
    </row>
    <row r="18" spans="1:6" ht="33" x14ac:dyDescent="0.35">
      <c r="A18" s="44" t="s">
        <v>95</v>
      </c>
      <c r="B18" s="151" t="s">
        <v>139</v>
      </c>
      <c r="C18" s="140" t="s">
        <v>140</v>
      </c>
      <c r="D18" s="122" t="s">
        <v>118</v>
      </c>
      <c r="E18" s="140" t="s">
        <v>141</v>
      </c>
      <c r="F18" s="44" t="s">
        <v>120</v>
      </c>
    </row>
    <row r="19" spans="1:6" ht="49.5" x14ac:dyDescent="0.35">
      <c r="A19" s="21" t="s">
        <v>92</v>
      </c>
      <c r="B19" s="152"/>
      <c r="C19" s="131"/>
      <c r="D19" s="120" t="s">
        <v>128</v>
      </c>
      <c r="E19" s="131"/>
      <c r="F19" s="12" t="s">
        <v>122</v>
      </c>
    </row>
    <row r="20" spans="1:6" ht="33.5" thickBot="1" x14ac:dyDescent="0.4">
      <c r="A20" s="40" t="s">
        <v>85</v>
      </c>
      <c r="B20" s="153"/>
      <c r="C20" s="154"/>
      <c r="D20" s="121" t="s">
        <v>129</v>
      </c>
      <c r="E20" s="138"/>
      <c r="F20" s="41" t="s">
        <v>124</v>
      </c>
    </row>
    <row r="21" spans="1:6" ht="33" x14ac:dyDescent="0.35">
      <c r="A21" s="21" t="s">
        <v>85</v>
      </c>
      <c r="B21" s="145" t="s">
        <v>142</v>
      </c>
      <c r="C21" s="148" t="s">
        <v>143</v>
      </c>
      <c r="D21" s="122" t="s">
        <v>118</v>
      </c>
      <c r="E21" s="148" t="s">
        <v>144</v>
      </c>
      <c r="F21" s="44" t="s">
        <v>120</v>
      </c>
    </row>
    <row r="22" spans="1:6" ht="49.5" x14ac:dyDescent="0.35">
      <c r="A22" s="21" t="s">
        <v>92</v>
      </c>
      <c r="B22" s="146"/>
      <c r="C22" s="133"/>
      <c r="D22" s="120" t="s">
        <v>128</v>
      </c>
      <c r="E22" s="133"/>
      <c r="F22" s="12" t="s">
        <v>122</v>
      </c>
    </row>
    <row r="23" spans="1:6" ht="33.5" thickBot="1" x14ac:dyDescent="0.4">
      <c r="A23" s="40" t="s">
        <v>97</v>
      </c>
      <c r="B23" s="147"/>
      <c r="C23" s="149"/>
      <c r="D23" s="121" t="s">
        <v>129</v>
      </c>
      <c r="E23" s="149"/>
      <c r="F23" s="41" t="s">
        <v>124</v>
      </c>
    </row>
    <row r="24" spans="1:6" x14ac:dyDescent="0.35">
      <c r="A24" s="21"/>
    </row>
    <row r="25" spans="1:6" x14ac:dyDescent="0.35">
      <c r="A25" s="21"/>
    </row>
  </sheetData>
  <mergeCells count="21">
    <mergeCell ref="B21:B23"/>
    <mergeCell ref="C21:C23"/>
    <mergeCell ref="E12:E14"/>
    <mergeCell ref="B12:B14"/>
    <mergeCell ref="C12:C14"/>
    <mergeCell ref="B15:B17"/>
    <mergeCell ref="C15:C17"/>
    <mergeCell ref="B18:B20"/>
    <mergeCell ref="C18:C20"/>
    <mergeCell ref="E18:E20"/>
    <mergeCell ref="E15:E17"/>
    <mergeCell ref="E21:E23"/>
    <mergeCell ref="E3:E5"/>
    <mergeCell ref="E9:E11"/>
    <mergeCell ref="E6:E8"/>
    <mergeCell ref="B3:B5"/>
    <mergeCell ref="C3:C5"/>
    <mergeCell ref="B6:B8"/>
    <mergeCell ref="C6:C8"/>
    <mergeCell ref="B9:B11"/>
    <mergeCell ref="C9:C11"/>
  </mergeCells>
  <dataValidations count="1">
    <dataValidation type="list" allowBlank="1" showInputMessage="1" showErrorMessage="1" sqref="A3:A25" xr:uid="{D048ED25-334D-4F32-B2A7-D11385F03FF6}">
      <formula1>resultadoaprendizaje</formula1>
    </dataValidation>
  </dataValidations>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CB1331-AF3E-489A-B433-09E21B4DF482}">
  <dimension ref="A1:S189"/>
  <sheetViews>
    <sheetView tabSelected="1" zoomScaleNormal="100" workbookViewId="0">
      <pane ySplit="1" topLeftCell="A2" activePane="bottomLeft" state="frozen"/>
      <selection activeCell="B1" sqref="B1"/>
      <selection pane="bottomLeft"/>
    </sheetView>
  </sheetViews>
  <sheetFormatPr baseColWidth="10" defaultColWidth="58.7265625" defaultRowHeight="16" x14ac:dyDescent="0.35"/>
  <cols>
    <col min="1" max="1" width="14.453125" style="61" customWidth="1"/>
    <col min="2" max="2" width="73.453125" style="53" customWidth="1"/>
    <col min="3" max="3" width="14.26953125" style="47" customWidth="1"/>
    <col min="4" max="4" width="24.453125" style="48" customWidth="1"/>
    <col min="5" max="5" width="58.7265625" style="61" customWidth="1"/>
    <col min="6" max="6" width="18.81640625" style="47" customWidth="1"/>
    <col min="7" max="7" width="15.453125" style="47" customWidth="1"/>
    <col min="8" max="10" width="14.26953125" style="47" customWidth="1"/>
    <col min="11" max="13" width="16.7265625" style="47" customWidth="1"/>
    <col min="14" max="14" width="36" style="61" customWidth="1"/>
    <col min="15" max="15" width="40.453125" style="61" customWidth="1"/>
    <col min="16" max="16" width="45.81640625" style="61" customWidth="1"/>
    <col min="17" max="17" width="58.7265625" style="61"/>
    <col min="18" max="18" width="4.54296875" style="61" bestFit="1" customWidth="1"/>
    <col min="19" max="19" width="2.26953125" style="47" bestFit="1" customWidth="1"/>
    <col min="20" max="16384" width="58.7265625" style="47"/>
  </cols>
  <sheetData>
    <row r="1" spans="1:19" s="12" customFormat="1" ht="78" x14ac:dyDescent="0.35">
      <c r="A1" s="18" t="s">
        <v>145</v>
      </c>
      <c r="B1" s="18" t="s">
        <v>146</v>
      </c>
      <c r="C1" s="18" t="s">
        <v>147</v>
      </c>
      <c r="D1" s="18" t="s">
        <v>148</v>
      </c>
      <c r="E1" s="18" t="s">
        <v>149</v>
      </c>
      <c r="F1" s="18" t="s">
        <v>150</v>
      </c>
      <c r="G1" s="155" t="s">
        <v>151</v>
      </c>
      <c r="H1" s="155"/>
      <c r="I1" s="155"/>
      <c r="J1" s="18" t="s">
        <v>152</v>
      </c>
      <c r="K1" s="18" t="s">
        <v>153</v>
      </c>
      <c r="L1" s="18" t="s">
        <v>154</v>
      </c>
      <c r="M1" s="18" t="s">
        <v>155</v>
      </c>
      <c r="N1" s="18" t="s">
        <v>156</v>
      </c>
      <c r="O1" s="18" t="s">
        <v>157</v>
      </c>
      <c r="P1" s="18" t="s">
        <v>158</v>
      </c>
      <c r="Q1" s="18" t="s">
        <v>159</v>
      </c>
      <c r="R1" s="24"/>
    </row>
    <row r="2" spans="1:19" s="12" customFormat="1" ht="50" thickBot="1" x14ac:dyDescent="0.4">
      <c r="A2" s="123" t="s">
        <v>160</v>
      </c>
      <c r="B2" s="36" t="s">
        <v>110</v>
      </c>
      <c r="C2" s="36" t="s">
        <v>161</v>
      </c>
      <c r="D2" s="36" t="s">
        <v>162</v>
      </c>
      <c r="E2" s="36" t="s">
        <v>163</v>
      </c>
      <c r="F2" s="36" t="s">
        <v>164</v>
      </c>
      <c r="G2" s="36" t="s">
        <v>165</v>
      </c>
      <c r="H2" s="36" t="s">
        <v>166</v>
      </c>
      <c r="I2" s="36" t="s">
        <v>167</v>
      </c>
      <c r="J2" s="36" t="s">
        <v>168</v>
      </c>
      <c r="K2" s="36" t="s">
        <v>169</v>
      </c>
      <c r="L2" s="36" t="s">
        <v>170</v>
      </c>
      <c r="M2" s="36" t="s">
        <v>171</v>
      </c>
      <c r="N2" s="36" t="s">
        <v>172</v>
      </c>
      <c r="O2" s="36" t="s">
        <v>173</v>
      </c>
      <c r="P2" s="36" t="s">
        <v>174</v>
      </c>
      <c r="Q2" s="62" t="s">
        <v>175</v>
      </c>
      <c r="R2" s="24"/>
    </row>
    <row r="3" spans="1:19" s="46" customFormat="1" ht="409.5" x14ac:dyDescent="0.35">
      <c r="A3" s="100" t="str">
        <f>_xlfn.XLOOKUP(B3,'Paso 3 Redacción RA '!I$3:I$12,'Paso 3 Redacción RA '!C$3:C$12,,0,1)</f>
        <v>Saber</v>
      </c>
      <c r="B3" s="90" t="s">
        <v>103</v>
      </c>
      <c r="C3" s="70">
        <v>1</v>
      </c>
      <c r="D3" s="71" t="s">
        <v>176</v>
      </c>
      <c r="E3" s="69" t="s">
        <v>177</v>
      </c>
      <c r="F3" s="70" t="s">
        <v>178</v>
      </c>
      <c r="G3" s="70" t="s">
        <v>179</v>
      </c>
      <c r="H3" s="70"/>
      <c r="I3" s="70"/>
      <c r="J3" s="70">
        <v>3</v>
      </c>
      <c r="K3" s="70">
        <f>12*J3</f>
        <v>36</v>
      </c>
      <c r="L3" s="70">
        <f>36*J3</f>
        <v>108</v>
      </c>
      <c r="M3" s="70">
        <f>SUM(K3:L3)</f>
        <v>144</v>
      </c>
      <c r="N3" s="73" t="s">
        <v>180</v>
      </c>
      <c r="O3" s="90" t="s">
        <v>181</v>
      </c>
      <c r="P3" s="93" t="s">
        <v>182</v>
      </c>
      <c r="Q3" s="69" t="s">
        <v>183</v>
      </c>
      <c r="R3" s="24"/>
    </row>
    <row r="4" spans="1:19" s="46" customFormat="1" ht="409.6" thickBot="1" x14ac:dyDescent="0.4">
      <c r="A4" s="100" t="str">
        <f>_xlfn.XLOOKUP(B4,'Paso 3 Redacción RA '!I$3:I$12,'Paso 3 Redacción RA '!C$3:C$12,,0,1)</f>
        <v>Saber</v>
      </c>
      <c r="B4" s="90" t="s">
        <v>103</v>
      </c>
      <c r="C4" s="103">
        <v>1</v>
      </c>
      <c r="D4" s="104" t="s">
        <v>184</v>
      </c>
      <c r="E4" s="93" t="s">
        <v>185</v>
      </c>
      <c r="F4" s="104" t="s">
        <v>178</v>
      </c>
      <c r="G4" s="103" t="s">
        <v>179</v>
      </c>
      <c r="H4" s="103"/>
      <c r="I4" s="103"/>
      <c r="J4" s="103">
        <v>3</v>
      </c>
      <c r="K4" s="113">
        <f>12*J4</f>
        <v>36</v>
      </c>
      <c r="L4" s="113">
        <f>36*J4</f>
        <v>108</v>
      </c>
      <c r="M4" s="103">
        <f>SUM(K4:L4)</f>
        <v>144</v>
      </c>
      <c r="N4" s="90" t="s">
        <v>186</v>
      </c>
      <c r="O4" s="90" t="s">
        <v>181</v>
      </c>
      <c r="P4" s="90" t="s">
        <v>187</v>
      </c>
      <c r="Q4" s="90" t="s">
        <v>188</v>
      </c>
      <c r="R4" s="24"/>
    </row>
    <row r="5" spans="1:19" s="46" customFormat="1" ht="49.5" x14ac:dyDescent="0.35">
      <c r="A5" s="24" t="str">
        <f>_xlfn.XLOOKUP(B5,'Paso 3 Redacción RA '!I$3:I$12,'Paso 3 Redacción RA '!C$3:C$12,,0,1)</f>
        <v>Saber</v>
      </c>
      <c r="B5" s="16" t="s">
        <v>85</v>
      </c>
      <c r="C5" s="146">
        <v>1</v>
      </c>
      <c r="D5" s="133" t="s">
        <v>189</v>
      </c>
      <c r="E5" s="156" t="s">
        <v>190</v>
      </c>
      <c r="F5" s="146" t="s">
        <v>178</v>
      </c>
      <c r="G5" s="146"/>
      <c r="H5" s="146" t="s">
        <v>179</v>
      </c>
      <c r="I5" s="146"/>
      <c r="J5" s="146">
        <v>3</v>
      </c>
      <c r="K5" s="146">
        <f>J5*12</f>
        <v>36</v>
      </c>
      <c r="L5" s="146">
        <f>36*J5</f>
        <v>108</v>
      </c>
      <c r="M5" s="146">
        <f>SUM(K5:L5)</f>
        <v>144</v>
      </c>
      <c r="N5" s="156" t="s">
        <v>191</v>
      </c>
      <c r="O5" s="156" t="s">
        <v>192</v>
      </c>
      <c r="P5" s="158" t="s">
        <v>193</v>
      </c>
      <c r="Q5" s="156" t="s">
        <v>188</v>
      </c>
      <c r="R5" s="24"/>
    </row>
    <row r="6" spans="1:19" s="46" customFormat="1" ht="33" x14ac:dyDescent="0.35">
      <c r="A6" s="24" t="str">
        <f>_xlfn.XLOOKUP(B6,'Paso 3 Redacción RA '!I$3:I$12,'Paso 3 Redacción RA '!C$3:C$12,,0,1)</f>
        <v>Saberhacer</v>
      </c>
      <c r="B6" s="16" t="s">
        <v>88</v>
      </c>
      <c r="C6" s="146"/>
      <c r="D6" s="133"/>
      <c r="E6" s="156"/>
      <c r="F6" s="146"/>
      <c r="G6" s="146"/>
      <c r="H6" s="146"/>
      <c r="I6" s="146"/>
      <c r="J6" s="146"/>
      <c r="K6" s="146"/>
      <c r="L6" s="146"/>
      <c r="M6" s="146"/>
      <c r="N6" s="156"/>
      <c r="O6" s="156"/>
      <c r="P6" s="159"/>
      <c r="Q6" s="156"/>
      <c r="R6" s="24"/>
    </row>
    <row r="7" spans="1:19" s="46" customFormat="1" ht="33" x14ac:dyDescent="0.35">
      <c r="A7" s="92" t="str">
        <f>_xlfn.XLOOKUP(B7,'Paso 3 Redacción RA '!I$3:I$12,'Paso 3 Redacción RA '!C$3:C$12,,0,1)</f>
        <v>Saberhacer</v>
      </c>
      <c r="B7" s="27" t="s">
        <v>97</v>
      </c>
      <c r="C7" s="147"/>
      <c r="D7" s="149"/>
      <c r="E7" s="157"/>
      <c r="F7" s="147"/>
      <c r="G7" s="147"/>
      <c r="H7" s="147"/>
      <c r="I7" s="147"/>
      <c r="J7" s="147"/>
      <c r="K7" s="147"/>
      <c r="L7" s="147"/>
      <c r="M7" s="147"/>
      <c r="N7" s="157"/>
      <c r="O7" s="157"/>
      <c r="P7" s="160"/>
      <c r="Q7" s="157"/>
      <c r="R7" s="24"/>
    </row>
    <row r="8" spans="1:19" s="46" customFormat="1" ht="66" x14ac:dyDescent="0.35">
      <c r="A8" s="24" t="str">
        <f>_xlfn.XLOOKUP(B8,'Paso 3 Redacción RA '!I$3:I$12,'Paso 3 Redacción RA '!C$3:C$12,,0,1)</f>
        <v>Saberser</v>
      </c>
      <c r="B8" s="16" t="s">
        <v>92</v>
      </c>
      <c r="C8" s="161">
        <v>1</v>
      </c>
      <c r="D8" s="150" t="s">
        <v>194</v>
      </c>
      <c r="E8" s="162" t="s">
        <v>195</v>
      </c>
      <c r="F8" s="150" t="s">
        <v>178</v>
      </c>
      <c r="G8" s="150"/>
      <c r="H8" s="150" t="s">
        <v>179</v>
      </c>
      <c r="I8" s="150"/>
      <c r="J8" s="150">
        <v>2</v>
      </c>
      <c r="K8" s="150">
        <f>J8*12</f>
        <v>24</v>
      </c>
      <c r="L8" s="150">
        <f>36*J8</f>
        <v>72</v>
      </c>
      <c r="M8" s="150">
        <f>SUM(K8:L8)</f>
        <v>96</v>
      </c>
      <c r="N8" s="162" t="s">
        <v>196</v>
      </c>
      <c r="O8" s="156" t="s">
        <v>192</v>
      </c>
      <c r="P8" s="158" t="s">
        <v>197</v>
      </c>
      <c r="Q8" s="162" t="s">
        <v>188</v>
      </c>
      <c r="R8" s="24"/>
    </row>
    <row r="9" spans="1:19" s="46" customFormat="1" ht="33" x14ac:dyDescent="0.35">
      <c r="A9" s="24" t="str">
        <f>_xlfn.XLOOKUP(B9,'Paso 3 Redacción RA '!I$3:I$12,'Paso 3 Redacción RA '!C$3:C$12,,0,1)</f>
        <v>Saberhacer</v>
      </c>
      <c r="B9" s="16" t="s">
        <v>97</v>
      </c>
      <c r="C9" s="146"/>
      <c r="D9" s="133"/>
      <c r="E9" s="134"/>
      <c r="F9" s="133"/>
      <c r="G9" s="133"/>
      <c r="H9" s="133"/>
      <c r="I9" s="133"/>
      <c r="J9" s="133"/>
      <c r="K9" s="133"/>
      <c r="L9" s="133"/>
      <c r="M9" s="133"/>
      <c r="N9" s="134"/>
      <c r="O9" s="156"/>
      <c r="P9" s="159"/>
      <c r="Q9" s="134"/>
      <c r="R9" s="24"/>
    </row>
    <row r="10" spans="1:19" s="46" customFormat="1" ht="33" x14ac:dyDescent="0.35">
      <c r="A10" s="92" t="str">
        <f>_xlfn.XLOOKUP(B10,'Paso 3 Redacción RA '!I$3:I$12,'Paso 3 Redacción RA '!C$3:C$12,,0,1)</f>
        <v>Saber</v>
      </c>
      <c r="B10" s="27" t="s">
        <v>103</v>
      </c>
      <c r="C10" s="147"/>
      <c r="D10" s="149"/>
      <c r="E10" s="163"/>
      <c r="F10" s="149"/>
      <c r="G10" s="149"/>
      <c r="H10" s="149"/>
      <c r="I10" s="149"/>
      <c r="J10" s="149"/>
      <c r="K10" s="149"/>
      <c r="L10" s="149"/>
      <c r="M10" s="149"/>
      <c r="N10" s="163"/>
      <c r="O10" s="157"/>
      <c r="P10" s="160"/>
      <c r="Q10" s="163"/>
      <c r="R10" s="24"/>
    </row>
    <row r="11" spans="1:19" s="46" customFormat="1" ht="33" x14ac:dyDescent="0.35">
      <c r="A11" s="24" t="str">
        <f>_xlfn.XLOOKUP(B11,'Paso 3 Redacción RA '!I$3:I$12,'Paso 3 Redacción RA '!C$3:C$12,,0,1)</f>
        <v>Saber</v>
      </c>
      <c r="B11" s="16" t="s">
        <v>95</v>
      </c>
      <c r="C11" s="161">
        <v>1</v>
      </c>
      <c r="D11" s="150" t="s">
        <v>198</v>
      </c>
      <c r="E11" s="158" t="s">
        <v>199</v>
      </c>
      <c r="F11" s="161" t="s">
        <v>200</v>
      </c>
      <c r="G11" s="161"/>
      <c r="H11" s="161" t="s">
        <v>179</v>
      </c>
      <c r="I11" s="161"/>
      <c r="J11" s="161">
        <v>2</v>
      </c>
      <c r="K11" s="161">
        <f>J11*12</f>
        <v>24</v>
      </c>
      <c r="L11" s="161">
        <f>36*J11</f>
        <v>72</v>
      </c>
      <c r="M11" s="161">
        <f>SUM(K11:L11)</f>
        <v>96</v>
      </c>
      <c r="N11" s="158" t="s">
        <v>201</v>
      </c>
      <c r="O11" s="156" t="s">
        <v>192</v>
      </c>
      <c r="P11" s="158" t="s">
        <v>193</v>
      </c>
      <c r="Q11" s="158" t="s">
        <v>188</v>
      </c>
      <c r="R11" s="24"/>
    </row>
    <row r="12" spans="1:19" s="46" customFormat="1" ht="33" x14ac:dyDescent="0.35">
      <c r="A12" s="24" t="str">
        <f>_xlfn.XLOOKUP(B12,'Paso 3 Redacción RA '!I$3:I$12,'Paso 3 Redacción RA '!C$3:C$12,,0,1)</f>
        <v>Saberhacer</v>
      </c>
      <c r="B12" s="16" t="s">
        <v>97</v>
      </c>
      <c r="C12" s="146"/>
      <c r="D12" s="133"/>
      <c r="E12" s="159"/>
      <c r="F12" s="146"/>
      <c r="G12" s="146"/>
      <c r="H12" s="146"/>
      <c r="I12" s="146"/>
      <c r="J12" s="146"/>
      <c r="K12" s="146"/>
      <c r="L12" s="146"/>
      <c r="M12" s="146"/>
      <c r="N12" s="159"/>
      <c r="O12" s="156"/>
      <c r="P12" s="159"/>
      <c r="Q12" s="159"/>
      <c r="R12" s="24"/>
    </row>
    <row r="13" spans="1:19" s="46" customFormat="1" ht="33" x14ac:dyDescent="0.35">
      <c r="A13" s="92" t="str">
        <f>_xlfn.XLOOKUP(B13,'Paso 3 Redacción RA '!I$3:I$12,'Paso 3 Redacción RA '!C$3:C$12,,0,1)</f>
        <v>Saberhacer</v>
      </c>
      <c r="B13" s="27" t="s">
        <v>97</v>
      </c>
      <c r="C13" s="147"/>
      <c r="D13" s="149"/>
      <c r="E13" s="160"/>
      <c r="F13" s="147"/>
      <c r="G13" s="147"/>
      <c r="H13" s="147"/>
      <c r="I13" s="147"/>
      <c r="J13" s="147"/>
      <c r="K13" s="147"/>
      <c r="L13" s="147"/>
      <c r="M13" s="147"/>
      <c r="N13" s="160"/>
      <c r="O13" s="157"/>
      <c r="P13" s="160"/>
      <c r="Q13" s="160"/>
      <c r="R13" s="24"/>
    </row>
    <row r="14" spans="1:19" s="46" customFormat="1" ht="33" x14ac:dyDescent="0.35">
      <c r="A14" s="24" t="str">
        <f>_xlfn.XLOOKUP(B14,'Paso 3 Redacción RA '!I$3:I$12,'Paso 3 Redacción RA '!C$3:C$12,,0,1)</f>
        <v>Saber</v>
      </c>
      <c r="B14" s="16" t="s">
        <v>95</v>
      </c>
      <c r="C14" s="150">
        <v>1</v>
      </c>
      <c r="D14" s="150" t="s">
        <v>202</v>
      </c>
      <c r="E14" s="158" t="s">
        <v>203</v>
      </c>
      <c r="F14" s="150" t="s">
        <v>200</v>
      </c>
      <c r="G14" s="150"/>
      <c r="H14" s="150" t="s">
        <v>179</v>
      </c>
      <c r="I14" s="150"/>
      <c r="J14" s="150">
        <v>4</v>
      </c>
      <c r="K14" s="150">
        <f>J14*12</f>
        <v>48</v>
      </c>
      <c r="L14" s="150">
        <f>36*J14</f>
        <v>144</v>
      </c>
      <c r="M14" s="150">
        <f>SUM(K14:L14)</f>
        <v>192</v>
      </c>
      <c r="N14" s="158" t="s">
        <v>204</v>
      </c>
      <c r="O14" s="156" t="s">
        <v>192</v>
      </c>
      <c r="P14" s="158" t="s">
        <v>205</v>
      </c>
      <c r="Q14" s="158" t="s">
        <v>188</v>
      </c>
      <c r="R14" s="24"/>
    </row>
    <row r="15" spans="1:19" s="46" customFormat="1" ht="33" x14ac:dyDescent="0.35">
      <c r="A15" s="24" t="str">
        <f>_xlfn.XLOOKUP(B15,'Paso 3 Redacción RA '!I$3:I$12,'Paso 3 Redacción RA '!C$3:C$12,,0,1)</f>
        <v>Saberhacer</v>
      </c>
      <c r="B15" s="16" t="s">
        <v>97</v>
      </c>
      <c r="C15" s="133"/>
      <c r="D15" s="133"/>
      <c r="E15" s="159"/>
      <c r="F15" s="133"/>
      <c r="G15" s="133"/>
      <c r="H15" s="133"/>
      <c r="I15" s="133"/>
      <c r="J15" s="133"/>
      <c r="K15" s="133"/>
      <c r="L15" s="133"/>
      <c r="M15" s="133"/>
      <c r="N15" s="159"/>
      <c r="O15" s="156"/>
      <c r="P15" s="159"/>
      <c r="Q15" s="159"/>
      <c r="R15" s="24"/>
    </row>
    <row r="16" spans="1:19" s="46" customFormat="1" ht="66.5" thickBot="1" x14ac:dyDescent="0.4">
      <c r="A16" s="92" t="str">
        <f>_xlfn.XLOOKUP(B16,'Paso 3 Redacción RA '!I$3:I$12,'Paso 3 Redacción RA '!C$3:C$12,,0,1)</f>
        <v>Saberser</v>
      </c>
      <c r="B16" s="27" t="s">
        <v>92</v>
      </c>
      <c r="C16" s="149"/>
      <c r="D16" s="149"/>
      <c r="E16" s="160"/>
      <c r="F16" s="149"/>
      <c r="G16" s="149"/>
      <c r="H16" s="149"/>
      <c r="I16" s="149"/>
      <c r="J16" s="149"/>
      <c r="K16" s="149"/>
      <c r="L16" s="149"/>
      <c r="M16" s="149"/>
      <c r="N16" s="160"/>
      <c r="O16" s="157"/>
      <c r="P16" s="160"/>
      <c r="Q16" s="160"/>
      <c r="R16" s="24">
        <f>SUM(J3:J16)</f>
        <v>17</v>
      </c>
      <c r="S16" s="46">
        <f>COUNTA(D3:D16)</f>
        <v>6</v>
      </c>
    </row>
    <row r="17" spans="1:19" s="46" customFormat="1" ht="409.6" thickBot="1" x14ac:dyDescent="0.4">
      <c r="A17" s="100" t="str">
        <f>_xlfn.XLOOKUP(B17,'Paso 3 Redacción RA '!I$3:I$12,'Paso 3 Redacción RA '!C$3:C$12,,0,1)</f>
        <v>Saber</v>
      </c>
      <c r="B17" s="90" t="s">
        <v>103</v>
      </c>
      <c r="C17" s="70">
        <v>2</v>
      </c>
      <c r="D17" s="71" t="s">
        <v>206</v>
      </c>
      <c r="E17" s="69" t="s">
        <v>207</v>
      </c>
      <c r="F17" s="70" t="s">
        <v>178</v>
      </c>
      <c r="G17" s="71" t="s">
        <v>179</v>
      </c>
      <c r="H17" s="71"/>
      <c r="I17" s="71"/>
      <c r="J17" s="70">
        <v>3</v>
      </c>
      <c r="K17" s="70">
        <f>12*J17</f>
        <v>36</v>
      </c>
      <c r="L17" s="70">
        <f>36*J17</f>
        <v>108</v>
      </c>
      <c r="M17" s="70">
        <f>SUM(K17:L17)</f>
        <v>144</v>
      </c>
      <c r="N17" s="72" t="s">
        <v>208</v>
      </c>
      <c r="O17" s="93" t="s">
        <v>181</v>
      </c>
      <c r="P17" s="93" t="s">
        <v>187</v>
      </c>
      <c r="Q17" s="69" t="s">
        <v>188</v>
      </c>
      <c r="R17" s="24"/>
    </row>
    <row r="18" spans="1:19" s="46" customFormat="1" ht="49.5" x14ac:dyDescent="0.35">
      <c r="A18" s="24" t="str">
        <f>_xlfn.XLOOKUP(B18,'Paso 3 Redacción RA '!I$3:I$12,'Paso 3 Redacción RA '!C$3:C$12,,0,1)</f>
        <v>Saber</v>
      </c>
      <c r="B18" s="16" t="s">
        <v>85</v>
      </c>
      <c r="C18" s="150">
        <v>2</v>
      </c>
      <c r="D18" s="150" t="s">
        <v>209</v>
      </c>
      <c r="E18" s="158" t="s">
        <v>210</v>
      </c>
      <c r="F18" s="150" t="s">
        <v>178</v>
      </c>
      <c r="G18" s="150"/>
      <c r="H18" s="150" t="s">
        <v>179</v>
      </c>
      <c r="I18" s="150"/>
      <c r="J18" s="150">
        <v>4</v>
      </c>
      <c r="K18" s="150">
        <f>J18*12</f>
        <v>48</v>
      </c>
      <c r="L18" s="150">
        <f>36*J18</f>
        <v>144</v>
      </c>
      <c r="M18" s="150">
        <f>SUM(K18:L18)</f>
        <v>192</v>
      </c>
      <c r="N18" s="158" t="s">
        <v>211</v>
      </c>
      <c r="O18" s="158" t="s">
        <v>192</v>
      </c>
      <c r="P18" s="158" t="s">
        <v>193</v>
      </c>
      <c r="Q18" s="158" t="s">
        <v>188</v>
      </c>
      <c r="R18" s="24"/>
    </row>
    <row r="19" spans="1:19" s="46" customFormat="1" ht="33" x14ac:dyDescent="0.35">
      <c r="A19" s="24" t="str">
        <f>_xlfn.XLOOKUP(B19,'Paso 3 Redacción RA '!I$3:I$12,'Paso 3 Redacción RA '!C$3:C$12,,0,1)</f>
        <v>Saber</v>
      </c>
      <c r="B19" s="16" t="s">
        <v>95</v>
      </c>
      <c r="C19" s="133"/>
      <c r="D19" s="133"/>
      <c r="E19" s="159"/>
      <c r="F19" s="133"/>
      <c r="G19" s="133"/>
      <c r="H19" s="133"/>
      <c r="I19" s="133"/>
      <c r="J19" s="133"/>
      <c r="K19" s="133"/>
      <c r="L19" s="133"/>
      <c r="M19" s="133"/>
      <c r="N19" s="159"/>
      <c r="O19" s="159"/>
      <c r="P19" s="159"/>
      <c r="Q19" s="159"/>
      <c r="R19" s="24"/>
    </row>
    <row r="20" spans="1:19" s="46" customFormat="1" ht="66.5" thickBot="1" x14ac:dyDescent="0.4">
      <c r="A20" s="92" t="str">
        <f>_xlfn.XLOOKUP(B20,'Paso 3 Redacción RA '!I$3:I$12,'Paso 3 Redacción RA '!C$3:C$12,,0,1)</f>
        <v>Saberser</v>
      </c>
      <c r="B20" s="27" t="s">
        <v>92</v>
      </c>
      <c r="C20" s="149"/>
      <c r="D20" s="149"/>
      <c r="E20" s="160"/>
      <c r="F20" s="149"/>
      <c r="G20" s="149"/>
      <c r="H20" s="149"/>
      <c r="I20" s="149"/>
      <c r="J20" s="149"/>
      <c r="K20" s="149"/>
      <c r="L20" s="149"/>
      <c r="M20" s="149"/>
      <c r="N20" s="160"/>
      <c r="O20" s="160"/>
      <c r="P20" s="160"/>
      <c r="Q20" s="160"/>
      <c r="R20" s="24"/>
    </row>
    <row r="21" spans="1:19" s="46" customFormat="1" ht="33" x14ac:dyDescent="0.35">
      <c r="A21" s="24" t="str">
        <f>_xlfn.XLOOKUP(B21,'Paso 3 Redacción RA '!I$3:I$12,'Paso 3 Redacción RA '!C$3:C$12,,0,1)</f>
        <v>Saber</v>
      </c>
      <c r="B21" s="16" t="s">
        <v>95</v>
      </c>
      <c r="C21" s="150">
        <v>2</v>
      </c>
      <c r="D21" s="150" t="s">
        <v>212</v>
      </c>
      <c r="E21" s="158" t="s">
        <v>213</v>
      </c>
      <c r="F21" s="150" t="s">
        <v>178</v>
      </c>
      <c r="G21" s="150"/>
      <c r="H21" s="150" t="s">
        <v>179</v>
      </c>
      <c r="I21" s="150"/>
      <c r="J21" s="150">
        <v>3</v>
      </c>
      <c r="K21" s="150">
        <f>J21*12</f>
        <v>36</v>
      </c>
      <c r="L21" s="150">
        <f>36*J21</f>
        <v>108</v>
      </c>
      <c r="M21" s="150">
        <f>SUM(K21:L21)</f>
        <v>144</v>
      </c>
      <c r="N21" s="158" t="s">
        <v>214</v>
      </c>
      <c r="O21" s="158" t="s">
        <v>192</v>
      </c>
      <c r="P21" s="158" t="s">
        <v>197</v>
      </c>
      <c r="Q21" s="158" t="s">
        <v>188</v>
      </c>
      <c r="R21" s="24"/>
    </row>
    <row r="22" spans="1:19" s="46" customFormat="1" ht="33" x14ac:dyDescent="0.35">
      <c r="A22" s="24" t="str">
        <f>_xlfn.XLOOKUP(B22,'Paso 3 Redacción RA '!I$3:I$12,'Paso 3 Redacción RA '!C$3:C$12,,0,1)</f>
        <v>Saberhacer</v>
      </c>
      <c r="B22" s="16" t="s">
        <v>97</v>
      </c>
      <c r="C22" s="133"/>
      <c r="D22" s="133"/>
      <c r="E22" s="159"/>
      <c r="F22" s="133"/>
      <c r="G22" s="133"/>
      <c r="H22" s="133"/>
      <c r="I22" s="133"/>
      <c r="J22" s="133"/>
      <c r="K22" s="133"/>
      <c r="L22" s="133"/>
      <c r="M22" s="133"/>
      <c r="N22" s="159"/>
      <c r="O22" s="159"/>
      <c r="P22" s="159"/>
      <c r="Q22" s="159"/>
      <c r="R22" s="24"/>
    </row>
    <row r="23" spans="1:19" s="46" customFormat="1" ht="66.5" thickBot="1" x14ac:dyDescent="0.4">
      <c r="A23" s="92" t="str">
        <f>_xlfn.XLOOKUP(B23,'Paso 3 Redacción RA '!I$3:I$12,'Paso 3 Redacción RA '!C$3:C$12,,0,1)</f>
        <v>Saberser</v>
      </c>
      <c r="B23" s="27" t="s">
        <v>92</v>
      </c>
      <c r="C23" s="149"/>
      <c r="D23" s="149"/>
      <c r="E23" s="160"/>
      <c r="F23" s="149"/>
      <c r="G23" s="149"/>
      <c r="H23" s="149"/>
      <c r="I23" s="149"/>
      <c r="J23" s="149"/>
      <c r="K23" s="149"/>
      <c r="L23" s="149"/>
      <c r="M23" s="149"/>
      <c r="N23" s="160"/>
      <c r="O23" s="160"/>
      <c r="P23" s="160"/>
      <c r="Q23" s="160"/>
      <c r="R23" s="24"/>
    </row>
    <row r="24" spans="1:19" s="46" customFormat="1" ht="33" x14ac:dyDescent="0.35">
      <c r="A24" s="24" t="str">
        <f>_xlfn.XLOOKUP(B24,'Paso 3 Redacción RA '!I$3:I$12,'Paso 3 Redacción RA '!C$3:C$12,,0,1)</f>
        <v>Saber</v>
      </c>
      <c r="B24" s="16" t="s">
        <v>95</v>
      </c>
      <c r="C24" s="150">
        <v>2</v>
      </c>
      <c r="D24" s="150" t="s">
        <v>215</v>
      </c>
      <c r="E24" s="164" t="s">
        <v>216</v>
      </c>
      <c r="F24" s="150" t="s">
        <v>178</v>
      </c>
      <c r="G24" s="150"/>
      <c r="H24" s="150" t="s">
        <v>179</v>
      </c>
      <c r="I24" s="150"/>
      <c r="J24" s="150">
        <v>3</v>
      </c>
      <c r="K24" s="150">
        <f>J24*12</f>
        <v>36</v>
      </c>
      <c r="L24" s="150">
        <f>36*J24</f>
        <v>108</v>
      </c>
      <c r="M24" s="150">
        <f>SUM(K24:L24)</f>
        <v>144</v>
      </c>
      <c r="N24" s="158" t="s">
        <v>217</v>
      </c>
      <c r="O24" s="158" t="s">
        <v>192</v>
      </c>
      <c r="P24" s="158" t="s">
        <v>197</v>
      </c>
      <c r="Q24" s="158" t="s">
        <v>188</v>
      </c>
      <c r="R24" s="24"/>
    </row>
    <row r="25" spans="1:19" s="46" customFormat="1" ht="33" x14ac:dyDescent="0.35">
      <c r="A25" s="24" t="str">
        <f>_xlfn.XLOOKUP(B25,'Paso 3 Redacción RA '!I$3:I$12,'Paso 3 Redacción RA '!C$3:C$12,,0,1)</f>
        <v>Saberhacer</v>
      </c>
      <c r="B25" s="16" t="s">
        <v>97</v>
      </c>
      <c r="C25" s="133"/>
      <c r="D25" s="133"/>
      <c r="E25" s="165"/>
      <c r="F25" s="133"/>
      <c r="G25" s="133"/>
      <c r="H25" s="133"/>
      <c r="I25" s="133"/>
      <c r="J25" s="133"/>
      <c r="K25" s="133"/>
      <c r="L25" s="133"/>
      <c r="M25" s="133"/>
      <c r="N25" s="159"/>
      <c r="O25" s="159"/>
      <c r="P25" s="159"/>
      <c r="Q25" s="159"/>
      <c r="R25" s="24"/>
    </row>
    <row r="26" spans="1:19" s="46" customFormat="1" ht="66.5" thickBot="1" x14ac:dyDescent="0.4">
      <c r="A26" s="92" t="str">
        <f>_xlfn.XLOOKUP(B26,'Paso 3 Redacción RA '!I$3:I$12,'Paso 3 Redacción RA '!C$3:C$12,,0,1)</f>
        <v>Saberser</v>
      </c>
      <c r="B26" s="27" t="s">
        <v>92</v>
      </c>
      <c r="C26" s="149"/>
      <c r="D26" s="149"/>
      <c r="E26" s="165"/>
      <c r="F26" s="149"/>
      <c r="G26" s="149"/>
      <c r="H26" s="149"/>
      <c r="I26" s="149"/>
      <c r="J26" s="149"/>
      <c r="K26" s="149"/>
      <c r="L26" s="149"/>
      <c r="M26" s="149"/>
      <c r="N26" s="160"/>
      <c r="O26" s="160"/>
      <c r="P26" s="160"/>
      <c r="Q26" s="160"/>
      <c r="R26" s="24"/>
    </row>
    <row r="27" spans="1:19" s="46" customFormat="1" ht="33" x14ac:dyDescent="0.35">
      <c r="A27" s="24" t="str">
        <f>_xlfn.XLOOKUP(B27,'Paso 3 Redacción RA '!I$3:I$12,'Paso 3 Redacción RA '!C$3:C$12,,0,1)</f>
        <v>Saber</v>
      </c>
      <c r="B27" s="16" t="s">
        <v>95</v>
      </c>
      <c r="C27" s="150">
        <v>2</v>
      </c>
      <c r="D27" s="150" t="s">
        <v>218</v>
      </c>
      <c r="E27" s="158" t="s">
        <v>219</v>
      </c>
      <c r="F27" s="150" t="s">
        <v>178</v>
      </c>
      <c r="G27" s="150"/>
      <c r="H27" s="150" t="s">
        <v>179</v>
      </c>
      <c r="I27" s="150"/>
      <c r="J27" s="150">
        <v>4</v>
      </c>
      <c r="K27" s="150">
        <f>J27*12</f>
        <v>48</v>
      </c>
      <c r="L27" s="150">
        <f>36*J27</f>
        <v>144</v>
      </c>
      <c r="M27" s="150">
        <f>SUM(K27:L27)</f>
        <v>192</v>
      </c>
      <c r="N27" s="158" t="s">
        <v>220</v>
      </c>
      <c r="O27" s="158" t="s">
        <v>192</v>
      </c>
      <c r="P27" s="158" t="s">
        <v>193</v>
      </c>
      <c r="Q27" s="158" t="s">
        <v>188</v>
      </c>
      <c r="R27" s="24"/>
    </row>
    <row r="28" spans="1:19" s="46" customFormat="1" ht="33" x14ac:dyDescent="0.35">
      <c r="A28" s="24" t="str">
        <f>_xlfn.XLOOKUP(B28,'Paso 3 Redacción RA '!I$3:I$12,'Paso 3 Redacción RA '!C$3:C$12,,0,1)</f>
        <v>Saberhacer</v>
      </c>
      <c r="B28" s="16" t="s">
        <v>97</v>
      </c>
      <c r="C28" s="133"/>
      <c r="D28" s="133"/>
      <c r="E28" s="159"/>
      <c r="F28" s="133"/>
      <c r="G28" s="133"/>
      <c r="H28" s="133"/>
      <c r="I28" s="133"/>
      <c r="J28" s="133"/>
      <c r="K28" s="133"/>
      <c r="L28" s="133"/>
      <c r="M28" s="133"/>
      <c r="N28" s="159"/>
      <c r="O28" s="159"/>
      <c r="P28" s="159"/>
      <c r="Q28" s="159"/>
      <c r="R28" s="24"/>
    </row>
    <row r="29" spans="1:19" s="46" customFormat="1" ht="66.5" thickBot="1" x14ac:dyDescent="0.4">
      <c r="A29" s="92" t="str">
        <f>_xlfn.XLOOKUP(B29,'Paso 3 Redacción RA '!I$3:I$12,'Paso 3 Redacción RA '!C$3:C$12,,0,1)</f>
        <v>Saberser</v>
      </c>
      <c r="B29" s="27" t="s">
        <v>92</v>
      </c>
      <c r="C29" s="149"/>
      <c r="D29" s="149"/>
      <c r="E29" s="160"/>
      <c r="F29" s="149"/>
      <c r="G29" s="149"/>
      <c r="H29" s="149"/>
      <c r="I29" s="149"/>
      <c r="J29" s="149"/>
      <c r="K29" s="149"/>
      <c r="L29" s="149"/>
      <c r="M29" s="149"/>
      <c r="N29" s="160"/>
      <c r="O29" s="160"/>
      <c r="P29" s="160"/>
      <c r="Q29" s="160"/>
      <c r="R29" s="24">
        <f>SUM(J17:J29)</f>
        <v>17</v>
      </c>
      <c r="S29" s="46">
        <f>COUNTA(D17:D29)</f>
        <v>5</v>
      </c>
    </row>
    <row r="30" spans="1:19" s="46" customFormat="1" ht="363.5" thickBot="1" x14ac:dyDescent="0.4">
      <c r="A30" s="100" t="str">
        <f>_xlfn.XLOOKUP(B30,'Paso 3 Redacción RA '!I$3:I$12,'Paso 3 Redacción RA '!C$3:C$12,,0,1)</f>
        <v>Saber</v>
      </c>
      <c r="B30" s="90" t="s">
        <v>103</v>
      </c>
      <c r="C30" s="70">
        <v>3</v>
      </c>
      <c r="D30" s="71" t="s">
        <v>221</v>
      </c>
      <c r="E30" s="69" t="s">
        <v>222</v>
      </c>
      <c r="F30" s="70" t="s">
        <v>178</v>
      </c>
      <c r="G30" s="71" t="s">
        <v>179</v>
      </c>
      <c r="H30" s="71"/>
      <c r="I30" s="71"/>
      <c r="J30" s="70">
        <v>3</v>
      </c>
      <c r="K30" s="70">
        <f>12*J30</f>
        <v>36</v>
      </c>
      <c r="L30" s="70">
        <f>36*J30</f>
        <v>108</v>
      </c>
      <c r="M30" s="70">
        <f>SUM(K30:L30)</f>
        <v>144</v>
      </c>
      <c r="N30" s="69" t="s">
        <v>223</v>
      </c>
      <c r="O30" s="93" t="s">
        <v>181</v>
      </c>
      <c r="P30" s="93" t="s">
        <v>224</v>
      </c>
      <c r="Q30" s="69" t="s">
        <v>188</v>
      </c>
      <c r="R30" s="24"/>
    </row>
    <row r="31" spans="1:19" s="12" customFormat="1" ht="297.5" thickBot="1" x14ac:dyDescent="0.4">
      <c r="A31" s="100" t="str">
        <f>_xlfn.XLOOKUP(B31,'Paso 3 Redacción RA '!I$3:I$12,'Paso 3 Redacción RA '!C$3:C$12,,0,1)</f>
        <v>Saber</v>
      </c>
      <c r="B31" s="90" t="s">
        <v>103</v>
      </c>
      <c r="C31" s="74">
        <v>3</v>
      </c>
      <c r="D31" s="71" t="s">
        <v>225</v>
      </c>
      <c r="E31" s="69" t="s">
        <v>226</v>
      </c>
      <c r="F31" s="70" t="s">
        <v>178</v>
      </c>
      <c r="G31" s="70" t="s">
        <v>179</v>
      </c>
      <c r="H31" s="70"/>
      <c r="I31" s="70"/>
      <c r="J31" s="74">
        <v>3</v>
      </c>
      <c r="K31" s="70">
        <f>12*J31</f>
        <v>36</v>
      </c>
      <c r="L31" s="70">
        <f>36*J31</f>
        <v>108</v>
      </c>
      <c r="M31" s="70">
        <f>SUM(K31:L31)</f>
        <v>144</v>
      </c>
      <c r="N31" s="69" t="s">
        <v>227</v>
      </c>
      <c r="O31" s="90" t="s">
        <v>181</v>
      </c>
      <c r="P31" s="90" t="s">
        <v>228</v>
      </c>
      <c r="Q31" s="69" t="s">
        <v>188</v>
      </c>
      <c r="R31" s="24"/>
    </row>
    <row r="32" spans="1:19" s="46" customFormat="1" ht="33" x14ac:dyDescent="0.35">
      <c r="A32" s="24" t="str">
        <f>_xlfn.XLOOKUP(B32,'Paso 3 Redacción RA '!I$3:I$12,'Paso 3 Redacción RA '!C$3:C$12,,0,1)</f>
        <v>Saber</v>
      </c>
      <c r="B32" s="16" t="s">
        <v>95</v>
      </c>
      <c r="C32" s="150">
        <v>3</v>
      </c>
      <c r="D32" s="150" t="s">
        <v>229</v>
      </c>
      <c r="E32" s="158" t="s">
        <v>230</v>
      </c>
      <c r="F32" s="150" t="s">
        <v>178</v>
      </c>
      <c r="G32" s="150"/>
      <c r="H32" s="150" t="s">
        <v>179</v>
      </c>
      <c r="I32" s="150"/>
      <c r="J32" s="150">
        <v>3</v>
      </c>
      <c r="K32" s="150">
        <f>J32*12</f>
        <v>36</v>
      </c>
      <c r="L32" s="150">
        <f>36*J32</f>
        <v>108</v>
      </c>
      <c r="M32" s="150">
        <f>SUM(K32:L32)</f>
        <v>144</v>
      </c>
      <c r="N32" s="158" t="s">
        <v>231</v>
      </c>
      <c r="O32" s="158" t="s">
        <v>192</v>
      </c>
      <c r="P32" s="158" t="s">
        <v>193</v>
      </c>
      <c r="Q32" s="158" t="s">
        <v>188</v>
      </c>
      <c r="R32" s="24"/>
    </row>
    <row r="33" spans="1:19" s="46" customFormat="1" ht="33" x14ac:dyDescent="0.35">
      <c r="A33" s="24" t="str">
        <f>_xlfn.XLOOKUP(B33,'Paso 3 Redacción RA '!I$3:I$12,'Paso 3 Redacción RA '!C$3:C$12,,0,1)</f>
        <v>Saberhacer</v>
      </c>
      <c r="B33" s="16" t="s">
        <v>97</v>
      </c>
      <c r="C33" s="133"/>
      <c r="D33" s="133"/>
      <c r="E33" s="159"/>
      <c r="F33" s="133"/>
      <c r="G33" s="133"/>
      <c r="H33" s="133"/>
      <c r="I33" s="133"/>
      <c r="J33" s="133"/>
      <c r="K33" s="133"/>
      <c r="L33" s="133"/>
      <c r="M33" s="133"/>
      <c r="N33" s="159"/>
      <c r="O33" s="159"/>
      <c r="P33" s="159"/>
      <c r="Q33" s="159"/>
      <c r="R33" s="24"/>
    </row>
    <row r="34" spans="1:19" s="46" customFormat="1" ht="66" x14ac:dyDescent="0.35">
      <c r="A34" s="92" t="str">
        <f>_xlfn.XLOOKUP(B34,'Paso 3 Redacción RA '!I$3:I$12,'Paso 3 Redacción RA '!C$3:C$12,,0,1)</f>
        <v>Saberser</v>
      </c>
      <c r="B34" s="27" t="s">
        <v>92</v>
      </c>
      <c r="C34" s="149"/>
      <c r="D34" s="149"/>
      <c r="E34" s="160"/>
      <c r="F34" s="149"/>
      <c r="G34" s="149"/>
      <c r="H34" s="149"/>
      <c r="I34" s="149"/>
      <c r="J34" s="149"/>
      <c r="K34" s="149"/>
      <c r="L34" s="149"/>
      <c r="M34" s="149"/>
      <c r="N34" s="160"/>
      <c r="O34" s="160"/>
      <c r="P34" s="160"/>
      <c r="Q34" s="160"/>
      <c r="R34" s="24"/>
    </row>
    <row r="35" spans="1:19" s="46" customFormat="1" ht="49.5" x14ac:dyDescent="0.35">
      <c r="A35" s="24" t="str">
        <f>_xlfn.XLOOKUP(B35,'Paso 3 Redacción RA '!I$3:I$12,'Paso 3 Redacción RA '!C$3:C$12,,0,1)</f>
        <v>Saber</v>
      </c>
      <c r="B35" s="16" t="s">
        <v>98</v>
      </c>
      <c r="C35" s="150">
        <v>3</v>
      </c>
      <c r="D35" s="150" t="s">
        <v>232</v>
      </c>
      <c r="E35" s="158" t="s">
        <v>233</v>
      </c>
      <c r="F35" s="150" t="s">
        <v>178</v>
      </c>
      <c r="G35" s="150"/>
      <c r="H35" s="150" t="s">
        <v>179</v>
      </c>
      <c r="I35" s="150"/>
      <c r="J35" s="150">
        <v>3</v>
      </c>
      <c r="K35" s="150">
        <f>J35*12</f>
        <v>36</v>
      </c>
      <c r="L35" s="150">
        <f>36*J35</f>
        <v>108</v>
      </c>
      <c r="M35" s="150">
        <f>SUM(K35:L35)</f>
        <v>144</v>
      </c>
      <c r="N35" s="158" t="s">
        <v>234</v>
      </c>
      <c r="O35" s="158" t="s">
        <v>192</v>
      </c>
      <c r="P35" s="158" t="s">
        <v>197</v>
      </c>
      <c r="Q35" s="158" t="s">
        <v>188</v>
      </c>
      <c r="R35" s="24"/>
    </row>
    <row r="36" spans="1:19" s="46" customFormat="1" ht="33" x14ac:dyDescent="0.35">
      <c r="A36" s="24" t="str">
        <f>_xlfn.XLOOKUP(B36,'Paso 3 Redacción RA '!I$3:I$12,'Paso 3 Redacción RA '!C$3:C$12,,0,1)</f>
        <v>Saberhacer</v>
      </c>
      <c r="B36" s="16" t="s">
        <v>97</v>
      </c>
      <c r="C36" s="133"/>
      <c r="D36" s="133"/>
      <c r="E36" s="159"/>
      <c r="F36" s="133"/>
      <c r="G36" s="133"/>
      <c r="H36" s="133"/>
      <c r="I36" s="133"/>
      <c r="J36" s="133"/>
      <c r="K36" s="133"/>
      <c r="L36" s="133"/>
      <c r="M36" s="133"/>
      <c r="N36" s="159"/>
      <c r="O36" s="159"/>
      <c r="P36" s="159"/>
      <c r="Q36" s="159"/>
      <c r="R36" s="24"/>
    </row>
    <row r="37" spans="1:19" s="46" customFormat="1" ht="66" x14ac:dyDescent="0.35">
      <c r="A37" s="92" t="str">
        <f>_xlfn.XLOOKUP(B37,'Paso 3 Redacción RA '!I$3:I$12,'Paso 3 Redacción RA '!C$3:C$12,,0,1)</f>
        <v>Saberser</v>
      </c>
      <c r="B37" s="27" t="s">
        <v>92</v>
      </c>
      <c r="C37" s="149"/>
      <c r="D37" s="149"/>
      <c r="E37" s="160"/>
      <c r="F37" s="149"/>
      <c r="G37" s="149"/>
      <c r="H37" s="149"/>
      <c r="I37" s="149"/>
      <c r="J37" s="149"/>
      <c r="K37" s="149"/>
      <c r="L37" s="149"/>
      <c r="M37" s="149"/>
      <c r="N37" s="160"/>
      <c r="O37" s="160"/>
      <c r="P37" s="160"/>
      <c r="Q37" s="160"/>
      <c r="R37" s="24"/>
    </row>
    <row r="38" spans="1:19" s="46" customFormat="1" ht="33" x14ac:dyDescent="0.35">
      <c r="A38" s="24" t="str">
        <f>_xlfn.XLOOKUP(B38,'Paso 3 Redacción RA '!I$3:I$12,'Paso 3 Redacción RA '!C$3:C$12,,0,1)</f>
        <v>Saber</v>
      </c>
      <c r="B38" s="16" t="s">
        <v>95</v>
      </c>
      <c r="C38" s="150">
        <v>3</v>
      </c>
      <c r="D38" s="150" t="s">
        <v>235</v>
      </c>
      <c r="E38" s="158" t="s">
        <v>236</v>
      </c>
      <c r="F38" s="150" t="s">
        <v>178</v>
      </c>
      <c r="G38" s="150"/>
      <c r="H38" s="150" t="s">
        <v>179</v>
      </c>
      <c r="I38" s="150"/>
      <c r="J38" s="150">
        <v>3</v>
      </c>
      <c r="K38" s="150">
        <f>J38*12</f>
        <v>36</v>
      </c>
      <c r="L38" s="150">
        <f>36*J38</f>
        <v>108</v>
      </c>
      <c r="M38" s="150">
        <f>SUM(K38:L38)</f>
        <v>144</v>
      </c>
      <c r="N38" s="158" t="s">
        <v>237</v>
      </c>
      <c r="O38" s="158" t="s">
        <v>192</v>
      </c>
      <c r="P38" s="158" t="s">
        <v>197</v>
      </c>
      <c r="Q38" s="158" t="s">
        <v>188</v>
      </c>
      <c r="R38" s="24"/>
    </row>
    <row r="39" spans="1:19" s="46" customFormat="1" ht="33" x14ac:dyDescent="0.35">
      <c r="A39" s="24" t="str">
        <f>_xlfn.XLOOKUP(B39,'Paso 3 Redacción RA '!I$3:I$12,'Paso 3 Redacción RA '!C$3:C$12,,0,1)</f>
        <v>Saberhacer</v>
      </c>
      <c r="B39" s="16" t="s">
        <v>97</v>
      </c>
      <c r="C39" s="133"/>
      <c r="D39" s="133"/>
      <c r="E39" s="159"/>
      <c r="F39" s="133"/>
      <c r="G39" s="133"/>
      <c r="H39" s="133"/>
      <c r="I39" s="133"/>
      <c r="J39" s="133"/>
      <c r="K39" s="133"/>
      <c r="L39" s="133"/>
      <c r="M39" s="133"/>
      <c r="N39" s="159"/>
      <c r="O39" s="159"/>
      <c r="P39" s="159"/>
      <c r="Q39" s="159"/>
      <c r="R39" s="24"/>
    </row>
    <row r="40" spans="1:19" s="46" customFormat="1" ht="66" x14ac:dyDescent="0.35">
      <c r="A40" s="92" t="str">
        <f>_xlfn.XLOOKUP(B40,'Paso 3 Redacción RA '!I$3:I$12,'Paso 3 Redacción RA '!C$3:C$12,,0,1)</f>
        <v>Saberser</v>
      </c>
      <c r="B40" s="27" t="s">
        <v>92</v>
      </c>
      <c r="C40" s="149"/>
      <c r="D40" s="149"/>
      <c r="E40" s="160"/>
      <c r="F40" s="149"/>
      <c r="G40" s="149"/>
      <c r="H40" s="149"/>
      <c r="I40" s="149"/>
      <c r="J40" s="149"/>
      <c r="K40" s="149"/>
      <c r="L40" s="149"/>
      <c r="M40" s="149"/>
      <c r="N40" s="160"/>
      <c r="O40" s="160"/>
      <c r="P40" s="160"/>
      <c r="Q40" s="160"/>
      <c r="R40" s="24"/>
    </row>
    <row r="41" spans="1:19" s="46" customFormat="1" ht="49.5" x14ac:dyDescent="0.35">
      <c r="A41" s="24" t="str">
        <f>_xlfn.XLOOKUP(B41,'Paso 3 Redacción RA '!I$3:I$12,'Paso 3 Redacción RA '!C$3:C$12,,0,1)</f>
        <v>Saber</v>
      </c>
      <c r="B41" s="16" t="s">
        <v>85</v>
      </c>
      <c r="C41" s="150">
        <v>3</v>
      </c>
      <c r="D41" s="150" t="s">
        <v>238</v>
      </c>
      <c r="E41" s="158" t="s">
        <v>239</v>
      </c>
      <c r="F41" s="150" t="s">
        <v>178</v>
      </c>
      <c r="G41" s="150"/>
      <c r="H41" s="150" t="s">
        <v>179</v>
      </c>
      <c r="I41" s="150"/>
      <c r="J41" s="150">
        <v>3</v>
      </c>
      <c r="K41" s="150">
        <f>J41*12</f>
        <v>36</v>
      </c>
      <c r="L41" s="150">
        <f>36*J41</f>
        <v>108</v>
      </c>
      <c r="M41" s="150">
        <f>SUM(K41:L41)</f>
        <v>144</v>
      </c>
      <c r="N41" s="158" t="s">
        <v>240</v>
      </c>
      <c r="O41" s="158" t="s">
        <v>192</v>
      </c>
      <c r="P41" s="158" t="s">
        <v>193</v>
      </c>
      <c r="Q41" s="158" t="s">
        <v>188</v>
      </c>
      <c r="R41" s="24"/>
    </row>
    <row r="42" spans="1:19" s="46" customFormat="1" ht="33" x14ac:dyDescent="0.35">
      <c r="A42" s="24" t="str">
        <f>_xlfn.XLOOKUP(B42,'Paso 3 Redacción RA '!I$3:I$12,'Paso 3 Redacción RA '!C$3:C$12,,0,1)</f>
        <v>Saber</v>
      </c>
      <c r="B42" s="16" t="s">
        <v>95</v>
      </c>
      <c r="C42" s="133"/>
      <c r="D42" s="133"/>
      <c r="E42" s="159"/>
      <c r="F42" s="133"/>
      <c r="G42" s="133"/>
      <c r="H42" s="133"/>
      <c r="I42" s="133"/>
      <c r="J42" s="133"/>
      <c r="K42" s="133"/>
      <c r="L42" s="133"/>
      <c r="M42" s="133"/>
      <c r="N42" s="159"/>
      <c r="O42" s="159"/>
      <c r="P42" s="159"/>
      <c r="Q42" s="159"/>
      <c r="R42" s="24"/>
    </row>
    <row r="43" spans="1:19" s="46" customFormat="1" ht="33.5" thickBot="1" x14ac:dyDescent="0.4">
      <c r="A43" s="92" t="str">
        <f>_xlfn.XLOOKUP(B43,'Paso 3 Redacción RA '!I$3:I$12,'Paso 3 Redacción RA '!C$3:C$12,,0,1)</f>
        <v>Saberhacer</v>
      </c>
      <c r="B43" s="27" t="s">
        <v>97</v>
      </c>
      <c r="C43" s="149"/>
      <c r="D43" s="149"/>
      <c r="E43" s="160"/>
      <c r="F43" s="149"/>
      <c r="G43" s="149"/>
      <c r="H43" s="149"/>
      <c r="I43" s="149"/>
      <c r="J43" s="149"/>
      <c r="K43" s="149"/>
      <c r="L43" s="149"/>
      <c r="M43" s="149"/>
      <c r="N43" s="160"/>
      <c r="O43" s="160"/>
      <c r="P43" s="160"/>
      <c r="Q43" s="160"/>
      <c r="R43" s="24">
        <f>SUM(J30:J43)</f>
        <v>18</v>
      </c>
      <c r="S43" s="46">
        <f>COUNTA(D30:D43)</f>
        <v>6</v>
      </c>
    </row>
    <row r="44" spans="1:19" s="46" customFormat="1" ht="346.5" x14ac:dyDescent="0.35">
      <c r="A44" s="100" t="str">
        <f>_xlfn.XLOOKUP(B44,'Paso 3 Redacción RA '!I$3:I$12,'Paso 3 Redacción RA '!C$3:C$12,,0,1)</f>
        <v>Saber</v>
      </c>
      <c r="B44" s="90" t="s">
        <v>103</v>
      </c>
      <c r="C44" s="74">
        <v>4</v>
      </c>
      <c r="D44" s="70" t="s">
        <v>241</v>
      </c>
      <c r="E44" s="69" t="s">
        <v>242</v>
      </c>
      <c r="F44" s="70" t="s">
        <v>178</v>
      </c>
      <c r="G44" s="75" t="s">
        <v>179</v>
      </c>
      <c r="H44" s="75"/>
      <c r="I44" s="75"/>
      <c r="J44" s="71">
        <v>3</v>
      </c>
      <c r="K44" s="70">
        <f>12*J44</f>
        <v>36</v>
      </c>
      <c r="L44" s="70">
        <f>36*J44</f>
        <v>108</v>
      </c>
      <c r="M44" s="75">
        <f>SUM(K44:L44)</f>
        <v>144</v>
      </c>
      <c r="N44" s="76" t="s">
        <v>243</v>
      </c>
      <c r="O44" s="94" t="s">
        <v>181</v>
      </c>
      <c r="P44" s="94" t="s">
        <v>244</v>
      </c>
      <c r="Q44" s="77" t="s">
        <v>188</v>
      </c>
      <c r="R44" s="24"/>
    </row>
    <row r="45" spans="1:19" s="46" customFormat="1" ht="33" x14ac:dyDescent="0.35">
      <c r="A45" s="24" t="str">
        <f>_xlfn.XLOOKUP(B45,'Paso 3 Redacción RA '!I$3:I$12,'Paso 3 Redacción RA '!C$3:C$12,,0,1)</f>
        <v>Saberhacer</v>
      </c>
      <c r="B45" s="16" t="s">
        <v>97</v>
      </c>
      <c r="C45" s="150">
        <v>4</v>
      </c>
      <c r="D45" s="150" t="s">
        <v>245</v>
      </c>
      <c r="E45" s="158" t="s">
        <v>246</v>
      </c>
      <c r="F45" s="150" t="s">
        <v>178</v>
      </c>
      <c r="G45" s="150"/>
      <c r="H45" s="150" t="s">
        <v>179</v>
      </c>
      <c r="I45" s="150"/>
      <c r="J45" s="150">
        <v>3</v>
      </c>
      <c r="K45" s="150">
        <f>J45*12</f>
        <v>36</v>
      </c>
      <c r="L45" s="150">
        <f>36*J45</f>
        <v>108</v>
      </c>
      <c r="M45" s="150">
        <f>SUM(K45:L45)</f>
        <v>144</v>
      </c>
      <c r="N45" s="158" t="s">
        <v>247</v>
      </c>
      <c r="O45" s="158" t="s">
        <v>192</v>
      </c>
      <c r="P45" s="158" t="s">
        <v>197</v>
      </c>
      <c r="Q45" s="158" t="s">
        <v>188</v>
      </c>
      <c r="R45" s="24"/>
    </row>
    <row r="46" spans="1:19" s="46" customFormat="1" ht="49.5" x14ac:dyDescent="0.35">
      <c r="A46" s="24" t="str">
        <f>_xlfn.XLOOKUP(B46,'Paso 3 Redacción RA '!I$3:I$12,'Paso 3 Redacción RA '!C$3:C$12,,0,1)</f>
        <v>Saber</v>
      </c>
      <c r="B46" s="16" t="s">
        <v>98</v>
      </c>
      <c r="C46" s="133"/>
      <c r="D46" s="133"/>
      <c r="E46" s="159"/>
      <c r="F46" s="133"/>
      <c r="G46" s="133"/>
      <c r="H46" s="133"/>
      <c r="I46" s="133"/>
      <c r="J46" s="133"/>
      <c r="K46" s="133"/>
      <c r="L46" s="133"/>
      <c r="M46" s="133"/>
      <c r="N46" s="159"/>
      <c r="O46" s="159"/>
      <c r="P46" s="159"/>
      <c r="Q46" s="159"/>
      <c r="R46" s="24"/>
    </row>
    <row r="47" spans="1:19" s="46" customFormat="1" ht="49.5" x14ac:dyDescent="0.35">
      <c r="A47" s="92" t="str">
        <f>_xlfn.XLOOKUP(B47,'Paso 3 Redacción RA '!I$3:I$12,'Paso 3 Redacción RA '!C$3:C$12,,0,1)</f>
        <v>Saber</v>
      </c>
      <c r="B47" s="27" t="s">
        <v>85</v>
      </c>
      <c r="C47" s="149"/>
      <c r="D47" s="149"/>
      <c r="E47" s="160"/>
      <c r="F47" s="149"/>
      <c r="G47" s="149"/>
      <c r="H47" s="149"/>
      <c r="I47" s="149"/>
      <c r="J47" s="149"/>
      <c r="K47" s="149"/>
      <c r="L47" s="149"/>
      <c r="M47" s="149"/>
      <c r="N47" s="160"/>
      <c r="O47" s="160"/>
      <c r="P47" s="160"/>
      <c r="Q47" s="160"/>
      <c r="R47" s="24"/>
    </row>
    <row r="48" spans="1:19" s="46" customFormat="1" ht="33" x14ac:dyDescent="0.35">
      <c r="A48" s="24" t="str">
        <f>_xlfn.XLOOKUP(B48,'Paso 3 Redacción RA '!I$3:I$12,'Paso 3 Redacción RA '!C$3:C$12,,0,1)</f>
        <v>Saberhacer</v>
      </c>
      <c r="B48" s="16" t="s">
        <v>97</v>
      </c>
      <c r="C48" s="150">
        <v>4</v>
      </c>
      <c r="D48" s="150" t="s">
        <v>248</v>
      </c>
      <c r="E48" s="166" t="s">
        <v>249</v>
      </c>
      <c r="F48" s="150" t="s">
        <v>178</v>
      </c>
      <c r="G48" s="150"/>
      <c r="H48" s="150" t="s">
        <v>179</v>
      </c>
      <c r="I48" s="150"/>
      <c r="J48" s="150">
        <v>3</v>
      </c>
      <c r="K48" s="150">
        <f>J48*12</f>
        <v>36</v>
      </c>
      <c r="L48" s="150">
        <f>36*J48</f>
        <v>108</v>
      </c>
      <c r="M48" s="150">
        <f>SUM(K48:L48)</f>
        <v>144</v>
      </c>
      <c r="N48" s="158" t="s">
        <v>250</v>
      </c>
      <c r="O48" s="158" t="s">
        <v>192</v>
      </c>
      <c r="P48" s="158" t="s">
        <v>193</v>
      </c>
      <c r="Q48" s="158" t="s">
        <v>188</v>
      </c>
      <c r="R48" s="24"/>
    </row>
    <row r="49" spans="1:19" s="46" customFormat="1" ht="49.5" x14ac:dyDescent="0.35">
      <c r="A49" s="24" t="str">
        <f>_xlfn.XLOOKUP(B49,'Paso 3 Redacción RA '!I$3:I$12,'Paso 3 Redacción RA '!C$3:C$12,,0,1)</f>
        <v>Saber</v>
      </c>
      <c r="B49" s="16" t="s">
        <v>98</v>
      </c>
      <c r="C49" s="133"/>
      <c r="D49" s="133"/>
      <c r="E49" s="156"/>
      <c r="F49" s="133"/>
      <c r="G49" s="133"/>
      <c r="H49" s="133"/>
      <c r="I49" s="133"/>
      <c r="J49" s="133"/>
      <c r="K49" s="133"/>
      <c r="L49" s="133"/>
      <c r="M49" s="133"/>
      <c r="N49" s="159"/>
      <c r="O49" s="159"/>
      <c r="P49" s="159"/>
      <c r="Q49" s="159"/>
      <c r="R49" s="24"/>
    </row>
    <row r="50" spans="1:19" s="46" customFormat="1" ht="66.5" thickBot="1" x14ac:dyDescent="0.4">
      <c r="A50" s="92" t="str">
        <f>_xlfn.XLOOKUP(B50,'Paso 3 Redacción RA '!I$3:I$12,'Paso 3 Redacción RA '!C$3:C$12,,0,1)</f>
        <v>Saberser</v>
      </c>
      <c r="B50" s="27" t="s">
        <v>92</v>
      </c>
      <c r="C50" s="149"/>
      <c r="D50" s="149"/>
      <c r="E50" s="157"/>
      <c r="F50" s="149"/>
      <c r="G50" s="149"/>
      <c r="H50" s="149"/>
      <c r="I50" s="149"/>
      <c r="J50" s="149"/>
      <c r="K50" s="149"/>
      <c r="L50" s="149"/>
      <c r="M50" s="149"/>
      <c r="N50" s="160"/>
      <c r="O50" s="160"/>
      <c r="P50" s="160"/>
      <c r="Q50" s="160"/>
      <c r="R50" s="24"/>
    </row>
    <row r="51" spans="1:19" s="46" customFormat="1" ht="49.5" x14ac:dyDescent="0.35">
      <c r="A51" s="24" t="str">
        <f>_xlfn.XLOOKUP(B51,'Paso 3 Redacción RA '!I$3:I$12,'Paso 3 Redacción RA '!C$3:C$12,,0,1)</f>
        <v>Saber</v>
      </c>
      <c r="B51" s="16" t="s">
        <v>85</v>
      </c>
      <c r="C51" s="150">
        <v>4</v>
      </c>
      <c r="D51" s="150" t="s">
        <v>251</v>
      </c>
      <c r="E51" s="158" t="s">
        <v>252</v>
      </c>
      <c r="F51" s="150" t="s">
        <v>178</v>
      </c>
      <c r="G51" s="150"/>
      <c r="H51" s="150" t="s">
        <v>179</v>
      </c>
      <c r="I51" s="150"/>
      <c r="J51" s="150">
        <v>4</v>
      </c>
      <c r="K51" s="150">
        <f>J51*12</f>
        <v>48</v>
      </c>
      <c r="L51" s="150">
        <f>36*J51</f>
        <v>144</v>
      </c>
      <c r="M51" s="150">
        <f>SUM(K51:L51)</f>
        <v>192</v>
      </c>
      <c r="N51" s="158" t="s">
        <v>253</v>
      </c>
      <c r="O51" s="158" t="s">
        <v>192</v>
      </c>
      <c r="P51" s="158" t="s">
        <v>193</v>
      </c>
      <c r="Q51" s="158" t="s">
        <v>188</v>
      </c>
      <c r="R51" s="24"/>
    </row>
    <row r="52" spans="1:19" s="46" customFormat="1" ht="33" x14ac:dyDescent="0.35">
      <c r="A52" s="24" t="str">
        <f>_xlfn.XLOOKUP(B52,'Paso 3 Redacción RA '!I$3:I$12,'Paso 3 Redacción RA '!C$3:C$12,,0,1)</f>
        <v>Saberhacer</v>
      </c>
      <c r="B52" s="16" t="s">
        <v>88</v>
      </c>
      <c r="C52" s="133"/>
      <c r="D52" s="133"/>
      <c r="E52" s="159"/>
      <c r="F52" s="133"/>
      <c r="G52" s="133"/>
      <c r="H52" s="133"/>
      <c r="I52" s="133"/>
      <c r="J52" s="133"/>
      <c r="K52" s="133"/>
      <c r="L52" s="133"/>
      <c r="M52" s="133"/>
      <c r="N52" s="159"/>
      <c r="O52" s="159"/>
      <c r="P52" s="159"/>
      <c r="Q52" s="159"/>
      <c r="R52" s="24"/>
    </row>
    <row r="53" spans="1:19" s="46" customFormat="1" ht="66.5" thickBot="1" x14ac:dyDescent="0.4">
      <c r="A53" s="92" t="str">
        <f>_xlfn.XLOOKUP(B53,'Paso 3 Redacción RA '!I$3:I$12,'Paso 3 Redacción RA '!C$3:C$12,,0,1)</f>
        <v>Saberser</v>
      </c>
      <c r="B53" s="27" t="s">
        <v>92</v>
      </c>
      <c r="C53" s="149"/>
      <c r="D53" s="149"/>
      <c r="E53" s="160"/>
      <c r="F53" s="149"/>
      <c r="G53" s="149"/>
      <c r="H53" s="149"/>
      <c r="I53" s="149"/>
      <c r="J53" s="149"/>
      <c r="K53" s="149"/>
      <c r="L53" s="149"/>
      <c r="M53" s="149"/>
      <c r="N53" s="160"/>
      <c r="O53" s="160"/>
      <c r="P53" s="160"/>
      <c r="Q53" s="160"/>
      <c r="R53" s="24"/>
    </row>
    <row r="54" spans="1:19" s="46" customFormat="1" ht="49.5" x14ac:dyDescent="0.35">
      <c r="A54" s="24" t="str">
        <f>_xlfn.XLOOKUP(B54,'Paso 3 Redacción RA '!I$3:I$12,'Paso 3 Redacción RA '!C$3:C$12,,0,1)</f>
        <v>Saber</v>
      </c>
      <c r="B54" s="16" t="s">
        <v>85</v>
      </c>
      <c r="C54" s="150">
        <v>4</v>
      </c>
      <c r="D54" s="150" t="s">
        <v>254</v>
      </c>
      <c r="E54" s="158" t="s">
        <v>255</v>
      </c>
      <c r="F54" s="150" t="s">
        <v>178</v>
      </c>
      <c r="G54" s="150"/>
      <c r="H54" s="150" t="s">
        <v>179</v>
      </c>
      <c r="I54" s="150"/>
      <c r="J54" s="150">
        <v>4</v>
      </c>
      <c r="K54" s="150">
        <f>J54*12</f>
        <v>48</v>
      </c>
      <c r="L54" s="150">
        <f>36*J54</f>
        <v>144</v>
      </c>
      <c r="M54" s="150">
        <f>SUM(K54:L54)</f>
        <v>192</v>
      </c>
      <c r="N54" s="158" t="s">
        <v>256</v>
      </c>
      <c r="O54" s="158" t="s">
        <v>192</v>
      </c>
      <c r="P54" s="158" t="s">
        <v>193</v>
      </c>
      <c r="Q54" s="158" t="s">
        <v>188</v>
      </c>
      <c r="R54" s="24"/>
    </row>
    <row r="55" spans="1:19" s="46" customFormat="1" ht="33" x14ac:dyDescent="0.35">
      <c r="A55" s="24" t="str">
        <f>_xlfn.XLOOKUP(B55,'Paso 3 Redacción RA '!I$3:I$12,'Paso 3 Redacción RA '!C$3:C$12,,0,1)</f>
        <v>Saberhacer</v>
      </c>
      <c r="B55" s="16" t="s">
        <v>88</v>
      </c>
      <c r="C55" s="133"/>
      <c r="D55" s="133"/>
      <c r="E55" s="159"/>
      <c r="F55" s="133"/>
      <c r="G55" s="133"/>
      <c r="H55" s="133"/>
      <c r="I55" s="133"/>
      <c r="J55" s="133"/>
      <c r="K55" s="133"/>
      <c r="L55" s="133"/>
      <c r="M55" s="133"/>
      <c r="N55" s="159"/>
      <c r="O55" s="159"/>
      <c r="P55" s="159"/>
      <c r="Q55" s="159"/>
      <c r="R55" s="24"/>
    </row>
    <row r="56" spans="1:19" s="46" customFormat="1" ht="66.5" thickBot="1" x14ac:dyDescent="0.4">
      <c r="A56" s="92" t="str">
        <f>_xlfn.XLOOKUP(B56,'Paso 3 Redacción RA '!I$3:I$12,'Paso 3 Redacción RA '!C$3:C$12,,0,1)</f>
        <v>Saberser</v>
      </c>
      <c r="B56" s="27" t="s">
        <v>92</v>
      </c>
      <c r="C56" s="149"/>
      <c r="D56" s="149"/>
      <c r="E56" s="160"/>
      <c r="F56" s="149"/>
      <c r="G56" s="149"/>
      <c r="H56" s="149"/>
      <c r="I56" s="149"/>
      <c r="J56" s="149"/>
      <c r="K56" s="149"/>
      <c r="L56" s="149"/>
      <c r="M56" s="149"/>
      <c r="N56" s="160"/>
      <c r="O56" s="160"/>
      <c r="P56" s="160"/>
      <c r="Q56" s="160"/>
      <c r="R56" s="24">
        <f>SUM(J44:J56)</f>
        <v>17</v>
      </c>
      <c r="S56" s="46">
        <f>COUNTA(D44:D56)</f>
        <v>5</v>
      </c>
    </row>
    <row r="57" spans="1:19" s="46" customFormat="1" ht="49.5" x14ac:dyDescent="0.35">
      <c r="A57" s="24" t="str">
        <f>_xlfn.XLOOKUP(B57,'Paso 3 Redacción RA '!I$3:I$12,'Paso 3 Redacción RA '!C$3:C$12,,0,1)</f>
        <v>Saber</v>
      </c>
      <c r="B57" s="16" t="s">
        <v>85</v>
      </c>
      <c r="C57" s="150">
        <v>5</v>
      </c>
      <c r="D57" s="150" t="s">
        <v>257</v>
      </c>
      <c r="E57" s="158" t="s">
        <v>258</v>
      </c>
      <c r="F57" s="150" t="s">
        <v>178</v>
      </c>
      <c r="G57" s="150"/>
      <c r="H57" s="150" t="s">
        <v>179</v>
      </c>
      <c r="I57" s="150"/>
      <c r="J57" s="150">
        <v>3</v>
      </c>
      <c r="K57" s="150">
        <f>J57*12</f>
        <v>36</v>
      </c>
      <c r="L57" s="150">
        <f>36*J57</f>
        <v>108</v>
      </c>
      <c r="M57" s="150">
        <f>SUM(K57:L57)</f>
        <v>144</v>
      </c>
      <c r="N57" s="158" t="s">
        <v>259</v>
      </c>
      <c r="O57" s="158" t="s">
        <v>192</v>
      </c>
      <c r="P57" s="158" t="s">
        <v>193</v>
      </c>
      <c r="Q57" s="158" t="s">
        <v>188</v>
      </c>
      <c r="R57" s="24"/>
    </row>
    <row r="58" spans="1:19" s="46" customFormat="1" ht="33" x14ac:dyDescent="0.35">
      <c r="A58" s="24" t="str">
        <f>_xlfn.XLOOKUP(B58,'Paso 3 Redacción RA '!I$3:I$12,'Paso 3 Redacción RA '!C$3:C$12,,0,1)</f>
        <v>Saberhacer</v>
      </c>
      <c r="B58" s="16" t="s">
        <v>88</v>
      </c>
      <c r="C58" s="133"/>
      <c r="D58" s="133"/>
      <c r="E58" s="159"/>
      <c r="F58" s="133"/>
      <c r="G58" s="133"/>
      <c r="H58" s="133"/>
      <c r="I58" s="133"/>
      <c r="J58" s="133"/>
      <c r="K58" s="133"/>
      <c r="L58" s="133"/>
      <c r="M58" s="133"/>
      <c r="N58" s="159"/>
      <c r="O58" s="159"/>
      <c r="P58" s="159"/>
      <c r="Q58" s="159"/>
      <c r="R58" s="24"/>
    </row>
    <row r="59" spans="1:19" s="46" customFormat="1" ht="66.5" thickBot="1" x14ac:dyDescent="0.4">
      <c r="A59" s="92" t="str">
        <f>_xlfn.XLOOKUP(B59,'Paso 3 Redacción RA '!I$3:I$12,'Paso 3 Redacción RA '!C$3:C$12,,0,1)</f>
        <v>Saberser</v>
      </c>
      <c r="B59" s="27" t="s">
        <v>92</v>
      </c>
      <c r="C59" s="149"/>
      <c r="D59" s="149"/>
      <c r="E59" s="160"/>
      <c r="F59" s="149"/>
      <c r="G59" s="149"/>
      <c r="H59" s="149"/>
      <c r="I59" s="149"/>
      <c r="J59" s="149"/>
      <c r="K59" s="149"/>
      <c r="L59" s="149"/>
      <c r="M59" s="149"/>
      <c r="N59" s="160"/>
      <c r="O59" s="160"/>
      <c r="P59" s="160"/>
      <c r="Q59" s="160"/>
      <c r="R59" s="24"/>
    </row>
    <row r="60" spans="1:19" s="46" customFormat="1" ht="33" x14ac:dyDescent="0.35">
      <c r="A60" s="24" t="str">
        <f>_xlfn.XLOOKUP(B60,'Paso 3 Redacción RA '!I$3:I$12,'Paso 3 Redacción RA '!C$3:C$12,,0,1)</f>
        <v>Saber</v>
      </c>
      <c r="B60" s="16" t="s">
        <v>95</v>
      </c>
      <c r="C60" s="150">
        <v>5</v>
      </c>
      <c r="D60" s="150" t="s">
        <v>260</v>
      </c>
      <c r="E60" s="158" t="s">
        <v>261</v>
      </c>
      <c r="F60" s="150" t="s">
        <v>178</v>
      </c>
      <c r="G60" s="150"/>
      <c r="H60" s="150" t="s">
        <v>179</v>
      </c>
      <c r="I60" s="150"/>
      <c r="J60" s="150">
        <v>3</v>
      </c>
      <c r="K60" s="150">
        <f>J60*12</f>
        <v>36</v>
      </c>
      <c r="L60" s="150">
        <f>36*J60</f>
        <v>108</v>
      </c>
      <c r="M60" s="150">
        <f>SUM(K60:L60)</f>
        <v>144</v>
      </c>
      <c r="N60" s="158" t="s">
        <v>262</v>
      </c>
      <c r="O60" s="158" t="s">
        <v>192</v>
      </c>
      <c r="P60" s="158" t="s">
        <v>193</v>
      </c>
      <c r="Q60" s="158" t="s">
        <v>188</v>
      </c>
      <c r="R60" s="24"/>
    </row>
    <row r="61" spans="1:19" s="46" customFormat="1" ht="33" x14ac:dyDescent="0.35">
      <c r="A61" s="24" t="str">
        <f>_xlfn.XLOOKUP(B61,'Paso 3 Redacción RA '!I$3:I$12,'Paso 3 Redacción RA '!C$3:C$12,,0,1)</f>
        <v>Saberhacer</v>
      </c>
      <c r="B61" s="16" t="s">
        <v>97</v>
      </c>
      <c r="C61" s="133"/>
      <c r="D61" s="133"/>
      <c r="E61" s="159"/>
      <c r="F61" s="133"/>
      <c r="G61" s="133"/>
      <c r="H61" s="133"/>
      <c r="I61" s="133"/>
      <c r="J61" s="133"/>
      <c r="K61" s="133"/>
      <c r="L61" s="133"/>
      <c r="M61" s="133"/>
      <c r="N61" s="159"/>
      <c r="O61" s="159"/>
      <c r="P61" s="159"/>
      <c r="Q61" s="159"/>
      <c r="R61" s="24"/>
    </row>
    <row r="62" spans="1:19" s="46" customFormat="1" ht="50" thickBot="1" x14ac:dyDescent="0.4">
      <c r="A62" s="92" t="str">
        <f>_xlfn.XLOOKUP(B62,'Paso 3 Redacción RA '!I$3:I$12,'Paso 3 Redacción RA '!C$3:C$12,,0,1)</f>
        <v>Saber</v>
      </c>
      <c r="B62" s="27" t="s">
        <v>85</v>
      </c>
      <c r="C62" s="149"/>
      <c r="D62" s="149"/>
      <c r="E62" s="160"/>
      <c r="F62" s="149"/>
      <c r="G62" s="149"/>
      <c r="H62" s="149"/>
      <c r="I62" s="149"/>
      <c r="J62" s="149"/>
      <c r="K62" s="149"/>
      <c r="L62" s="149"/>
      <c r="M62" s="149"/>
      <c r="N62" s="160"/>
      <c r="O62" s="160"/>
      <c r="P62" s="160"/>
      <c r="Q62" s="160"/>
      <c r="R62" s="24"/>
    </row>
    <row r="63" spans="1:19" s="46" customFormat="1" ht="33" x14ac:dyDescent="0.35">
      <c r="A63" s="24" t="str">
        <f>_xlfn.XLOOKUP(B63,'Paso 3 Redacción RA '!I$3:I$12,'Paso 3 Redacción RA '!C$3:C$12,,0,1)</f>
        <v>Saber</v>
      </c>
      <c r="B63" s="16" t="s">
        <v>95</v>
      </c>
      <c r="C63" s="150">
        <v>5</v>
      </c>
      <c r="D63" s="150" t="s">
        <v>263</v>
      </c>
      <c r="E63" s="158" t="s">
        <v>264</v>
      </c>
      <c r="F63" s="150" t="s">
        <v>178</v>
      </c>
      <c r="G63" s="150"/>
      <c r="H63" s="150" t="s">
        <v>179</v>
      </c>
      <c r="I63" s="150"/>
      <c r="J63" s="150">
        <v>3</v>
      </c>
      <c r="K63" s="150">
        <f>J63*12</f>
        <v>36</v>
      </c>
      <c r="L63" s="150">
        <f>36*J63</f>
        <v>108</v>
      </c>
      <c r="M63" s="150">
        <f>SUM(K63:L63)</f>
        <v>144</v>
      </c>
      <c r="N63" s="158" t="s">
        <v>265</v>
      </c>
      <c r="O63" s="158" t="s">
        <v>192</v>
      </c>
      <c r="P63" s="158" t="s">
        <v>193</v>
      </c>
      <c r="Q63" s="158" t="s">
        <v>188</v>
      </c>
      <c r="R63" s="24"/>
    </row>
    <row r="64" spans="1:19" s="46" customFormat="1" ht="33" x14ac:dyDescent="0.35">
      <c r="A64" s="24" t="str">
        <f>_xlfn.XLOOKUP(B64,'Paso 3 Redacción RA '!I$3:I$12,'Paso 3 Redacción RA '!C$3:C$12,,0,1)</f>
        <v>Saberhacer</v>
      </c>
      <c r="B64" s="16" t="s">
        <v>97</v>
      </c>
      <c r="C64" s="133"/>
      <c r="D64" s="133"/>
      <c r="E64" s="159"/>
      <c r="F64" s="133"/>
      <c r="G64" s="133"/>
      <c r="H64" s="133"/>
      <c r="I64" s="133"/>
      <c r="J64" s="133"/>
      <c r="K64" s="133"/>
      <c r="L64" s="133"/>
      <c r="M64" s="133"/>
      <c r="N64" s="159"/>
      <c r="O64" s="159"/>
      <c r="P64" s="159"/>
      <c r="Q64" s="159"/>
      <c r="R64" s="24"/>
    </row>
    <row r="65" spans="1:19" s="46" customFormat="1" ht="49.5" x14ac:dyDescent="0.35">
      <c r="A65" s="92" t="str">
        <f>_xlfn.XLOOKUP(B65,'Paso 3 Redacción RA '!I$3:I$12,'Paso 3 Redacción RA '!C$3:C$12,,0,1)</f>
        <v>Saber</v>
      </c>
      <c r="B65" s="27" t="s">
        <v>98</v>
      </c>
      <c r="C65" s="149"/>
      <c r="D65" s="149"/>
      <c r="E65" s="167"/>
      <c r="F65" s="149"/>
      <c r="G65" s="149"/>
      <c r="H65" s="149"/>
      <c r="I65" s="149"/>
      <c r="J65" s="149"/>
      <c r="K65" s="149"/>
      <c r="L65" s="149"/>
      <c r="M65" s="149"/>
      <c r="N65" s="160"/>
      <c r="O65" s="160"/>
      <c r="P65" s="160"/>
      <c r="Q65" s="160"/>
      <c r="R65" s="24"/>
    </row>
    <row r="66" spans="1:19" s="46" customFormat="1" ht="49.5" x14ac:dyDescent="0.35">
      <c r="A66" s="24" t="str">
        <f>_xlfn.XLOOKUP(B66,'Paso 3 Redacción RA '!I$3:I$12,'Paso 3 Redacción RA '!C$3:C$12,,0,1)</f>
        <v>Saber</v>
      </c>
      <c r="B66" s="16" t="s">
        <v>85</v>
      </c>
      <c r="C66" s="150">
        <v>5</v>
      </c>
      <c r="D66" s="150" t="s">
        <v>266</v>
      </c>
      <c r="E66" s="159" t="s">
        <v>267</v>
      </c>
      <c r="F66" s="150" t="s">
        <v>178</v>
      </c>
      <c r="G66" s="150"/>
      <c r="H66" s="150" t="s">
        <v>179</v>
      </c>
      <c r="I66" s="150"/>
      <c r="J66" s="150">
        <v>3</v>
      </c>
      <c r="K66" s="150">
        <f>J66*12</f>
        <v>36</v>
      </c>
      <c r="L66" s="150">
        <f>36*J66</f>
        <v>108</v>
      </c>
      <c r="M66" s="150">
        <f>SUM(K66:L66)</f>
        <v>144</v>
      </c>
      <c r="N66" s="158" t="s">
        <v>268</v>
      </c>
      <c r="O66" s="158" t="s">
        <v>192</v>
      </c>
      <c r="P66" s="158" t="s">
        <v>193</v>
      </c>
      <c r="Q66" s="158" t="s">
        <v>188</v>
      </c>
      <c r="R66" s="24"/>
    </row>
    <row r="67" spans="1:19" s="46" customFormat="1" ht="33" x14ac:dyDescent="0.35">
      <c r="A67" s="24" t="str">
        <f>_xlfn.XLOOKUP(B67,'Paso 3 Redacción RA '!I$3:I$12,'Paso 3 Redacción RA '!C$3:C$12,,0,1)</f>
        <v>Saberhacer</v>
      </c>
      <c r="B67" s="16" t="s">
        <v>88</v>
      </c>
      <c r="C67" s="133"/>
      <c r="D67" s="133"/>
      <c r="E67" s="159"/>
      <c r="F67" s="133"/>
      <c r="G67" s="133"/>
      <c r="H67" s="133"/>
      <c r="I67" s="133"/>
      <c r="J67" s="133"/>
      <c r="K67" s="133"/>
      <c r="L67" s="133"/>
      <c r="M67" s="133"/>
      <c r="N67" s="159"/>
      <c r="O67" s="159"/>
      <c r="P67" s="159"/>
      <c r="Q67" s="159"/>
      <c r="R67" s="24"/>
    </row>
    <row r="68" spans="1:19" s="46" customFormat="1" ht="66.5" thickBot="1" x14ac:dyDescent="0.4">
      <c r="A68" s="92" t="str">
        <f>_xlfn.XLOOKUP(B68,'Paso 3 Redacción RA '!I$3:I$12,'Paso 3 Redacción RA '!C$3:C$12,,0,1)</f>
        <v>Saberser</v>
      </c>
      <c r="B68" s="27" t="s">
        <v>92</v>
      </c>
      <c r="C68" s="149"/>
      <c r="D68" s="149"/>
      <c r="E68" s="167"/>
      <c r="F68" s="149"/>
      <c r="G68" s="168"/>
      <c r="H68" s="168"/>
      <c r="I68" s="168"/>
      <c r="J68" s="168"/>
      <c r="K68" s="149"/>
      <c r="L68" s="149"/>
      <c r="M68" s="168"/>
      <c r="N68" s="167"/>
      <c r="O68" s="160"/>
      <c r="P68" s="160"/>
      <c r="Q68" s="160"/>
      <c r="R68" s="24"/>
    </row>
    <row r="69" spans="1:19" s="46" customFormat="1" ht="49.5" x14ac:dyDescent="0.35">
      <c r="A69" s="24" t="str">
        <f>_xlfn.XLOOKUP(B69,'Paso 3 Redacción RA '!I$3:I$12,'Paso 3 Redacción RA '!C$3:C$12,,0,1)</f>
        <v>Saber</v>
      </c>
      <c r="B69" s="16" t="s">
        <v>85</v>
      </c>
      <c r="C69" s="150">
        <v>5</v>
      </c>
      <c r="D69" s="150" t="s">
        <v>269</v>
      </c>
      <c r="E69" s="159" t="s">
        <v>270</v>
      </c>
      <c r="F69" s="150" t="s">
        <v>178</v>
      </c>
      <c r="G69" s="133"/>
      <c r="H69" s="133" t="s">
        <v>179</v>
      </c>
      <c r="I69" s="133"/>
      <c r="J69" s="133">
        <v>3</v>
      </c>
      <c r="K69" s="150">
        <f>J69*12</f>
        <v>36</v>
      </c>
      <c r="L69" s="150">
        <f>36*J69</f>
        <v>108</v>
      </c>
      <c r="M69" s="133">
        <f>SUM(K69:L69)</f>
        <v>144</v>
      </c>
      <c r="N69" s="159" t="s">
        <v>271</v>
      </c>
      <c r="O69" s="158" t="s">
        <v>192</v>
      </c>
      <c r="P69" s="158" t="s">
        <v>197</v>
      </c>
      <c r="Q69" s="158" t="s">
        <v>188</v>
      </c>
      <c r="R69" s="24"/>
    </row>
    <row r="70" spans="1:19" s="46" customFormat="1" ht="33" x14ac:dyDescent="0.35">
      <c r="A70" s="24" t="str">
        <f>_xlfn.XLOOKUP(B70,'Paso 3 Redacción RA '!I$3:I$12,'Paso 3 Redacción RA '!C$3:C$12,,0,1)</f>
        <v>Saberhacer</v>
      </c>
      <c r="B70" s="16" t="s">
        <v>88</v>
      </c>
      <c r="C70" s="133"/>
      <c r="D70" s="133"/>
      <c r="E70" s="159"/>
      <c r="F70" s="133"/>
      <c r="G70" s="133"/>
      <c r="H70" s="133"/>
      <c r="I70" s="133"/>
      <c r="J70" s="133"/>
      <c r="K70" s="133"/>
      <c r="L70" s="133"/>
      <c r="M70" s="133"/>
      <c r="N70" s="159"/>
      <c r="O70" s="159"/>
      <c r="P70" s="159"/>
      <c r="Q70" s="159"/>
      <c r="R70" s="24"/>
    </row>
    <row r="71" spans="1:19" s="46" customFormat="1" ht="66.5" thickBot="1" x14ac:dyDescent="0.4">
      <c r="A71" s="92" t="str">
        <f>_xlfn.XLOOKUP(B71,'Paso 3 Redacción RA '!I$3:I$12,'Paso 3 Redacción RA '!C$3:C$12,,0,1)</f>
        <v>Saberser</v>
      </c>
      <c r="B71" s="27" t="s">
        <v>92</v>
      </c>
      <c r="C71" s="149"/>
      <c r="D71" s="149"/>
      <c r="E71" s="160"/>
      <c r="F71" s="149"/>
      <c r="G71" s="149"/>
      <c r="H71" s="149"/>
      <c r="I71" s="149"/>
      <c r="J71" s="149"/>
      <c r="K71" s="149"/>
      <c r="L71" s="149"/>
      <c r="M71" s="149"/>
      <c r="N71" s="160"/>
      <c r="O71" s="160"/>
      <c r="P71" s="160"/>
      <c r="Q71" s="160"/>
      <c r="R71" s="24"/>
    </row>
    <row r="72" spans="1:19" s="46" customFormat="1" ht="49.5" x14ac:dyDescent="0.35">
      <c r="A72" s="24" t="str">
        <f>_xlfn.XLOOKUP(B72,'Paso 3 Redacción RA '!I$3:I$12,'Paso 3 Redacción RA '!C$3:C$12,,0,1)</f>
        <v>Saber</v>
      </c>
      <c r="B72" s="16" t="s">
        <v>85</v>
      </c>
      <c r="C72" s="150">
        <v>5</v>
      </c>
      <c r="D72" s="150" t="s">
        <v>272</v>
      </c>
      <c r="E72" s="166" t="s">
        <v>273</v>
      </c>
      <c r="F72" s="150" t="s">
        <v>178</v>
      </c>
      <c r="G72" s="150"/>
      <c r="H72" s="150" t="s">
        <v>179</v>
      </c>
      <c r="I72" s="150"/>
      <c r="J72" s="150">
        <v>3</v>
      </c>
      <c r="K72" s="150">
        <f>J72*12</f>
        <v>36</v>
      </c>
      <c r="L72" s="150">
        <f>36*J72</f>
        <v>108</v>
      </c>
      <c r="M72" s="150">
        <f>SUM(K72:L72)</f>
        <v>144</v>
      </c>
      <c r="N72" s="158" t="s">
        <v>274</v>
      </c>
      <c r="O72" s="158" t="s">
        <v>192</v>
      </c>
      <c r="P72" s="158" t="s">
        <v>193</v>
      </c>
      <c r="Q72" s="158" t="s">
        <v>188</v>
      </c>
      <c r="R72" s="24"/>
    </row>
    <row r="73" spans="1:19" s="46" customFormat="1" ht="33" x14ac:dyDescent="0.35">
      <c r="A73" s="24" t="str">
        <f>_xlfn.XLOOKUP(B73,'Paso 3 Redacción RA '!I$3:I$12,'Paso 3 Redacción RA '!C$3:C$12,,0,1)</f>
        <v>Saber</v>
      </c>
      <c r="B73" s="16" t="s">
        <v>95</v>
      </c>
      <c r="C73" s="133"/>
      <c r="D73" s="133"/>
      <c r="E73" s="156"/>
      <c r="F73" s="133"/>
      <c r="G73" s="133"/>
      <c r="H73" s="133"/>
      <c r="I73" s="133"/>
      <c r="J73" s="133"/>
      <c r="K73" s="133"/>
      <c r="L73" s="133"/>
      <c r="M73" s="133"/>
      <c r="N73" s="159"/>
      <c r="O73" s="159"/>
      <c r="P73" s="159"/>
      <c r="Q73" s="159"/>
      <c r="R73" s="24"/>
    </row>
    <row r="74" spans="1:19" s="46" customFormat="1" ht="50" thickBot="1" x14ac:dyDescent="0.4">
      <c r="A74" s="92" t="str">
        <f>_xlfn.XLOOKUP(B74,'Paso 3 Redacción RA '!I$3:I$12,'Paso 3 Redacción RA '!C$3:C$12,,0,1)</f>
        <v>Saber</v>
      </c>
      <c r="B74" s="27" t="s">
        <v>98</v>
      </c>
      <c r="C74" s="149"/>
      <c r="D74" s="149"/>
      <c r="E74" s="157"/>
      <c r="F74" s="149"/>
      <c r="G74" s="149"/>
      <c r="H74" s="149"/>
      <c r="I74" s="149"/>
      <c r="J74" s="149"/>
      <c r="K74" s="149"/>
      <c r="L74" s="149"/>
      <c r="M74" s="149"/>
      <c r="N74" s="160"/>
      <c r="O74" s="160"/>
      <c r="P74" s="160"/>
      <c r="Q74" s="160"/>
      <c r="R74" s="24">
        <f>SUM(J57:J74)</f>
        <v>18</v>
      </c>
      <c r="S74" s="46">
        <f>COUNTA(D57:D74)</f>
        <v>6</v>
      </c>
    </row>
    <row r="75" spans="1:19" s="46" customFormat="1" ht="49.5" x14ac:dyDescent="0.35">
      <c r="A75" s="24" t="str">
        <f>_xlfn.XLOOKUP(B75,'Paso 3 Redacción RA '!I$3:I$12,'Paso 3 Redacción RA '!C$3:C$12,,0,1)</f>
        <v>Saber</v>
      </c>
      <c r="B75" s="16" t="s">
        <v>85</v>
      </c>
      <c r="C75" s="150">
        <v>6</v>
      </c>
      <c r="D75" s="150" t="s">
        <v>275</v>
      </c>
      <c r="E75" s="158" t="s">
        <v>276</v>
      </c>
      <c r="F75" s="150" t="s">
        <v>178</v>
      </c>
      <c r="G75" s="150"/>
      <c r="H75" s="150" t="s">
        <v>179</v>
      </c>
      <c r="I75" s="150"/>
      <c r="J75" s="150">
        <v>3</v>
      </c>
      <c r="K75" s="150">
        <f>J75*12</f>
        <v>36</v>
      </c>
      <c r="L75" s="150">
        <f>36*J75</f>
        <v>108</v>
      </c>
      <c r="M75" s="150">
        <f>SUM(K75:L75)</f>
        <v>144</v>
      </c>
      <c r="N75" s="158" t="s">
        <v>277</v>
      </c>
      <c r="O75" s="158" t="s">
        <v>192</v>
      </c>
      <c r="P75" s="158" t="s">
        <v>193</v>
      </c>
      <c r="Q75" s="158" t="s">
        <v>188</v>
      </c>
      <c r="R75" s="24"/>
    </row>
    <row r="76" spans="1:19" s="46" customFormat="1" ht="33" x14ac:dyDescent="0.35">
      <c r="A76" s="24" t="str">
        <f>_xlfn.XLOOKUP(B76,'Paso 3 Redacción RA '!I$3:I$12,'Paso 3 Redacción RA '!C$3:C$12,,0,1)</f>
        <v>Saberhacer</v>
      </c>
      <c r="B76" s="16" t="s">
        <v>88</v>
      </c>
      <c r="C76" s="133"/>
      <c r="D76" s="133"/>
      <c r="E76" s="159"/>
      <c r="F76" s="133"/>
      <c r="G76" s="133"/>
      <c r="H76" s="133"/>
      <c r="I76" s="133"/>
      <c r="J76" s="133"/>
      <c r="K76" s="133"/>
      <c r="L76" s="133"/>
      <c r="M76" s="133"/>
      <c r="N76" s="159"/>
      <c r="O76" s="159"/>
      <c r="P76" s="159"/>
      <c r="Q76" s="159"/>
      <c r="R76" s="24"/>
    </row>
    <row r="77" spans="1:19" s="46" customFormat="1" ht="66.5" thickBot="1" x14ac:dyDescent="0.4">
      <c r="A77" s="92" t="str">
        <f>_xlfn.XLOOKUP(B77,'Paso 3 Redacción RA '!I$3:I$12,'Paso 3 Redacción RA '!C$3:C$12,,0,1)</f>
        <v>Saberser</v>
      </c>
      <c r="B77" s="27" t="s">
        <v>92</v>
      </c>
      <c r="C77" s="149"/>
      <c r="D77" s="149"/>
      <c r="E77" s="160"/>
      <c r="F77" s="149"/>
      <c r="G77" s="149"/>
      <c r="H77" s="149"/>
      <c r="I77" s="149"/>
      <c r="J77" s="149"/>
      <c r="K77" s="149"/>
      <c r="L77" s="149"/>
      <c r="M77" s="149"/>
      <c r="N77" s="160"/>
      <c r="O77" s="160"/>
      <c r="P77" s="160"/>
      <c r="Q77" s="160"/>
      <c r="R77" s="24"/>
    </row>
    <row r="78" spans="1:19" s="46" customFormat="1" ht="49.5" x14ac:dyDescent="0.35">
      <c r="A78" s="24" t="str">
        <f>_xlfn.XLOOKUP(B78,'Paso 3 Redacción RA '!I$3:I$12,'Paso 3 Redacción RA '!C$3:C$12,,0,1)</f>
        <v>Saber</v>
      </c>
      <c r="B78" s="16" t="s">
        <v>85</v>
      </c>
      <c r="C78" s="150">
        <v>6</v>
      </c>
      <c r="D78" s="150" t="s">
        <v>278</v>
      </c>
      <c r="E78" s="158" t="s">
        <v>279</v>
      </c>
      <c r="F78" s="150" t="s">
        <v>178</v>
      </c>
      <c r="G78" s="150"/>
      <c r="H78" s="150" t="s">
        <v>179</v>
      </c>
      <c r="I78" s="150"/>
      <c r="J78" s="150">
        <v>3</v>
      </c>
      <c r="K78" s="150">
        <f>J78*12</f>
        <v>36</v>
      </c>
      <c r="L78" s="150">
        <f>36*J78</f>
        <v>108</v>
      </c>
      <c r="M78" s="150">
        <f>SUM(K78:L78)</f>
        <v>144</v>
      </c>
      <c r="N78" s="158" t="s">
        <v>280</v>
      </c>
      <c r="O78" s="158" t="s">
        <v>192</v>
      </c>
      <c r="P78" s="158" t="s">
        <v>193</v>
      </c>
      <c r="Q78" s="158" t="s">
        <v>188</v>
      </c>
      <c r="R78" s="24"/>
    </row>
    <row r="79" spans="1:19" s="46" customFormat="1" ht="49.5" x14ac:dyDescent="0.35">
      <c r="A79" s="24" t="str">
        <f>_xlfn.XLOOKUP(B79,'Paso 3 Redacción RA '!I$3:I$12,'Paso 3 Redacción RA '!C$3:C$12,,0,1)</f>
        <v>Saber</v>
      </c>
      <c r="B79" s="16" t="s">
        <v>98</v>
      </c>
      <c r="C79" s="133"/>
      <c r="D79" s="133"/>
      <c r="E79" s="159"/>
      <c r="F79" s="133"/>
      <c r="G79" s="133"/>
      <c r="H79" s="133"/>
      <c r="I79" s="133"/>
      <c r="J79" s="133"/>
      <c r="K79" s="133"/>
      <c r="L79" s="133"/>
      <c r="M79" s="133"/>
      <c r="N79" s="159"/>
      <c r="O79" s="159"/>
      <c r="P79" s="159"/>
      <c r="Q79" s="159"/>
      <c r="R79" s="24"/>
    </row>
    <row r="80" spans="1:19" s="46" customFormat="1" ht="33.5" thickBot="1" x14ac:dyDescent="0.4">
      <c r="A80" s="92" t="str">
        <f>_xlfn.XLOOKUP(B80,'Paso 3 Redacción RA '!I$3:I$12,'Paso 3 Redacción RA '!C$3:C$12,,0,1)</f>
        <v>Saberhacer</v>
      </c>
      <c r="B80" s="27" t="s">
        <v>88</v>
      </c>
      <c r="C80" s="149"/>
      <c r="D80" s="149"/>
      <c r="E80" s="160"/>
      <c r="F80" s="149"/>
      <c r="G80" s="149"/>
      <c r="H80" s="149"/>
      <c r="I80" s="149"/>
      <c r="J80" s="149"/>
      <c r="K80" s="149"/>
      <c r="L80" s="149"/>
      <c r="M80" s="149"/>
      <c r="N80" s="160"/>
      <c r="O80" s="160"/>
      <c r="P80" s="160"/>
      <c r="Q80" s="160"/>
      <c r="R80" s="24"/>
    </row>
    <row r="81" spans="1:19" s="46" customFormat="1" ht="49.5" x14ac:dyDescent="0.35">
      <c r="A81" s="24" t="str">
        <f>_xlfn.XLOOKUP(B81,'Paso 3 Redacción RA '!I$3:I$12,'Paso 3 Redacción RA '!C$3:C$12,,0,1)</f>
        <v>Saber</v>
      </c>
      <c r="B81" s="16" t="s">
        <v>85</v>
      </c>
      <c r="C81" s="150">
        <v>6</v>
      </c>
      <c r="D81" s="150" t="s">
        <v>281</v>
      </c>
      <c r="E81" s="158" t="s">
        <v>282</v>
      </c>
      <c r="F81" s="150" t="s">
        <v>178</v>
      </c>
      <c r="G81" s="150"/>
      <c r="H81" s="150" t="s">
        <v>179</v>
      </c>
      <c r="I81" s="150"/>
      <c r="J81" s="150">
        <v>4</v>
      </c>
      <c r="K81" s="150">
        <f>J81*12</f>
        <v>48</v>
      </c>
      <c r="L81" s="150">
        <f>36*J81</f>
        <v>144</v>
      </c>
      <c r="M81" s="150">
        <f>SUM(K81:L81)</f>
        <v>192</v>
      </c>
      <c r="N81" s="158" t="s">
        <v>283</v>
      </c>
      <c r="O81" s="158" t="s">
        <v>192</v>
      </c>
      <c r="P81" s="158" t="s">
        <v>193</v>
      </c>
      <c r="Q81" s="158" t="s">
        <v>188</v>
      </c>
      <c r="R81" s="24"/>
    </row>
    <row r="82" spans="1:19" s="46" customFormat="1" ht="33" x14ac:dyDescent="0.35">
      <c r="A82" s="24" t="str">
        <f>_xlfn.XLOOKUP(B82,'Paso 3 Redacción RA '!I$3:I$12,'Paso 3 Redacción RA '!C$3:C$12,,0,1)</f>
        <v>Saberhacer</v>
      </c>
      <c r="B82" s="16" t="s">
        <v>88</v>
      </c>
      <c r="C82" s="133"/>
      <c r="D82" s="133"/>
      <c r="E82" s="159"/>
      <c r="F82" s="133"/>
      <c r="G82" s="133"/>
      <c r="H82" s="133"/>
      <c r="I82" s="133"/>
      <c r="J82" s="133"/>
      <c r="K82" s="133"/>
      <c r="L82" s="133"/>
      <c r="M82" s="133"/>
      <c r="N82" s="159"/>
      <c r="O82" s="159"/>
      <c r="P82" s="159"/>
      <c r="Q82" s="159"/>
      <c r="R82" s="24"/>
    </row>
    <row r="83" spans="1:19" s="46" customFormat="1" ht="66.5" thickBot="1" x14ac:dyDescent="0.4">
      <c r="A83" s="92" t="str">
        <f>_xlfn.XLOOKUP(B83,'Paso 3 Redacción RA '!I$3:I$12,'Paso 3 Redacción RA '!C$3:C$12,,0,1)</f>
        <v>Saberser</v>
      </c>
      <c r="B83" s="27" t="s">
        <v>92</v>
      </c>
      <c r="C83" s="149"/>
      <c r="D83" s="149"/>
      <c r="E83" s="160"/>
      <c r="F83" s="149"/>
      <c r="G83" s="149"/>
      <c r="H83" s="149"/>
      <c r="I83" s="149"/>
      <c r="J83" s="149"/>
      <c r="K83" s="149"/>
      <c r="L83" s="149"/>
      <c r="M83" s="149"/>
      <c r="N83" s="160"/>
      <c r="O83" s="160"/>
      <c r="P83" s="160"/>
      <c r="Q83" s="160"/>
      <c r="R83" s="24"/>
    </row>
    <row r="84" spans="1:19" s="46" customFormat="1" ht="49.5" x14ac:dyDescent="0.35">
      <c r="A84" s="24" t="str">
        <f>_xlfn.XLOOKUP(B84,'Paso 3 Redacción RA '!I$3:I$12,'Paso 3 Redacción RA '!C$3:C$12,,0,1)</f>
        <v>Saber</v>
      </c>
      <c r="B84" s="16" t="s">
        <v>85</v>
      </c>
      <c r="C84" s="150">
        <v>6</v>
      </c>
      <c r="D84" s="150" t="s">
        <v>284</v>
      </c>
      <c r="E84" s="158" t="s">
        <v>285</v>
      </c>
      <c r="F84" s="150" t="s">
        <v>178</v>
      </c>
      <c r="G84" s="150"/>
      <c r="H84" s="150" t="s">
        <v>179</v>
      </c>
      <c r="I84" s="150"/>
      <c r="J84" s="150">
        <v>3</v>
      </c>
      <c r="K84" s="150">
        <f>J84*12</f>
        <v>36</v>
      </c>
      <c r="L84" s="150">
        <f>36*J84</f>
        <v>108</v>
      </c>
      <c r="M84" s="150">
        <f>SUM(K84:L84)</f>
        <v>144</v>
      </c>
      <c r="N84" s="158" t="s">
        <v>286</v>
      </c>
      <c r="O84" s="158" t="s">
        <v>192</v>
      </c>
      <c r="P84" s="158" t="s">
        <v>197</v>
      </c>
      <c r="Q84" s="158" t="s">
        <v>188</v>
      </c>
      <c r="R84" s="24"/>
    </row>
    <row r="85" spans="1:19" s="46" customFormat="1" ht="33" x14ac:dyDescent="0.35">
      <c r="A85" s="24" t="str">
        <f>_xlfn.XLOOKUP(B85,'Paso 3 Redacción RA '!I$3:I$12,'Paso 3 Redacción RA '!C$3:C$12,,0,1)</f>
        <v>Saberhacer</v>
      </c>
      <c r="B85" s="16" t="s">
        <v>88</v>
      </c>
      <c r="C85" s="133"/>
      <c r="D85" s="133"/>
      <c r="E85" s="159"/>
      <c r="F85" s="133"/>
      <c r="G85" s="133"/>
      <c r="H85" s="133"/>
      <c r="I85" s="133"/>
      <c r="J85" s="133"/>
      <c r="K85" s="133"/>
      <c r="L85" s="133"/>
      <c r="M85" s="133"/>
      <c r="N85" s="159"/>
      <c r="O85" s="159"/>
      <c r="P85" s="159"/>
      <c r="Q85" s="159"/>
      <c r="R85" s="24"/>
    </row>
    <row r="86" spans="1:19" s="46" customFormat="1" ht="66.5" thickBot="1" x14ac:dyDescent="0.4">
      <c r="A86" s="92" t="str">
        <f>_xlfn.XLOOKUP(B86,'Paso 3 Redacción RA '!I$3:I$12,'Paso 3 Redacción RA '!C$3:C$12,,0,1)</f>
        <v>Saberser</v>
      </c>
      <c r="B86" s="27" t="s">
        <v>92</v>
      </c>
      <c r="C86" s="149"/>
      <c r="D86" s="149"/>
      <c r="E86" s="160"/>
      <c r="F86" s="149"/>
      <c r="G86" s="149"/>
      <c r="H86" s="149"/>
      <c r="I86" s="149"/>
      <c r="J86" s="149"/>
      <c r="K86" s="149"/>
      <c r="L86" s="149"/>
      <c r="M86" s="149"/>
      <c r="N86" s="160"/>
      <c r="O86" s="160"/>
      <c r="P86" s="160"/>
      <c r="Q86" s="160"/>
      <c r="R86" s="24"/>
    </row>
    <row r="87" spans="1:19" s="46" customFormat="1" ht="49.5" x14ac:dyDescent="0.35">
      <c r="A87" s="24" t="str">
        <f>_xlfn.XLOOKUP(B87,'Paso 3 Redacción RA '!I$3:I$12,'Paso 3 Redacción RA '!C$3:C$12,,0,1)</f>
        <v>Saber</v>
      </c>
      <c r="B87" s="16" t="s">
        <v>85</v>
      </c>
      <c r="C87" s="150">
        <v>6</v>
      </c>
      <c r="D87" s="150" t="s">
        <v>287</v>
      </c>
      <c r="E87" s="158" t="s">
        <v>288</v>
      </c>
      <c r="F87" s="150" t="s">
        <v>178</v>
      </c>
      <c r="G87" s="150"/>
      <c r="H87" s="150" t="s">
        <v>179</v>
      </c>
      <c r="I87" s="150"/>
      <c r="J87" s="150">
        <v>3</v>
      </c>
      <c r="K87" s="150">
        <f>J87*12</f>
        <v>36</v>
      </c>
      <c r="L87" s="150">
        <f>36*J87</f>
        <v>108</v>
      </c>
      <c r="M87" s="150">
        <f>SUM(K87:L87)</f>
        <v>144</v>
      </c>
      <c r="N87" s="158" t="s">
        <v>289</v>
      </c>
      <c r="O87" s="158" t="s">
        <v>192</v>
      </c>
      <c r="P87" s="158" t="s">
        <v>197</v>
      </c>
      <c r="Q87" s="158" t="s">
        <v>188</v>
      </c>
      <c r="R87" s="24"/>
    </row>
    <row r="88" spans="1:19" s="46" customFormat="1" ht="66" x14ac:dyDescent="0.35">
      <c r="A88" s="24" t="str">
        <f>_xlfn.XLOOKUP(B88,'Paso 3 Redacción RA '!I$3:I$12,'Paso 3 Redacción RA '!C$3:C$12,,0,1)</f>
        <v>Saberser</v>
      </c>
      <c r="B88" s="16" t="s">
        <v>92</v>
      </c>
      <c r="C88" s="133"/>
      <c r="D88" s="133"/>
      <c r="E88" s="159"/>
      <c r="F88" s="133"/>
      <c r="G88" s="133"/>
      <c r="H88" s="133"/>
      <c r="I88" s="133"/>
      <c r="J88" s="133"/>
      <c r="K88" s="133"/>
      <c r="L88" s="133"/>
      <c r="M88" s="133"/>
      <c r="N88" s="159"/>
      <c r="O88" s="159"/>
      <c r="P88" s="159"/>
      <c r="Q88" s="159"/>
      <c r="R88" s="24"/>
    </row>
    <row r="89" spans="1:19" s="46" customFormat="1" ht="33.5" thickBot="1" x14ac:dyDescent="0.4">
      <c r="A89" s="92" t="str">
        <f>_xlfn.XLOOKUP(B89,'Paso 3 Redacción RA '!I$3:I$12,'Paso 3 Redacción RA '!C$3:C$12,,0,1)</f>
        <v>Saberhacer</v>
      </c>
      <c r="B89" s="27" t="s">
        <v>88</v>
      </c>
      <c r="C89" s="149"/>
      <c r="D89" s="149"/>
      <c r="E89" s="160"/>
      <c r="F89" s="149"/>
      <c r="G89" s="149"/>
      <c r="H89" s="149"/>
      <c r="I89" s="149"/>
      <c r="J89" s="149"/>
      <c r="K89" s="149"/>
      <c r="L89" s="149"/>
      <c r="M89" s="149"/>
      <c r="N89" s="160"/>
      <c r="O89" s="160"/>
      <c r="P89" s="160"/>
      <c r="Q89" s="160"/>
      <c r="R89" s="24">
        <f>SUM(J75:J89)</f>
        <v>16</v>
      </c>
      <c r="S89" s="46">
        <f>COUNTA(D75:D89)</f>
        <v>5</v>
      </c>
    </row>
    <row r="90" spans="1:19" s="46" customFormat="1" ht="33" x14ac:dyDescent="0.35">
      <c r="A90" s="24" t="str">
        <f>_xlfn.XLOOKUP(B90,'Paso 3 Redacción RA '!I$3:I$12,'Paso 3 Redacción RA '!C$3:C$12,,0,1)</f>
        <v>Saberhacer</v>
      </c>
      <c r="B90" s="16" t="s">
        <v>88</v>
      </c>
      <c r="C90" s="150">
        <v>7</v>
      </c>
      <c r="D90" s="150" t="s">
        <v>290</v>
      </c>
      <c r="E90" s="158" t="s">
        <v>291</v>
      </c>
      <c r="F90" s="150" t="s">
        <v>178</v>
      </c>
      <c r="G90" s="150"/>
      <c r="H90" s="150" t="s">
        <v>179</v>
      </c>
      <c r="I90" s="150"/>
      <c r="J90" s="150">
        <v>3</v>
      </c>
      <c r="K90" s="150">
        <f>J90*12</f>
        <v>36</v>
      </c>
      <c r="L90" s="150">
        <f>36*J90</f>
        <v>108</v>
      </c>
      <c r="M90" s="150">
        <f>SUM(K90:L90)</f>
        <v>144</v>
      </c>
      <c r="N90" s="158" t="s">
        <v>292</v>
      </c>
      <c r="O90" s="158" t="s">
        <v>192</v>
      </c>
      <c r="P90" s="158" t="s">
        <v>197</v>
      </c>
      <c r="Q90" s="158" t="s">
        <v>188</v>
      </c>
      <c r="R90" s="24"/>
    </row>
    <row r="91" spans="1:19" s="46" customFormat="1" ht="49.5" x14ac:dyDescent="0.35">
      <c r="A91" s="24" t="str">
        <f>_xlfn.XLOOKUP(B91,'Paso 3 Redacción RA '!I$3:I$12,'Paso 3 Redacción RA '!C$3:C$12,,0,1)</f>
        <v>Saber</v>
      </c>
      <c r="B91" s="16" t="s">
        <v>85</v>
      </c>
      <c r="C91" s="133"/>
      <c r="D91" s="133"/>
      <c r="E91" s="159"/>
      <c r="F91" s="133"/>
      <c r="G91" s="133"/>
      <c r="H91" s="133"/>
      <c r="I91" s="133"/>
      <c r="J91" s="133"/>
      <c r="K91" s="133"/>
      <c r="L91" s="133"/>
      <c r="M91" s="133"/>
      <c r="N91" s="159"/>
      <c r="O91" s="159"/>
      <c r="P91" s="159"/>
      <c r="Q91" s="159"/>
      <c r="R91" s="24"/>
    </row>
    <row r="92" spans="1:19" s="46" customFormat="1" ht="50" thickBot="1" x14ac:dyDescent="0.4">
      <c r="A92" s="92" t="str">
        <f>_xlfn.XLOOKUP(B92,'Paso 3 Redacción RA '!I$3:I$12,'Paso 3 Redacción RA '!C$3:C$12,,0,1)</f>
        <v>Saber</v>
      </c>
      <c r="B92" s="27" t="s">
        <v>98</v>
      </c>
      <c r="C92" s="149"/>
      <c r="D92" s="149"/>
      <c r="E92" s="160"/>
      <c r="F92" s="149"/>
      <c r="G92" s="149"/>
      <c r="H92" s="149"/>
      <c r="I92" s="149"/>
      <c r="J92" s="149"/>
      <c r="K92" s="149"/>
      <c r="L92" s="149"/>
      <c r="M92" s="149"/>
      <c r="N92" s="160"/>
      <c r="O92" s="160"/>
      <c r="P92" s="160"/>
      <c r="Q92" s="160"/>
      <c r="R92" s="24"/>
    </row>
    <row r="93" spans="1:19" s="46" customFormat="1" ht="33" x14ac:dyDescent="0.35">
      <c r="A93" s="24" t="str">
        <f>_xlfn.XLOOKUP(B93,'Paso 3 Redacción RA '!I$3:I$12,'Paso 3 Redacción RA '!C$3:C$12,,0,1)</f>
        <v>Saberhacer</v>
      </c>
      <c r="B93" s="16" t="s">
        <v>88</v>
      </c>
      <c r="C93" s="150">
        <v>7</v>
      </c>
      <c r="D93" s="150" t="s">
        <v>293</v>
      </c>
      <c r="E93" s="166" t="s">
        <v>294</v>
      </c>
      <c r="F93" s="150" t="s">
        <v>295</v>
      </c>
      <c r="G93" s="150"/>
      <c r="H93" s="150" t="s">
        <v>179</v>
      </c>
      <c r="I93" s="150"/>
      <c r="J93" s="150">
        <v>4</v>
      </c>
      <c r="K93" s="150">
        <f>J93*12</f>
        <v>48</v>
      </c>
      <c r="L93" s="150">
        <f>36*J93</f>
        <v>144</v>
      </c>
      <c r="M93" s="150">
        <f>SUM(K93:L93)</f>
        <v>192</v>
      </c>
      <c r="N93" s="158" t="s">
        <v>296</v>
      </c>
      <c r="O93" s="158" t="s">
        <v>192</v>
      </c>
      <c r="P93" s="158" t="s">
        <v>297</v>
      </c>
      <c r="Q93" s="158" t="s">
        <v>188</v>
      </c>
      <c r="R93" s="24"/>
    </row>
    <row r="94" spans="1:19" s="46" customFormat="1" ht="49.5" x14ac:dyDescent="0.35">
      <c r="A94" s="24" t="str">
        <f>_xlfn.XLOOKUP(B94,'Paso 3 Redacción RA '!I$3:I$12,'Paso 3 Redacción RA '!C$3:C$12,,0,1)</f>
        <v>Saber</v>
      </c>
      <c r="B94" s="16" t="s">
        <v>85</v>
      </c>
      <c r="C94" s="133"/>
      <c r="D94" s="133"/>
      <c r="E94" s="156"/>
      <c r="F94" s="133"/>
      <c r="G94" s="133"/>
      <c r="H94" s="133"/>
      <c r="I94" s="133"/>
      <c r="J94" s="133"/>
      <c r="K94" s="133"/>
      <c r="L94" s="133"/>
      <c r="M94" s="133"/>
      <c r="N94" s="159"/>
      <c r="O94" s="159"/>
      <c r="P94" s="159"/>
      <c r="Q94" s="159"/>
      <c r="R94" s="24"/>
    </row>
    <row r="95" spans="1:19" s="46" customFormat="1" ht="66" x14ac:dyDescent="0.35">
      <c r="A95" s="92" t="str">
        <f>_xlfn.XLOOKUP(B95,'Paso 3 Redacción RA '!I$3:I$12,'Paso 3 Redacción RA '!C$3:C$12,,0,1)</f>
        <v>Saberser</v>
      </c>
      <c r="B95" s="27" t="s">
        <v>92</v>
      </c>
      <c r="C95" s="149"/>
      <c r="D95" s="149"/>
      <c r="E95" s="157"/>
      <c r="F95" s="149"/>
      <c r="G95" s="149"/>
      <c r="H95" s="149"/>
      <c r="I95" s="149"/>
      <c r="J95" s="149"/>
      <c r="K95" s="149"/>
      <c r="L95" s="149"/>
      <c r="M95" s="149"/>
      <c r="N95" s="160"/>
      <c r="O95" s="160"/>
      <c r="P95" s="160"/>
      <c r="Q95" s="160"/>
      <c r="R95" s="24"/>
    </row>
    <row r="96" spans="1:19" s="46" customFormat="1" ht="33" x14ac:dyDescent="0.35">
      <c r="A96" s="24" t="str">
        <f>_xlfn.XLOOKUP(B96,'Paso 3 Redacción RA '!I$3:I$12,'Paso 3 Redacción RA '!C$3:C$12,,0,1)</f>
        <v>Saberhacer</v>
      </c>
      <c r="B96" s="16" t="s">
        <v>88</v>
      </c>
      <c r="C96" s="150">
        <v>7</v>
      </c>
      <c r="D96" s="150" t="s">
        <v>298</v>
      </c>
      <c r="E96" s="158" t="s">
        <v>299</v>
      </c>
      <c r="F96" s="150" t="s">
        <v>178</v>
      </c>
      <c r="G96" s="150"/>
      <c r="H96" s="150" t="s">
        <v>179</v>
      </c>
      <c r="I96" s="150"/>
      <c r="J96" s="150">
        <v>3</v>
      </c>
      <c r="K96" s="150">
        <f>J96*12</f>
        <v>36</v>
      </c>
      <c r="L96" s="150">
        <f>36*J96</f>
        <v>108</v>
      </c>
      <c r="M96" s="150">
        <f>SUM(K96:L96)</f>
        <v>144</v>
      </c>
      <c r="N96" s="158" t="s">
        <v>300</v>
      </c>
      <c r="O96" s="158" t="s">
        <v>192</v>
      </c>
      <c r="P96" s="158" t="s">
        <v>197</v>
      </c>
      <c r="Q96" s="158" t="s">
        <v>188</v>
      </c>
      <c r="R96" s="24"/>
    </row>
    <row r="97" spans="1:19" s="46" customFormat="1" ht="49.5" x14ac:dyDescent="0.35">
      <c r="A97" s="24" t="str">
        <f>_xlfn.XLOOKUP(B97,'Paso 3 Redacción RA '!I$3:I$12,'Paso 3 Redacción RA '!C$3:C$12,,0,1)</f>
        <v>Saber</v>
      </c>
      <c r="B97" s="16" t="s">
        <v>98</v>
      </c>
      <c r="C97" s="133"/>
      <c r="D97" s="133"/>
      <c r="E97" s="159"/>
      <c r="F97" s="133"/>
      <c r="G97" s="133"/>
      <c r="H97" s="133"/>
      <c r="I97" s="133"/>
      <c r="J97" s="133"/>
      <c r="K97" s="133"/>
      <c r="L97" s="133"/>
      <c r="M97" s="133"/>
      <c r="N97" s="159"/>
      <c r="O97" s="159"/>
      <c r="P97" s="159"/>
      <c r="Q97" s="159"/>
      <c r="R97" s="24"/>
    </row>
    <row r="98" spans="1:19" s="46" customFormat="1" ht="33.5" thickBot="1" x14ac:dyDescent="0.4">
      <c r="A98" s="92" t="str">
        <f>_xlfn.XLOOKUP(B98,'Paso 3 Redacción RA '!I$3:I$12,'Paso 3 Redacción RA '!C$3:C$12,,0,1)</f>
        <v>Saberhacer</v>
      </c>
      <c r="B98" s="27" t="s">
        <v>97</v>
      </c>
      <c r="C98" s="149"/>
      <c r="D98" s="149"/>
      <c r="E98" s="160"/>
      <c r="F98" s="149"/>
      <c r="G98" s="149"/>
      <c r="H98" s="149"/>
      <c r="I98" s="149"/>
      <c r="J98" s="149"/>
      <c r="K98" s="149"/>
      <c r="L98" s="149"/>
      <c r="M98" s="168"/>
      <c r="N98" s="160"/>
      <c r="O98" s="160"/>
      <c r="P98" s="160"/>
      <c r="Q98" s="160"/>
      <c r="R98" s="24"/>
    </row>
    <row r="99" spans="1:19" s="46" customFormat="1" ht="16.5" x14ac:dyDescent="0.35">
      <c r="A99" s="124"/>
      <c r="B99" s="78"/>
      <c r="C99" s="79">
        <v>7</v>
      </c>
      <c r="D99" s="80" t="s">
        <v>301</v>
      </c>
      <c r="E99" s="81"/>
      <c r="F99" s="80"/>
      <c r="G99" s="82"/>
      <c r="H99" s="82"/>
      <c r="I99" s="82" t="s">
        <v>179</v>
      </c>
      <c r="J99" s="82">
        <v>3</v>
      </c>
      <c r="K99" s="82">
        <f>J99*12</f>
        <v>36</v>
      </c>
      <c r="L99" s="82">
        <f>36*J99</f>
        <v>108</v>
      </c>
      <c r="M99" s="114">
        <f>SUM(K99:L99)</f>
        <v>144</v>
      </c>
      <c r="N99" s="83"/>
      <c r="O99" s="83"/>
      <c r="P99" s="83"/>
      <c r="Q99" s="84"/>
      <c r="R99" s="24"/>
    </row>
    <row r="100" spans="1:19" s="46" customFormat="1" ht="17" thickBot="1" x14ac:dyDescent="0.4">
      <c r="A100" s="124"/>
      <c r="B100" s="78"/>
      <c r="C100" s="79">
        <v>7</v>
      </c>
      <c r="D100" s="80" t="s">
        <v>302</v>
      </c>
      <c r="E100" s="78"/>
      <c r="F100" s="80"/>
      <c r="G100" s="80"/>
      <c r="H100" s="80"/>
      <c r="I100" s="80" t="s">
        <v>179</v>
      </c>
      <c r="J100" s="80">
        <v>3</v>
      </c>
      <c r="K100" s="82">
        <f>J100*12</f>
        <v>36</v>
      </c>
      <c r="L100" s="82">
        <f>36*J100</f>
        <v>108</v>
      </c>
      <c r="M100" s="82">
        <f>SUM(K100:L100)</f>
        <v>144</v>
      </c>
      <c r="N100" s="78"/>
      <c r="O100" s="78"/>
      <c r="P100" s="78"/>
      <c r="Q100" s="84"/>
      <c r="R100" s="24">
        <f>SUM(J90:J100)</f>
        <v>16</v>
      </c>
      <c r="S100" s="46">
        <f>COUNTA(D90:D100)</f>
        <v>5</v>
      </c>
    </row>
    <row r="101" spans="1:19" s="46" customFormat="1" ht="33" x14ac:dyDescent="0.35">
      <c r="A101" s="24" t="str">
        <f>_xlfn.XLOOKUP(B101,'Paso 3 Redacción RA '!I$3:I$12,'Paso 3 Redacción RA '!C$3:C$12,,0,1)</f>
        <v>Saberhacer</v>
      </c>
      <c r="B101" s="16" t="s">
        <v>88</v>
      </c>
      <c r="C101" s="150">
        <v>8</v>
      </c>
      <c r="D101" s="150" t="s">
        <v>303</v>
      </c>
      <c r="E101" s="158" t="s">
        <v>304</v>
      </c>
      <c r="F101" s="150" t="s">
        <v>295</v>
      </c>
      <c r="G101" s="150"/>
      <c r="H101" s="150" t="s">
        <v>179</v>
      </c>
      <c r="I101" s="150"/>
      <c r="J101" s="150">
        <v>4</v>
      </c>
      <c r="K101" s="150">
        <f>J101*12</f>
        <v>48</v>
      </c>
      <c r="L101" s="150">
        <f>36*J101</f>
        <v>144</v>
      </c>
      <c r="M101" s="150">
        <f>SUM(K101:L101)</f>
        <v>192</v>
      </c>
      <c r="N101" s="158" t="s">
        <v>296</v>
      </c>
      <c r="O101" s="158" t="s">
        <v>192</v>
      </c>
      <c r="P101" s="158" t="s">
        <v>297</v>
      </c>
      <c r="Q101" s="158" t="s">
        <v>188</v>
      </c>
      <c r="R101" s="24"/>
    </row>
    <row r="102" spans="1:19" s="46" customFormat="1" ht="49.5" x14ac:dyDescent="0.35">
      <c r="A102" s="24" t="str">
        <f>_xlfn.XLOOKUP(B102,'Paso 3 Redacción RA '!I$3:I$12,'Paso 3 Redacción RA '!C$3:C$12,,0,1)</f>
        <v>Saber</v>
      </c>
      <c r="B102" s="16" t="s">
        <v>85</v>
      </c>
      <c r="C102" s="133"/>
      <c r="D102" s="133"/>
      <c r="E102" s="159"/>
      <c r="F102" s="133"/>
      <c r="G102" s="133"/>
      <c r="H102" s="133"/>
      <c r="I102" s="133"/>
      <c r="J102" s="133"/>
      <c r="K102" s="133"/>
      <c r="L102" s="133"/>
      <c r="M102" s="133"/>
      <c r="N102" s="159"/>
      <c r="O102" s="159"/>
      <c r="P102" s="159"/>
      <c r="Q102" s="159"/>
      <c r="R102" s="24"/>
    </row>
    <row r="103" spans="1:19" s="46" customFormat="1" ht="66.5" thickBot="1" x14ac:dyDescent="0.4">
      <c r="A103" s="92" t="str">
        <f>_xlfn.XLOOKUP(B103,'Paso 3 Redacción RA '!I$3:I$12,'Paso 3 Redacción RA '!C$3:C$12,,0,1)</f>
        <v>Saberser</v>
      </c>
      <c r="B103" s="27" t="s">
        <v>92</v>
      </c>
      <c r="C103" s="149"/>
      <c r="D103" s="149"/>
      <c r="E103" s="160"/>
      <c r="F103" s="149"/>
      <c r="G103" s="149"/>
      <c r="H103" s="149"/>
      <c r="I103" s="149"/>
      <c r="J103" s="149"/>
      <c r="K103" s="149"/>
      <c r="L103" s="149"/>
      <c r="M103" s="149"/>
      <c r="N103" s="160"/>
      <c r="O103" s="160"/>
      <c r="P103" s="160"/>
      <c r="Q103" s="160"/>
      <c r="R103" s="24"/>
    </row>
    <row r="104" spans="1:19" s="46" customFormat="1" ht="33" x14ac:dyDescent="0.35">
      <c r="A104" s="24" t="str">
        <f>_xlfn.XLOOKUP(B104,'Paso 3 Redacción RA '!I$3:I$12,'Paso 3 Redacción RA '!C$3:C$12,,0,1)</f>
        <v>Saberhacer</v>
      </c>
      <c r="B104" s="16" t="s">
        <v>88</v>
      </c>
      <c r="C104" s="150">
        <v>8</v>
      </c>
      <c r="D104" s="150" t="s">
        <v>305</v>
      </c>
      <c r="E104" s="166" t="s">
        <v>306</v>
      </c>
      <c r="F104" s="150" t="s">
        <v>295</v>
      </c>
      <c r="G104" s="150"/>
      <c r="H104" s="150" t="s">
        <v>179</v>
      </c>
      <c r="I104" s="150"/>
      <c r="J104" s="150">
        <v>4</v>
      </c>
      <c r="K104" s="150">
        <f>J104*12</f>
        <v>48</v>
      </c>
      <c r="L104" s="150">
        <f>36*J104</f>
        <v>144</v>
      </c>
      <c r="M104" s="150">
        <f>SUM(K104:L104)</f>
        <v>192</v>
      </c>
      <c r="N104" s="158" t="s">
        <v>296</v>
      </c>
      <c r="O104" s="158" t="s">
        <v>192</v>
      </c>
      <c r="P104" s="158" t="s">
        <v>297</v>
      </c>
      <c r="Q104" s="158" t="s">
        <v>188</v>
      </c>
      <c r="R104" s="24"/>
    </row>
    <row r="105" spans="1:19" s="46" customFormat="1" ht="49.5" x14ac:dyDescent="0.35">
      <c r="A105" s="24" t="str">
        <f>_xlfn.XLOOKUP(B105,'Paso 3 Redacción RA '!I$3:I$12,'Paso 3 Redacción RA '!C$3:C$12,,0,1)</f>
        <v>Saber</v>
      </c>
      <c r="B105" s="16" t="s">
        <v>85</v>
      </c>
      <c r="C105" s="133"/>
      <c r="D105" s="133"/>
      <c r="E105" s="156"/>
      <c r="F105" s="133"/>
      <c r="G105" s="133"/>
      <c r="H105" s="133"/>
      <c r="I105" s="133"/>
      <c r="J105" s="133"/>
      <c r="K105" s="133"/>
      <c r="L105" s="133"/>
      <c r="M105" s="133"/>
      <c r="N105" s="159"/>
      <c r="O105" s="159"/>
      <c r="P105" s="159"/>
      <c r="Q105" s="159"/>
      <c r="R105" s="24"/>
    </row>
    <row r="106" spans="1:19" s="46" customFormat="1" ht="66.5" thickBot="1" x14ac:dyDescent="0.4">
      <c r="A106" s="92" t="str">
        <f>_xlfn.XLOOKUP(B106,'Paso 3 Redacción RA '!I$3:I$12,'Paso 3 Redacción RA '!C$3:C$12,,0,1)</f>
        <v>Saberser</v>
      </c>
      <c r="B106" s="27" t="s">
        <v>92</v>
      </c>
      <c r="C106" s="149"/>
      <c r="D106" s="168"/>
      <c r="E106" s="169"/>
      <c r="F106" s="149"/>
      <c r="G106" s="149"/>
      <c r="H106" s="149"/>
      <c r="I106" s="149"/>
      <c r="J106" s="149"/>
      <c r="K106" s="149"/>
      <c r="L106" s="149"/>
      <c r="M106" s="149"/>
      <c r="N106" s="160"/>
      <c r="O106" s="160"/>
      <c r="P106" s="160"/>
      <c r="Q106" s="160"/>
      <c r="R106" s="24"/>
    </row>
    <row r="107" spans="1:19" s="46" customFormat="1" ht="33" x14ac:dyDescent="0.35">
      <c r="A107" s="24" t="str">
        <f>_xlfn.XLOOKUP(B107,'Paso 3 Redacción RA '!I$3:I$12,'Paso 3 Redacción RA '!C$3:C$12,,0,1)</f>
        <v>Saberhacer</v>
      </c>
      <c r="B107" s="16" t="s">
        <v>88</v>
      </c>
      <c r="C107" s="150">
        <v>8</v>
      </c>
      <c r="D107" s="133" t="s">
        <v>307</v>
      </c>
      <c r="E107" s="156" t="s">
        <v>308</v>
      </c>
      <c r="F107" s="150" t="s">
        <v>178</v>
      </c>
      <c r="G107" s="150"/>
      <c r="H107" s="150" t="s">
        <v>179</v>
      </c>
      <c r="I107" s="150"/>
      <c r="J107" s="150">
        <v>4</v>
      </c>
      <c r="K107" s="150">
        <f>J107*12</f>
        <v>48</v>
      </c>
      <c r="L107" s="150">
        <f>36*J107</f>
        <v>144</v>
      </c>
      <c r="M107" s="150">
        <f>SUM(K107:L107)</f>
        <v>192</v>
      </c>
      <c r="N107" s="158" t="s">
        <v>309</v>
      </c>
      <c r="O107" s="158" t="s">
        <v>192</v>
      </c>
      <c r="P107" s="158" t="s">
        <v>197</v>
      </c>
      <c r="Q107" s="158" t="s">
        <v>188</v>
      </c>
      <c r="R107" s="24"/>
    </row>
    <row r="108" spans="1:19" s="46" customFormat="1" ht="49.5" x14ac:dyDescent="0.35">
      <c r="A108" s="24" t="str">
        <f>_xlfn.XLOOKUP(B108,'Paso 3 Redacción RA '!I$3:I$12,'Paso 3 Redacción RA '!C$3:C$12,,0,1)</f>
        <v>Saber</v>
      </c>
      <c r="B108" s="16" t="s">
        <v>98</v>
      </c>
      <c r="C108" s="133"/>
      <c r="D108" s="133"/>
      <c r="E108" s="156"/>
      <c r="F108" s="133"/>
      <c r="G108" s="133"/>
      <c r="H108" s="133"/>
      <c r="I108" s="133"/>
      <c r="J108" s="133"/>
      <c r="K108" s="133"/>
      <c r="L108" s="133"/>
      <c r="M108" s="133"/>
      <c r="N108" s="159"/>
      <c r="O108" s="159"/>
      <c r="P108" s="159"/>
      <c r="Q108" s="159"/>
      <c r="R108" s="24"/>
    </row>
    <row r="109" spans="1:19" s="46" customFormat="1" ht="50" thickBot="1" x14ac:dyDescent="0.4">
      <c r="A109" s="92" t="str">
        <f>_xlfn.XLOOKUP(B109,'Paso 3 Redacción RA '!I$3:I$12,'Paso 3 Redacción RA '!C$3:C$12,,0,1)</f>
        <v>Saber</v>
      </c>
      <c r="B109" s="16" t="s">
        <v>85</v>
      </c>
      <c r="C109" s="149"/>
      <c r="D109" s="149"/>
      <c r="E109" s="157"/>
      <c r="F109" s="149"/>
      <c r="G109" s="149"/>
      <c r="H109" s="149"/>
      <c r="I109" s="149"/>
      <c r="J109" s="149"/>
      <c r="K109" s="149"/>
      <c r="L109" s="149"/>
      <c r="M109" s="149"/>
      <c r="N109" s="160"/>
      <c r="O109" s="160"/>
      <c r="P109" s="160"/>
      <c r="Q109" s="160"/>
      <c r="R109" s="24"/>
    </row>
    <row r="110" spans="1:19" s="46" customFormat="1" ht="17" thickBot="1" x14ac:dyDescent="0.4">
      <c r="A110" s="124"/>
      <c r="B110" s="85"/>
      <c r="C110" s="86">
        <v>8</v>
      </c>
      <c r="D110" s="87" t="s">
        <v>310</v>
      </c>
      <c r="E110" s="85"/>
      <c r="F110" s="87"/>
      <c r="G110" s="87"/>
      <c r="H110" s="87"/>
      <c r="I110" s="87" t="s">
        <v>179</v>
      </c>
      <c r="J110" s="87">
        <v>3</v>
      </c>
      <c r="K110" s="82">
        <f>J110*12</f>
        <v>36</v>
      </c>
      <c r="L110" s="82">
        <f>36*J110</f>
        <v>108</v>
      </c>
      <c r="M110" s="88">
        <f>SUM(K110:L110)</f>
        <v>144</v>
      </c>
      <c r="N110" s="85"/>
      <c r="O110" s="85"/>
      <c r="P110" s="85"/>
      <c r="Q110" s="89"/>
      <c r="R110" s="24"/>
    </row>
    <row r="111" spans="1:19" s="46" customFormat="1" ht="16.5" x14ac:dyDescent="0.35">
      <c r="A111" s="124"/>
      <c r="B111" s="78"/>
      <c r="C111" s="79">
        <v>8</v>
      </c>
      <c r="D111" s="80" t="s">
        <v>311</v>
      </c>
      <c r="E111" s="78"/>
      <c r="F111" s="80"/>
      <c r="G111" s="80"/>
      <c r="H111" s="80"/>
      <c r="I111" s="80" t="s">
        <v>179</v>
      </c>
      <c r="J111" s="80">
        <v>3</v>
      </c>
      <c r="K111" s="82">
        <f>J111*12</f>
        <v>36</v>
      </c>
      <c r="L111" s="82">
        <f>36*J111</f>
        <v>108</v>
      </c>
      <c r="M111" s="82">
        <f>SUM(K111:L111)</f>
        <v>144</v>
      </c>
      <c r="N111" s="78"/>
      <c r="O111" s="78"/>
      <c r="P111" s="78"/>
      <c r="Q111" s="78"/>
      <c r="R111" s="24">
        <f>SUM(J101:J111)</f>
        <v>18</v>
      </c>
      <c r="S111" s="46">
        <f>COUNTA(D101:D111)</f>
        <v>5</v>
      </c>
    </row>
    <row r="112" spans="1:19" s="46" customFormat="1" ht="32" x14ac:dyDescent="0.35">
      <c r="A112" s="24"/>
      <c r="B112" s="16"/>
      <c r="C112" s="95" t="s">
        <v>312</v>
      </c>
      <c r="D112" s="129">
        <f>COUNTA(D3:D111)</f>
        <v>43</v>
      </c>
      <c r="E112" s="16"/>
      <c r="F112" s="19"/>
      <c r="G112" s="19"/>
      <c r="H112" s="19"/>
      <c r="I112" s="96" t="s">
        <v>313</v>
      </c>
      <c r="J112" s="130">
        <f>SUM(J3:J111)</f>
        <v>137</v>
      </c>
      <c r="K112" s="97"/>
      <c r="L112" s="30"/>
      <c r="M112" s="19"/>
      <c r="N112" s="16"/>
      <c r="O112" s="16"/>
      <c r="P112" s="16"/>
      <c r="Q112" s="16"/>
      <c r="R112" s="24">
        <f>SUM(R111,R100,R89,R74,R56,R43,R29,R16)</f>
        <v>137</v>
      </c>
      <c r="S112" s="46">
        <f>SUM(S3:S111)</f>
        <v>43</v>
      </c>
    </row>
    <row r="113" spans="1:18" s="46" customFormat="1" ht="48" x14ac:dyDescent="0.35">
      <c r="A113" s="24"/>
      <c r="B113" s="16"/>
      <c r="D113" s="19"/>
      <c r="E113" s="16"/>
      <c r="F113" s="19"/>
      <c r="G113" s="19"/>
      <c r="H113" s="19"/>
      <c r="I113" s="98" t="s">
        <v>314</v>
      </c>
      <c r="J113" s="51">
        <f>SUM(J44,J31,J30,J17,J4,J3)</f>
        <v>18</v>
      </c>
      <c r="K113" s="97"/>
      <c r="L113" s="48"/>
      <c r="M113" s="19"/>
      <c r="N113" s="16"/>
      <c r="O113" s="16"/>
      <c r="P113" s="16"/>
      <c r="Q113" s="16"/>
      <c r="R113" s="24"/>
    </row>
    <row r="114" spans="1:18" s="46" customFormat="1" ht="48" x14ac:dyDescent="0.35">
      <c r="A114" s="24"/>
      <c r="B114" s="16"/>
      <c r="D114" s="32"/>
      <c r="E114" s="65"/>
      <c r="F114" s="32"/>
      <c r="G114" s="66"/>
      <c r="H114" s="66"/>
      <c r="I114" s="98" t="s">
        <v>315</v>
      </c>
      <c r="J114" s="51">
        <f>SUM(J101:J109,J45:J98,J32:J43,J18:J29,J5:J16)</f>
        <v>107</v>
      </c>
      <c r="K114" s="97"/>
      <c r="L114" s="48"/>
      <c r="M114" s="66"/>
      <c r="N114" s="22"/>
      <c r="O114" s="67"/>
      <c r="P114" s="67"/>
      <c r="Q114" s="67"/>
      <c r="R114" s="24"/>
    </row>
    <row r="115" spans="1:18" s="46" customFormat="1" ht="32" x14ac:dyDescent="0.35">
      <c r="A115" s="24"/>
      <c r="B115" s="16"/>
      <c r="D115" s="32"/>
      <c r="E115" s="65"/>
      <c r="F115" s="32"/>
      <c r="G115" s="66"/>
      <c r="H115" s="66"/>
      <c r="I115" s="98" t="s">
        <v>316</v>
      </c>
      <c r="J115" s="48">
        <f>SUM(J99:J100,J110:J111)</f>
        <v>12</v>
      </c>
      <c r="K115" s="99"/>
      <c r="L115" s="48"/>
      <c r="M115" s="66"/>
      <c r="N115" s="22"/>
      <c r="O115" s="67"/>
      <c r="P115" s="67"/>
      <c r="Q115" s="67"/>
      <c r="R115" s="24"/>
    </row>
    <row r="116" spans="1:18" s="46" customFormat="1" ht="16.5" x14ac:dyDescent="0.35">
      <c r="A116" s="24"/>
      <c r="B116" s="16"/>
      <c r="D116" s="32"/>
      <c r="E116" s="65"/>
      <c r="F116" s="32"/>
      <c r="G116" s="66"/>
      <c r="H116" s="66"/>
      <c r="I116" s="66"/>
      <c r="J116" s="66"/>
      <c r="K116" s="66"/>
      <c r="L116" s="66"/>
      <c r="M116" s="66"/>
      <c r="N116" s="22"/>
      <c r="O116" s="67"/>
      <c r="P116" s="67"/>
      <c r="Q116" s="67"/>
      <c r="R116" s="24"/>
    </row>
    <row r="117" spans="1:18" s="46" customFormat="1" ht="16.5" x14ac:dyDescent="0.35">
      <c r="A117" s="24"/>
      <c r="B117" s="16"/>
      <c r="D117" s="32"/>
      <c r="E117" s="65"/>
      <c r="F117" s="32"/>
      <c r="G117" s="66"/>
      <c r="H117" s="66"/>
      <c r="I117" s="66"/>
      <c r="J117" s="66"/>
      <c r="K117" s="66"/>
      <c r="L117" s="66"/>
      <c r="M117" s="66"/>
      <c r="N117" s="22"/>
      <c r="O117" s="67"/>
      <c r="P117" s="67"/>
      <c r="Q117" s="67"/>
      <c r="R117" s="24"/>
    </row>
    <row r="118" spans="1:18" s="46" customFormat="1" ht="16.5" x14ac:dyDescent="0.35">
      <c r="A118" s="24"/>
      <c r="B118" s="16"/>
      <c r="D118" s="19"/>
      <c r="E118" s="16"/>
      <c r="F118" s="19"/>
      <c r="G118" s="19"/>
      <c r="H118" s="19"/>
      <c r="I118" s="19"/>
      <c r="J118" s="19"/>
      <c r="K118" s="19"/>
      <c r="L118" s="19"/>
      <c r="M118" s="19"/>
      <c r="N118" s="16"/>
      <c r="O118" s="16"/>
      <c r="P118" s="16"/>
      <c r="Q118" s="16"/>
      <c r="R118" s="24"/>
    </row>
    <row r="119" spans="1:18" s="46" customFormat="1" ht="16.5" x14ac:dyDescent="0.35">
      <c r="A119" s="24"/>
      <c r="B119" s="16"/>
      <c r="D119" s="19"/>
      <c r="E119" s="16"/>
      <c r="F119" s="19"/>
      <c r="G119" s="19"/>
      <c r="H119" s="19"/>
      <c r="I119" s="19"/>
      <c r="J119" s="19"/>
      <c r="K119" s="19"/>
      <c r="L119" s="19"/>
      <c r="M119" s="19"/>
      <c r="N119" s="16"/>
      <c r="O119" s="16"/>
      <c r="P119" s="16"/>
      <c r="Q119" s="16"/>
      <c r="R119" s="24"/>
    </row>
    <row r="120" spans="1:18" s="46" customFormat="1" ht="16.5" x14ac:dyDescent="0.35">
      <c r="A120" s="24"/>
      <c r="B120" s="16"/>
      <c r="D120" s="19"/>
      <c r="E120" s="16"/>
      <c r="F120" s="19"/>
      <c r="G120" s="19"/>
      <c r="H120" s="19"/>
      <c r="I120" s="19"/>
      <c r="J120" s="19"/>
      <c r="K120" s="19"/>
      <c r="L120" s="19"/>
      <c r="M120" s="19"/>
      <c r="N120" s="16"/>
      <c r="O120" s="16"/>
      <c r="P120" s="16"/>
      <c r="Q120" s="16"/>
      <c r="R120" s="24"/>
    </row>
    <row r="121" spans="1:18" s="46" customFormat="1" ht="16.5" x14ac:dyDescent="0.35">
      <c r="A121" s="24"/>
      <c r="B121" s="16"/>
      <c r="D121" s="19"/>
      <c r="E121" s="16"/>
      <c r="F121" s="19"/>
      <c r="G121" s="66"/>
      <c r="H121" s="66"/>
      <c r="I121" s="66"/>
      <c r="J121" s="66"/>
      <c r="K121" s="66"/>
      <c r="L121" s="66"/>
      <c r="M121" s="66"/>
      <c r="N121" s="16"/>
      <c r="O121" s="16"/>
      <c r="P121" s="16"/>
      <c r="Q121" s="16"/>
      <c r="R121" s="24"/>
    </row>
    <row r="122" spans="1:18" s="46" customFormat="1" ht="16.5" x14ac:dyDescent="0.35">
      <c r="A122" s="24"/>
      <c r="B122" s="16"/>
      <c r="D122" s="19"/>
      <c r="E122" s="16"/>
      <c r="F122" s="19"/>
      <c r="G122" s="66"/>
      <c r="H122" s="66"/>
      <c r="I122" s="66"/>
      <c r="J122" s="66"/>
      <c r="K122" s="66"/>
      <c r="L122" s="66"/>
      <c r="M122" s="66"/>
      <c r="N122" s="16"/>
      <c r="O122" s="16"/>
      <c r="P122" s="16"/>
      <c r="Q122" s="16"/>
      <c r="R122" s="24"/>
    </row>
    <row r="123" spans="1:18" s="46" customFormat="1" ht="16.5" x14ac:dyDescent="0.35">
      <c r="A123" s="24"/>
      <c r="B123" s="16"/>
      <c r="D123" s="19"/>
      <c r="E123" s="16"/>
      <c r="F123" s="19"/>
      <c r="G123" s="66"/>
      <c r="H123" s="66"/>
      <c r="I123" s="66"/>
      <c r="J123" s="66"/>
      <c r="K123" s="66"/>
      <c r="L123" s="66"/>
      <c r="M123" s="66"/>
      <c r="N123" s="16"/>
      <c r="O123" s="16"/>
      <c r="P123" s="16"/>
      <c r="Q123" s="16"/>
      <c r="R123" s="24"/>
    </row>
    <row r="124" spans="1:18" s="46" customFormat="1" ht="16.5" x14ac:dyDescent="0.35">
      <c r="A124" s="24"/>
      <c r="B124" s="16"/>
      <c r="D124" s="19"/>
      <c r="E124" s="16"/>
      <c r="F124" s="19"/>
      <c r="G124" s="19"/>
      <c r="H124" s="19"/>
      <c r="I124" s="19"/>
      <c r="J124" s="19"/>
      <c r="K124" s="19"/>
      <c r="L124" s="19"/>
      <c r="M124" s="19"/>
      <c r="N124" s="16"/>
      <c r="O124" s="16"/>
      <c r="P124" s="16"/>
      <c r="Q124" s="16"/>
      <c r="R124" s="24"/>
    </row>
    <row r="125" spans="1:18" s="46" customFormat="1" ht="16.5" x14ac:dyDescent="0.35">
      <c r="A125" s="24"/>
      <c r="B125" s="16"/>
      <c r="D125" s="19"/>
      <c r="E125" s="16"/>
      <c r="F125" s="19"/>
      <c r="G125" s="19"/>
      <c r="H125" s="19"/>
      <c r="I125" s="19"/>
      <c r="J125" s="19"/>
      <c r="K125" s="19"/>
      <c r="L125" s="19"/>
      <c r="M125" s="19"/>
      <c r="N125" s="16"/>
      <c r="O125" s="16"/>
      <c r="P125" s="16"/>
      <c r="Q125" s="16"/>
      <c r="R125" s="24"/>
    </row>
    <row r="126" spans="1:18" s="46" customFormat="1" ht="16.5" x14ac:dyDescent="0.35">
      <c r="A126" s="24"/>
      <c r="B126" s="16"/>
      <c r="D126" s="19"/>
      <c r="E126" s="16"/>
      <c r="F126" s="19"/>
      <c r="G126" s="19"/>
      <c r="H126" s="19"/>
      <c r="I126" s="19"/>
      <c r="J126" s="19"/>
      <c r="K126" s="19"/>
      <c r="L126" s="19"/>
      <c r="M126" s="19"/>
      <c r="N126" s="16"/>
      <c r="O126" s="16"/>
      <c r="P126" s="16"/>
      <c r="Q126" s="16"/>
      <c r="R126" s="24"/>
    </row>
    <row r="127" spans="1:18" s="46" customFormat="1" ht="16.5" x14ac:dyDescent="0.35">
      <c r="A127" s="24"/>
      <c r="B127" s="16"/>
      <c r="D127" s="19"/>
      <c r="E127" s="16"/>
      <c r="F127" s="19"/>
      <c r="G127" s="19"/>
      <c r="H127" s="19"/>
      <c r="I127" s="19"/>
      <c r="J127" s="19"/>
      <c r="K127" s="19"/>
      <c r="L127" s="19"/>
      <c r="M127" s="19"/>
      <c r="N127" s="16"/>
      <c r="O127" s="16"/>
      <c r="P127" s="16"/>
      <c r="Q127" s="16"/>
      <c r="R127" s="24"/>
    </row>
    <row r="128" spans="1:18" s="46" customFormat="1" ht="16.5" x14ac:dyDescent="0.35">
      <c r="A128" s="24"/>
      <c r="B128" s="22"/>
      <c r="D128" s="19"/>
      <c r="E128" s="22"/>
      <c r="F128" s="19"/>
      <c r="G128" s="38"/>
      <c r="H128" s="38"/>
      <c r="I128" s="38"/>
      <c r="J128" s="38"/>
      <c r="K128" s="38"/>
      <c r="L128" s="38"/>
      <c r="M128" s="38"/>
      <c r="N128" s="22"/>
      <c r="O128" s="22"/>
      <c r="P128" s="22"/>
      <c r="Q128" s="22"/>
      <c r="R128" s="24"/>
    </row>
    <row r="129" spans="1:18" s="46" customFormat="1" ht="16.5" x14ac:dyDescent="0.35">
      <c r="A129" s="24"/>
      <c r="B129" s="22"/>
      <c r="D129" s="19"/>
      <c r="E129" s="22"/>
      <c r="F129" s="19"/>
      <c r="G129" s="38"/>
      <c r="H129" s="38"/>
      <c r="I129" s="38"/>
      <c r="J129" s="38"/>
      <c r="K129" s="38"/>
      <c r="L129" s="38"/>
      <c r="M129" s="38"/>
      <c r="N129" s="22"/>
      <c r="O129" s="22"/>
      <c r="P129" s="22"/>
      <c r="Q129" s="22"/>
      <c r="R129" s="24"/>
    </row>
    <row r="130" spans="1:18" s="46" customFormat="1" ht="16.5" x14ac:dyDescent="0.35">
      <c r="A130" s="24"/>
      <c r="B130" s="22"/>
      <c r="D130" s="19"/>
      <c r="E130" s="22"/>
      <c r="F130" s="19"/>
      <c r="G130" s="38"/>
      <c r="H130" s="38"/>
      <c r="I130" s="38"/>
      <c r="J130" s="38"/>
      <c r="K130" s="38"/>
      <c r="L130" s="38"/>
      <c r="M130" s="38"/>
      <c r="N130" s="22"/>
      <c r="O130" s="22"/>
      <c r="P130" s="22"/>
      <c r="Q130" s="22"/>
      <c r="R130" s="24"/>
    </row>
    <row r="131" spans="1:18" s="46" customFormat="1" ht="16.5" x14ac:dyDescent="0.35">
      <c r="A131" s="24"/>
      <c r="B131" s="22"/>
      <c r="D131" s="19"/>
      <c r="E131" s="22"/>
      <c r="F131" s="19"/>
      <c r="G131" s="38"/>
      <c r="H131" s="38"/>
      <c r="I131" s="38"/>
      <c r="J131" s="38"/>
      <c r="K131" s="38"/>
      <c r="L131" s="38"/>
      <c r="M131" s="38"/>
      <c r="N131" s="22"/>
      <c r="O131" s="22"/>
      <c r="P131" s="22"/>
      <c r="Q131" s="22"/>
      <c r="R131" s="24"/>
    </row>
    <row r="132" spans="1:18" s="46" customFormat="1" ht="16.5" x14ac:dyDescent="0.35">
      <c r="A132" s="24"/>
      <c r="B132" s="16"/>
      <c r="D132" s="32"/>
      <c r="E132" s="65"/>
      <c r="F132" s="32"/>
      <c r="G132" s="66"/>
      <c r="H132" s="66"/>
      <c r="I132" s="66"/>
      <c r="J132" s="66"/>
      <c r="K132" s="66"/>
      <c r="L132" s="66"/>
      <c r="M132" s="66"/>
      <c r="N132" s="67"/>
      <c r="O132" s="67"/>
      <c r="P132" s="67"/>
      <c r="Q132" s="67"/>
      <c r="R132" s="24"/>
    </row>
    <row r="133" spans="1:18" s="46" customFormat="1" ht="16.5" x14ac:dyDescent="0.35">
      <c r="A133" s="24"/>
      <c r="B133" s="16"/>
      <c r="D133" s="32"/>
      <c r="E133" s="65"/>
      <c r="F133" s="32"/>
      <c r="G133" s="66"/>
      <c r="H133" s="66"/>
      <c r="I133" s="66"/>
      <c r="J133" s="66"/>
      <c r="K133" s="66"/>
      <c r="L133" s="66"/>
      <c r="M133" s="66"/>
      <c r="N133" s="67"/>
      <c r="O133" s="67"/>
      <c r="P133" s="67"/>
      <c r="Q133" s="67"/>
      <c r="R133" s="24"/>
    </row>
    <row r="134" spans="1:18" s="46" customFormat="1" ht="16.5" x14ac:dyDescent="0.35">
      <c r="A134" s="24"/>
      <c r="B134" s="16"/>
      <c r="D134" s="32"/>
      <c r="E134" s="65"/>
      <c r="F134" s="32"/>
      <c r="G134" s="66"/>
      <c r="H134" s="66"/>
      <c r="I134" s="66"/>
      <c r="J134" s="66"/>
      <c r="K134" s="66"/>
      <c r="L134" s="66"/>
      <c r="M134" s="66"/>
      <c r="N134" s="67"/>
      <c r="O134" s="67"/>
      <c r="P134" s="67"/>
      <c r="Q134" s="67"/>
      <c r="R134" s="24"/>
    </row>
    <row r="135" spans="1:18" s="46" customFormat="1" ht="16.5" x14ac:dyDescent="0.35">
      <c r="A135" s="24"/>
      <c r="B135" s="16"/>
      <c r="D135" s="32"/>
      <c r="E135" s="65"/>
      <c r="F135" s="32"/>
      <c r="G135" s="66"/>
      <c r="H135" s="66"/>
      <c r="I135" s="66"/>
      <c r="J135" s="66"/>
      <c r="K135" s="66"/>
      <c r="L135" s="66"/>
      <c r="M135" s="66"/>
      <c r="N135" s="67"/>
      <c r="O135" s="67"/>
      <c r="P135" s="67"/>
      <c r="Q135" s="67"/>
      <c r="R135" s="24"/>
    </row>
    <row r="136" spans="1:18" s="46" customFormat="1" ht="16.5" x14ac:dyDescent="0.35">
      <c r="A136" s="24"/>
      <c r="B136" s="16"/>
      <c r="D136" s="19"/>
      <c r="E136" s="16"/>
      <c r="F136" s="19"/>
      <c r="L136" s="13"/>
      <c r="M136" s="13"/>
      <c r="N136" s="16"/>
      <c r="O136" s="16"/>
      <c r="P136" s="16"/>
      <c r="Q136" s="16"/>
      <c r="R136" s="24"/>
    </row>
    <row r="137" spans="1:18" s="46" customFormat="1" ht="16.5" x14ac:dyDescent="0.35">
      <c r="A137" s="24"/>
      <c r="B137" s="16"/>
      <c r="D137" s="19"/>
      <c r="E137" s="16"/>
      <c r="F137" s="19"/>
      <c r="L137" s="13"/>
      <c r="M137" s="13"/>
      <c r="N137" s="16"/>
      <c r="O137" s="16"/>
      <c r="P137" s="16"/>
      <c r="Q137" s="16"/>
      <c r="R137" s="24"/>
    </row>
    <row r="138" spans="1:18" s="46" customFormat="1" ht="16.5" x14ac:dyDescent="0.35">
      <c r="A138" s="24"/>
      <c r="B138" s="16"/>
      <c r="D138" s="19"/>
      <c r="E138" s="16"/>
      <c r="F138" s="19"/>
      <c r="L138" s="13"/>
      <c r="M138" s="13"/>
      <c r="N138" s="16"/>
      <c r="O138" s="16"/>
      <c r="P138" s="16"/>
      <c r="Q138" s="16"/>
      <c r="R138" s="24"/>
    </row>
    <row r="139" spans="1:18" s="46" customFormat="1" ht="16.5" x14ac:dyDescent="0.35">
      <c r="A139" s="24"/>
      <c r="B139" s="16"/>
      <c r="D139" s="19"/>
      <c r="E139" s="16"/>
      <c r="F139" s="19"/>
      <c r="L139" s="13"/>
      <c r="M139" s="13"/>
      <c r="N139" s="16"/>
      <c r="O139" s="16"/>
      <c r="P139" s="16"/>
      <c r="Q139" s="16"/>
      <c r="R139" s="24"/>
    </row>
    <row r="140" spans="1:18" s="46" customFormat="1" ht="16.5" x14ac:dyDescent="0.35">
      <c r="A140" s="24"/>
      <c r="B140" s="16"/>
      <c r="D140" s="19"/>
      <c r="E140" s="68"/>
      <c r="F140" s="19"/>
      <c r="G140" s="66"/>
      <c r="H140" s="66"/>
      <c r="I140" s="66"/>
      <c r="J140" s="66"/>
      <c r="K140" s="66"/>
      <c r="L140" s="66"/>
      <c r="M140" s="66"/>
      <c r="N140" s="68"/>
      <c r="O140" s="68"/>
      <c r="P140" s="68"/>
      <c r="Q140" s="68"/>
      <c r="R140" s="24"/>
    </row>
    <row r="141" spans="1:18" s="46" customFormat="1" ht="16.5" x14ac:dyDescent="0.35">
      <c r="A141" s="24"/>
      <c r="B141" s="16"/>
      <c r="D141" s="32"/>
      <c r="E141" s="65"/>
      <c r="F141" s="32"/>
      <c r="G141" s="66"/>
      <c r="H141" s="66"/>
      <c r="I141" s="66"/>
      <c r="J141" s="66"/>
      <c r="K141" s="66"/>
      <c r="L141" s="66"/>
      <c r="M141" s="66"/>
      <c r="N141" s="67"/>
      <c r="O141" s="67"/>
      <c r="P141" s="67"/>
      <c r="Q141" s="67"/>
      <c r="R141" s="24"/>
    </row>
    <row r="142" spans="1:18" s="46" customFormat="1" ht="16.5" x14ac:dyDescent="0.35">
      <c r="A142" s="24"/>
      <c r="B142" s="16"/>
      <c r="D142" s="32"/>
      <c r="E142" s="65"/>
      <c r="F142" s="32"/>
      <c r="G142" s="66"/>
      <c r="H142" s="66"/>
      <c r="I142" s="66"/>
      <c r="J142" s="66"/>
      <c r="K142" s="66"/>
      <c r="L142" s="66"/>
      <c r="M142" s="66"/>
      <c r="N142" s="67"/>
      <c r="O142" s="67"/>
      <c r="P142" s="67"/>
      <c r="Q142" s="67"/>
      <c r="R142" s="24"/>
    </row>
    <row r="143" spans="1:18" s="46" customFormat="1" ht="16.5" x14ac:dyDescent="0.35">
      <c r="A143" s="24"/>
      <c r="B143" s="16"/>
      <c r="D143" s="32"/>
      <c r="E143" s="65"/>
      <c r="F143" s="32"/>
      <c r="G143" s="66"/>
      <c r="H143" s="66"/>
      <c r="I143" s="66"/>
      <c r="J143" s="66"/>
      <c r="K143" s="66"/>
      <c r="L143" s="66"/>
      <c r="M143" s="66"/>
      <c r="N143" s="67"/>
      <c r="O143" s="67"/>
      <c r="P143" s="67"/>
      <c r="Q143" s="67"/>
      <c r="R143" s="24"/>
    </row>
    <row r="144" spans="1:18" s="46" customFormat="1" ht="16.5" x14ac:dyDescent="0.35">
      <c r="A144" s="24"/>
      <c r="B144" s="16"/>
      <c r="D144" s="32"/>
      <c r="E144" s="65"/>
      <c r="F144" s="32"/>
      <c r="G144" s="66"/>
      <c r="H144" s="66"/>
      <c r="I144" s="66"/>
      <c r="J144" s="66"/>
      <c r="K144" s="66"/>
      <c r="L144" s="66"/>
      <c r="M144" s="66"/>
      <c r="N144" s="67"/>
      <c r="O144" s="67"/>
      <c r="P144" s="67"/>
      <c r="Q144" s="67"/>
      <c r="R144" s="24"/>
    </row>
    <row r="145" spans="1:18" s="46" customFormat="1" ht="16.5" x14ac:dyDescent="0.35">
      <c r="A145" s="24"/>
      <c r="B145" s="16"/>
      <c r="D145" s="19"/>
      <c r="E145" s="65"/>
      <c r="F145" s="19"/>
      <c r="G145" s="66"/>
      <c r="H145" s="66"/>
      <c r="I145" s="66"/>
      <c r="J145" s="66"/>
      <c r="K145" s="66"/>
      <c r="L145" s="66"/>
      <c r="M145" s="66"/>
      <c r="N145" s="67"/>
      <c r="O145" s="67"/>
      <c r="P145" s="67"/>
      <c r="Q145" s="67"/>
      <c r="R145" s="24"/>
    </row>
    <row r="146" spans="1:18" s="46" customFormat="1" ht="16.5" x14ac:dyDescent="0.35">
      <c r="A146" s="24"/>
      <c r="B146" s="16"/>
      <c r="D146" s="19"/>
      <c r="E146" s="65"/>
      <c r="F146" s="19"/>
      <c r="G146" s="66"/>
      <c r="H146" s="66"/>
      <c r="I146" s="66"/>
      <c r="J146" s="66"/>
      <c r="K146" s="66"/>
      <c r="L146" s="66"/>
      <c r="M146" s="66"/>
      <c r="N146" s="67"/>
      <c r="O146" s="67"/>
      <c r="P146" s="67"/>
      <c r="Q146" s="67"/>
      <c r="R146" s="24"/>
    </row>
    <row r="147" spans="1:18" s="46" customFormat="1" ht="16.5" x14ac:dyDescent="0.35">
      <c r="A147" s="24"/>
      <c r="B147" s="16"/>
      <c r="D147" s="19"/>
      <c r="E147" s="65"/>
      <c r="F147" s="19"/>
      <c r="G147" s="66"/>
      <c r="H147" s="66"/>
      <c r="I147" s="66"/>
      <c r="J147" s="66"/>
      <c r="K147" s="66"/>
      <c r="L147" s="66"/>
      <c r="M147" s="66"/>
      <c r="N147" s="67"/>
      <c r="O147" s="67"/>
      <c r="P147" s="67"/>
      <c r="Q147" s="67"/>
      <c r="R147" s="24"/>
    </row>
    <row r="148" spans="1:18" s="46" customFormat="1" ht="16.5" x14ac:dyDescent="0.35">
      <c r="A148" s="24"/>
      <c r="B148" s="16"/>
      <c r="D148" s="19"/>
      <c r="E148" s="65"/>
      <c r="F148" s="19"/>
      <c r="G148" s="66"/>
      <c r="H148" s="66"/>
      <c r="I148" s="66"/>
      <c r="J148" s="66"/>
      <c r="K148" s="66"/>
      <c r="L148" s="66"/>
      <c r="M148" s="66"/>
      <c r="N148" s="67"/>
      <c r="O148" s="67"/>
      <c r="P148" s="67"/>
      <c r="Q148" s="67"/>
      <c r="R148" s="24"/>
    </row>
    <row r="149" spans="1:18" s="46" customFormat="1" ht="16.5" x14ac:dyDescent="0.35">
      <c r="A149" s="24"/>
      <c r="B149" s="16"/>
      <c r="D149" s="19"/>
      <c r="E149" s="16"/>
      <c r="F149" s="19"/>
      <c r="L149" s="13"/>
      <c r="M149" s="13"/>
      <c r="N149" s="16"/>
      <c r="O149" s="16"/>
      <c r="P149" s="16"/>
      <c r="Q149" s="16"/>
      <c r="R149" s="24"/>
    </row>
    <row r="150" spans="1:18" x14ac:dyDescent="0.35">
      <c r="E150" s="53"/>
      <c r="F150" s="48"/>
      <c r="L150" s="54"/>
      <c r="M150" s="54"/>
      <c r="N150" s="53"/>
      <c r="O150" s="53"/>
      <c r="P150" s="53"/>
      <c r="Q150" s="53"/>
    </row>
    <row r="151" spans="1:18" x14ac:dyDescent="0.35">
      <c r="E151" s="53"/>
      <c r="F151" s="48"/>
      <c r="L151" s="54"/>
      <c r="M151" s="54"/>
      <c r="N151" s="53"/>
      <c r="O151" s="53"/>
      <c r="P151" s="53"/>
      <c r="Q151" s="53"/>
    </row>
    <row r="152" spans="1:18" x14ac:dyDescent="0.35">
      <c r="E152" s="53"/>
      <c r="F152" s="48"/>
      <c r="L152" s="54"/>
      <c r="M152" s="54"/>
      <c r="N152" s="53"/>
      <c r="O152" s="53"/>
      <c r="P152" s="53"/>
      <c r="Q152" s="53"/>
    </row>
    <row r="153" spans="1:18" x14ac:dyDescent="0.35">
      <c r="E153" s="57"/>
      <c r="F153" s="48"/>
      <c r="G153" s="50"/>
      <c r="H153" s="50"/>
      <c r="I153" s="50"/>
      <c r="J153" s="50"/>
      <c r="K153" s="50"/>
      <c r="L153" s="50"/>
      <c r="M153" s="50"/>
      <c r="N153" s="57"/>
      <c r="O153" s="57"/>
      <c r="P153" s="57"/>
      <c r="Q153" s="57"/>
    </row>
    <row r="154" spans="1:18" x14ac:dyDescent="0.35">
      <c r="E154" s="58"/>
      <c r="F154" s="48"/>
      <c r="G154" s="59"/>
      <c r="H154" s="59"/>
      <c r="I154" s="59"/>
      <c r="J154" s="56"/>
      <c r="K154" s="56"/>
      <c r="L154" s="56"/>
      <c r="M154" s="56"/>
      <c r="N154" s="58"/>
      <c r="O154" s="58"/>
      <c r="P154" s="58"/>
      <c r="Q154" s="58"/>
    </row>
    <row r="155" spans="1:18" x14ac:dyDescent="0.35">
      <c r="E155" s="49"/>
      <c r="F155" s="48"/>
      <c r="G155" s="50"/>
      <c r="H155" s="50"/>
      <c r="I155" s="50"/>
      <c r="J155" s="50"/>
      <c r="K155" s="50"/>
      <c r="L155" s="50"/>
      <c r="M155" s="50"/>
      <c r="N155" s="63"/>
      <c r="O155" s="63"/>
      <c r="P155" s="63"/>
      <c r="Q155" s="63"/>
    </row>
    <row r="156" spans="1:18" x14ac:dyDescent="0.35">
      <c r="E156" s="49"/>
      <c r="F156" s="48"/>
      <c r="G156" s="50"/>
      <c r="H156" s="50"/>
      <c r="I156" s="50"/>
      <c r="J156" s="50"/>
      <c r="K156" s="50"/>
      <c r="L156" s="50"/>
      <c r="M156" s="50"/>
      <c r="N156" s="63"/>
      <c r="O156" s="63"/>
      <c r="P156" s="63"/>
      <c r="Q156" s="63"/>
    </row>
    <row r="157" spans="1:18" x14ac:dyDescent="0.35">
      <c r="E157" s="49"/>
      <c r="F157" s="48"/>
      <c r="G157" s="50"/>
      <c r="H157" s="50"/>
      <c r="I157" s="50"/>
      <c r="J157" s="50"/>
      <c r="K157" s="50"/>
      <c r="L157" s="50"/>
      <c r="M157" s="50"/>
      <c r="N157" s="63"/>
      <c r="O157" s="63"/>
      <c r="P157" s="63"/>
      <c r="Q157" s="63"/>
    </row>
    <row r="158" spans="1:18" x14ac:dyDescent="0.35">
      <c r="E158" s="49"/>
      <c r="F158" s="48"/>
      <c r="G158" s="50"/>
      <c r="H158" s="50"/>
      <c r="I158" s="50"/>
      <c r="J158" s="50"/>
      <c r="K158" s="50"/>
      <c r="L158" s="50"/>
      <c r="M158" s="50"/>
      <c r="N158" s="63"/>
      <c r="O158" s="63"/>
      <c r="P158" s="63"/>
      <c r="Q158" s="63"/>
    </row>
    <row r="159" spans="1:18" x14ac:dyDescent="0.35">
      <c r="E159" s="53"/>
      <c r="F159" s="48"/>
      <c r="G159" s="54"/>
      <c r="H159" s="54"/>
      <c r="I159" s="54"/>
      <c r="J159" s="54"/>
      <c r="K159" s="54"/>
      <c r="L159" s="54"/>
      <c r="M159" s="54"/>
      <c r="N159" s="52"/>
      <c r="O159" s="53"/>
      <c r="P159" s="53"/>
      <c r="Q159" s="53"/>
    </row>
    <row r="160" spans="1:18" x14ac:dyDescent="0.35">
      <c r="E160" s="53"/>
      <c r="F160" s="48"/>
      <c r="G160" s="54"/>
      <c r="H160" s="54"/>
      <c r="I160" s="54"/>
      <c r="J160" s="54"/>
      <c r="K160" s="54"/>
      <c r="L160" s="54"/>
      <c r="M160" s="54"/>
      <c r="N160" s="52"/>
      <c r="O160" s="53"/>
      <c r="P160" s="53"/>
      <c r="Q160" s="53"/>
    </row>
    <row r="161" spans="5:17" x14ac:dyDescent="0.35">
      <c r="E161" s="53"/>
      <c r="F161" s="48"/>
      <c r="G161" s="54"/>
      <c r="H161" s="54"/>
      <c r="I161" s="54"/>
      <c r="J161" s="54"/>
      <c r="K161" s="54"/>
      <c r="L161" s="54"/>
      <c r="M161" s="54"/>
      <c r="N161" s="52"/>
      <c r="O161" s="53"/>
      <c r="P161" s="53"/>
      <c r="Q161" s="53"/>
    </row>
    <row r="162" spans="5:17" x14ac:dyDescent="0.35">
      <c r="E162" s="53"/>
      <c r="F162" s="48"/>
      <c r="G162" s="54"/>
      <c r="H162" s="54"/>
      <c r="I162" s="54"/>
      <c r="J162" s="54"/>
      <c r="K162" s="54"/>
      <c r="L162" s="54"/>
      <c r="M162" s="54"/>
      <c r="N162" s="52"/>
      <c r="O162" s="53"/>
      <c r="P162" s="53"/>
      <c r="Q162" s="53"/>
    </row>
    <row r="163" spans="5:17" x14ac:dyDescent="0.35">
      <c r="E163" s="53"/>
      <c r="F163" s="48"/>
      <c r="I163" s="48"/>
      <c r="N163" s="53"/>
      <c r="O163" s="53"/>
      <c r="P163" s="53"/>
      <c r="Q163" s="53"/>
    </row>
    <row r="164" spans="5:17" x14ac:dyDescent="0.35">
      <c r="E164" s="53"/>
      <c r="F164" s="48"/>
      <c r="I164" s="48"/>
      <c r="N164" s="53"/>
      <c r="O164" s="53"/>
      <c r="P164" s="53"/>
      <c r="Q164" s="53"/>
    </row>
    <row r="165" spans="5:17" x14ac:dyDescent="0.35">
      <c r="E165" s="53"/>
      <c r="F165" s="48"/>
      <c r="I165" s="48"/>
      <c r="N165" s="53"/>
      <c r="O165" s="53"/>
      <c r="P165" s="53"/>
      <c r="Q165" s="53"/>
    </row>
    <row r="166" spans="5:17" x14ac:dyDescent="0.35">
      <c r="E166" s="53"/>
      <c r="F166" s="48"/>
      <c r="I166" s="48"/>
      <c r="N166" s="53"/>
      <c r="O166" s="53"/>
      <c r="P166" s="53"/>
      <c r="Q166" s="53"/>
    </row>
    <row r="167" spans="5:17" x14ac:dyDescent="0.35">
      <c r="E167" s="60"/>
      <c r="F167" s="48"/>
      <c r="G167" s="50"/>
      <c r="H167" s="50"/>
      <c r="I167" s="50"/>
      <c r="J167" s="50"/>
      <c r="K167" s="50"/>
      <c r="L167" s="50"/>
      <c r="M167" s="50"/>
      <c r="N167" s="52"/>
      <c r="O167" s="52"/>
      <c r="P167" s="52"/>
      <c r="Q167" s="52"/>
    </row>
    <row r="168" spans="5:17" x14ac:dyDescent="0.35">
      <c r="E168" s="60"/>
      <c r="F168" s="48"/>
      <c r="G168" s="50"/>
      <c r="H168" s="50"/>
      <c r="I168" s="50"/>
      <c r="J168" s="50"/>
      <c r="K168" s="50"/>
      <c r="L168" s="50"/>
      <c r="M168" s="50"/>
      <c r="N168" s="52"/>
      <c r="O168" s="52"/>
      <c r="P168" s="52"/>
      <c r="Q168" s="52"/>
    </row>
    <row r="169" spans="5:17" x14ac:dyDescent="0.35">
      <c r="E169" s="60"/>
      <c r="F169" s="48"/>
      <c r="G169" s="50"/>
      <c r="H169" s="50"/>
      <c r="I169" s="50"/>
      <c r="J169" s="50"/>
      <c r="K169" s="50"/>
      <c r="L169" s="50"/>
      <c r="M169" s="50"/>
      <c r="N169" s="52"/>
      <c r="O169" s="52"/>
      <c r="P169" s="52"/>
      <c r="Q169" s="52"/>
    </row>
    <row r="170" spans="5:17" x14ac:dyDescent="0.35">
      <c r="E170" s="49"/>
      <c r="F170" s="48"/>
      <c r="G170" s="50"/>
      <c r="H170" s="50"/>
      <c r="I170" s="50"/>
      <c r="J170" s="50"/>
      <c r="K170" s="50"/>
      <c r="L170" s="50"/>
      <c r="M170" s="50"/>
      <c r="N170" s="63"/>
      <c r="O170" s="63"/>
      <c r="P170" s="63"/>
      <c r="Q170" s="63"/>
    </row>
    <row r="171" spans="5:17" x14ac:dyDescent="0.35">
      <c r="E171" s="49"/>
      <c r="F171" s="48"/>
      <c r="G171" s="50"/>
      <c r="H171" s="50"/>
      <c r="I171" s="50"/>
      <c r="J171" s="50"/>
      <c r="K171" s="50"/>
      <c r="L171" s="50"/>
      <c r="M171" s="50"/>
      <c r="N171" s="63"/>
      <c r="O171" s="63"/>
      <c r="P171" s="63"/>
      <c r="Q171" s="63"/>
    </row>
    <row r="172" spans="5:17" x14ac:dyDescent="0.35">
      <c r="E172" s="49"/>
      <c r="F172" s="48"/>
      <c r="G172" s="50"/>
      <c r="H172" s="50"/>
      <c r="I172" s="50"/>
      <c r="J172" s="50"/>
      <c r="K172" s="50"/>
      <c r="L172" s="50"/>
      <c r="M172" s="50"/>
      <c r="N172" s="63"/>
      <c r="O172" s="63"/>
      <c r="P172" s="63"/>
      <c r="Q172" s="63"/>
    </row>
    <row r="173" spans="5:17" x14ac:dyDescent="0.35">
      <c r="E173" s="49"/>
      <c r="F173" s="48"/>
      <c r="G173" s="50"/>
      <c r="H173" s="50"/>
      <c r="I173" s="50"/>
      <c r="J173" s="50"/>
      <c r="K173" s="50"/>
      <c r="L173" s="50"/>
      <c r="M173" s="50"/>
      <c r="N173" s="63"/>
      <c r="O173" s="63"/>
      <c r="P173" s="63"/>
      <c r="Q173" s="63"/>
    </row>
    <row r="174" spans="5:17" x14ac:dyDescent="0.35">
      <c r="E174" s="49"/>
      <c r="F174" s="48"/>
      <c r="G174" s="50"/>
      <c r="H174" s="50"/>
      <c r="I174" s="50"/>
      <c r="J174" s="50"/>
      <c r="K174" s="50"/>
      <c r="L174" s="50"/>
      <c r="M174" s="50"/>
      <c r="N174" s="63"/>
      <c r="O174" s="63"/>
      <c r="P174" s="63"/>
      <c r="Q174" s="63"/>
    </row>
    <row r="175" spans="5:17" x14ac:dyDescent="0.35">
      <c r="E175" s="49"/>
      <c r="F175" s="48"/>
      <c r="G175" s="50"/>
      <c r="H175" s="50"/>
      <c r="I175" s="50"/>
      <c r="J175" s="50"/>
      <c r="K175" s="50"/>
      <c r="L175" s="50"/>
      <c r="M175" s="50"/>
      <c r="N175" s="63"/>
      <c r="O175" s="63"/>
      <c r="P175" s="63"/>
      <c r="Q175" s="63"/>
    </row>
    <row r="176" spans="5:17" x14ac:dyDescent="0.35">
      <c r="E176" s="49"/>
      <c r="F176" s="48"/>
      <c r="G176" s="50"/>
      <c r="H176" s="50"/>
      <c r="I176" s="50"/>
      <c r="J176" s="50"/>
      <c r="K176" s="50"/>
      <c r="L176" s="50"/>
      <c r="M176" s="50"/>
      <c r="N176" s="63"/>
      <c r="O176" s="63"/>
      <c r="P176" s="63"/>
      <c r="Q176" s="63"/>
    </row>
    <row r="177" spans="4:17" x14ac:dyDescent="0.35">
      <c r="E177" s="49"/>
      <c r="F177" s="48"/>
      <c r="G177" s="50"/>
      <c r="H177" s="50"/>
      <c r="I177" s="50"/>
      <c r="J177" s="50"/>
      <c r="K177" s="50"/>
      <c r="L177" s="50"/>
      <c r="M177" s="50"/>
      <c r="N177" s="63"/>
      <c r="O177" s="63"/>
      <c r="P177" s="63"/>
      <c r="Q177" s="63"/>
    </row>
    <row r="178" spans="4:17" x14ac:dyDescent="0.35">
      <c r="E178" s="49"/>
      <c r="F178" s="48"/>
      <c r="G178" s="50"/>
      <c r="H178" s="50"/>
      <c r="I178" s="50"/>
      <c r="J178" s="50"/>
      <c r="K178" s="50"/>
      <c r="L178" s="50"/>
      <c r="M178" s="50"/>
      <c r="N178" s="63"/>
      <c r="O178" s="63"/>
      <c r="P178" s="63"/>
      <c r="Q178" s="63"/>
    </row>
    <row r="179" spans="4:17" x14ac:dyDescent="0.35">
      <c r="E179" s="49"/>
      <c r="F179" s="48"/>
      <c r="G179" s="50"/>
      <c r="H179" s="50"/>
      <c r="I179" s="50"/>
      <c r="J179" s="50"/>
      <c r="K179" s="50"/>
      <c r="L179" s="50"/>
      <c r="M179" s="50"/>
      <c r="N179" s="63"/>
      <c r="O179" s="63"/>
      <c r="P179" s="63"/>
      <c r="Q179" s="63"/>
    </row>
    <row r="180" spans="4:17" x14ac:dyDescent="0.35">
      <c r="E180" s="49"/>
      <c r="F180" s="48"/>
      <c r="G180" s="50"/>
      <c r="H180" s="50"/>
      <c r="I180" s="50"/>
      <c r="J180" s="50"/>
      <c r="K180" s="50"/>
      <c r="L180" s="50"/>
      <c r="M180" s="50"/>
      <c r="N180" s="63"/>
      <c r="O180" s="63"/>
      <c r="P180" s="63"/>
      <c r="Q180" s="63"/>
    </row>
    <row r="181" spans="4:17" x14ac:dyDescent="0.35">
      <c r="E181" s="49"/>
      <c r="F181" s="48"/>
      <c r="G181" s="50"/>
      <c r="H181" s="50"/>
      <c r="I181" s="50"/>
      <c r="J181" s="50"/>
      <c r="K181" s="50"/>
      <c r="L181" s="50"/>
      <c r="M181" s="50"/>
      <c r="N181" s="63"/>
      <c r="O181" s="63"/>
      <c r="P181" s="63"/>
      <c r="Q181" s="63"/>
    </row>
    <row r="182" spans="4:17" x14ac:dyDescent="0.35">
      <c r="E182" s="49"/>
      <c r="F182" s="48"/>
      <c r="G182" s="50"/>
      <c r="H182" s="50"/>
      <c r="I182" s="50"/>
      <c r="J182" s="50"/>
      <c r="K182" s="50"/>
      <c r="L182" s="50"/>
      <c r="M182" s="50"/>
      <c r="N182" s="63"/>
      <c r="O182" s="63"/>
      <c r="P182" s="63"/>
      <c r="Q182" s="63"/>
    </row>
    <row r="183" spans="4:17" x14ac:dyDescent="0.35">
      <c r="E183" s="49"/>
      <c r="F183" s="48"/>
      <c r="G183" s="50"/>
      <c r="H183" s="50"/>
      <c r="I183" s="50"/>
      <c r="J183" s="50"/>
      <c r="K183" s="50"/>
      <c r="L183" s="50"/>
      <c r="M183" s="50"/>
      <c r="N183" s="63"/>
      <c r="O183" s="63"/>
      <c r="P183" s="63"/>
      <c r="Q183" s="63"/>
    </row>
    <row r="184" spans="4:17" x14ac:dyDescent="0.35">
      <c r="E184" s="49"/>
      <c r="F184" s="48"/>
      <c r="G184" s="50"/>
      <c r="H184" s="50"/>
      <c r="I184" s="50"/>
      <c r="J184" s="50"/>
      <c r="K184" s="50"/>
      <c r="L184" s="50"/>
      <c r="M184" s="50"/>
      <c r="N184" s="63"/>
      <c r="O184" s="63"/>
      <c r="P184" s="63"/>
      <c r="Q184" s="63"/>
    </row>
    <row r="185" spans="4:17" x14ac:dyDescent="0.35">
      <c r="E185" s="49"/>
      <c r="F185" s="48"/>
      <c r="G185" s="50"/>
      <c r="H185" s="50"/>
      <c r="I185" s="50"/>
      <c r="J185" s="50"/>
      <c r="K185" s="50"/>
      <c r="L185" s="50"/>
      <c r="M185" s="50"/>
      <c r="N185" s="63"/>
      <c r="O185" s="63"/>
      <c r="P185" s="63"/>
      <c r="Q185" s="63"/>
    </row>
    <row r="186" spans="4:17" x14ac:dyDescent="0.35">
      <c r="D186" s="55"/>
      <c r="E186" s="49"/>
      <c r="F186" s="55"/>
      <c r="G186" s="50"/>
      <c r="H186" s="50"/>
      <c r="I186" s="50"/>
      <c r="J186" s="50"/>
      <c r="K186" s="50"/>
      <c r="L186" s="50"/>
      <c r="M186" s="50"/>
      <c r="N186" s="63"/>
      <c r="O186" s="63"/>
      <c r="P186" s="63"/>
      <c r="Q186" s="63"/>
    </row>
    <row r="187" spans="4:17" x14ac:dyDescent="0.35">
      <c r="D187" s="55"/>
      <c r="E187" s="49"/>
      <c r="F187" s="55"/>
      <c r="G187" s="50"/>
      <c r="H187" s="50"/>
      <c r="I187" s="50"/>
      <c r="J187" s="50"/>
      <c r="K187" s="50"/>
      <c r="L187" s="50"/>
      <c r="M187" s="50"/>
      <c r="N187" s="63"/>
      <c r="O187" s="63"/>
      <c r="P187" s="63"/>
      <c r="Q187" s="63"/>
    </row>
    <row r="188" spans="4:17" x14ac:dyDescent="0.35">
      <c r="D188" s="55"/>
      <c r="E188" s="49"/>
      <c r="F188" s="55"/>
      <c r="G188" s="50"/>
      <c r="H188" s="50"/>
      <c r="I188" s="50"/>
      <c r="J188" s="50"/>
      <c r="K188" s="50"/>
      <c r="L188" s="50"/>
      <c r="M188" s="50"/>
      <c r="N188" s="63"/>
      <c r="O188" s="63"/>
      <c r="P188" s="63"/>
      <c r="Q188" s="63"/>
    </row>
    <row r="189" spans="4:17" x14ac:dyDescent="0.35">
      <c r="D189" s="55"/>
      <c r="E189" s="49"/>
      <c r="F189" s="55"/>
      <c r="G189" s="50"/>
      <c r="H189" s="50"/>
      <c r="I189" s="50"/>
      <c r="J189" s="50"/>
      <c r="K189" s="50"/>
      <c r="L189" s="50"/>
      <c r="M189" s="50"/>
      <c r="N189" s="63"/>
      <c r="O189" s="63"/>
      <c r="P189" s="63"/>
      <c r="Q189" s="63"/>
    </row>
  </sheetData>
  <autoFilter ref="A1:Q115" xr:uid="{06CB1331-AF3E-489A-B433-09E21B4DF482}">
    <filterColumn colId="6" showButton="0"/>
    <filterColumn colId="7" showButton="0"/>
  </autoFilter>
  <mergeCells count="496">
    <mergeCell ref="M107:M109"/>
    <mergeCell ref="N107:N109"/>
    <mergeCell ref="O107:O109"/>
    <mergeCell ref="P107:P109"/>
    <mergeCell ref="Q107:Q109"/>
    <mergeCell ref="H107:H109"/>
    <mergeCell ref="I107:I109"/>
    <mergeCell ref="J107:J109"/>
    <mergeCell ref="K107:K109"/>
    <mergeCell ref="L107:L109"/>
    <mergeCell ref="C104:C106"/>
    <mergeCell ref="D104:D106"/>
    <mergeCell ref="E104:E106"/>
    <mergeCell ref="F104:F106"/>
    <mergeCell ref="G104:G106"/>
    <mergeCell ref="C107:C109"/>
    <mergeCell ref="D107:D109"/>
    <mergeCell ref="E107:E109"/>
    <mergeCell ref="F107:F109"/>
    <mergeCell ref="G107:G109"/>
    <mergeCell ref="Q101:Q103"/>
    <mergeCell ref="H101:H103"/>
    <mergeCell ref="I101:I103"/>
    <mergeCell ref="J101:J103"/>
    <mergeCell ref="K101:K103"/>
    <mergeCell ref="L101:L103"/>
    <mergeCell ref="Q104:Q106"/>
    <mergeCell ref="H104:H106"/>
    <mergeCell ref="I104:I106"/>
    <mergeCell ref="J104:J106"/>
    <mergeCell ref="K104:K106"/>
    <mergeCell ref="L104:L106"/>
    <mergeCell ref="M104:M106"/>
    <mergeCell ref="N104:N106"/>
    <mergeCell ref="O104:O106"/>
    <mergeCell ref="P104:P106"/>
    <mergeCell ref="C101:C103"/>
    <mergeCell ref="D101:D103"/>
    <mergeCell ref="E101:E103"/>
    <mergeCell ref="F101:F103"/>
    <mergeCell ref="G101:G103"/>
    <mergeCell ref="M101:M103"/>
    <mergeCell ref="N101:N103"/>
    <mergeCell ref="O101:O103"/>
    <mergeCell ref="P101:P103"/>
    <mergeCell ref="M96:M98"/>
    <mergeCell ref="N96:N98"/>
    <mergeCell ref="O96:O98"/>
    <mergeCell ref="P96:P98"/>
    <mergeCell ref="Q96:Q98"/>
    <mergeCell ref="H96:H98"/>
    <mergeCell ref="I96:I98"/>
    <mergeCell ref="J96:J98"/>
    <mergeCell ref="K96:K98"/>
    <mergeCell ref="L96:L98"/>
    <mergeCell ref="C93:C95"/>
    <mergeCell ref="D93:D95"/>
    <mergeCell ref="E93:E95"/>
    <mergeCell ref="F93:F95"/>
    <mergeCell ref="G93:G95"/>
    <mergeCell ref="C96:C98"/>
    <mergeCell ref="D96:D98"/>
    <mergeCell ref="E96:E98"/>
    <mergeCell ref="F96:F98"/>
    <mergeCell ref="G96:G98"/>
    <mergeCell ref="Q90:Q92"/>
    <mergeCell ref="H90:H92"/>
    <mergeCell ref="I90:I92"/>
    <mergeCell ref="J90:J92"/>
    <mergeCell ref="K90:K92"/>
    <mergeCell ref="L90:L92"/>
    <mergeCell ref="Q93:Q95"/>
    <mergeCell ref="H93:H95"/>
    <mergeCell ref="I93:I95"/>
    <mergeCell ref="J93:J95"/>
    <mergeCell ref="K93:K95"/>
    <mergeCell ref="L93:L95"/>
    <mergeCell ref="M93:M95"/>
    <mergeCell ref="N93:N95"/>
    <mergeCell ref="O93:O95"/>
    <mergeCell ref="P93:P95"/>
    <mergeCell ref="C90:C92"/>
    <mergeCell ref="D90:D92"/>
    <mergeCell ref="E90:E92"/>
    <mergeCell ref="F90:F92"/>
    <mergeCell ref="G90:G92"/>
    <mergeCell ref="M90:M92"/>
    <mergeCell ref="N90:N92"/>
    <mergeCell ref="O90:O92"/>
    <mergeCell ref="P90:P92"/>
    <mergeCell ref="M87:M89"/>
    <mergeCell ref="N87:N89"/>
    <mergeCell ref="O87:O89"/>
    <mergeCell ref="P87:P89"/>
    <mergeCell ref="Q87:Q89"/>
    <mergeCell ref="H87:H89"/>
    <mergeCell ref="I87:I89"/>
    <mergeCell ref="J87:J89"/>
    <mergeCell ref="K87:K89"/>
    <mergeCell ref="L87:L89"/>
    <mergeCell ref="C84:C86"/>
    <mergeCell ref="D84:D86"/>
    <mergeCell ref="E84:E86"/>
    <mergeCell ref="F84:F86"/>
    <mergeCell ref="G84:G86"/>
    <mergeCell ref="C87:C89"/>
    <mergeCell ref="D87:D89"/>
    <mergeCell ref="E87:E89"/>
    <mergeCell ref="F87:F89"/>
    <mergeCell ref="G87:G89"/>
    <mergeCell ref="Q81:Q83"/>
    <mergeCell ref="H81:H83"/>
    <mergeCell ref="I81:I83"/>
    <mergeCell ref="J81:J83"/>
    <mergeCell ref="K81:K83"/>
    <mergeCell ref="L81:L83"/>
    <mergeCell ref="Q84:Q86"/>
    <mergeCell ref="H84:H86"/>
    <mergeCell ref="I84:I86"/>
    <mergeCell ref="J84:J86"/>
    <mergeCell ref="K84:K86"/>
    <mergeCell ref="L84:L86"/>
    <mergeCell ref="M84:M86"/>
    <mergeCell ref="N84:N86"/>
    <mergeCell ref="O84:O86"/>
    <mergeCell ref="P84:P86"/>
    <mergeCell ref="C81:C83"/>
    <mergeCell ref="D81:D83"/>
    <mergeCell ref="E81:E83"/>
    <mergeCell ref="F81:F83"/>
    <mergeCell ref="G81:G83"/>
    <mergeCell ref="M78:M80"/>
    <mergeCell ref="N78:N80"/>
    <mergeCell ref="O78:O80"/>
    <mergeCell ref="P78:P80"/>
    <mergeCell ref="M81:M83"/>
    <mergeCell ref="N81:N83"/>
    <mergeCell ref="O81:O83"/>
    <mergeCell ref="P81:P83"/>
    <mergeCell ref="Q78:Q80"/>
    <mergeCell ref="H78:H80"/>
    <mergeCell ref="I78:I80"/>
    <mergeCell ref="J78:J80"/>
    <mergeCell ref="K78:K80"/>
    <mergeCell ref="L78:L80"/>
    <mergeCell ref="C78:C80"/>
    <mergeCell ref="D78:D80"/>
    <mergeCell ref="E78:E80"/>
    <mergeCell ref="F78:F80"/>
    <mergeCell ref="G78:G80"/>
    <mergeCell ref="M75:M77"/>
    <mergeCell ref="N75:N77"/>
    <mergeCell ref="O75:O77"/>
    <mergeCell ref="P75:P77"/>
    <mergeCell ref="Q75:Q77"/>
    <mergeCell ref="H75:H77"/>
    <mergeCell ref="I75:I77"/>
    <mergeCell ref="J75:J77"/>
    <mergeCell ref="K75:K77"/>
    <mergeCell ref="L75:L77"/>
    <mergeCell ref="C72:C74"/>
    <mergeCell ref="D72:D74"/>
    <mergeCell ref="E72:E74"/>
    <mergeCell ref="F72:F74"/>
    <mergeCell ref="G72:G74"/>
    <mergeCell ref="C75:C77"/>
    <mergeCell ref="D75:D77"/>
    <mergeCell ref="E75:E77"/>
    <mergeCell ref="F75:F77"/>
    <mergeCell ref="G75:G77"/>
    <mergeCell ref="Q69:Q71"/>
    <mergeCell ref="H69:H71"/>
    <mergeCell ref="I69:I71"/>
    <mergeCell ref="J69:J71"/>
    <mergeCell ref="K69:K71"/>
    <mergeCell ref="L69:L71"/>
    <mergeCell ref="Q72:Q74"/>
    <mergeCell ref="H72:H74"/>
    <mergeCell ref="I72:I74"/>
    <mergeCell ref="J72:J74"/>
    <mergeCell ref="K72:K74"/>
    <mergeCell ref="L72:L74"/>
    <mergeCell ref="M72:M74"/>
    <mergeCell ref="N72:N74"/>
    <mergeCell ref="O72:O74"/>
    <mergeCell ref="P72:P74"/>
    <mergeCell ref="C69:C71"/>
    <mergeCell ref="D69:D71"/>
    <mergeCell ref="E69:E71"/>
    <mergeCell ref="F69:F71"/>
    <mergeCell ref="G69:G71"/>
    <mergeCell ref="M66:M68"/>
    <mergeCell ref="N66:N68"/>
    <mergeCell ref="O66:O68"/>
    <mergeCell ref="P66:P68"/>
    <mergeCell ref="M69:M71"/>
    <mergeCell ref="N69:N71"/>
    <mergeCell ref="O69:O71"/>
    <mergeCell ref="P69:P71"/>
    <mergeCell ref="Q66:Q68"/>
    <mergeCell ref="H66:H68"/>
    <mergeCell ref="I66:I68"/>
    <mergeCell ref="J66:J68"/>
    <mergeCell ref="K66:K68"/>
    <mergeCell ref="L66:L68"/>
    <mergeCell ref="C66:C68"/>
    <mergeCell ref="D66:D68"/>
    <mergeCell ref="E66:E68"/>
    <mergeCell ref="F66:F68"/>
    <mergeCell ref="G66:G68"/>
    <mergeCell ref="M63:M65"/>
    <mergeCell ref="N63:N65"/>
    <mergeCell ref="O63:O65"/>
    <mergeCell ref="P63:P65"/>
    <mergeCell ref="Q63:Q65"/>
    <mergeCell ref="H63:H65"/>
    <mergeCell ref="I63:I65"/>
    <mergeCell ref="J63:J65"/>
    <mergeCell ref="K63:K65"/>
    <mergeCell ref="L63:L65"/>
    <mergeCell ref="C60:C62"/>
    <mergeCell ref="D60:D62"/>
    <mergeCell ref="E60:E62"/>
    <mergeCell ref="F60:F62"/>
    <mergeCell ref="G60:G62"/>
    <mergeCell ref="C63:C65"/>
    <mergeCell ref="D63:D65"/>
    <mergeCell ref="E63:E65"/>
    <mergeCell ref="F63:F65"/>
    <mergeCell ref="G63:G65"/>
    <mergeCell ref="Q57:Q59"/>
    <mergeCell ref="H57:H59"/>
    <mergeCell ref="I57:I59"/>
    <mergeCell ref="J57:J59"/>
    <mergeCell ref="K57:K59"/>
    <mergeCell ref="L57:L59"/>
    <mergeCell ref="Q60:Q62"/>
    <mergeCell ref="H60:H62"/>
    <mergeCell ref="I60:I62"/>
    <mergeCell ref="J60:J62"/>
    <mergeCell ref="K60:K62"/>
    <mergeCell ref="L60:L62"/>
    <mergeCell ref="M60:M62"/>
    <mergeCell ref="N60:N62"/>
    <mergeCell ref="O60:O62"/>
    <mergeCell ref="P60:P62"/>
    <mergeCell ref="C57:C59"/>
    <mergeCell ref="D57:D59"/>
    <mergeCell ref="E57:E59"/>
    <mergeCell ref="F57:F59"/>
    <mergeCell ref="G57:G59"/>
    <mergeCell ref="M57:M59"/>
    <mergeCell ref="N57:N59"/>
    <mergeCell ref="O57:O59"/>
    <mergeCell ref="P57:P59"/>
    <mergeCell ref="M54:M56"/>
    <mergeCell ref="N54:N56"/>
    <mergeCell ref="O54:O56"/>
    <mergeCell ref="P54:P56"/>
    <mergeCell ref="Q54:Q56"/>
    <mergeCell ref="H54:H56"/>
    <mergeCell ref="I54:I56"/>
    <mergeCell ref="J54:J56"/>
    <mergeCell ref="K54:K56"/>
    <mergeCell ref="L54:L56"/>
    <mergeCell ref="C51:C53"/>
    <mergeCell ref="D51:D53"/>
    <mergeCell ref="E51:E53"/>
    <mergeCell ref="F51:F53"/>
    <mergeCell ref="G51:G53"/>
    <mergeCell ref="C54:C56"/>
    <mergeCell ref="D54:D56"/>
    <mergeCell ref="E54:E56"/>
    <mergeCell ref="F54:F56"/>
    <mergeCell ref="G54:G56"/>
    <mergeCell ref="Q48:Q50"/>
    <mergeCell ref="H48:H50"/>
    <mergeCell ref="I48:I50"/>
    <mergeCell ref="J48:J50"/>
    <mergeCell ref="K48:K50"/>
    <mergeCell ref="L48:L50"/>
    <mergeCell ref="Q51:Q53"/>
    <mergeCell ref="H51:H53"/>
    <mergeCell ref="I51:I53"/>
    <mergeCell ref="J51:J53"/>
    <mergeCell ref="K51:K53"/>
    <mergeCell ref="L51:L53"/>
    <mergeCell ref="M51:M53"/>
    <mergeCell ref="N51:N53"/>
    <mergeCell ref="O51:O53"/>
    <mergeCell ref="P51:P53"/>
    <mergeCell ref="Q41:Q43"/>
    <mergeCell ref="C45:C47"/>
    <mergeCell ref="D45:D47"/>
    <mergeCell ref="E45:E47"/>
    <mergeCell ref="F45:F47"/>
    <mergeCell ref="G45:G47"/>
    <mergeCell ref="H45:H47"/>
    <mergeCell ref="I45:I47"/>
    <mergeCell ref="J45:J47"/>
    <mergeCell ref="K45:K47"/>
    <mergeCell ref="L45:L47"/>
    <mergeCell ref="M45:M47"/>
    <mergeCell ref="N45:N47"/>
    <mergeCell ref="O45:O47"/>
    <mergeCell ref="P45:P47"/>
    <mergeCell ref="Q45:Q47"/>
    <mergeCell ref="L41:L43"/>
    <mergeCell ref="M41:M43"/>
    <mergeCell ref="N41:N43"/>
    <mergeCell ref="G41:G43"/>
    <mergeCell ref="H41:H43"/>
    <mergeCell ref="I41:I43"/>
    <mergeCell ref="J41:J43"/>
    <mergeCell ref="K41:K43"/>
    <mergeCell ref="C38:C40"/>
    <mergeCell ref="C41:C43"/>
    <mergeCell ref="D41:D43"/>
    <mergeCell ref="E41:E43"/>
    <mergeCell ref="F41:F43"/>
    <mergeCell ref="N38:N40"/>
    <mergeCell ref="O38:O40"/>
    <mergeCell ref="P38:P40"/>
    <mergeCell ref="C48:C50"/>
    <mergeCell ref="D48:D50"/>
    <mergeCell ref="E48:E50"/>
    <mergeCell ref="F48:F50"/>
    <mergeCell ref="G48:G50"/>
    <mergeCell ref="M48:M50"/>
    <mergeCell ref="N48:N50"/>
    <mergeCell ref="O48:O50"/>
    <mergeCell ref="P48:P50"/>
    <mergeCell ref="D38:D40"/>
    <mergeCell ref="E38:E40"/>
    <mergeCell ref="F38:F40"/>
    <mergeCell ref="G38:G40"/>
    <mergeCell ref="H38:H40"/>
    <mergeCell ref="O41:O43"/>
    <mergeCell ref="P41:P43"/>
    <mergeCell ref="Q35:Q37"/>
    <mergeCell ref="H35:H37"/>
    <mergeCell ref="I35:I37"/>
    <mergeCell ref="J35:J37"/>
    <mergeCell ref="K35:K37"/>
    <mergeCell ref="L35:L37"/>
    <mergeCell ref="Q38:Q40"/>
    <mergeCell ref="I38:I40"/>
    <mergeCell ref="J38:J40"/>
    <mergeCell ref="K38:K40"/>
    <mergeCell ref="L38:L40"/>
    <mergeCell ref="M38:M40"/>
    <mergeCell ref="C35:C37"/>
    <mergeCell ref="D35:D37"/>
    <mergeCell ref="E35:E37"/>
    <mergeCell ref="F35:F37"/>
    <mergeCell ref="G35:G37"/>
    <mergeCell ref="M32:M34"/>
    <mergeCell ref="N32:N34"/>
    <mergeCell ref="O32:O34"/>
    <mergeCell ref="P32:P34"/>
    <mergeCell ref="M35:M37"/>
    <mergeCell ref="N35:N37"/>
    <mergeCell ref="O35:O37"/>
    <mergeCell ref="P35:P37"/>
    <mergeCell ref="Q32:Q34"/>
    <mergeCell ref="H32:H34"/>
    <mergeCell ref="I32:I34"/>
    <mergeCell ref="J32:J34"/>
    <mergeCell ref="K32:K34"/>
    <mergeCell ref="L32:L34"/>
    <mergeCell ref="C32:C34"/>
    <mergeCell ref="D32:D34"/>
    <mergeCell ref="E32:E34"/>
    <mergeCell ref="F32:F34"/>
    <mergeCell ref="G32:G34"/>
    <mergeCell ref="C27:C29"/>
    <mergeCell ref="D27:D29"/>
    <mergeCell ref="E27:E29"/>
    <mergeCell ref="F27:F29"/>
    <mergeCell ref="G27:G29"/>
    <mergeCell ref="Q24:Q26"/>
    <mergeCell ref="H24:H26"/>
    <mergeCell ref="I24:I26"/>
    <mergeCell ref="J24:J26"/>
    <mergeCell ref="K24:K26"/>
    <mergeCell ref="L24:L26"/>
    <mergeCell ref="Q27:Q29"/>
    <mergeCell ref="H27:H29"/>
    <mergeCell ref="I27:I29"/>
    <mergeCell ref="J27:J29"/>
    <mergeCell ref="K27:K29"/>
    <mergeCell ref="L27:L29"/>
    <mergeCell ref="M27:M29"/>
    <mergeCell ref="N27:N29"/>
    <mergeCell ref="O27:O29"/>
    <mergeCell ref="P27:P29"/>
    <mergeCell ref="C24:C26"/>
    <mergeCell ref="D24:D26"/>
    <mergeCell ref="E24:E26"/>
    <mergeCell ref="F24:F26"/>
    <mergeCell ref="G24:G26"/>
    <mergeCell ref="M21:M23"/>
    <mergeCell ref="N21:N23"/>
    <mergeCell ref="O21:O23"/>
    <mergeCell ref="P21:P23"/>
    <mergeCell ref="M24:M26"/>
    <mergeCell ref="N24:N26"/>
    <mergeCell ref="O24:O26"/>
    <mergeCell ref="P24:P26"/>
    <mergeCell ref="Q21:Q23"/>
    <mergeCell ref="H21:H23"/>
    <mergeCell ref="I21:I23"/>
    <mergeCell ref="J21:J23"/>
    <mergeCell ref="K21:K23"/>
    <mergeCell ref="L21:L23"/>
    <mergeCell ref="C21:C23"/>
    <mergeCell ref="D21:D23"/>
    <mergeCell ref="E21:E23"/>
    <mergeCell ref="F21:F23"/>
    <mergeCell ref="G21:G23"/>
    <mergeCell ref="M18:M20"/>
    <mergeCell ref="N18:N20"/>
    <mergeCell ref="O18:O20"/>
    <mergeCell ref="P18:P20"/>
    <mergeCell ref="Q18:Q20"/>
    <mergeCell ref="H18:H20"/>
    <mergeCell ref="I18:I20"/>
    <mergeCell ref="J18:J20"/>
    <mergeCell ref="K18:K20"/>
    <mergeCell ref="L18:L20"/>
    <mergeCell ref="C18:C20"/>
    <mergeCell ref="D18:D20"/>
    <mergeCell ref="E18:E20"/>
    <mergeCell ref="F18:F20"/>
    <mergeCell ref="G18:G20"/>
    <mergeCell ref="C14:C16"/>
    <mergeCell ref="D14:D16"/>
    <mergeCell ref="F14:F16"/>
    <mergeCell ref="G14:G16"/>
    <mergeCell ref="M11:M13"/>
    <mergeCell ref="E11:E13"/>
    <mergeCell ref="N11:N13"/>
    <mergeCell ref="O11:O13"/>
    <mergeCell ref="H14:H16"/>
    <mergeCell ref="P11:P13"/>
    <mergeCell ref="Q11:Q13"/>
    <mergeCell ref="E14:E16"/>
    <mergeCell ref="N14:N16"/>
    <mergeCell ref="O14:O16"/>
    <mergeCell ref="P14:P16"/>
    <mergeCell ref="Q14:Q16"/>
    <mergeCell ref="I14:I16"/>
    <mergeCell ref="J14:J16"/>
    <mergeCell ref="K14:K16"/>
    <mergeCell ref="L14:L16"/>
    <mergeCell ref="M14:M16"/>
    <mergeCell ref="C11:C13"/>
    <mergeCell ref="D11:D13"/>
    <mergeCell ref="F11:F13"/>
    <mergeCell ref="G11:G13"/>
    <mergeCell ref="H11:H13"/>
    <mergeCell ref="I11:I13"/>
    <mergeCell ref="J11:J13"/>
    <mergeCell ref="K11:K13"/>
    <mergeCell ref="L11:L13"/>
    <mergeCell ref="Q5:Q7"/>
    <mergeCell ref="E5:E7"/>
    <mergeCell ref="C8:C10"/>
    <mergeCell ref="D8:D10"/>
    <mergeCell ref="E8:E10"/>
    <mergeCell ref="F8:F10"/>
    <mergeCell ref="G8:G10"/>
    <mergeCell ref="H8:H10"/>
    <mergeCell ref="I8:I10"/>
    <mergeCell ref="J8:J10"/>
    <mergeCell ref="K8:K10"/>
    <mergeCell ref="L8:L10"/>
    <mergeCell ref="M8:M10"/>
    <mergeCell ref="N8:N10"/>
    <mergeCell ref="J5:J7"/>
    <mergeCell ref="K5:K7"/>
    <mergeCell ref="L5:L7"/>
    <mergeCell ref="M5:M7"/>
    <mergeCell ref="N5:N7"/>
    <mergeCell ref="O8:O10"/>
    <mergeCell ref="P8:P10"/>
    <mergeCell ref="Q8:Q10"/>
    <mergeCell ref="G1:I1"/>
    <mergeCell ref="C5:C7"/>
    <mergeCell ref="D5:D7"/>
    <mergeCell ref="F5:F7"/>
    <mergeCell ref="G5:G7"/>
    <mergeCell ref="H5:H7"/>
    <mergeCell ref="I5:I7"/>
    <mergeCell ref="O5:O7"/>
    <mergeCell ref="P5:P7"/>
  </mergeCells>
  <pageMargins left="0.7" right="0.7" top="0.75" bottom="0.75" header="0.3" footer="0.3"/>
  <pageSetup paperSize="9" orientation="portrait"/>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8C0580E8-D6E7-41A7-8CE2-E1E3F20BED11}">
          <x14:formula1>
            <xm:f>'Paso 3 Redacción RA '!$I$3:$I$11</xm:f>
          </x14:formula1>
          <xm:sqref>B155:B189 B112:B153</xm:sqref>
        </x14:dataValidation>
        <x14:dataValidation type="list" allowBlank="1" showInputMessage="1" showErrorMessage="1" xr:uid="{C9DFEA4C-E456-40FA-A0B8-26962CF02348}">
          <x14:formula1>
            <xm:f>'Paso 3 Redacción RA '!$I$3:$I$12</xm:f>
          </x14:formula1>
          <xm:sqref>B3:B111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B1907-1808-45DB-89DB-D7AD15506F3A}">
  <dimension ref="B1:B38"/>
  <sheetViews>
    <sheetView topLeftCell="A4" workbookViewId="0">
      <selection activeCell="B1" sqref="B1"/>
    </sheetView>
  </sheetViews>
  <sheetFormatPr baseColWidth="10" defaultColWidth="11.453125" defaultRowHeight="14.5" x14ac:dyDescent="0.35"/>
  <cols>
    <col min="2" max="2" width="27.1796875" customWidth="1"/>
  </cols>
  <sheetData>
    <row r="1" spans="2:2" ht="16.5" x14ac:dyDescent="0.5">
      <c r="B1" s="1" t="s">
        <v>317</v>
      </c>
    </row>
    <row r="2" spans="2:2" ht="16.5" x14ac:dyDescent="0.5">
      <c r="B2" s="1" t="s">
        <v>318</v>
      </c>
    </row>
    <row r="3" spans="2:2" ht="16.5" x14ac:dyDescent="0.5">
      <c r="B3" s="1" t="s">
        <v>319</v>
      </c>
    </row>
    <row r="4" spans="2:2" ht="16.5" x14ac:dyDescent="0.5">
      <c r="B4" s="1" t="s">
        <v>60</v>
      </c>
    </row>
    <row r="5" spans="2:2" ht="16.5" x14ac:dyDescent="0.5">
      <c r="B5" s="1" t="s">
        <v>56</v>
      </c>
    </row>
    <row r="6" spans="2:2" ht="16.5" x14ac:dyDescent="0.5">
      <c r="B6" s="1" t="s">
        <v>320</v>
      </c>
    </row>
    <row r="7" spans="2:2" ht="16.5" x14ac:dyDescent="0.5">
      <c r="B7" s="1" t="s">
        <v>321</v>
      </c>
    </row>
    <row r="8" spans="2:2" ht="16.5" x14ac:dyDescent="0.5">
      <c r="B8" s="1" t="s">
        <v>322</v>
      </c>
    </row>
    <row r="9" spans="2:2" ht="16.5" x14ac:dyDescent="0.5">
      <c r="B9" s="1" t="s">
        <v>323</v>
      </c>
    </row>
    <row r="10" spans="2:2" ht="16.5" x14ac:dyDescent="0.5">
      <c r="B10" s="1" t="s">
        <v>324</v>
      </c>
    </row>
    <row r="11" spans="2:2" ht="16.5" x14ac:dyDescent="0.5">
      <c r="B11" s="1" t="s">
        <v>325</v>
      </c>
    </row>
    <row r="12" spans="2:2" ht="16.5" x14ac:dyDescent="0.5">
      <c r="B12" s="1" t="s">
        <v>326</v>
      </c>
    </row>
    <row r="13" spans="2:2" ht="16.5" x14ac:dyDescent="0.5">
      <c r="B13" s="1" t="s">
        <v>327</v>
      </c>
    </row>
    <row r="14" spans="2:2" ht="16.5" x14ac:dyDescent="0.5">
      <c r="B14" s="1" t="s">
        <v>58</v>
      </c>
    </row>
    <row r="15" spans="2:2" ht="16.5" x14ac:dyDescent="0.5">
      <c r="B15" s="1" t="s">
        <v>328</v>
      </c>
    </row>
    <row r="16" spans="2:2" ht="16.5" x14ac:dyDescent="0.5">
      <c r="B16" s="1" t="s">
        <v>329</v>
      </c>
    </row>
    <row r="17" spans="2:2" ht="16.5" x14ac:dyDescent="0.5">
      <c r="B17" s="1" t="s">
        <v>330</v>
      </c>
    </row>
    <row r="18" spans="2:2" ht="16.5" x14ac:dyDescent="0.5">
      <c r="B18" s="1" t="s">
        <v>331</v>
      </c>
    </row>
    <row r="19" spans="2:2" ht="16.5" x14ac:dyDescent="0.5">
      <c r="B19" s="1" t="s">
        <v>332</v>
      </c>
    </row>
    <row r="20" spans="2:2" ht="16.5" x14ac:dyDescent="0.5">
      <c r="B20" s="1" t="s">
        <v>333</v>
      </c>
    </row>
    <row r="21" spans="2:2" ht="16.5" x14ac:dyDescent="0.5">
      <c r="B21" s="1" t="s">
        <v>334</v>
      </c>
    </row>
    <row r="22" spans="2:2" ht="16.5" x14ac:dyDescent="0.5">
      <c r="B22" s="1" t="s">
        <v>335</v>
      </c>
    </row>
    <row r="23" spans="2:2" ht="16.5" x14ac:dyDescent="0.5">
      <c r="B23" s="1" t="s">
        <v>336</v>
      </c>
    </row>
    <row r="24" spans="2:2" ht="16.5" x14ac:dyDescent="0.5">
      <c r="B24" s="1" t="s">
        <v>337</v>
      </c>
    </row>
    <row r="25" spans="2:2" ht="16.5" x14ac:dyDescent="0.5">
      <c r="B25" s="1" t="s">
        <v>53</v>
      </c>
    </row>
    <row r="26" spans="2:2" ht="16.5" x14ac:dyDescent="0.5">
      <c r="B26" s="1" t="s">
        <v>338</v>
      </c>
    </row>
    <row r="27" spans="2:2" ht="16.5" x14ac:dyDescent="0.5">
      <c r="B27" s="1" t="s">
        <v>339</v>
      </c>
    </row>
    <row r="28" spans="2:2" ht="16.5" x14ac:dyDescent="0.5">
      <c r="B28" s="1" t="s">
        <v>340</v>
      </c>
    </row>
    <row r="29" spans="2:2" ht="16.5" x14ac:dyDescent="0.5">
      <c r="B29" s="1" t="s">
        <v>341</v>
      </c>
    </row>
    <row r="30" spans="2:2" ht="16.5" x14ac:dyDescent="0.5">
      <c r="B30" s="1" t="s">
        <v>342</v>
      </c>
    </row>
    <row r="31" spans="2:2" ht="16.5" x14ac:dyDescent="0.5">
      <c r="B31" s="1" t="s">
        <v>343</v>
      </c>
    </row>
    <row r="32" spans="2:2" ht="16.5" x14ac:dyDescent="0.5">
      <c r="B32" s="1" t="s">
        <v>344</v>
      </c>
    </row>
    <row r="33" spans="2:2" ht="16.5" x14ac:dyDescent="0.5">
      <c r="B33" s="1" t="s">
        <v>345</v>
      </c>
    </row>
    <row r="34" spans="2:2" ht="16.5" x14ac:dyDescent="0.5">
      <c r="B34" s="1" t="s">
        <v>346</v>
      </c>
    </row>
    <row r="35" spans="2:2" ht="16.5" x14ac:dyDescent="0.5">
      <c r="B35" s="1" t="s">
        <v>347</v>
      </c>
    </row>
    <row r="36" spans="2:2" ht="16.5" x14ac:dyDescent="0.5">
      <c r="B36" s="1" t="s">
        <v>348</v>
      </c>
    </row>
    <row r="37" spans="2:2" ht="16.5" x14ac:dyDescent="0.5">
      <c r="B37" s="1" t="s">
        <v>349</v>
      </c>
    </row>
    <row r="38" spans="2:2" ht="16.5" x14ac:dyDescent="0.5">
      <c r="B38" s="1" t="s">
        <v>350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97597-49CE-4804-805A-84A20592BE98}">
  <dimension ref="A1:BC108"/>
  <sheetViews>
    <sheetView topLeftCell="P28" zoomScale="66" workbookViewId="0">
      <selection activeCell="AD35" sqref="AD35"/>
    </sheetView>
  </sheetViews>
  <sheetFormatPr baseColWidth="10" defaultColWidth="11.453125" defaultRowHeight="16.5" x14ac:dyDescent="0.5"/>
  <cols>
    <col min="1" max="1" width="20.453125" style="1" customWidth="1"/>
    <col min="2" max="2" width="14.26953125" style="1" customWidth="1"/>
    <col min="3" max="3" width="22.1796875" style="1" customWidth="1"/>
    <col min="4" max="4" width="21.453125" style="1" customWidth="1"/>
    <col min="5" max="5" width="20.7265625" style="1" customWidth="1"/>
    <col min="6" max="6" width="16.81640625" style="1" customWidth="1"/>
    <col min="7" max="7" width="21.81640625" style="1" customWidth="1"/>
    <col min="8" max="8" width="26.1796875" style="1" customWidth="1"/>
    <col min="9" max="9" width="25.26953125" style="1" customWidth="1"/>
    <col min="10" max="10" width="24.453125" style="1" customWidth="1"/>
    <col min="11" max="11" width="15.26953125" style="1" customWidth="1"/>
    <col min="12" max="17" width="17.7265625" style="1" customWidth="1"/>
    <col min="18" max="18" width="22.453125" style="1" customWidth="1"/>
    <col min="19" max="19" width="15.453125" style="1" customWidth="1"/>
    <col min="20" max="20" width="15" style="1" customWidth="1"/>
    <col min="21" max="25" width="13.1796875" style="1" customWidth="1"/>
    <col min="26" max="26" width="16.453125" style="1" customWidth="1"/>
    <col min="27" max="28" width="13.1796875" style="1" customWidth="1"/>
    <col min="29" max="29" width="19.453125" style="1" customWidth="1"/>
    <col min="30" max="30" width="13.81640625" style="1" customWidth="1"/>
    <col min="31" max="31" width="13.1796875" style="1" customWidth="1"/>
    <col min="32" max="32" width="13.453125" style="1" customWidth="1"/>
    <col min="33" max="33" width="30.7265625" style="1" customWidth="1"/>
    <col min="34" max="36" width="13.1796875" style="1" customWidth="1"/>
    <col min="37" max="37" width="14.453125" style="1" customWidth="1"/>
    <col min="38" max="43" width="16.7265625" style="1" customWidth="1"/>
    <col min="44" max="45" width="13.26953125" style="1" customWidth="1"/>
    <col min="46" max="46" width="23.81640625" style="1" customWidth="1"/>
    <col min="47" max="47" width="22.453125" style="1" customWidth="1"/>
    <col min="48" max="48" width="24.1796875" style="1" customWidth="1"/>
    <col min="49" max="49" width="27.81640625" style="1" customWidth="1"/>
    <col min="50" max="50" width="24.7265625" style="1" customWidth="1"/>
    <col min="51" max="51" width="22.7265625" style="1" customWidth="1"/>
    <col min="52" max="55" width="13.26953125" style="1" customWidth="1"/>
    <col min="56" max="16384" width="11.453125" style="1"/>
  </cols>
  <sheetData>
    <row r="1" spans="1:55" x14ac:dyDescent="0.5">
      <c r="S1" s="170" t="s">
        <v>351</v>
      </c>
      <c r="T1" s="170"/>
      <c r="U1" s="170"/>
      <c r="V1" s="170"/>
      <c r="W1" s="170"/>
      <c r="X1" s="170"/>
      <c r="Y1" s="170"/>
      <c r="Z1" s="170"/>
      <c r="AA1" s="170"/>
      <c r="AB1" s="170"/>
      <c r="AC1" s="170"/>
      <c r="AD1" s="170"/>
      <c r="AE1" s="170"/>
      <c r="AF1" s="170"/>
      <c r="AG1" s="170"/>
      <c r="AH1" s="14"/>
      <c r="AI1" s="14"/>
      <c r="AJ1" s="14"/>
      <c r="AL1" s="170" t="s">
        <v>352</v>
      </c>
      <c r="AM1" s="170"/>
      <c r="AN1" s="170"/>
      <c r="AO1" s="170"/>
      <c r="AP1" s="170"/>
      <c r="AQ1" s="170"/>
      <c r="AR1" s="14"/>
      <c r="AS1" s="14"/>
      <c r="AT1" s="170" t="s">
        <v>353</v>
      </c>
      <c r="AU1" s="170"/>
      <c r="AV1" s="170"/>
      <c r="AW1" s="170"/>
      <c r="AX1" s="170"/>
      <c r="AY1" s="170"/>
      <c r="AZ1" s="14"/>
      <c r="BC1" s="14"/>
    </row>
    <row r="2" spans="1:55" x14ac:dyDescent="0.5">
      <c r="L2" s="170" t="s">
        <v>354</v>
      </c>
      <c r="M2" s="170"/>
      <c r="N2" s="170"/>
      <c r="O2" s="170"/>
      <c r="P2" s="170"/>
      <c r="Q2" s="170"/>
      <c r="S2" s="171" t="s">
        <v>355</v>
      </c>
      <c r="T2" s="171"/>
      <c r="U2" s="171"/>
      <c r="V2" s="171"/>
      <c r="W2" s="171"/>
      <c r="X2" s="171"/>
      <c r="Y2" s="171" t="s">
        <v>356</v>
      </c>
      <c r="Z2" s="171"/>
      <c r="AA2" s="171"/>
      <c r="AB2" s="171"/>
      <c r="AC2" s="171" t="s">
        <v>357</v>
      </c>
      <c r="AD2" s="171"/>
      <c r="AE2" s="171"/>
      <c r="AF2" s="171"/>
      <c r="AG2" s="171"/>
      <c r="AH2" s="14"/>
      <c r="AI2" s="14"/>
      <c r="AJ2" s="14"/>
      <c r="AL2" s="170"/>
      <c r="AM2" s="170"/>
      <c r="AN2" s="170"/>
      <c r="AO2" s="170"/>
      <c r="AP2" s="170"/>
      <c r="AQ2" s="170"/>
      <c r="AR2" s="14"/>
      <c r="AS2" s="14"/>
      <c r="AT2" s="14"/>
      <c r="AU2" s="14"/>
      <c r="AV2" s="14"/>
      <c r="AW2" s="14"/>
      <c r="AX2" s="14"/>
      <c r="AY2" s="14"/>
      <c r="AZ2" s="14"/>
      <c r="BC2" s="14"/>
    </row>
    <row r="3" spans="1:55" x14ac:dyDescent="0.5">
      <c r="A3" s="1" t="s">
        <v>358</v>
      </c>
      <c r="C3" s="1" t="s">
        <v>81</v>
      </c>
      <c r="D3" s="1" t="s">
        <v>359</v>
      </c>
      <c r="E3" s="1" t="s">
        <v>360</v>
      </c>
      <c r="G3" s="1" t="s">
        <v>100</v>
      </c>
      <c r="H3" s="1" t="s">
        <v>361</v>
      </c>
      <c r="I3" s="1" t="s">
        <v>362</v>
      </c>
      <c r="L3" s="1" t="s">
        <v>363</v>
      </c>
      <c r="M3" s="1" t="s">
        <v>101</v>
      </c>
      <c r="N3" s="1" t="s">
        <v>364</v>
      </c>
      <c r="O3" s="1" t="s">
        <v>365</v>
      </c>
      <c r="P3" s="1" t="s">
        <v>366</v>
      </c>
      <c r="Q3" s="1" t="s">
        <v>367</v>
      </c>
      <c r="S3" s="1" t="s">
        <v>368</v>
      </c>
      <c r="T3" s="1" t="s">
        <v>369</v>
      </c>
      <c r="U3" s="1" t="s">
        <v>370</v>
      </c>
      <c r="V3" s="1" t="s">
        <v>93</v>
      </c>
      <c r="W3" s="1" t="s">
        <v>83</v>
      </c>
      <c r="X3" s="1" t="s">
        <v>371</v>
      </c>
      <c r="Y3" s="1" t="s">
        <v>372</v>
      </c>
      <c r="Z3" s="1" t="s">
        <v>96</v>
      </c>
      <c r="AA3" s="1" t="s">
        <v>87</v>
      </c>
      <c r="AB3" s="1" t="s">
        <v>373</v>
      </c>
      <c r="AC3" s="1" t="s">
        <v>374</v>
      </c>
      <c r="AD3" s="1" t="s">
        <v>375</v>
      </c>
      <c r="AE3" s="1" t="s">
        <v>90</v>
      </c>
      <c r="AF3" s="1" t="s">
        <v>376</v>
      </c>
      <c r="AG3" s="1" t="s">
        <v>377</v>
      </c>
      <c r="AL3" s="152" t="s">
        <v>378</v>
      </c>
      <c r="AM3" s="152"/>
      <c r="AN3" s="152"/>
      <c r="AO3" s="152" t="s">
        <v>379</v>
      </c>
      <c r="AP3" s="152"/>
      <c r="AQ3" s="152"/>
      <c r="AR3" s="13"/>
      <c r="AS3" s="13"/>
      <c r="AT3" s="13"/>
      <c r="AU3" s="13"/>
      <c r="AV3" s="13"/>
      <c r="AW3" s="13"/>
      <c r="AX3" s="13"/>
      <c r="AY3" s="13"/>
      <c r="AZ3" s="13"/>
      <c r="BC3" s="13"/>
    </row>
    <row r="4" spans="1:55" x14ac:dyDescent="0.5">
      <c r="A4" s="1" t="s">
        <v>99</v>
      </c>
      <c r="C4" s="1" t="s">
        <v>82</v>
      </c>
      <c r="D4" s="1" t="s">
        <v>380</v>
      </c>
      <c r="E4" s="1" t="s">
        <v>381</v>
      </c>
      <c r="G4" s="1" t="s">
        <v>363</v>
      </c>
      <c r="H4" s="1" t="s">
        <v>363</v>
      </c>
      <c r="I4" s="1" t="s">
        <v>363</v>
      </c>
      <c r="L4" s="1" t="s">
        <v>382</v>
      </c>
      <c r="M4" s="1" t="s">
        <v>322</v>
      </c>
      <c r="N4" s="1" t="s">
        <v>56</v>
      </c>
      <c r="O4" s="1" t="s">
        <v>383</v>
      </c>
      <c r="P4" s="1" t="s">
        <v>384</v>
      </c>
      <c r="Q4" s="1" t="s">
        <v>385</v>
      </c>
      <c r="S4" s="1" t="s">
        <v>382</v>
      </c>
      <c r="T4" s="1" t="s">
        <v>322</v>
      </c>
      <c r="U4" s="1" t="s">
        <v>56</v>
      </c>
      <c r="V4" s="1" t="s">
        <v>383</v>
      </c>
      <c r="W4" s="1" t="s">
        <v>384</v>
      </c>
      <c r="X4" s="1" t="s">
        <v>385</v>
      </c>
      <c r="Y4" s="1" t="s">
        <v>386</v>
      </c>
      <c r="Z4" s="1" t="s">
        <v>387</v>
      </c>
      <c r="AA4" s="1" t="s">
        <v>388</v>
      </c>
      <c r="AB4" s="1" t="s">
        <v>389</v>
      </c>
      <c r="AC4" s="1" t="s">
        <v>337</v>
      </c>
      <c r="AD4" s="1" t="s">
        <v>390</v>
      </c>
      <c r="AE4" s="1" t="s">
        <v>391</v>
      </c>
      <c r="AF4" s="1" t="s">
        <v>392</v>
      </c>
      <c r="AG4" s="1" t="s">
        <v>393</v>
      </c>
      <c r="AL4" s="3" t="s">
        <v>394</v>
      </c>
      <c r="AM4" s="3" t="s">
        <v>395</v>
      </c>
      <c r="AN4" s="3" t="s">
        <v>396</v>
      </c>
      <c r="AO4" s="3" t="s">
        <v>397</v>
      </c>
      <c r="AP4" s="4" t="s">
        <v>398</v>
      </c>
      <c r="AQ4" s="3" t="s">
        <v>399</v>
      </c>
      <c r="AR4" s="13"/>
      <c r="AS4" s="13"/>
      <c r="AT4" s="1" t="s">
        <v>400</v>
      </c>
      <c r="AU4" s="1" t="s">
        <v>401</v>
      </c>
      <c r="AV4" s="1" t="s">
        <v>402</v>
      </c>
      <c r="AW4" s="1" t="s">
        <v>403</v>
      </c>
      <c r="AX4" s="1" t="s">
        <v>404</v>
      </c>
      <c r="AY4" s="1" t="s">
        <v>405</v>
      </c>
      <c r="AZ4" s="13"/>
      <c r="BC4" s="13"/>
    </row>
    <row r="5" spans="1:55" x14ac:dyDescent="0.5">
      <c r="A5" s="1" t="s">
        <v>81</v>
      </c>
      <c r="C5" s="1" t="s">
        <v>86</v>
      </c>
      <c r="D5" s="1" t="s">
        <v>406</v>
      </c>
      <c r="E5" s="1" t="s">
        <v>407</v>
      </c>
      <c r="G5" s="1" t="s">
        <v>101</v>
      </c>
      <c r="H5" s="1" t="s">
        <v>101</v>
      </c>
      <c r="I5" s="1" t="s">
        <v>101</v>
      </c>
      <c r="L5" s="1" t="s">
        <v>408</v>
      </c>
      <c r="M5" s="1" t="s">
        <v>409</v>
      </c>
      <c r="N5" s="1" t="s">
        <v>410</v>
      </c>
      <c r="O5" s="1" t="s">
        <v>60</v>
      </c>
      <c r="P5" s="1" t="s">
        <v>319</v>
      </c>
      <c r="Q5" s="1" t="s">
        <v>411</v>
      </c>
      <c r="S5" s="1" t="s">
        <v>408</v>
      </c>
      <c r="T5" s="1" t="s">
        <v>409</v>
      </c>
      <c r="U5" s="1" t="s">
        <v>410</v>
      </c>
      <c r="V5" s="1" t="s">
        <v>60</v>
      </c>
      <c r="W5" s="1" t="s">
        <v>319</v>
      </c>
      <c r="X5" s="1" t="s">
        <v>411</v>
      </c>
      <c r="Y5" s="1" t="s">
        <v>384</v>
      </c>
      <c r="Z5" s="1" t="s">
        <v>412</v>
      </c>
      <c r="AA5" s="1" t="s">
        <v>341</v>
      </c>
      <c r="AB5" s="1" t="s">
        <v>413</v>
      </c>
      <c r="AC5" s="1" t="s">
        <v>324</v>
      </c>
      <c r="AD5" s="1" t="s">
        <v>414</v>
      </c>
      <c r="AE5" s="1" t="s">
        <v>390</v>
      </c>
      <c r="AF5" s="1" t="s">
        <v>415</v>
      </c>
      <c r="AG5" s="1" t="s">
        <v>416</v>
      </c>
      <c r="AL5" s="2" t="s">
        <v>417</v>
      </c>
      <c r="AM5" s="2" t="s">
        <v>418</v>
      </c>
      <c r="AN5" s="2" t="s">
        <v>419</v>
      </c>
      <c r="AO5" s="2" t="s">
        <v>420</v>
      </c>
      <c r="AP5" s="2" t="s">
        <v>384</v>
      </c>
      <c r="AQ5" s="2" t="s">
        <v>58</v>
      </c>
      <c r="AR5" s="2"/>
      <c r="AS5" s="2"/>
      <c r="AT5" s="5" t="s">
        <v>417</v>
      </c>
      <c r="AU5" s="7" t="s">
        <v>322</v>
      </c>
      <c r="AV5" s="5" t="s">
        <v>420</v>
      </c>
      <c r="AW5" s="5" t="s">
        <v>419</v>
      </c>
      <c r="AX5" s="7" t="s">
        <v>421</v>
      </c>
      <c r="AY5" s="7" t="s">
        <v>421</v>
      </c>
      <c r="AZ5" s="2"/>
      <c r="BC5" s="2"/>
    </row>
    <row r="6" spans="1:55" x14ac:dyDescent="0.5">
      <c r="A6" s="1" t="s">
        <v>359</v>
      </c>
      <c r="C6" s="1" t="s">
        <v>89</v>
      </c>
      <c r="D6" s="1" t="s">
        <v>422</v>
      </c>
      <c r="E6" s="1" t="s">
        <v>423</v>
      </c>
      <c r="G6" s="1" t="s">
        <v>364</v>
      </c>
      <c r="H6" s="1" t="s">
        <v>364</v>
      </c>
      <c r="I6" s="1" t="s">
        <v>364</v>
      </c>
      <c r="L6" s="1" t="s">
        <v>424</v>
      </c>
      <c r="M6" s="1" t="s">
        <v>425</v>
      </c>
      <c r="N6" s="1" t="s">
        <v>426</v>
      </c>
      <c r="O6" s="1" t="s">
        <v>427</v>
      </c>
      <c r="P6" s="1" t="s">
        <v>428</v>
      </c>
      <c r="Q6" s="1" t="s">
        <v>429</v>
      </c>
      <c r="S6" s="1" t="s">
        <v>424</v>
      </c>
      <c r="T6" s="1" t="s">
        <v>425</v>
      </c>
      <c r="U6" s="1" t="s">
        <v>426</v>
      </c>
      <c r="V6" s="1" t="s">
        <v>427</v>
      </c>
      <c r="W6" s="1" t="s">
        <v>428</v>
      </c>
      <c r="X6" s="1" t="s">
        <v>429</v>
      </c>
      <c r="Y6" s="1" t="s">
        <v>430</v>
      </c>
      <c r="Z6" s="1" t="s">
        <v>431</v>
      </c>
      <c r="AA6" s="1" t="s">
        <v>432</v>
      </c>
      <c r="AB6" s="1" t="s">
        <v>433</v>
      </c>
      <c r="AC6" s="1" t="s">
        <v>328</v>
      </c>
      <c r="AD6" s="1" t="s">
        <v>434</v>
      </c>
      <c r="AE6" s="1" t="s">
        <v>421</v>
      </c>
      <c r="AF6" s="1" t="s">
        <v>435</v>
      </c>
      <c r="AG6" s="1" t="s">
        <v>324</v>
      </c>
      <c r="AL6" s="2" t="s">
        <v>424</v>
      </c>
      <c r="AM6" s="2" t="s">
        <v>436</v>
      </c>
      <c r="AN6" s="2" t="s">
        <v>420</v>
      </c>
      <c r="AO6" s="2" t="s">
        <v>383</v>
      </c>
      <c r="AP6" s="2" t="s">
        <v>437</v>
      </c>
      <c r="AQ6" s="2" t="s">
        <v>438</v>
      </c>
      <c r="AR6" s="2"/>
      <c r="AS6" s="2"/>
      <c r="AT6" s="6" t="s">
        <v>424</v>
      </c>
      <c r="AU6" s="8" t="s">
        <v>409</v>
      </c>
      <c r="AV6" s="7" t="s">
        <v>383</v>
      </c>
      <c r="AW6" s="6" t="s">
        <v>420</v>
      </c>
      <c r="AX6" s="8" t="s">
        <v>439</v>
      </c>
      <c r="AY6" s="7" t="s">
        <v>391</v>
      </c>
      <c r="AZ6" s="2"/>
      <c r="BC6" s="2"/>
    </row>
    <row r="7" spans="1:55" x14ac:dyDescent="0.5">
      <c r="A7" s="1" t="s">
        <v>360</v>
      </c>
      <c r="D7" s="1" t="s">
        <v>440</v>
      </c>
      <c r="G7" s="1" t="s">
        <v>365</v>
      </c>
      <c r="H7" s="1" t="s">
        <v>365</v>
      </c>
      <c r="I7" s="1" t="s">
        <v>365</v>
      </c>
      <c r="L7" s="1" t="s">
        <v>441</v>
      </c>
      <c r="M7" s="1" t="s">
        <v>323</v>
      </c>
      <c r="N7" s="1" t="s">
        <v>442</v>
      </c>
      <c r="O7" s="1" t="s">
        <v>443</v>
      </c>
      <c r="P7" s="1" t="s">
        <v>428</v>
      </c>
      <c r="Q7" s="1" t="s">
        <v>444</v>
      </c>
      <c r="S7" s="1" t="s">
        <v>441</v>
      </c>
      <c r="T7" s="1" t="s">
        <v>323</v>
      </c>
      <c r="U7" s="1" t="s">
        <v>442</v>
      </c>
      <c r="V7" s="1" t="s">
        <v>443</v>
      </c>
      <c r="W7" s="1" t="s">
        <v>428</v>
      </c>
      <c r="X7" s="1" t="s">
        <v>444</v>
      </c>
      <c r="Y7" s="1" t="s">
        <v>445</v>
      </c>
      <c r="Z7" s="1" t="s">
        <v>446</v>
      </c>
      <c r="AA7" s="1" t="s">
        <v>447</v>
      </c>
      <c r="AB7" s="1" t="s">
        <v>448</v>
      </c>
      <c r="AC7" s="1" t="s">
        <v>387</v>
      </c>
      <c r="AD7" s="1" t="s">
        <v>417</v>
      </c>
      <c r="AE7" s="1" t="s">
        <v>417</v>
      </c>
      <c r="AF7" s="1" t="s">
        <v>439</v>
      </c>
      <c r="AG7" s="1" t="s">
        <v>449</v>
      </c>
      <c r="AL7" s="2" t="s">
        <v>450</v>
      </c>
      <c r="AM7" s="2" t="s">
        <v>451</v>
      </c>
      <c r="AN7" s="2" t="s">
        <v>427</v>
      </c>
      <c r="AO7" s="2" t="s">
        <v>452</v>
      </c>
      <c r="AP7" s="2" t="s">
        <v>453</v>
      </c>
      <c r="AQ7" s="2" t="s">
        <v>454</v>
      </c>
      <c r="AR7" s="2"/>
      <c r="AS7" s="2"/>
      <c r="AT7" s="5" t="s">
        <v>450</v>
      </c>
      <c r="AU7" s="1" t="s">
        <v>418</v>
      </c>
      <c r="AV7" s="8" t="s">
        <v>60</v>
      </c>
      <c r="AW7" s="7" t="s">
        <v>56</v>
      </c>
      <c r="AX7" s="7" t="s">
        <v>391</v>
      </c>
      <c r="AY7" s="7" t="s">
        <v>455</v>
      </c>
      <c r="AZ7" s="2"/>
      <c r="BC7" s="2"/>
    </row>
    <row r="8" spans="1:55" x14ac:dyDescent="0.5">
      <c r="G8" s="1" t="s">
        <v>366</v>
      </c>
      <c r="H8" s="1" t="s">
        <v>366</v>
      </c>
      <c r="I8" s="1" t="s">
        <v>366</v>
      </c>
      <c r="L8" s="1" t="s">
        <v>456</v>
      </c>
      <c r="M8" s="1" t="s">
        <v>457</v>
      </c>
      <c r="N8" s="1" t="s">
        <v>324</v>
      </c>
      <c r="O8" s="1" t="s">
        <v>436</v>
      </c>
      <c r="P8" s="1" t="s">
        <v>458</v>
      </c>
      <c r="Q8" s="1" t="s">
        <v>459</v>
      </c>
      <c r="S8" s="1" t="s">
        <v>456</v>
      </c>
      <c r="T8" s="1" t="s">
        <v>457</v>
      </c>
      <c r="U8" s="1" t="s">
        <v>324</v>
      </c>
      <c r="V8" s="1" t="s">
        <v>436</v>
      </c>
      <c r="W8" s="1" t="s">
        <v>458</v>
      </c>
      <c r="X8" s="1" t="s">
        <v>459</v>
      </c>
      <c r="Y8" s="1" t="s">
        <v>320</v>
      </c>
      <c r="Z8" s="1" t="s">
        <v>460</v>
      </c>
      <c r="AA8" s="1" t="s">
        <v>461</v>
      </c>
      <c r="AB8" s="1" t="s">
        <v>462</v>
      </c>
      <c r="AC8" s="1" t="s">
        <v>56</v>
      </c>
      <c r="AD8" s="1" t="s">
        <v>320</v>
      </c>
      <c r="AE8" s="1" t="s">
        <v>463</v>
      </c>
      <c r="AF8" s="1" t="s">
        <v>464</v>
      </c>
      <c r="AG8" s="1" t="s">
        <v>465</v>
      </c>
      <c r="AL8" s="2" t="s">
        <v>456</v>
      </c>
      <c r="AM8" s="2" t="s">
        <v>434</v>
      </c>
      <c r="AN8" s="2" t="s">
        <v>443</v>
      </c>
      <c r="AO8" s="2" t="s">
        <v>466</v>
      </c>
      <c r="AP8" s="2" t="s">
        <v>467</v>
      </c>
      <c r="AQ8" s="2" t="s">
        <v>468</v>
      </c>
      <c r="AR8" s="2"/>
      <c r="AS8" s="2"/>
      <c r="AT8" s="6" t="s">
        <v>456</v>
      </c>
      <c r="AU8" s="7" t="s">
        <v>425</v>
      </c>
      <c r="AV8" s="7" t="s">
        <v>56</v>
      </c>
      <c r="AW8" s="5" t="s">
        <v>427</v>
      </c>
      <c r="AX8" s="8" t="s">
        <v>455</v>
      </c>
      <c r="AY8" s="7" t="s">
        <v>469</v>
      </c>
      <c r="AZ8" s="2"/>
      <c r="BC8" s="2"/>
    </row>
    <row r="9" spans="1:55" x14ac:dyDescent="0.5">
      <c r="G9" s="1" t="s">
        <v>367</v>
      </c>
      <c r="H9" s="1" t="s">
        <v>367</v>
      </c>
      <c r="I9" s="1" t="s">
        <v>367</v>
      </c>
      <c r="L9" s="1" t="s">
        <v>327</v>
      </c>
      <c r="M9" s="1" t="s">
        <v>470</v>
      </c>
      <c r="N9" s="1" t="s">
        <v>471</v>
      </c>
      <c r="O9" s="1" t="s">
        <v>472</v>
      </c>
      <c r="P9" s="1" t="s">
        <v>473</v>
      </c>
      <c r="Q9" s="1" t="s">
        <v>320</v>
      </c>
      <c r="S9" s="1" t="s">
        <v>327</v>
      </c>
      <c r="T9" s="1" t="s">
        <v>470</v>
      </c>
      <c r="U9" s="1" t="s">
        <v>471</v>
      </c>
      <c r="V9" s="1" t="s">
        <v>472</v>
      </c>
      <c r="W9" s="1" t="s">
        <v>473</v>
      </c>
      <c r="X9" s="1" t="s">
        <v>320</v>
      </c>
      <c r="Y9" s="1" t="s">
        <v>444</v>
      </c>
      <c r="Z9" s="1" t="s">
        <v>474</v>
      </c>
      <c r="AA9" s="1" t="s">
        <v>475</v>
      </c>
      <c r="AB9" s="1" t="s">
        <v>476</v>
      </c>
      <c r="AC9" s="1" t="s">
        <v>477</v>
      </c>
      <c r="AD9" s="1" t="s">
        <v>337</v>
      </c>
      <c r="AE9" s="1" t="s">
        <v>478</v>
      </c>
      <c r="AF9" s="1" t="s">
        <v>479</v>
      </c>
      <c r="AG9" s="1" t="s">
        <v>455</v>
      </c>
      <c r="AL9" s="2" t="s">
        <v>327</v>
      </c>
      <c r="AM9" s="2" t="s">
        <v>480</v>
      </c>
      <c r="AN9" s="2" t="s">
        <v>481</v>
      </c>
      <c r="AO9" s="2" t="s">
        <v>443</v>
      </c>
      <c r="AP9" s="2" t="s">
        <v>482</v>
      </c>
      <c r="AQ9" s="2" t="s">
        <v>483</v>
      </c>
      <c r="AR9" s="2"/>
      <c r="AS9" s="2"/>
      <c r="AT9" s="5" t="s">
        <v>327</v>
      </c>
      <c r="AU9" s="6" t="s">
        <v>436</v>
      </c>
      <c r="AV9" s="7" t="s">
        <v>452</v>
      </c>
      <c r="AW9" s="8" t="s">
        <v>410</v>
      </c>
      <c r="AX9" s="8" t="s">
        <v>417</v>
      </c>
      <c r="AY9" s="8" t="s">
        <v>484</v>
      </c>
      <c r="AZ9" s="2"/>
      <c r="BC9" s="2"/>
    </row>
    <row r="10" spans="1:55" x14ac:dyDescent="0.5">
      <c r="L10" s="1" t="s">
        <v>485</v>
      </c>
      <c r="M10" s="1" t="s">
        <v>486</v>
      </c>
      <c r="N10" s="1" t="s">
        <v>434</v>
      </c>
      <c r="O10" s="1" t="s">
        <v>451</v>
      </c>
      <c r="P10" s="1" t="s">
        <v>427</v>
      </c>
      <c r="Q10" s="1" t="s">
        <v>321</v>
      </c>
      <c r="S10" s="1" t="s">
        <v>485</v>
      </c>
      <c r="T10" s="1" t="s">
        <v>486</v>
      </c>
      <c r="U10" s="1" t="s">
        <v>434</v>
      </c>
      <c r="V10" s="1" t="s">
        <v>451</v>
      </c>
      <c r="W10" s="1" t="s">
        <v>427</v>
      </c>
      <c r="X10" s="1" t="s">
        <v>321</v>
      </c>
      <c r="Y10" s="1" t="s">
        <v>60</v>
      </c>
      <c r="Z10" s="1" t="s">
        <v>337</v>
      </c>
      <c r="AA10" s="1" t="s">
        <v>487</v>
      </c>
      <c r="AB10" s="1" t="s">
        <v>488</v>
      </c>
      <c r="AC10" s="1" t="s">
        <v>489</v>
      </c>
      <c r="AD10" s="1" t="s">
        <v>323</v>
      </c>
      <c r="AE10" s="1" t="s">
        <v>490</v>
      </c>
      <c r="AF10" s="1" t="s">
        <v>491</v>
      </c>
      <c r="AG10" s="1" t="s">
        <v>492</v>
      </c>
      <c r="AL10" s="2" t="s">
        <v>485</v>
      </c>
      <c r="AM10" s="2" t="s">
        <v>493</v>
      </c>
      <c r="AN10" s="2" t="s">
        <v>494</v>
      </c>
      <c r="AO10" s="2" t="s">
        <v>495</v>
      </c>
      <c r="AP10" s="2" t="s">
        <v>426</v>
      </c>
      <c r="AQ10" s="2" t="s">
        <v>339</v>
      </c>
      <c r="AR10" s="2"/>
      <c r="AS10" s="2"/>
      <c r="AT10" s="6" t="s">
        <v>485</v>
      </c>
      <c r="AU10" s="8" t="s">
        <v>323</v>
      </c>
      <c r="AV10" s="8" t="s">
        <v>466</v>
      </c>
      <c r="AW10" s="6" t="s">
        <v>443</v>
      </c>
      <c r="AX10" s="8" t="s">
        <v>469</v>
      </c>
      <c r="AY10" s="7" t="s">
        <v>496</v>
      </c>
      <c r="AZ10" s="2"/>
      <c r="BC10" s="2"/>
    </row>
    <row r="11" spans="1:55" x14ac:dyDescent="0.5">
      <c r="G11" s="1" t="s">
        <v>380</v>
      </c>
      <c r="H11" s="1" t="s">
        <v>406</v>
      </c>
      <c r="I11" s="1" t="s">
        <v>497</v>
      </c>
      <c r="J11" s="1" t="s">
        <v>440</v>
      </c>
      <c r="L11" s="1" t="s">
        <v>434</v>
      </c>
      <c r="M11" s="1" t="s">
        <v>498</v>
      </c>
      <c r="N11" s="1" t="s">
        <v>499</v>
      </c>
      <c r="O11" s="1" t="s">
        <v>470</v>
      </c>
      <c r="P11" s="1" t="s">
        <v>442</v>
      </c>
      <c r="Q11" s="1" t="s">
        <v>500</v>
      </c>
      <c r="S11" s="1" t="s">
        <v>434</v>
      </c>
      <c r="T11" s="1" t="s">
        <v>498</v>
      </c>
      <c r="U11" s="1" t="s">
        <v>499</v>
      </c>
      <c r="V11" s="1" t="s">
        <v>470</v>
      </c>
      <c r="W11" s="1" t="s">
        <v>442</v>
      </c>
      <c r="X11" s="1" t="s">
        <v>500</v>
      </c>
      <c r="Y11" s="1" t="s">
        <v>56</v>
      </c>
      <c r="Z11" s="1" t="s">
        <v>392</v>
      </c>
      <c r="AA11" s="1" t="s">
        <v>501</v>
      </c>
      <c r="AB11" s="1" t="s">
        <v>337</v>
      </c>
      <c r="AC11" s="1" t="s">
        <v>502</v>
      </c>
      <c r="AD11" s="1" t="s">
        <v>503</v>
      </c>
      <c r="AE11" s="1" t="s">
        <v>469</v>
      </c>
      <c r="AF11" s="1" t="s">
        <v>504</v>
      </c>
      <c r="AG11" s="1" t="s">
        <v>505</v>
      </c>
      <c r="AL11" s="2" t="s">
        <v>506</v>
      </c>
      <c r="AM11" s="2" t="s">
        <v>507</v>
      </c>
      <c r="AN11" s="2" t="s">
        <v>434</v>
      </c>
      <c r="AO11" s="2" t="s">
        <v>436</v>
      </c>
      <c r="AP11" s="2" t="s">
        <v>436</v>
      </c>
      <c r="AQ11" s="2" t="s">
        <v>508</v>
      </c>
      <c r="AR11" s="2"/>
      <c r="AS11" s="2"/>
      <c r="AT11" s="5" t="s">
        <v>506</v>
      </c>
      <c r="AU11" s="5" t="s">
        <v>451</v>
      </c>
      <c r="AV11" s="7" t="s">
        <v>427</v>
      </c>
      <c r="AW11" s="7" t="s">
        <v>426</v>
      </c>
      <c r="AX11" s="8" t="s">
        <v>484</v>
      </c>
      <c r="AY11" s="7" t="s">
        <v>479</v>
      </c>
      <c r="AZ11" s="2"/>
      <c r="BC11" s="2"/>
    </row>
    <row r="12" spans="1:55" x14ac:dyDescent="0.5">
      <c r="G12" s="1" t="s">
        <v>394</v>
      </c>
      <c r="H12" s="1" t="s">
        <v>394</v>
      </c>
      <c r="I12" s="1" t="s">
        <v>394</v>
      </c>
      <c r="J12" s="1" t="s">
        <v>394</v>
      </c>
      <c r="L12" s="1" t="s">
        <v>509</v>
      </c>
      <c r="M12" s="1" t="s">
        <v>509</v>
      </c>
      <c r="N12" s="1" t="s">
        <v>460</v>
      </c>
      <c r="O12" s="1" t="s">
        <v>510</v>
      </c>
      <c r="P12" s="1" t="s">
        <v>511</v>
      </c>
      <c r="Q12" s="1" t="s">
        <v>427</v>
      </c>
      <c r="S12" s="1" t="s">
        <v>509</v>
      </c>
      <c r="T12" s="1" t="s">
        <v>509</v>
      </c>
      <c r="U12" s="1" t="s">
        <v>460</v>
      </c>
      <c r="V12" s="1" t="s">
        <v>510</v>
      </c>
      <c r="W12" s="1" t="s">
        <v>511</v>
      </c>
      <c r="X12" s="1" t="s">
        <v>427</v>
      </c>
      <c r="Y12" s="1" t="s">
        <v>428</v>
      </c>
      <c r="Z12" s="1" t="s">
        <v>512</v>
      </c>
      <c r="AA12" s="1" t="s">
        <v>513</v>
      </c>
      <c r="AB12" s="1" t="s">
        <v>514</v>
      </c>
      <c r="AC12" s="1" t="s">
        <v>91</v>
      </c>
      <c r="AD12" s="1" t="s">
        <v>480</v>
      </c>
      <c r="AE12" s="1" t="s">
        <v>515</v>
      </c>
      <c r="AF12" s="1" t="s">
        <v>516</v>
      </c>
      <c r="AG12" s="1" t="s">
        <v>517</v>
      </c>
      <c r="AL12" s="2" t="s">
        <v>518</v>
      </c>
      <c r="AM12" s="2" t="s">
        <v>519</v>
      </c>
      <c r="AN12" s="2" t="s">
        <v>58</v>
      </c>
      <c r="AO12" s="2" t="s">
        <v>520</v>
      </c>
      <c r="AP12" s="2" t="s">
        <v>521</v>
      </c>
      <c r="AQ12" s="2" t="s">
        <v>522</v>
      </c>
      <c r="AR12" s="2"/>
      <c r="AS12" s="2"/>
      <c r="AT12" s="6" t="s">
        <v>518</v>
      </c>
      <c r="AU12" s="7" t="s">
        <v>457</v>
      </c>
      <c r="AV12" s="8" t="s">
        <v>410</v>
      </c>
      <c r="AW12" s="8" t="s">
        <v>442</v>
      </c>
      <c r="AX12" s="7" t="s">
        <v>496</v>
      </c>
      <c r="AY12" s="8" t="s">
        <v>478</v>
      </c>
      <c r="AZ12" s="2"/>
      <c r="BC12" s="2"/>
    </row>
    <row r="13" spans="1:55" x14ac:dyDescent="0.5">
      <c r="G13" s="1" t="s">
        <v>395</v>
      </c>
      <c r="H13" s="1" t="s">
        <v>395</v>
      </c>
      <c r="I13" s="1" t="s">
        <v>395</v>
      </c>
      <c r="J13" s="1" t="s">
        <v>395</v>
      </c>
      <c r="L13" s="1" t="s">
        <v>518</v>
      </c>
      <c r="M13" s="1" t="s">
        <v>523</v>
      </c>
      <c r="N13" s="1" t="s">
        <v>524</v>
      </c>
      <c r="O13" s="1" t="s">
        <v>498</v>
      </c>
      <c r="P13" s="1" t="s">
        <v>525</v>
      </c>
      <c r="Q13" s="1" t="s">
        <v>526</v>
      </c>
      <c r="S13" s="1" t="s">
        <v>518</v>
      </c>
      <c r="T13" s="1" t="s">
        <v>523</v>
      </c>
      <c r="U13" s="1" t="s">
        <v>524</v>
      </c>
      <c r="V13" s="1" t="s">
        <v>498</v>
      </c>
      <c r="W13" s="1" t="s">
        <v>525</v>
      </c>
      <c r="X13" s="1" t="s">
        <v>526</v>
      </c>
      <c r="Y13" s="1" t="s">
        <v>527</v>
      </c>
      <c r="Z13" s="1" t="s">
        <v>528</v>
      </c>
      <c r="AA13" s="1" t="s">
        <v>331</v>
      </c>
      <c r="AB13" s="1" t="s">
        <v>529</v>
      </c>
      <c r="AC13" s="1" t="s">
        <v>421</v>
      </c>
      <c r="AD13" s="1" t="s">
        <v>530</v>
      </c>
      <c r="AE13" s="1" t="s">
        <v>531</v>
      </c>
      <c r="AF13" s="1" t="s">
        <v>327</v>
      </c>
      <c r="AG13" s="1" t="s">
        <v>530</v>
      </c>
      <c r="AL13" s="2" t="s">
        <v>532</v>
      </c>
      <c r="AM13" s="2" t="s">
        <v>533</v>
      </c>
      <c r="AN13" s="2" t="s">
        <v>431</v>
      </c>
      <c r="AO13" s="2" t="s">
        <v>534</v>
      </c>
      <c r="AP13" s="2" t="s">
        <v>442</v>
      </c>
      <c r="AQ13" s="2" t="s">
        <v>491</v>
      </c>
      <c r="AR13" s="2"/>
      <c r="AS13" s="2"/>
      <c r="AT13" s="5" t="s">
        <v>532</v>
      </c>
      <c r="AU13" s="8" t="s">
        <v>470</v>
      </c>
      <c r="AV13" s="8" t="s">
        <v>443</v>
      </c>
      <c r="AW13" s="7" t="s">
        <v>324</v>
      </c>
      <c r="AX13" s="8" t="s">
        <v>479</v>
      </c>
      <c r="AY13" s="7" t="s">
        <v>390</v>
      </c>
      <c r="AZ13" s="2"/>
      <c r="BC13" s="2"/>
    </row>
    <row r="14" spans="1:55" x14ac:dyDescent="0.5">
      <c r="G14" s="1" t="s">
        <v>396</v>
      </c>
      <c r="H14" s="1" t="s">
        <v>396</v>
      </c>
      <c r="I14" s="1" t="s">
        <v>396</v>
      </c>
      <c r="J14" s="1" t="s">
        <v>396</v>
      </c>
      <c r="L14" s="1" t="s">
        <v>535</v>
      </c>
      <c r="M14" s="1" t="s">
        <v>460</v>
      </c>
      <c r="N14" s="1" t="s">
        <v>329</v>
      </c>
      <c r="O14" s="1" t="s">
        <v>536</v>
      </c>
      <c r="P14" s="1" t="s">
        <v>481</v>
      </c>
      <c r="Q14" s="1" t="s">
        <v>537</v>
      </c>
      <c r="S14" s="1" t="s">
        <v>535</v>
      </c>
      <c r="T14" s="1" t="s">
        <v>460</v>
      </c>
      <c r="U14" s="1" t="s">
        <v>329</v>
      </c>
      <c r="V14" s="1" t="s">
        <v>536</v>
      </c>
      <c r="W14" s="1" t="s">
        <v>481</v>
      </c>
      <c r="X14" s="1" t="s">
        <v>537</v>
      </c>
      <c r="Y14" s="1" t="s">
        <v>538</v>
      </c>
      <c r="Z14" s="1" t="s">
        <v>535</v>
      </c>
      <c r="AA14" s="1" t="s">
        <v>539</v>
      </c>
      <c r="AB14" s="1" t="s">
        <v>540</v>
      </c>
      <c r="AC14" s="1" t="s">
        <v>541</v>
      </c>
      <c r="AD14" s="1" t="s">
        <v>542</v>
      </c>
      <c r="AE14" s="1" t="s">
        <v>543</v>
      </c>
      <c r="AF14" s="1" t="s">
        <v>499</v>
      </c>
      <c r="AG14" s="1" t="s">
        <v>542</v>
      </c>
      <c r="AL14" s="2" t="s">
        <v>544</v>
      </c>
      <c r="AM14" s="2" t="s">
        <v>545</v>
      </c>
      <c r="AN14" s="2" t="s">
        <v>518</v>
      </c>
      <c r="AO14" s="2" t="s">
        <v>546</v>
      </c>
      <c r="AP14" s="2" t="s">
        <v>471</v>
      </c>
      <c r="AQ14" s="2" t="s">
        <v>547</v>
      </c>
      <c r="AR14" s="2"/>
      <c r="AS14" s="2"/>
      <c r="AT14" s="6" t="s">
        <v>544</v>
      </c>
      <c r="AU14" s="7" t="s">
        <v>486</v>
      </c>
      <c r="AV14" s="6" t="s">
        <v>495</v>
      </c>
      <c r="AW14" s="5" t="s">
        <v>481</v>
      </c>
      <c r="AX14" s="8" t="s">
        <v>453</v>
      </c>
      <c r="AY14" s="7" t="s">
        <v>548</v>
      </c>
      <c r="AZ14" s="2"/>
      <c r="BC14" s="2"/>
    </row>
    <row r="15" spans="1:55" x14ac:dyDescent="0.5">
      <c r="G15" s="1" t="s">
        <v>397</v>
      </c>
      <c r="H15" s="1" t="s">
        <v>397</v>
      </c>
      <c r="I15" s="1" t="s">
        <v>397</v>
      </c>
      <c r="J15" s="1" t="s">
        <v>397</v>
      </c>
      <c r="L15" s="1" t="s">
        <v>532</v>
      </c>
      <c r="M15" s="1" t="s">
        <v>480</v>
      </c>
      <c r="N15" s="1" t="s">
        <v>431</v>
      </c>
      <c r="O15" s="1" t="s">
        <v>58</v>
      </c>
      <c r="P15" s="1" t="s">
        <v>471</v>
      </c>
      <c r="Q15" s="1" t="s">
        <v>418</v>
      </c>
      <c r="S15" s="1" t="s">
        <v>532</v>
      </c>
      <c r="T15" s="1" t="s">
        <v>480</v>
      </c>
      <c r="U15" s="1" t="s">
        <v>431</v>
      </c>
      <c r="V15" s="1" t="s">
        <v>58</v>
      </c>
      <c r="W15" s="1" t="s">
        <v>471</v>
      </c>
      <c r="X15" s="1" t="s">
        <v>418</v>
      </c>
      <c r="Y15" s="1" t="s">
        <v>388</v>
      </c>
      <c r="Z15" s="1" t="s">
        <v>324</v>
      </c>
      <c r="AA15" s="1" t="s">
        <v>549</v>
      </c>
      <c r="AB15" s="1" t="s">
        <v>324</v>
      </c>
      <c r="AC15" s="1" t="s">
        <v>332</v>
      </c>
      <c r="AD15" s="1" t="s">
        <v>550</v>
      </c>
      <c r="AE15" s="1" t="s">
        <v>484</v>
      </c>
      <c r="AF15" s="1" t="s">
        <v>472</v>
      </c>
      <c r="AG15" s="1" t="s">
        <v>524</v>
      </c>
      <c r="AL15" s="2" t="s">
        <v>551</v>
      </c>
      <c r="AM15" s="2" t="s">
        <v>552</v>
      </c>
      <c r="AN15" s="2" t="s">
        <v>91</v>
      </c>
      <c r="AO15" s="2" t="s">
        <v>553</v>
      </c>
      <c r="AP15" s="2" t="s">
        <v>554</v>
      </c>
      <c r="AQ15" s="2" t="s">
        <v>555</v>
      </c>
      <c r="AR15" s="2"/>
      <c r="AS15" s="2"/>
      <c r="AT15" s="5" t="s">
        <v>551</v>
      </c>
      <c r="AU15" s="8" t="s">
        <v>498</v>
      </c>
      <c r="AV15" s="7" t="s">
        <v>426</v>
      </c>
      <c r="AW15" s="8" t="s">
        <v>471</v>
      </c>
      <c r="AX15" s="8" t="s">
        <v>478</v>
      </c>
      <c r="AY15" s="7" t="s">
        <v>543</v>
      </c>
      <c r="AZ15" s="2"/>
      <c r="BC15" s="2"/>
    </row>
    <row r="16" spans="1:55" x14ac:dyDescent="0.5">
      <c r="G16" s="1" t="s">
        <v>398</v>
      </c>
      <c r="H16" s="1" t="s">
        <v>398</v>
      </c>
      <c r="I16" s="1" t="s">
        <v>398</v>
      </c>
      <c r="J16" s="1" t="s">
        <v>398</v>
      </c>
      <c r="L16" s="1" t="s">
        <v>331</v>
      </c>
      <c r="M16" s="1" t="s">
        <v>329</v>
      </c>
      <c r="N16" s="1" t="s">
        <v>556</v>
      </c>
      <c r="O16" s="1" t="s">
        <v>557</v>
      </c>
      <c r="P16" s="1" t="s">
        <v>558</v>
      </c>
      <c r="Q16" s="1" t="s">
        <v>511</v>
      </c>
      <c r="S16" s="1" t="s">
        <v>331</v>
      </c>
      <c r="T16" s="1" t="s">
        <v>329</v>
      </c>
      <c r="U16" s="1" t="s">
        <v>556</v>
      </c>
      <c r="V16" s="1" t="s">
        <v>557</v>
      </c>
      <c r="W16" s="1" t="s">
        <v>558</v>
      </c>
      <c r="X16" s="1" t="s">
        <v>511</v>
      </c>
      <c r="Y16" s="1" t="s">
        <v>559</v>
      </c>
      <c r="Z16" s="1" t="s">
        <v>328</v>
      </c>
      <c r="AA16" s="1" t="s">
        <v>560</v>
      </c>
      <c r="AB16" s="1" t="s">
        <v>387</v>
      </c>
      <c r="AC16" s="1" t="s">
        <v>561</v>
      </c>
      <c r="AD16" s="1" t="s">
        <v>562</v>
      </c>
      <c r="AE16" s="1" t="s">
        <v>496</v>
      </c>
      <c r="AF16" s="1" t="s">
        <v>563</v>
      </c>
      <c r="AG16" s="1" t="s">
        <v>553</v>
      </c>
      <c r="AL16" s="2" t="s">
        <v>475</v>
      </c>
      <c r="AM16" s="2" t="s">
        <v>564</v>
      </c>
      <c r="AN16" s="2" t="s">
        <v>535</v>
      </c>
      <c r="AO16" s="2" t="s">
        <v>565</v>
      </c>
      <c r="AP16" s="2" t="s">
        <v>558</v>
      </c>
      <c r="AQ16" s="2" t="s">
        <v>566</v>
      </c>
      <c r="AR16" s="2"/>
      <c r="AS16" s="2"/>
      <c r="AT16" s="6" t="s">
        <v>475</v>
      </c>
      <c r="AU16" s="6" t="s">
        <v>434</v>
      </c>
      <c r="AV16" s="7" t="s">
        <v>436</v>
      </c>
      <c r="AW16" s="5" t="s">
        <v>434</v>
      </c>
      <c r="AX16" s="8" t="s">
        <v>390</v>
      </c>
      <c r="AY16" s="7" t="s">
        <v>567</v>
      </c>
      <c r="AZ16" s="2"/>
      <c r="BC16" s="2"/>
    </row>
    <row r="17" spans="7:55" x14ac:dyDescent="0.5">
      <c r="G17" s="1" t="s">
        <v>399</v>
      </c>
      <c r="H17" s="1" t="s">
        <v>399</v>
      </c>
      <c r="I17" s="1" t="s">
        <v>399</v>
      </c>
      <c r="J17" s="1" t="s">
        <v>399</v>
      </c>
      <c r="L17" s="1" t="s">
        <v>568</v>
      </c>
      <c r="M17" s="1" t="s">
        <v>331</v>
      </c>
      <c r="N17" s="1" t="s">
        <v>518</v>
      </c>
      <c r="O17" s="1" t="s">
        <v>569</v>
      </c>
      <c r="P17" s="1" t="s">
        <v>570</v>
      </c>
      <c r="Q17" s="1" t="s">
        <v>525</v>
      </c>
      <c r="S17" s="1" t="s">
        <v>568</v>
      </c>
      <c r="T17" s="1" t="s">
        <v>331</v>
      </c>
      <c r="U17" s="1" t="s">
        <v>518</v>
      </c>
      <c r="V17" s="1" t="s">
        <v>569</v>
      </c>
      <c r="W17" s="1" t="s">
        <v>570</v>
      </c>
      <c r="X17" s="1" t="s">
        <v>525</v>
      </c>
      <c r="Y17" s="1" t="s">
        <v>336</v>
      </c>
      <c r="Z17" s="1" t="s">
        <v>477</v>
      </c>
      <c r="AA17" s="1" t="s">
        <v>571</v>
      </c>
      <c r="AB17" s="1" t="s">
        <v>572</v>
      </c>
      <c r="AC17" s="1" t="s">
        <v>478</v>
      </c>
      <c r="AD17" s="1" t="s">
        <v>573</v>
      </c>
      <c r="AE17" s="1" t="s">
        <v>574</v>
      </c>
      <c r="AF17" s="1" t="s">
        <v>575</v>
      </c>
      <c r="AG17" s="1" t="s">
        <v>443</v>
      </c>
      <c r="AL17" s="2" t="s">
        <v>576</v>
      </c>
      <c r="AM17" s="2" t="s">
        <v>577</v>
      </c>
      <c r="AN17" s="2" t="s">
        <v>578</v>
      </c>
      <c r="AO17" s="2" t="s">
        <v>518</v>
      </c>
      <c r="AP17" s="2" t="s">
        <v>470</v>
      </c>
      <c r="AQ17" s="2" t="s">
        <v>579</v>
      </c>
      <c r="AR17" s="2"/>
      <c r="AS17" s="2"/>
      <c r="AT17" s="5" t="s">
        <v>576</v>
      </c>
      <c r="AU17" s="7" t="s">
        <v>509</v>
      </c>
      <c r="AV17" s="8" t="s">
        <v>442</v>
      </c>
      <c r="AW17" s="6" t="s">
        <v>58</v>
      </c>
      <c r="AX17" s="8" t="s">
        <v>428</v>
      </c>
      <c r="AY17" s="7" t="s">
        <v>443</v>
      </c>
      <c r="AZ17" s="2"/>
      <c r="BC17" s="2"/>
    </row>
    <row r="18" spans="7:55" x14ac:dyDescent="0.5">
      <c r="L18" s="1" t="s">
        <v>580</v>
      </c>
      <c r="M18" s="1" t="s">
        <v>580</v>
      </c>
      <c r="N18" s="1" t="s">
        <v>581</v>
      </c>
      <c r="O18" s="1" t="s">
        <v>546</v>
      </c>
      <c r="P18" s="1" t="s">
        <v>536</v>
      </c>
      <c r="Q18" s="1" t="s">
        <v>582</v>
      </c>
      <c r="S18" s="1" t="s">
        <v>580</v>
      </c>
      <c r="T18" s="1" t="s">
        <v>580</v>
      </c>
      <c r="U18" s="1" t="s">
        <v>581</v>
      </c>
      <c r="V18" s="1" t="s">
        <v>546</v>
      </c>
      <c r="W18" s="1" t="s">
        <v>536</v>
      </c>
      <c r="X18" s="1" t="s">
        <v>582</v>
      </c>
      <c r="Y18" s="1" t="s">
        <v>583</v>
      </c>
      <c r="Z18" s="1" t="s">
        <v>489</v>
      </c>
      <c r="AA18" s="1" t="s">
        <v>477</v>
      </c>
      <c r="AB18" s="1" t="s">
        <v>442</v>
      </c>
      <c r="AC18" s="1" t="s">
        <v>531</v>
      </c>
      <c r="AD18" s="1" t="s">
        <v>456</v>
      </c>
      <c r="AE18" s="1" t="s">
        <v>584</v>
      </c>
      <c r="AF18" s="1" t="s">
        <v>102</v>
      </c>
      <c r="AG18" s="1" t="s">
        <v>585</v>
      </c>
      <c r="AL18" s="2" t="s">
        <v>586</v>
      </c>
      <c r="AM18" s="2" t="s">
        <v>84</v>
      </c>
      <c r="AN18" s="2" t="s">
        <v>587</v>
      </c>
      <c r="AO18" s="2" t="s">
        <v>501</v>
      </c>
      <c r="AP18" s="2" t="s">
        <v>498</v>
      </c>
      <c r="AQ18" s="2" t="s">
        <v>588</v>
      </c>
      <c r="AR18" s="2"/>
      <c r="AS18" s="2"/>
      <c r="AT18" s="6" t="s">
        <v>586</v>
      </c>
      <c r="AU18" s="8" t="s">
        <v>523</v>
      </c>
      <c r="AV18" s="7" t="s">
        <v>324</v>
      </c>
      <c r="AW18" s="5" t="s">
        <v>499</v>
      </c>
      <c r="AX18" s="8" t="s">
        <v>548</v>
      </c>
      <c r="AY18" s="7" t="s">
        <v>418</v>
      </c>
      <c r="AZ18" s="2"/>
      <c r="BC18" s="2"/>
    </row>
    <row r="19" spans="7:55" x14ac:dyDescent="0.5">
      <c r="G19" s="1" t="s">
        <v>381</v>
      </c>
      <c r="H19" s="1" t="s">
        <v>589</v>
      </c>
      <c r="I19" s="1" t="s">
        <v>423</v>
      </c>
      <c r="L19" s="1" t="s">
        <v>580</v>
      </c>
      <c r="M19" s="1" t="s">
        <v>519</v>
      </c>
      <c r="N19" s="1" t="s">
        <v>91</v>
      </c>
      <c r="O19" s="1" t="s">
        <v>563</v>
      </c>
      <c r="P19" s="1" t="s">
        <v>590</v>
      </c>
      <c r="Q19" s="1" t="s">
        <v>591</v>
      </c>
      <c r="S19" s="1" t="s">
        <v>580</v>
      </c>
      <c r="T19" s="1" t="s">
        <v>519</v>
      </c>
      <c r="U19" s="1" t="s">
        <v>91</v>
      </c>
      <c r="V19" s="1" t="s">
        <v>563</v>
      </c>
      <c r="W19" s="1" t="s">
        <v>590</v>
      </c>
      <c r="X19" s="1" t="s">
        <v>591</v>
      </c>
      <c r="Y19" s="1" t="s">
        <v>592</v>
      </c>
      <c r="Z19" s="1" t="s">
        <v>580</v>
      </c>
      <c r="AA19" s="1" t="s">
        <v>593</v>
      </c>
      <c r="AB19" s="1" t="s">
        <v>594</v>
      </c>
      <c r="AC19" s="1" t="s">
        <v>515</v>
      </c>
      <c r="AD19" s="1" t="s">
        <v>595</v>
      </c>
      <c r="AE19" s="1" t="s">
        <v>596</v>
      </c>
      <c r="AF19" s="1" t="s">
        <v>597</v>
      </c>
      <c r="AG19" s="1" t="s">
        <v>340</v>
      </c>
      <c r="AL19" s="2" t="s">
        <v>598</v>
      </c>
      <c r="AM19" s="2" t="s">
        <v>586</v>
      </c>
      <c r="AN19" s="2" t="s">
        <v>102</v>
      </c>
      <c r="AO19" s="2" t="s">
        <v>599</v>
      </c>
      <c r="AP19" s="2" t="s">
        <v>570</v>
      </c>
      <c r="AQ19" s="2" t="s">
        <v>600</v>
      </c>
      <c r="AR19" s="2"/>
      <c r="AS19" s="2"/>
      <c r="AT19" s="5" t="s">
        <v>598</v>
      </c>
      <c r="AU19" s="7" t="s">
        <v>460</v>
      </c>
      <c r="AV19" s="8" t="s">
        <v>472</v>
      </c>
      <c r="AW19" s="5" t="s">
        <v>460</v>
      </c>
      <c r="AX19" s="7" t="s">
        <v>543</v>
      </c>
      <c r="AY19" s="7" t="s">
        <v>465</v>
      </c>
      <c r="AZ19" s="2"/>
      <c r="BC19" s="2"/>
    </row>
    <row r="20" spans="7:55" x14ac:dyDescent="0.5">
      <c r="G20" s="1" t="s">
        <v>400</v>
      </c>
      <c r="H20" s="1" t="s">
        <v>400</v>
      </c>
      <c r="I20" s="1" t="s">
        <v>400</v>
      </c>
      <c r="L20" s="1" t="s">
        <v>601</v>
      </c>
      <c r="M20" s="1" t="s">
        <v>602</v>
      </c>
      <c r="N20" s="1" t="s">
        <v>507</v>
      </c>
      <c r="O20" s="1" t="s">
        <v>524</v>
      </c>
      <c r="P20" s="1" t="s">
        <v>58</v>
      </c>
      <c r="Q20" s="1" t="s">
        <v>603</v>
      </c>
      <c r="S20" s="1" t="s">
        <v>601</v>
      </c>
      <c r="T20" s="1" t="s">
        <v>602</v>
      </c>
      <c r="U20" s="1" t="s">
        <v>507</v>
      </c>
      <c r="V20" s="1" t="s">
        <v>524</v>
      </c>
      <c r="W20" s="1" t="s">
        <v>58</v>
      </c>
      <c r="X20" s="1" t="s">
        <v>603</v>
      </c>
      <c r="Y20" s="1" t="s">
        <v>604</v>
      </c>
      <c r="Z20" s="1" t="s">
        <v>605</v>
      </c>
      <c r="AA20" s="1" t="s">
        <v>606</v>
      </c>
      <c r="AB20" s="1" t="s">
        <v>579</v>
      </c>
      <c r="AC20" s="1" t="s">
        <v>607</v>
      </c>
      <c r="AD20" s="1" t="s">
        <v>608</v>
      </c>
      <c r="AE20" s="1" t="s">
        <v>567</v>
      </c>
      <c r="AF20" s="1" t="s">
        <v>334</v>
      </c>
      <c r="AG20" s="1" t="s">
        <v>567</v>
      </c>
      <c r="AL20" s="2" t="s">
        <v>609</v>
      </c>
      <c r="AM20" s="2" t="s">
        <v>609</v>
      </c>
      <c r="AN20" s="2" t="s">
        <v>84</v>
      </c>
      <c r="AO20" s="2" t="s">
        <v>331</v>
      </c>
      <c r="AP20" s="2" t="s">
        <v>536</v>
      </c>
      <c r="AQ20" s="2" t="s">
        <v>347</v>
      </c>
      <c r="AR20" s="2"/>
      <c r="AS20" s="2"/>
      <c r="AT20" s="6" t="s">
        <v>609</v>
      </c>
      <c r="AU20" s="5" t="s">
        <v>480</v>
      </c>
      <c r="AV20" s="8" t="s">
        <v>471</v>
      </c>
      <c r="AW20" s="5" t="s">
        <v>524</v>
      </c>
      <c r="AX20" s="7" t="s">
        <v>567</v>
      </c>
      <c r="AY20" s="7" t="s">
        <v>490</v>
      </c>
      <c r="AZ20" s="2"/>
      <c r="BC20" s="2"/>
    </row>
    <row r="21" spans="7:55" x14ac:dyDescent="0.5">
      <c r="G21" s="1" t="s">
        <v>401</v>
      </c>
      <c r="H21" s="1" t="s">
        <v>401</v>
      </c>
      <c r="I21" s="1" t="s">
        <v>401</v>
      </c>
      <c r="L21" s="1" t="s">
        <v>337</v>
      </c>
      <c r="M21" s="1" t="s">
        <v>533</v>
      </c>
      <c r="N21" s="1" t="s">
        <v>515</v>
      </c>
      <c r="O21" s="1" t="s">
        <v>553</v>
      </c>
      <c r="P21" s="1" t="s">
        <v>509</v>
      </c>
      <c r="Q21" s="1" t="s">
        <v>610</v>
      </c>
      <c r="S21" s="1" t="s">
        <v>337</v>
      </c>
      <c r="T21" s="1" t="s">
        <v>533</v>
      </c>
      <c r="U21" s="1" t="s">
        <v>515</v>
      </c>
      <c r="V21" s="1" t="s">
        <v>553</v>
      </c>
      <c r="W21" s="1" t="s">
        <v>509</v>
      </c>
      <c r="X21" s="1" t="s">
        <v>610</v>
      </c>
      <c r="Y21" s="1" t="s">
        <v>471</v>
      </c>
      <c r="Z21" s="1" t="s">
        <v>611</v>
      </c>
      <c r="AA21" s="1" t="s">
        <v>612</v>
      </c>
      <c r="AB21" s="1" t="s">
        <v>613</v>
      </c>
      <c r="AC21" s="1" t="s">
        <v>614</v>
      </c>
      <c r="AD21" s="1" t="s">
        <v>615</v>
      </c>
      <c r="AE21" s="1" t="s">
        <v>548</v>
      </c>
      <c r="AF21" s="1" t="s">
        <v>428</v>
      </c>
      <c r="AG21" s="1" t="s">
        <v>616</v>
      </c>
      <c r="AL21" s="2" t="s">
        <v>617</v>
      </c>
      <c r="AM21" s="2" t="s">
        <v>618</v>
      </c>
      <c r="AN21" s="2" t="s">
        <v>571</v>
      </c>
      <c r="AO21" s="2" t="s">
        <v>580</v>
      </c>
      <c r="AP21" s="2" t="s">
        <v>504</v>
      </c>
      <c r="AQ21" s="2" t="s">
        <v>619</v>
      </c>
      <c r="AR21" s="2"/>
      <c r="AS21" s="2"/>
      <c r="AT21" s="5" t="s">
        <v>617</v>
      </c>
      <c r="AU21" s="7" t="s">
        <v>329</v>
      </c>
      <c r="AV21" s="7" t="s">
        <v>451</v>
      </c>
      <c r="AW21" s="5" t="s">
        <v>329</v>
      </c>
      <c r="AX21" s="8" t="s">
        <v>620</v>
      </c>
      <c r="AY21" s="7" t="s">
        <v>324</v>
      </c>
      <c r="AZ21" s="2"/>
      <c r="BC21" s="2"/>
    </row>
    <row r="22" spans="7:55" x14ac:dyDescent="0.5">
      <c r="G22" s="1" t="s">
        <v>402</v>
      </c>
      <c r="H22" s="1" t="s">
        <v>402</v>
      </c>
      <c r="I22" s="1" t="s">
        <v>402</v>
      </c>
      <c r="L22" s="1" t="s">
        <v>102</v>
      </c>
      <c r="M22" s="1" t="s">
        <v>392</v>
      </c>
      <c r="N22" s="1" t="s">
        <v>621</v>
      </c>
      <c r="O22" s="1" t="s">
        <v>621</v>
      </c>
      <c r="P22" s="1" t="s">
        <v>622</v>
      </c>
      <c r="Q22" s="1" t="s">
        <v>623</v>
      </c>
      <c r="S22" s="1" t="s">
        <v>102</v>
      </c>
      <c r="T22" s="1" t="s">
        <v>392</v>
      </c>
      <c r="U22" s="1" t="s">
        <v>621</v>
      </c>
      <c r="V22" s="1" t="s">
        <v>621</v>
      </c>
      <c r="W22" s="1" t="s">
        <v>622</v>
      </c>
      <c r="X22" s="1" t="s">
        <v>623</v>
      </c>
      <c r="Y22" s="1" t="s">
        <v>624</v>
      </c>
      <c r="Z22" s="1" t="s">
        <v>533</v>
      </c>
      <c r="AA22" s="1" t="s">
        <v>565</v>
      </c>
      <c r="AB22" s="1" t="s">
        <v>513</v>
      </c>
      <c r="AC22" s="1" t="s">
        <v>625</v>
      </c>
      <c r="AD22" s="1" t="s">
        <v>344</v>
      </c>
      <c r="AE22" s="1" t="s">
        <v>626</v>
      </c>
      <c r="AF22" s="1" t="s">
        <v>607</v>
      </c>
      <c r="AG22" s="1" t="s">
        <v>627</v>
      </c>
      <c r="AL22" s="2" t="s">
        <v>628</v>
      </c>
      <c r="AM22" s="2" t="s">
        <v>629</v>
      </c>
      <c r="AN22" s="2" t="s">
        <v>527</v>
      </c>
      <c r="AO22" s="2" t="s">
        <v>564</v>
      </c>
      <c r="AP22" s="2" t="s">
        <v>434</v>
      </c>
      <c r="AT22" s="5" t="s">
        <v>618</v>
      </c>
      <c r="AU22" s="7" t="s">
        <v>493</v>
      </c>
      <c r="AV22" s="8" t="s">
        <v>520</v>
      </c>
      <c r="AW22" s="5" t="s">
        <v>431</v>
      </c>
      <c r="AX22" s="8" t="s">
        <v>443</v>
      </c>
      <c r="AY22" s="7" t="s">
        <v>481</v>
      </c>
    </row>
    <row r="23" spans="7:55" x14ac:dyDescent="0.5">
      <c r="G23" s="1" t="s">
        <v>403</v>
      </c>
      <c r="H23" s="1" t="s">
        <v>403</v>
      </c>
      <c r="I23" s="1" t="s">
        <v>403</v>
      </c>
      <c r="L23" s="1" t="s">
        <v>552</v>
      </c>
      <c r="M23" s="1" t="s">
        <v>545</v>
      </c>
      <c r="N23" s="1" t="s">
        <v>621</v>
      </c>
      <c r="O23" s="1" t="s">
        <v>580</v>
      </c>
      <c r="P23" s="1" t="s">
        <v>328</v>
      </c>
      <c r="Q23" s="1" t="s">
        <v>470</v>
      </c>
      <c r="S23" s="1" t="s">
        <v>552</v>
      </c>
      <c r="T23" s="1" t="s">
        <v>545</v>
      </c>
      <c r="U23" s="1" t="s">
        <v>621</v>
      </c>
      <c r="V23" s="1" t="s">
        <v>580</v>
      </c>
      <c r="W23" s="1" t="s">
        <v>328</v>
      </c>
      <c r="X23" s="1" t="s">
        <v>470</v>
      </c>
      <c r="Y23" s="1" t="s">
        <v>337</v>
      </c>
      <c r="Z23" s="1" t="s">
        <v>630</v>
      </c>
      <c r="AA23" s="1" t="s">
        <v>631</v>
      </c>
      <c r="AB23" s="1" t="s">
        <v>487</v>
      </c>
      <c r="AC23" s="1" t="s">
        <v>632</v>
      </c>
      <c r="AD23" s="1" t="s">
        <v>559</v>
      </c>
      <c r="AE23" s="1" t="s">
        <v>518</v>
      </c>
      <c r="AF23" s="1" t="s">
        <v>510</v>
      </c>
      <c r="AG23" s="1" t="s">
        <v>633</v>
      </c>
      <c r="AL23" s="2" t="s">
        <v>573</v>
      </c>
      <c r="AM23" s="2" t="s">
        <v>607</v>
      </c>
      <c r="AN23" s="2" t="s">
        <v>341</v>
      </c>
      <c r="AO23" s="2" t="s">
        <v>634</v>
      </c>
      <c r="AP23" s="2" t="s">
        <v>635</v>
      </c>
      <c r="AT23" s="6" t="s">
        <v>628</v>
      </c>
      <c r="AU23" s="7" t="s">
        <v>507</v>
      </c>
      <c r="AV23" s="8" t="s">
        <v>470</v>
      </c>
      <c r="AW23" s="7" t="s">
        <v>556</v>
      </c>
      <c r="AX23" s="7" t="s">
        <v>418</v>
      </c>
      <c r="AY23" s="7" t="s">
        <v>472</v>
      </c>
    </row>
    <row r="24" spans="7:55" x14ac:dyDescent="0.5">
      <c r="G24" s="1" t="s">
        <v>404</v>
      </c>
      <c r="H24" s="1" t="s">
        <v>404</v>
      </c>
      <c r="I24" s="1" t="s">
        <v>404</v>
      </c>
      <c r="L24" s="1" t="s">
        <v>551</v>
      </c>
      <c r="M24" s="1" t="s">
        <v>337</v>
      </c>
      <c r="N24" s="1" t="s">
        <v>332</v>
      </c>
      <c r="O24" s="1" t="s">
        <v>636</v>
      </c>
      <c r="P24" s="1" t="s">
        <v>329</v>
      </c>
      <c r="Q24" s="1" t="s">
        <v>510</v>
      </c>
      <c r="S24" s="1" t="s">
        <v>551</v>
      </c>
      <c r="T24" s="1" t="s">
        <v>337</v>
      </c>
      <c r="U24" s="1" t="s">
        <v>332</v>
      </c>
      <c r="V24" s="1" t="s">
        <v>636</v>
      </c>
      <c r="W24" s="1" t="s">
        <v>329</v>
      </c>
      <c r="X24" s="1" t="s">
        <v>510</v>
      </c>
      <c r="Y24" s="1" t="s">
        <v>474</v>
      </c>
      <c r="Z24" s="1" t="s">
        <v>386</v>
      </c>
      <c r="AA24" s="1" t="s">
        <v>637</v>
      </c>
      <c r="AB24" s="1" t="s">
        <v>605</v>
      </c>
      <c r="AC24" s="1" t="s">
        <v>567</v>
      </c>
      <c r="AD24" s="1" t="s">
        <v>638</v>
      </c>
      <c r="AE24" s="1" t="s">
        <v>638</v>
      </c>
      <c r="AF24" s="1" t="s">
        <v>94</v>
      </c>
      <c r="AG24" s="1" t="s">
        <v>540</v>
      </c>
      <c r="AL24" s="2" t="s">
        <v>597</v>
      </c>
      <c r="AM24" s="2" t="s">
        <v>94</v>
      </c>
      <c r="AN24" s="2" t="s">
        <v>639</v>
      </c>
      <c r="AO24" s="2" t="s">
        <v>640</v>
      </c>
      <c r="AP24" s="2" t="s">
        <v>329</v>
      </c>
      <c r="AT24" s="5" t="s">
        <v>573</v>
      </c>
      <c r="AU24" s="7" t="s">
        <v>331</v>
      </c>
      <c r="AV24" s="7" t="s">
        <v>510</v>
      </c>
      <c r="AW24" s="6" t="s">
        <v>518</v>
      </c>
      <c r="AX24" s="7" t="s">
        <v>542</v>
      </c>
      <c r="AY24" s="7" t="s">
        <v>641</v>
      </c>
    </row>
    <row r="25" spans="7:55" x14ac:dyDescent="0.5">
      <c r="G25" s="1" t="s">
        <v>642</v>
      </c>
      <c r="H25" s="1" t="s">
        <v>642</v>
      </c>
      <c r="I25" s="1" t="s">
        <v>642</v>
      </c>
      <c r="L25" s="1" t="s">
        <v>643</v>
      </c>
      <c r="M25" s="1" t="s">
        <v>102</v>
      </c>
      <c r="N25" s="1" t="s">
        <v>636</v>
      </c>
      <c r="O25" s="1" t="s">
        <v>634</v>
      </c>
      <c r="P25" s="1" t="s">
        <v>633</v>
      </c>
      <c r="Q25" s="1" t="s">
        <v>644</v>
      </c>
      <c r="S25" s="1" t="s">
        <v>643</v>
      </c>
      <c r="T25" s="1" t="s">
        <v>102</v>
      </c>
      <c r="U25" s="1" t="s">
        <v>636</v>
      </c>
      <c r="V25" s="1" t="s">
        <v>634</v>
      </c>
      <c r="W25" s="1" t="s">
        <v>633</v>
      </c>
      <c r="X25" s="1" t="s">
        <v>644</v>
      </c>
      <c r="Y25" s="1" t="s">
        <v>645</v>
      </c>
      <c r="Z25" s="1" t="s">
        <v>646</v>
      </c>
      <c r="AA25" s="1" t="s">
        <v>647</v>
      </c>
      <c r="AB25" s="1" t="s">
        <v>648</v>
      </c>
      <c r="AC25" s="1" t="s">
        <v>616</v>
      </c>
      <c r="AD25" s="1" t="s">
        <v>518</v>
      </c>
      <c r="AE25" s="1" t="s">
        <v>649</v>
      </c>
      <c r="AF25" s="1" t="s">
        <v>481</v>
      </c>
      <c r="AG25" s="1" t="s">
        <v>453</v>
      </c>
      <c r="AL25" s="2" t="s">
        <v>94</v>
      </c>
      <c r="AM25" s="2" t="s">
        <v>415</v>
      </c>
      <c r="AN25" s="2" t="s">
        <v>344</v>
      </c>
      <c r="AO25" s="2" t="s">
        <v>650</v>
      </c>
      <c r="AP25" s="2" t="s">
        <v>515</v>
      </c>
      <c r="AT25" s="6" t="s">
        <v>597</v>
      </c>
      <c r="AU25" s="7" t="s">
        <v>580</v>
      </c>
      <c r="AV25" s="8" t="s">
        <v>498</v>
      </c>
      <c r="AW25" s="7" t="s">
        <v>581</v>
      </c>
      <c r="AX25" s="7" t="s">
        <v>651</v>
      </c>
      <c r="AY25" s="7" t="s">
        <v>517</v>
      </c>
    </row>
    <row r="26" spans="7:55" x14ac:dyDescent="0.5">
      <c r="L26" s="1" t="s">
        <v>598</v>
      </c>
      <c r="M26" s="1" t="s">
        <v>652</v>
      </c>
      <c r="N26" s="1" t="s">
        <v>552</v>
      </c>
      <c r="O26" s="1" t="s">
        <v>653</v>
      </c>
      <c r="P26" s="1" t="s">
        <v>592</v>
      </c>
      <c r="Q26" s="1" t="s">
        <v>498</v>
      </c>
      <c r="S26" s="1" t="s">
        <v>598</v>
      </c>
      <c r="T26" s="1" t="s">
        <v>652</v>
      </c>
      <c r="U26" s="1" t="s">
        <v>552</v>
      </c>
      <c r="V26" s="1" t="s">
        <v>653</v>
      </c>
      <c r="W26" s="1" t="s">
        <v>592</v>
      </c>
      <c r="X26" s="1" t="s">
        <v>498</v>
      </c>
      <c r="Y26" s="1" t="s">
        <v>482</v>
      </c>
      <c r="Z26" s="1" t="s">
        <v>428</v>
      </c>
      <c r="AA26" s="1" t="s">
        <v>430</v>
      </c>
      <c r="AB26" s="1" t="s">
        <v>654</v>
      </c>
      <c r="AC26" s="1" t="s">
        <v>655</v>
      </c>
      <c r="AD26" s="1" t="s">
        <v>649</v>
      </c>
      <c r="AE26" s="1" t="s">
        <v>418</v>
      </c>
      <c r="AF26" s="1" t="s">
        <v>656</v>
      </c>
      <c r="AG26" s="1" t="s">
        <v>657</v>
      </c>
      <c r="AL26" s="2" t="s">
        <v>94</v>
      </c>
      <c r="AM26" s="2" t="s">
        <v>658</v>
      </c>
      <c r="AN26" s="2" t="s">
        <v>415</v>
      </c>
      <c r="AO26" s="2" t="s">
        <v>609</v>
      </c>
      <c r="AP26" s="2" t="s">
        <v>332</v>
      </c>
      <c r="AT26" s="5" t="s">
        <v>94</v>
      </c>
      <c r="AU26" s="7" t="s">
        <v>519</v>
      </c>
      <c r="AV26" s="7" t="s">
        <v>536</v>
      </c>
      <c r="AW26" s="8" t="s">
        <v>91</v>
      </c>
      <c r="AX26" s="7" t="s">
        <v>465</v>
      </c>
      <c r="AY26" s="7" t="s">
        <v>510</v>
      </c>
    </row>
    <row r="27" spans="7:55" x14ac:dyDescent="0.5">
      <c r="L27" s="1" t="s">
        <v>659</v>
      </c>
      <c r="M27" s="1" t="s">
        <v>564</v>
      </c>
      <c r="N27" s="1" t="s">
        <v>652</v>
      </c>
      <c r="O27" s="1" t="s">
        <v>640</v>
      </c>
      <c r="P27" s="1" t="s">
        <v>532</v>
      </c>
      <c r="Q27" s="1" t="s">
        <v>570</v>
      </c>
      <c r="S27" s="1" t="s">
        <v>659</v>
      </c>
      <c r="T27" s="1" t="s">
        <v>564</v>
      </c>
      <c r="U27" s="1" t="s">
        <v>652</v>
      </c>
      <c r="V27" s="1" t="s">
        <v>640</v>
      </c>
      <c r="W27" s="1" t="s">
        <v>532</v>
      </c>
      <c r="X27" s="1" t="s">
        <v>570</v>
      </c>
      <c r="Y27" s="1" t="s">
        <v>430</v>
      </c>
      <c r="Z27" s="1" t="s">
        <v>468</v>
      </c>
      <c r="AA27" s="1" t="s">
        <v>386</v>
      </c>
      <c r="AB27" s="1" t="s">
        <v>477</v>
      </c>
      <c r="AC27" s="1" t="s">
        <v>518</v>
      </c>
      <c r="AD27" s="1" t="s">
        <v>418</v>
      </c>
      <c r="AE27" s="1" t="s">
        <v>660</v>
      </c>
      <c r="AF27" s="1" t="s">
        <v>661</v>
      </c>
      <c r="AG27" s="1" t="s">
        <v>350</v>
      </c>
      <c r="AL27" s="2" t="s">
        <v>662</v>
      </c>
      <c r="AM27" s="2" t="s">
        <v>529</v>
      </c>
      <c r="AN27" s="2" t="s">
        <v>638</v>
      </c>
      <c r="AO27" s="2" t="s">
        <v>538</v>
      </c>
      <c r="AP27" s="2" t="s">
        <v>636</v>
      </c>
      <c r="AT27" s="10" t="s">
        <v>662</v>
      </c>
      <c r="AU27" s="7" t="s">
        <v>602</v>
      </c>
      <c r="AV27" s="7" t="s">
        <v>434</v>
      </c>
      <c r="AW27" s="6" t="s">
        <v>535</v>
      </c>
      <c r="AX27" s="8" t="s">
        <v>449</v>
      </c>
      <c r="AY27" s="7" t="s">
        <v>596</v>
      </c>
    </row>
    <row r="28" spans="7:55" x14ac:dyDescent="0.5">
      <c r="L28" s="1" t="s">
        <v>609</v>
      </c>
      <c r="M28" s="1" t="s">
        <v>84</v>
      </c>
      <c r="N28" s="1" t="s">
        <v>84</v>
      </c>
      <c r="O28" s="1" t="s">
        <v>551</v>
      </c>
      <c r="P28" s="1" t="s">
        <v>331</v>
      </c>
      <c r="Q28" s="1" t="s">
        <v>536</v>
      </c>
      <c r="S28" s="1" t="s">
        <v>609</v>
      </c>
      <c r="T28" s="1" t="s">
        <v>84</v>
      </c>
      <c r="U28" s="1" t="s">
        <v>84</v>
      </c>
      <c r="V28" s="1" t="s">
        <v>551</v>
      </c>
      <c r="W28" s="1" t="s">
        <v>331</v>
      </c>
      <c r="X28" s="1" t="s">
        <v>536</v>
      </c>
      <c r="Y28" s="1" t="s">
        <v>347</v>
      </c>
      <c r="Z28" s="1" t="s">
        <v>571</v>
      </c>
      <c r="AA28" s="1" t="s">
        <v>663</v>
      </c>
      <c r="AB28" s="1" t="s">
        <v>664</v>
      </c>
      <c r="AC28" s="1" t="s">
        <v>649</v>
      </c>
      <c r="AD28" s="1" t="s">
        <v>665</v>
      </c>
      <c r="AE28" s="1" t="s">
        <v>666</v>
      </c>
      <c r="AF28" s="1" t="s">
        <v>667</v>
      </c>
      <c r="AG28" s="1" t="s">
        <v>641</v>
      </c>
      <c r="AL28" s="2"/>
      <c r="AM28" s="2"/>
      <c r="AN28" s="2" t="s">
        <v>668</v>
      </c>
      <c r="AO28" s="2" t="s">
        <v>607</v>
      </c>
      <c r="AP28" s="2" t="s">
        <v>519</v>
      </c>
      <c r="AT28" s="10"/>
      <c r="AU28" s="7" t="s">
        <v>533</v>
      </c>
      <c r="AV28" s="8" t="s">
        <v>58</v>
      </c>
      <c r="AW28" s="5" t="s">
        <v>578</v>
      </c>
      <c r="AX28" s="7" t="s">
        <v>490</v>
      </c>
      <c r="AY28" s="7" t="s">
        <v>627</v>
      </c>
    </row>
    <row r="29" spans="7:55" x14ac:dyDescent="0.5">
      <c r="L29" s="1" t="s">
        <v>669</v>
      </c>
      <c r="M29" s="1" t="s">
        <v>653</v>
      </c>
      <c r="N29" s="1" t="s">
        <v>640</v>
      </c>
      <c r="O29" s="1" t="s">
        <v>593</v>
      </c>
      <c r="P29" s="1" t="s">
        <v>670</v>
      </c>
      <c r="Q29" s="1" t="s">
        <v>504</v>
      </c>
      <c r="S29" s="1" t="s">
        <v>669</v>
      </c>
      <c r="T29" s="1" t="s">
        <v>653</v>
      </c>
      <c r="U29" s="1" t="s">
        <v>640</v>
      </c>
      <c r="V29" s="1" t="s">
        <v>593</v>
      </c>
      <c r="W29" s="1" t="s">
        <v>670</v>
      </c>
      <c r="X29" s="1" t="s">
        <v>504</v>
      </c>
      <c r="Y29" s="1" t="s">
        <v>671</v>
      </c>
      <c r="Z29" s="1" t="s">
        <v>672</v>
      </c>
      <c r="AA29" s="1" t="s">
        <v>672</v>
      </c>
      <c r="AB29" s="1" t="s">
        <v>673</v>
      </c>
      <c r="AC29" s="1" t="s">
        <v>638</v>
      </c>
      <c r="AD29" s="1" t="s">
        <v>674</v>
      </c>
      <c r="AE29" s="1" t="s">
        <v>592</v>
      </c>
      <c r="AF29" s="1" t="s">
        <v>523</v>
      </c>
      <c r="AG29" s="1" t="s">
        <v>610</v>
      </c>
      <c r="AL29" s="2"/>
      <c r="AN29" s="2" t="s">
        <v>675</v>
      </c>
      <c r="AO29" s="2" t="s">
        <v>676</v>
      </c>
      <c r="AP29" s="2" t="s">
        <v>677</v>
      </c>
      <c r="AU29" s="7" t="s">
        <v>392</v>
      </c>
      <c r="AV29" s="7" t="s">
        <v>534</v>
      </c>
      <c r="AW29" s="7" t="s">
        <v>507</v>
      </c>
      <c r="AX29" s="7" t="s">
        <v>324</v>
      </c>
      <c r="AY29" s="7" t="s">
        <v>504</v>
      </c>
    </row>
    <row r="30" spans="7:55" x14ac:dyDescent="0.5">
      <c r="L30" s="1" t="s">
        <v>538</v>
      </c>
      <c r="M30" s="1" t="s">
        <v>475</v>
      </c>
      <c r="N30" s="1" t="s">
        <v>551</v>
      </c>
      <c r="O30" s="1" t="s">
        <v>341</v>
      </c>
      <c r="P30" s="1" t="s">
        <v>678</v>
      </c>
      <c r="Q30" s="1" t="s">
        <v>504</v>
      </c>
      <c r="S30" s="1" t="s">
        <v>538</v>
      </c>
      <c r="T30" s="1" t="s">
        <v>475</v>
      </c>
      <c r="U30" s="1" t="s">
        <v>551</v>
      </c>
      <c r="V30" s="1" t="s">
        <v>341</v>
      </c>
      <c r="W30" s="1" t="s">
        <v>678</v>
      </c>
      <c r="X30" s="1" t="s">
        <v>504</v>
      </c>
      <c r="Y30" s="1" t="s">
        <v>350</v>
      </c>
      <c r="Z30" s="1" t="s">
        <v>102</v>
      </c>
      <c r="AA30" s="1" t="s">
        <v>336</v>
      </c>
      <c r="AB30" s="1" t="s">
        <v>53</v>
      </c>
      <c r="AC30" s="1" t="s">
        <v>679</v>
      </c>
      <c r="AD30" s="1" t="s">
        <v>652</v>
      </c>
      <c r="AE30" s="1" t="s">
        <v>340</v>
      </c>
      <c r="AL30" s="2"/>
      <c r="AN30" s="2" t="s">
        <v>666</v>
      </c>
      <c r="AO30" s="2" t="s">
        <v>680</v>
      </c>
      <c r="AP30" s="2" t="s">
        <v>334</v>
      </c>
      <c r="AU30" s="7" t="s">
        <v>545</v>
      </c>
      <c r="AV30" s="7" t="s">
        <v>557</v>
      </c>
      <c r="AW30" s="8" t="s">
        <v>515</v>
      </c>
      <c r="AX30" s="8" t="s">
        <v>481</v>
      </c>
      <c r="AY30" s="7" t="s">
        <v>499</v>
      </c>
    </row>
    <row r="31" spans="7:55" x14ac:dyDescent="0.5">
      <c r="L31" s="1" t="s">
        <v>527</v>
      </c>
      <c r="M31" s="1" t="s">
        <v>608</v>
      </c>
      <c r="N31" s="1" t="s">
        <v>571</v>
      </c>
      <c r="O31" s="1" t="s">
        <v>607</v>
      </c>
      <c r="P31" s="1" t="s">
        <v>334</v>
      </c>
      <c r="Q31" s="1" t="s">
        <v>499</v>
      </c>
      <c r="S31" s="1" t="s">
        <v>527</v>
      </c>
      <c r="T31" s="1" t="s">
        <v>608</v>
      </c>
      <c r="U31" s="1" t="s">
        <v>571</v>
      </c>
      <c r="V31" s="1" t="s">
        <v>607</v>
      </c>
      <c r="W31" s="1" t="s">
        <v>334</v>
      </c>
      <c r="X31" s="1" t="s">
        <v>499</v>
      </c>
      <c r="Y31" s="1" t="s">
        <v>610</v>
      </c>
      <c r="Z31" s="1" t="s">
        <v>634</v>
      </c>
      <c r="AA31" s="1" t="s">
        <v>393</v>
      </c>
      <c r="AB31" s="1" t="s">
        <v>681</v>
      </c>
      <c r="AC31" s="1" t="s">
        <v>682</v>
      </c>
      <c r="AD31" s="1" t="s">
        <v>553</v>
      </c>
      <c r="AE31" s="1" t="s">
        <v>620</v>
      </c>
      <c r="AL31" s="2"/>
      <c r="AN31" s="2" t="s">
        <v>348</v>
      </c>
      <c r="AO31" s="2" t="s">
        <v>683</v>
      </c>
      <c r="AP31" s="2" t="s">
        <v>684</v>
      </c>
      <c r="AU31" s="7" t="s">
        <v>337</v>
      </c>
      <c r="AV31" s="8" t="s">
        <v>499</v>
      </c>
      <c r="AW31" s="7" t="s">
        <v>621</v>
      </c>
      <c r="AX31" s="8" t="s">
        <v>472</v>
      </c>
      <c r="AY31" s="7" t="s">
        <v>563</v>
      </c>
    </row>
    <row r="32" spans="7:55" x14ac:dyDescent="0.5">
      <c r="L32" s="1" t="s">
        <v>607</v>
      </c>
      <c r="M32" s="1" t="s">
        <v>618</v>
      </c>
      <c r="N32" s="1" t="s">
        <v>339</v>
      </c>
      <c r="O32" s="1" t="s">
        <v>680</v>
      </c>
      <c r="P32" s="1" t="s">
        <v>335</v>
      </c>
      <c r="Q32" s="1" t="s">
        <v>480</v>
      </c>
      <c r="S32" s="1" t="s">
        <v>607</v>
      </c>
      <c r="T32" s="1" t="s">
        <v>618</v>
      </c>
      <c r="U32" s="1" t="s">
        <v>339</v>
      </c>
      <c r="V32" s="1" t="s">
        <v>680</v>
      </c>
      <c r="W32" s="1" t="s">
        <v>335</v>
      </c>
      <c r="X32" s="1" t="s">
        <v>480</v>
      </c>
      <c r="Y32" s="1" t="s">
        <v>451</v>
      </c>
      <c r="Z32" s="1" t="s">
        <v>658</v>
      </c>
      <c r="AA32" s="1" t="s">
        <v>685</v>
      </c>
      <c r="AB32" s="1" t="s">
        <v>686</v>
      </c>
      <c r="AC32" s="1" t="s">
        <v>609</v>
      </c>
      <c r="AD32" s="1" t="s">
        <v>656</v>
      </c>
      <c r="AE32" s="1" t="s">
        <v>687</v>
      </c>
      <c r="AL32" s="2"/>
      <c r="AO32" s="2" t="s">
        <v>688</v>
      </c>
      <c r="AP32" s="2" t="s">
        <v>689</v>
      </c>
      <c r="AU32" s="7" t="s">
        <v>102</v>
      </c>
      <c r="AV32" s="8" t="s">
        <v>569</v>
      </c>
      <c r="AW32" s="7" t="s">
        <v>332</v>
      </c>
      <c r="AX32" s="7" t="s">
        <v>641</v>
      </c>
      <c r="AY32" s="7" t="s">
        <v>524</v>
      </c>
    </row>
    <row r="33" spans="12:51" x14ac:dyDescent="0.5">
      <c r="L33" s="1" t="s">
        <v>690</v>
      </c>
      <c r="M33" s="1" t="s">
        <v>690</v>
      </c>
      <c r="N33" s="1" t="s">
        <v>691</v>
      </c>
      <c r="O33" s="1" t="s">
        <v>597</v>
      </c>
      <c r="P33" s="1" t="s">
        <v>336</v>
      </c>
      <c r="Q33" s="1" t="s">
        <v>518</v>
      </c>
      <c r="S33" s="1" t="s">
        <v>690</v>
      </c>
      <c r="T33" s="1" t="s">
        <v>690</v>
      </c>
      <c r="U33" s="1" t="s">
        <v>691</v>
      </c>
      <c r="V33" s="1" t="s">
        <v>597</v>
      </c>
      <c r="W33" s="1" t="s">
        <v>336</v>
      </c>
      <c r="X33" s="1" t="s">
        <v>518</v>
      </c>
      <c r="Y33" s="1" t="s">
        <v>665</v>
      </c>
      <c r="Z33" s="1" t="s">
        <v>692</v>
      </c>
      <c r="AA33" s="1" t="s">
        <v>693</v>
      </c>
      <c r="AB33" s="1" t="s">
        <v>616</v>
      </c>
      <c r="AC33" s="1" t="s">
        <v>627</v>
      </c>
      <c r="AD33" s="1" t="s">
        <v>325</v>
      </c>
      <c r="AE33" s="1" t="s">
        <v>461</v>
      </c>
      <c r="AO33" s="2" t="s">
        <v>694</v>
      </c>
      <c r="AP33" s="2" t="s">
        <v>695</v>
      </c>
      <c r="AU33" s="7" t="s">
        <v>552</v>
      </c>
      <c r="AV33" s="7" t="s">
        <v>460</v>
      </c>
      <c r="AW33" s="8" t="s">
        <v>636</v>
      </c>
      <c r="AX33" s="7" t="s">
        <v>517</v>
      </c>
      <c r="AY33" s="7" t="s">
        <v>553</v>
      </c>
    </row>
    <row r="34" spans="12:51" x14ac:dyDescent="0.5">
      <c r="L34" s="1" t="s">
        <v>680</v>
      </c>
      <c r="M34" s="1" t="s">
        <v>656</v>
      </c>
      <c r="N34" s="1" t="s">
        <v>527</v>
      </c>
      <c r="O34" s="1" t="s">
        <v>94</v>
      </c>
      <c r="P34" s="1" t="s">
        <v>337</v>
      </c>
      <c r="Q34" s="1" t="s">
        <v>592</v>
      </c>
      <c r="S34" s="1" t="s">
        <v>680</v>
      </c>
      <c r="T34" s="1" t="s">
        <v>656</v>
      </c>
      <c r="U34" s="1" t="s">
        <v>527</v>
      </c>
      <c r="V34" s="1" t="s">
        <v>94</v>
      </c>
      <c r="W34" s="1" t="s">
        <v>337</v>
      </c>
      <c r="X34" s="1" t="s">
        <v>592</v>
      </c>
      <c r="Y34" s="1" t="s">
        <v>696</v>
      </c>
      <c r="Z34" s="1" t="s">
        <v>597</v>
      </c>
      <c r="AA34" s="1" t="s">
        <v>697</v>
      </c>
      <c r="AB34" s="1" t="s">
        <v>698</v>
      </c>
      <c r="AC34" s="1" t="s">
        <v>580</v>
      </c>
      <c r="AD34" s="1" t="s">
        <v>56</v>
      </c>
      <c r="AE34" s="1" t="s">
        <v>699</v>
      </c>
      <c r="AO34" s="2" t="s">
        <v>700</v>
      </c>
      <c r="AP34" s="2" t="s">
        <v>701</v>
      </c>
      <c r="AU34" s="7" t="s">
        <v>652</v>
      </c>
      <c r="AV34" s="7" t="s">
        <v>546</v>
      </c>
      <c r="AW34" s="6" t="s">
        <v>587</v>
      </c>
      <c r="AX34" s="7" t="s">
        <v>699</v>
      </c>
      <c r="AY34" s="7" t="s">
        <v>633</v>
      </c>
    </row>
    <row r="35" spans="12:51" x14ac:dyDescent="0.5">
      <c r="L35" s="1" t="s">
        <v>502</v>
      </c>
      <c r="M35" s="1" t="s">
        <v>702</v>
      </c>
      <c r="N35" s="1" t="s">
        <v>703</v>
      </c>
      <c r="O35" s="1" t="s">
        <v>700</v>
      </c>
      <c r="P35" s="1" t="s">
        <v>564</v>
      </c>
      <c r="Q35" s="1" t="s">
        <v>649</v>
      </c>
      <c r="S35" s="1" t="s">
        <v>502</v>
      </c>
      <c r="T35" s="1" t="s">
        <v>702</v>
      </c>
      <c r="U35" s="1" t="s">
        <v>703</v>
      </c>
      <c r="V35" s="1" t="s">
        <v>700</v>
      </c>
      <c r="W35" s="1" t="s">
        <v>564</v>
      </c>
      <c r="X35" s="1" t="s">
        <v>649</v>
      </c>
      <c r="Y35" s="1" t="s">
        <v>704</v>
      </c>
      <c r="Z35" s="1" t="s">
        <v>705</v>
      </c>
      <c r="AA35" s="1" t="s">
        <v>706</v>
      </c>
      <c r="AB35" s="1" t="s">
        <v>707</v>
      </c>
      <c r="AC35" s="1" t="s">
        <v>348</v>
      </c>
      <c r="AE35" s="1" t="s">
        <v>708</v>
      </c>
      <c r="AO35" s="2" t="s">
        <v>555</v>
      </c>
      <c r="AP35" s="2" t="s">
        <v>585</v>
      </c>
      <c r="AU35" s="7" t="s">
        <v>564</v>
      </c>
      <c r="AV35" s="8" t="s">
        <v>563</v>
      </c>
      <c r="AW35" s="5" t="s">
        <v>102</v>
      </c>
      <c r="AX35" s="8" t="s">
        <v>610</v>
      </c>
      <c r="AY35" s="7" t="s">
        <v>518</v>
      </c>
    </row>
    <row r="36" spans="12:51" x14ac:dyDescent="0.5">
      <c r="L36" s="1" t="s">
        <v>597</v>
      </c>
      <c r="M36" s="1" t="s">
        <v>415</v>
      </c>
      <c r="N36" s="1" t="s">
        <v>639</v>
      </c>
      <c r="O36" s="1" t="s">
        <v>709</v>
      </c>
      <c r="P36" s="1" t="s">
        <v>705</v>
      </c>
      <c r="Q36" s="1" t="s">
        <v>331</v>
      </c>
      <c r="S36" s="1" t="s">
        <v>597</v>
      </c>
      <c r="T36" s="1" t="s">
        <v>415</v>
      </c>
      <c r="U36" s="1" t="s">
        <v>639</v>
      </c>
      <c r="V36" s="1" t="s">
        <v>709</v>
      </c>
      <c r="W36" s="1" t="s">
        <v>705</v>
      </c>
      <c r="X36" s="1" t="s">
        <v>331</v>
      </c>
      <c r="Y36" s="1" t="s">
        <v>649</v>
      </c>
      <c r="Z36" s="1" t="s">
        <v>710</v>
      </c>
      <c r="AA36" s="1" t="s">
        <v>691</v>
      </c>
      <c r="AB36" s="1" t="s">
        <v>418</v>
      </c>
      <c r="AC36" s="1" t="s">
        <v>456</v>
      </c>
      <c r="AE36" s="1" t="s">
        <v>651</v>
      </c>
      <c r="AP36" s="2" t="s">
        <v>593</v>
      </c>
      <c r="AU36" s="7" t="s">
        <v>577</v>
      </c>
      <c r="AV36" s="7" t="s">
        <v>524</v>
      </c>
      <c r="AW36" s="7" t="s">
        <v>552</v>
      </c>
      <c r="AX36" s="8" t="s">
        <v>660</v>
      </c>
      <c r="AY36" s="7" t="s">
        <v>649</v>
      </c>
    </row>
    <row r="37" spans="12:51" x14ac:dyDescent="0.5">
      <c r="L37" s="1" t="s">
        <v>711</v>
      </c>
      <c r="M37" s="1" t="s">
        <v>658</v>
      </c>
      <c r="N37" s="1" t="s">
        <v>712</v>
      </c>
      <c r="P37" s="1" t="s">
        <v>84</v>
      </c>
      <c r="Q37" s="1" t="s">
        <v>515</v>
      </c>
      <c r="S37" s="1" t="s">
        <v>711</v>
      </c>
      <c r="T37" s="1" t="s">
        <v>658</v>
      </c>
      <c r="U37" s="1" t="s">
        <v>712</v>
      </c>
      <c r="W37" s="1" t="s">
        <v>84</v>
      </c>
      <c r="X37" s="1" t="s">
        <v>515</v>
      </c>
      <c r="Y37" s="1" t="s">
        <v>712</v>
      </c>
      <c r="Z37" s="1" t="s">
        <v>513</v>
      </c>
      <c r="AA37" s="1" t="s">
        <v>328</v>
      </c>
      <c r="AB37" s="1" t="s">
        <v>538</v>
      </c>
      <c r="AC37" s="1" t="s">
        <v>478</v>
      </c>
      <c r="AE37" s="1" t="s">
        <v>453</v>
      </c>
      <c r="AP37" s="2" t="s">
        <v>713</v>
      </c>
      <c r="AU37" s="7" t="s">
        <v>84</v>
      </c>
      <c r="AV37" s="7" t="s">
        <v>329</v>
      </c>
      <c r="AW37" s="8" t="s">
        <v>652</v>
      </c>
      <c r="AX37" s="8" t="s">
        <v>530</v>
      </c>
      <c r="AY37" s="7" t="s">
        <v>515</v>
      </c>
    </row>
    <row r="38" spans="12:51" x14ac:dyDescent="0.5">
      <c r="L38" s="1" t="s">
        <v>692</v>
      </c>
      <c r="M38" s="1" t="s">
        <v>638</v>
      </c>
      <c r="N38" s="1" t="s">
        <v>94</v>
      </c>
      <c r="P38" s="1" t="s">
        <v>714</v>
      </c>
      <c r="Q38" s="1" t="s">
        <v>332</v>
      </c>
      <c r="S38" s="1" t="s">
        <v>692</v>
      </c>
      <c r="T38" s="1" t="s">
        <v>638</v>
      </c>
      <c r="U38" s="1" t="s">
        <v>94</v>
      </c>
      <c r="W38" s="1" t="s">
        <v>714</v>
      </c>
      <c r="X38" s="1" t="s">
        <v>332</v>
      </c>
      <c r="Y38" s="1" t="s">
        <v>715</v>
      </c>
      <c r="Z38" s="1" t="s">
        <v>653</v>
      </c>
      <c r="AA38" s="1" t="s">
        <v>716</v>
      </c>
      <c r="AB38" s="1" t="s">
        <v>428</v>
      </c>
      <c r="AC38" s="1" t="s">
        <v>553</v>
      </c>
      <c r="AE38" s="1" t="s">
        <v>657</v>
      </c>
      <c r="AP38" s="2" t="s">
        <v>717</v>
      </c>
      <c r="AU38" s="7" t="s">
        <v>653</v>
      </c>
      <c r="AV38" s="5" t="s">
        <v>553</v>
      </c>
      <c r="AW38" s="5" t="s">
        <v>84</v>
      </c>
      <c r="AX38" s="8" t="s">
        <v>574</v>
      </c>
      <c r="AY38" s="7" t="s">
        <v>461</v>
      </c>
    </row>
    <row r="39" spans="12:51" x14ac:dyDescent="0.5">
      <c r="L39" s="1" t="s">
        <v>94</v>
      </c>
      <c r="M39" s="1" t="s">
        <v>700</v>
      </c>
      <c r="N39" s="1" t="s">
        <v>702</v>
      </c>
      <c r="P39" s="1" t="s">
        <v>718</v>
      </c>
      <c r="Q39" s="1" t="s">
        <v>332</v>
      </c>
      <c r="S39" s="1" t="s">
        <v>94</v>
      </c>
      <c r="T39" s="1" t="s">
        <v>700</v>
      </c>
      <c r="U39" s="1" t="s">
        <v>702</v>
      </c>
      <c r="W39" s="1" t="s">
        <v>718</v>
      </c>
      <c r="X39" s="1" t="s">
        <v>332</v>
      </c>
      <c r="Y39" s="1" t="s">
        <v>719</v>
      </c>
      <c r="Z39" s="1" t="s">
        <v>383</v>
      </c>
      <c r="AA39" s="1" t="s">
        <v>527</v>
      </c>
      <c r="AB39" s="1" t="s">
        <v>677</v>
      </c>
      <c r="AC39" s="1" t="s">
        <v>557</v>
      </c>
      <c r="AP39" s="2" t="s">
        <v>575</v>
      </c>
      <c r="AU39" s="7" t="s">
        <v>475</v>
      </c>
      <c r="AV39" s="6" t="s">
        <v>565</v>
      </c>
      <c r="AW39" s="8" t="s">
        <v>640</v>
      </c>
      <c r="AX39" s="8" t="s">
        <v>510</v>
      </c>
      <c r="AY39" s="7" t="s">
        <v>667</v>
      </c>
    </row>
    <row r="40" spans="12:51" x14ac:dyDescent="0.5">
      <c r="L40" s="1" t="s">
        <v>656</v>
      </c>
      <c r="M40" s="1" t="s">
        <v>529</v>
      </c>
      <c r="N40" s="1" t="s">
        <v>344</v>
      </c>
      <c r="P40" s="1" t="s">
        <v>719</v>
      </c>
      <c r="Q40" s="1" t="s">
        <v>720</v>
      </c>
      <c r="S40" s="1" t="s">
        <v>656</v>
      </c>
      <c r="T40" s="1" t="s">
        <v>529</v>
      </c>
      <c r="U40" s="1" t="s">
        <v>344</v>
      </c>
      <c r="W40" s="1" t="s">
        <v>719</v>
      </c>
      <c r="X40" s="1" t="s">
        <v>720</v>
      </c>
      <c r="Y40" s="1" t="s">
        <v>436</v>
      </c>
      <c r="Z40" s="1" t="s">
        <v>721</v>
      </c>
      <c r="AA40" s="1" t="s">
        <v>538</v>
      </c>
      <c r="AB40" s="1" t="s">
        <v>722</v>
      </c>
      <c r="AC40" s="1" t="s">
        <v>418</v>
      </c>
      <c r="AP40" s="2" t="s">
        <v>723</v>
      </c>
      <c r="AU40" s="7" t="s">
        <v>586</v>
      </c>
      <c r="AV40" s="8" t="s">
        <v>431</v>
      </c>
      <c r="AW40" s="7" t="s">
        <v>551</v>
      </c>
      <c r="AX40" s="8" t="s">
        <v>596</v>
      </c>
      <c r="AY40" s="7" t="s">
        <v>392</v>
      </c>
    </row>
    <row r="41" spans="12:51" x14ac:dyDescent="0.5">
      <c r="L41" s="1" t="s">
        <v>514</v>
      </c>
      <c r="M41" s="1" t="s">
        <v>347</v>
      </c>
      <c r="N41" s="1" t="s">
        <v>675</v>
      </c>
      <c r="P41" s="1" t="s">
        <v>571</v>
      </c>
      <c r="Q41" s="1" t="s">
        <v>724</v>
      </c>
      <c r="S41" s="1" t="s">
        <v>514</v>
      </c>
      <c r="T41" s="1" t="s">
        <v>347</v>
      </c>
      <c r="U41" s="1" t="s">
        <v>675</v>
      </c>
      <c r="W41" s="1" t="s">
        <v>571</v>
      </c>
      <c r="X41" s="1" t="s">
        <v>724</v>
      </c>
      <c r="Y41" s="1" t="s">
        <v>725</v>
      </c>
      <c r="AA41" s="1" t="s">
        <v>658</v>
      </c>
      <c r="AB41" s="1" t="s">
        <v>607</v>
      </c>
      <c r="AP41" s="2" t="s">
        <v>726</v>
      </c>
      <c r="AU41" s="7" t="s">
        <v>608</v>
      </c>
      <c r="AV41" s="7" t="s">
        <v>556</v>
      </c>
      <c r="AW41" s="8" t="s">
        <v>571</v>
      </c>
      <c r="AX41" s="7" t="s">
        <v>627</v>
      </c>
      <c r="AY41" s="7" t="s">
        <v>334</v>
      </c>
    </row>
    <row r="42" spans="12:51" x14ac:dyDescent="0.5">
      <c r="L42" s="1" t="s">
        <v>658</v>
      </c>
      <c r="M42" s="1" t="s">
        <v>487</v>
      </c>
      <c r="N42" s="1" t="s">
        <v>348</v>
      </c>
      <c r="P42" s="1" t="s">
        <v>468</v>
      </c>
      <c r="Q42" s="1" t="s">
        <v>701</v>
      </c>
      <c r="S42" s="1" t="s">
        <v>658</v>
      </c>
      <c r="T42" s="1" t="s">
        <v>487</v>
      </c>
      <c r="U42" s="1" t="s">
        <v>348</v>
      </c>
      <c r="W42" s="1" t="s">
        <v>468</v>
      </c>
      <c r="X42" s="1" t="s">
        <v>701</v>
      </c>
      <c r="Y42" s="1" t="s">
        <v>324</v>
      </c>
      <c r="AA42" s="1" t="s">
        <v>727</v>
      </c>
      <c r="AB42" s="1" t="s">
        <v>663</v>
      </c>
      <c r="AP42" s="2" t="s">
        <v>680</v>
      </c>
      <c r="AU42" s="7" t="s">
        <v>609</v>
      </c>
      <c r="AV42" s="5" t="s">
        <v>518</v>
      </c>
      <c r="AW42" s="7" t="s">
        <v>339</v>
      </c>
      <c r="AX42" s="8" t="s">
        <v>504</v>
      </c>
      <c r="AY42" s="7" t="s">
        <v>102</v>
      </c>
    </row>
    <row r="43" spans="12:51" x14ac:dyDescent="0.5">
      <c r="L43" s="1" t="s">
        <v>728</v>
      </c>
      <c r="N43" s="1" t="s">
        <v>561</v>
      </c>
      <c r="P43" s="1" t="s">
        <v>430</v>
      </c>
      <c r="Q43" s="1" t="s">
        <v>585</v>
      </c>
      <c r="S43" s="1" t="s">
        <v>728</v>
      </c>
      <c r="U43" s="1" t="s">
        <v>561</v>
      </c>
      <c r="W43" s="1" t="s">
        <v>430</v>
      </c>
      <c r="X43" s="1" t="s">
        <v>585</v>
      </c>
      <c r="Y43" s="1" t="s">
        <v>387</v>
      </c>
      <c r="AA43" s="1" t="s">
        <v>729</v>
      </c>
      <c r="AB43" s="1" t="s">
        <v>730</v>
      </c>
      <c r="AP43" s="2" t="s">
        <v>731</v>
      </c>
      <c r="AU43" s="7" t="s">
        <v>629</v>
      </c>
      <c r="AV43" s="7" t="s">
        <v>581</v>
      </c>
      <c r="AW43" s="8" t="s">
        <v>691</v>
      </c>
      <c r="AX43" s="8" t="s">
        <v>327</v>
      </c>
      <c r="AY43" s="7" t="s">
        <v>585</v>
      </c>
    </row>
    <row r="44" spans="12:51" x14ac:dyDescent="0.5">
      <c r="L44" s="1" t="s">
        <v>638</v>
      </c>
      <c r="P44" s="1" t="s">
        <v>659</v>
      </c>
      <c r="Q44" s="1" t="s">
        <v>732</v>
      </c>
      <c r="S44" s="1" t="s">
        <v>638</v>
      </c>
      <c r="W44" s="1" t="s">
        <v>659</v>
      </c>
      <c r="X44" s="1" t="s">
        <v>732</v>
      </c>
      <c r="Y44" s="1" t="s">
        <v>634</v>
      </c>
      <c r="AA44" s="1" t="s">
        <v>733</v>
      </c>
      <c r="AB44" s="1" t="s">
        <v>597</v>
      </c>
      <c r="AP44" s="2" t="s">
        <v>638</v>
      </c>
      <c r="AU44" s="7" t="s">
        <v>607</v>
      </c>
      <c r="AV44" s="8" t="s">
        <v>91</v>
      </c>
      <c r="AW44" s="7" t="s">
        <v>527</v>
      </c>
      <c r="AX44" s="8" t="s">
        <v>523</v>
      </c>
      <c r="AY44" s="7" t="s">
        <v>393</v>
      </c>
    </row>
    <row r="45" spans="12:51" x14ac:dyDescent="0.5">
      <c r="L45" s="1" t="s">
        <v>734</v>
      </c>
      <c r="P45" s="1" t="s">
        <v>669</v>
      </c>
      <c r="Q45" s="1" t="s">
        <v>732</v>
      </c>
      <c r="S45" s="1" t="s">
        <v>734</v>
      </c>
      <c r="W45" s="1" t="s">
        <v>669</v>
      </c>
      <c r="X45" s="1" t="s">
        <v>732</v>
      </c>
      <c r="Y45" s="1" t="s">
        <v>326</v>
      </c>
      <c r="AA45" s="1" t="s">
        <v>735</v>
      </c>
      <c r="AB45" s="1" t="s">
        <v>634</v>
      </c>
      <c r="AP45" s="2" t="s">
        <v>600</v>
      </c>
      <c r="AU45" s="7" t="s">
        <v>690</v>
      </c>
      <c r="AV45" s="6" t="s">
        <v>501</v>
      </c>
      <c r="AW45" s="8" t="s">
        <v>703</v>
      </c>
      <c r="AX45" s="7" t="s">
        <v>499</v>
      </c>
      <c r="AY45" s="7" t="s">
        <v>416</v>
      </c>
    </row>
    <row r="46" spans="12:51" x14ac:dyDescent="0.5">
      <c r="P46" s="1" t="s">
        <v>538</v>
      </c>
      <c r="Q46" s="1" t="s">
        <v>593</v>
      </c>
      <c r="W46" s="1" t="s">
        <v>538</v>
      </c>
      <c r="X46" s="1" t="s">
        <v>593</v>
      </c>
      <c r="Y46" s="1" t="s">
        <v>736</v>
      </c>
      <c r="AA46" s="1" t="s">
        <v>502</v>
      </c>
      <c r="AB46" s="1" t="s">
        <v>329</v>
      </c>
      <c r="AP46" s="2" t="s">
        <v>561</v>
      </c>
      <c r="AU46" s="7" t="s">
        <v>94</v>
      </c>
      <c r="AV46" s="5" t="s">
        <v>599</v>
      </c>
      <c r="AW46" s="5" t="s">
        <v>341</v>
      </c>
      <c r="AX46" s="7" t="s">
        <v>563</v>
      </c>
      <c r="AY46" s="7" t="s">
        <v>340</v>
      </c>
    </row>
    <row r="47" spans="12:51" x14ac:dyDescent="0.5">
      <c r="P47" s="1" t="s">
        <v>527</v>
      </c>
      <c r="Q47" s="1" t="s">
        <v>430</v>
      </c>
      <c r="W47" s="1" t="s">
        <v>527</v>
      </c>
      <c r="X47" s="1" t="s">
        <v>430</v>
      </c>
      <c r="Y47" s="1" t="s">
        <v>737</v>
      </c>
      <c r="AA47" s="1" t="s">
        <v>337</v>
      </c>
      <c r="AB47" s="1" t="s">
        <v>738</v>
      </c>
      <c r="AP47" s="2"/>
      <c r="AU47" s="7" t="s">
        <v>656</v>
      </c>
      <c r="AV47" s="7" t="s">
        <v>507</v>
      </c>
      <c r="AW47" s="7" t="s">
        <v>639</v>
      </c>
      <c r="AX47" s="8" t="s">
        <v>524</v>
      </c>
      <c r="AY47" s="7" t="s">
        <v>575</v>
      </c>
    </row>
    <row r="48" spans="12:51" x14ac:dyDescent="0.5">
      <c r="P48" s="1" t="s">
        <v>527</v>
      </c>
      <c r="Q48" s="1" t="s">
        <v>659</v>
      </c>
      <c r="W48" s="1" t="s">
        <v>527</v>
      </c>
      <c r="X48" s="1" t="s">
        <v>659</v>
      </c>
      <c r="Y48" s="1" t="s">
        <v>739</v>
      </c>
      <c r="AA48" s="1" t="s">
        <v>605</v>
      </c>
      <c r="AB48" s="1" t="s">
        <v>350</v>
      </c>
      <c r="AU48" s="7" t="s">
        <v>702</v>
      </c>
      <c r="AV48" s="6" t="s">
        <v>331</v>
      </c>
      <c r="AW48" s="8" t="s">
        <v>712</v>
      </c>
      <c r="AX48" s="7" t="s">
        <v>553</v>
      </c>
      <c r="AY48" s="7" t="s">
        <v>607</v>
      </c>
    </row>
    <row r="49" spans="16:51" x14ac:dyDescent="0.5">
      <c r="P49" s="1" t="s">
        <v>740</v>
      </c>
      <c r="Q49" s="1" t="s">
        <v>741</v>
      </c>
      <c r="W49" s="1" t="s">
        <v>740</v>
      </c>
      <c r="X49" s="1" t="s">
        <v>741</v>
      </c>
      <c r="Y49" s="1" t="s">
        <v>434</v>
      </c>
      <c r="AA49" s="1" t="s">
        <v>627</v>
      </c>
      <c r="AB49" s="1" t="s">
        <v>349</v>
      </c>
      <c r="AU49" s="7" t="s">
        <v>415</v>
      </c>
      <c r="AV49" s="8" t="s">
        <v>515</v>
      </c>
      <c r="AW49" s="7" t="s">
        <v>94</v>
      </c>
      <c r="AX49" s="8" t="s">
        <v>633</v>
      </c>
      <c r="AY49" s="7" t="s">
        <v>435</v>
      </c>
    </row>
    <row r="50" spans="16:51" x14ac:dyDescent="0.5">
      <c r="P50" s="1" t="s">
        <v>341</v>
      </c>
      <c r="Q50" s="1" t="s">
        <v>629</v>
      </c>
      <c r="W50" s="1" t="s">
        <v>341</v>
      </c>
      <c r="X50" s="1" t="s">
        <v>629</v>
      </c>
      <c r="Y50" s="1" t="s">
        <v>557</v>
      </c>
      <c r="AA50" s="1" t="s">
        <v>419</v>
      </c>
      <c r="AB50" s="1" t="s">
        <v>658</v>
      </c>
      <c r="AU50" s="7" t="s">
        <v>658</v>
      </c>
      <c r="AV50" s="7" t="s">
        <v>621</v>
      </c>
      <c r="AW50" s="8" t="s">
        <v>702</v>
      </c>
      <c r="AX50" s="8" t="s">
        <v>518</v>
      </c>
      <c r="AY50" s="7" t="s">
        <v>491</v>
      </c>
    </row>
    <row r="51" spans="16:51" x14ac:dyDescent="0.5">
      <c r="P51" s="1" t="s">
        <v>742</v>
      </c>
      <c r="Q51" s="1" t="s">
        <v>743</v>
      </c>
      <c r="W51" s="1" t="s">
        <v>742</v>
      </c>
      <c r="X51" s="1" t="s">
        <v>743</v>
      </c>
      <c r="Y51" s="1" t="s">
        <v>744</v>
      </c>
      <c r="AA51" s="1" t="s">
        <v>633</v>
      </c>
      <c r="AB51" s="1" t="s">
        <v>680</v>
      </c>
      <c r="AU51" s="7" t="s">
        <v>638</v>
      </c>
      <c r="AV51" s="7" t="s">
        <v>332</v>
      </c>
      <c r="AW51" s="7" t="s">
        <v>344</v>
      </c>
      <c r="AX51" s="8" t="s">
        <v>592</v>
      </c>
      <c r="AY51" s="7" t="s">
        <v>687</v>
      </c>
    </row>
    <row r="52" spans="16:51" x14ac:dyDescent="0.5">
      <c r="P52" s="1" t="s">
        <v>710</v>
      </c>
      <c r="Q52" s="1" t="s">
        <v>731</v>
      </c>
      <c r="W52" s="1" t="s">
        <v>710</v>
      </c>
      <c r="X52" s="1" t="s">
        <v>731</v>
      </c>
      <c r="Y52" s="1" t="s">
        <v>680</v>
      </c>
      <c r="AA52" s="1" t="s">
        <v>84</v>
      </c>
      <c r="AB52" s="1" t="s">
        <v>745</v>
      </c>
      <c r="AU52" s="7" t="s">
        <v>700</v>
      </c>
      <c r="AV52" s="5" t="s">
        <v>580</v>
      </c>
      <c r="AW52" s="6" t="s">
        <v>415</v>
      </c>
      <c r="AX52" s="7" t="s">
        <v>540</v>
      </c>
      <c r="AY52" s="7" t="s">
        <v>708</v>
      </c>
    </row>
    <row r="53" spans="16:51" x14ac:dyDescent="0.5">
      <c r="P53" s="1" t="s">
        <v>629</v>
      </c>
      <c r="Q53" s="1" t="s">
        <v>631</v>
      </c>
      <c r="W53" s="1" t="s">
        <v>629</v>
      </c>
      <c r="X53" s="1" t="s">
        <v>631</v>
      </c>
      <c r="AA53" s="1" t="s">
        <v>746</v>
      </c>
      <c r="AB53" s="1" t="s">
        <v>747</v>
      </c>
      <c r="AU53" s="7" t="s">
        <v>529</v>
      </c>
      <c r="AV53" s="7" t="s">
        <v>636</v>
      </c>
      <c r="AW53" s="5" t="s">
        <v>638</v>
      </c>
      <c r="AX53" s="8" t="s">
        <v>649</v>
      </c>
      <c r="AY53" s="7" t="s">
        <v>597</v>
      </c>
    </row>
    <row r="54" spans="16:51" x14ac:dyDescent="0.5">
      <c r="P54" s="1" t="s">
        <v>645</v>
      </c>
      <c r="Q54" s="1" t="s">
        <v>344</v>
      </c>
      <c r="W54" s="1" t="s">
        <v>645</v>
      </c>
      <c r="X54" s="1" t="s">
        <v>344</v>
      </c>
      <c r="AA54" s="1" t="s">
        <v>748</v>
      </c>
      <c r="AB54" s="1" t="s">
        <v>344</v>
      </c>
      <c r="AU54" s="7" t="s">
        <v>347</v>
      </c>
      <c r="AV54" s="7" t="s">
        <v>552</v>
      </c>
      <c r="AW54" s="6" t="s">
        <v>668</v>
      </c>
      <c r="AX54" s="7" t="s">
        <v>515</v>
      </c>
      <c r="AY54" s="7" t="s">
        <v>94</v>
      </c>
    </row>
    <row r="55" spans="16:51" x14ac:dyDescent="0.5">
      <c r="P55" s="1" t="s">
        <v>343</v>
      </c>
      <c r="Q55" s="1" t="s">
        <v>604</v>
      </c>
      <c r="W55" s="1" t="s">
        <v>343</v>
      </c>
      <c r="X55" s="1" t="s">
        <v>604</v>
      </c>
      <c r="AA55" s="1" t="s">
        <v>639</v>
      </c>
      <c r="AB55" s="1" t="s">
        <v>749</v>
      </c>
      <c r="AU55" s="7" t="s">
        <v>487</v>
      </c>
      <c r="AV55" s="8" t="s">
        <v>652</v>
      </c>
      <c r="AW55" s="8" t="s">
        <v>675</v>
      </c>
      <c r="AX55" s="8" t="s">
        <v>461</v>
      </c>
      <c r="AY55" s="7" t="s">
        <v>415</v>
      </c>
    </row>
    <row r="56" spans="16:51" x14ac:dyDescent="0.5">
      <c r="P56" s="1" t="s">
        <v>491</v>
      </c>
      <c r="Q56" s="1" t="s">
        <v>658</v>
      </c>
      <c r="W56" s="1" t="s">
        <v>491</v>
      </c>
      <c r="X56" s="1" t="s">
        <v>658</v>
      </c>
      <c r="AA56" s="1" t="s">
        <v>750</v>
      </c>
      <c r="AB56" s="1" t="s">
        <v>348</v>
      </c>
      <c r="AU56" s="9"/>
      <c r="AV56" s="6" t="s">
        <v>564</v>
      </c>
      <c r="AW56" s="6" t="s">
        <v>666</v>
      </c>
      <c r="AX56" s="7" t="s">
        <v>667</v>
      </c>
      <c r="AY56" s="7" t="s">
        <v>638</v>
      </c>
    </row>
    <row r="57" spans="16:51" x14ac:dyDescent="0.5">
      <c r="P57" s="1" t="s">
        <v>751</v>
      </c>
      <c r="Q57" s="1" t="s">
        <v>638</v>
      </c>
      <c r="W57" s="1" t="s">
        <v>751</v>
      </c>
      <c r="X57" s="1" t="s">
        <v>638</v>
      </c>
      <c r="AA57" s="1" t="s">
        <v>601</v>
      </c>
      <c r="AB57" s="1" t="s">
        <v>91</v>
      </c>
      <c r="AV57" s="8" t="s">
        <v>634</v>
      </c>
      <c r="AW57" s="7" t="s">
        <v>348</v>
      </c>
      <c r="AX57" s="7" t="s">
        <v>392</v>
      </c>
      <c r="AY57" s="7" t="s">
        <v>584</v>
      </c>
    </row>
    <row r="58" spans="16:51" x14ac:dyDescent="0.5">
      <c r="P58" s="1" t="s">
        <v>344</v>
      </c>
      <c r="Q58" s="1" t="s">
        <v>345</v>
      </c>
      <c r="W58" s="1" t="s">
        <v>344</v>
      </c>
      <c r="X58" s="1" t="s">
        <v>345</v>
      </c>
      <c r="AA58" s="1" t="s">
        <v>752</v>
      </c>
      <c r="AB58" s="1" t="s">
        <v>753</v>
      </c>
      <c r="AV58" s="7" t="s">
        <v>84</v>
      </c>
      <c r="AW58" s="5"/>
      <c r="AX58" s="7" t="s">
        <v>464</v>
      </c>
      <c r="AY58" s="7" t="s">
        <v>666</v>
      </c>
    </row>
    <row r="59" spans="16:51" x14ac:dyDescent="0.5">
      <c r="P59" s="1" t="s">
        <v>604</v>
      </c>
      <c r="Q59" s="1" t="s">
        <v>754</v>
      </c>
      <c r="W59" s="1" t="s">
        <v>604</v>
      </c>
      <c r="X59" s="1" t="s">
        <v>754</v>
      </c>
      <c r="AA59" s="1" t="s">
        <v>755</v>
      </c>
      <c r="AB59" s="1" t="s">
        <v>756</v>
      </c>
      <c r="AU59" s="2"/>
      <c r="AV59" s="7" t="s">
        <v>653</v>
      </c>
      <c r="AW59" s="5"/>
      <c r="AX59" s="7" t="s">
        <v>334</v>
      </c>
      <c r="AY59" s="7" t="s">
        <v>561</v>
      </c>
    </row>
    <row r="60" spans="16:51" x14ac:dyDescent="0.5">
      <c r="P60" s="1" t="s">
        <v>744</v>
      </c>
      <c r="Q60" s="1" t="s">
        <v>531</v>
      </c>
      <c r="W60" s="1" t="s">
        <v>744</v>
      </c>
      <c r="X60" s="1" t="s">
        <v>531</v>
      </c>
      <c r="AA60" s="1" t="s">
        <v>757</v>
      </c>
      <c r="AB60" s="1" t="s">
        <v>758</v>
      </c>
      <c r="AV60" s="8" t="s">
        <v>640</v>
      </c>
      <c r="AW60" s="5"/>
      <c r="AX60" s="7" t="s">
        <v>102</v>
      </c>
      <c r="AY60" s="7"/>
    </row>
    <row r="61" spans="16:51" x14ac:dyDescent="0.5">
      <c r="P61" s="1" t="s">
        <v>555</v>
      </c>
      <c r="Q61" s="1" t="s">
        <v>505</v>
      </c>
      <c r="W61" s="1" t="s">
        <v>555</v>
      </c>
      <c r="X61" s="1" t="s">
        <v>505</v>
      </c>
      <c r="AA61" s="1" t="s">
        <v>392</v>
      </c>
      <c r="AB61" s="1" t="s">
        <v>759</v>
      </c>
      <c r="AV61" s="7" t="s">
        <v>551</v>
      </c>
      <c r="AW61" s="5"/>
      <c r="AX61" s="7" t="s">
        <v>585</v>
      </c>
      <c r="AY61" s="7"/>
    </row>
    <row r="62" spans="16:51" x14ac:dyDescent="0.5">
      <c r="P62" s="1" t="s">
        <v>709</v>
      </c>
      <c r="Q62" s="1" t="s">
        <v>666</v>
      </c>
      <c r="W62" s="1" t="s">
        <v>709</v>
      </c>
      <c r="X62" s="1" t="s">
        <v>666</v>
      </c>
      <c r="AA62" s="1" t="s">
        <v>343</v>
      </c>
      <c r="AB62" s="1" t="s">
        <v>760</v>
      </c>
      <c r="AV62" s="8" t="s">
        <v>571</v>
      </c>
      <c r="AW62" s="5"/>
      <c r="AX62" s="7" t="s">
        <v>393</v>
      </c>
      <c r="AY62" s="7"/>
    </row>
    <row r="63" spans="16:51" x14ac:dyDescent="0.5">
      <c r="P63" s="1" t="s">
        <v>566</v>
      </c>
      <c r="Q63" s="1" t="s">
        <v>349</v>
      </c>
      <c r="W63" s="1" t="s">
        <v>566</v>
      </c>
      <c r="X63" s="1" t="s">
        <v>349</v>
      </c>
      <c r="AA63" s="1" t="s">
        <v>761</v>
      </c>
      <c r="AU63" s="2"/>
      <c r="AV63" s="8" t="s">
        <v>593</v>
      </c>
      <c r="AW63" s="5"/>
      <c r="AX63" s="8" t="s">
        <v>416</v>
      </c>
      <c r="AY63" s="7"/>
    </row>
    <row r="64" spans="16:51" x14ac:dyDescent="0.5">
      <c r="Q64" s="1" t="s">
        <v>561</v>
      </c>
      <c r="X64" s="1" t="s">
        <v>561</v>
      </c>
      <c r="AA64" s="1" t="s">
        <v>690</v>
      </c>
      <c r="AV64" s="7" t="s">
        <v>339</v>
      </c>
      <c r="AW64" s="5"/>
      <c r="AX64" s="7" t="s">
        <v>340</v>
      </c>
      <c r="AY64" s="7"/>
    </row>
    <row r="65" spans="17:51" x14ac:dyDescent="0.5">
      <c r="Q65" s="1" t="s">
        <v>350</v>
      </c>
      <c r="X65" s="1" t="s">
        <v>350</v>
      </c>
      <c r="AA65" s="1" t="s">
        <v>736</v>
      </c>
      <c r="AV65" s="5" t="s">
        <v>650</v>
      </c>
      <c r="AW65" s="5"/>
      <c r="AX65" s="8" t="s">
        <v>575</v>
      </c>
      <c r="AY65" s="7"/>
    </row>
    <row r="66" spans="17:51" x14ac:dyDescent="0.5">
      <c r="Q66" s="1" t="s">
        <v>762</v>
      </c>
      <c r="X66" s="1" t="s">
        <v>762</v>
      </c>
      <c r="AA66" s="1" t="s">
        <v>763</v>
      </c>
      <c r="AV66" s="6" t="s">
        <v>609</v>
      </c>
      <c r="AW66" s="5"/>
      <c r="AX66" s="7" t="s">
        <v>607</v>
      </c>
      <c r="AY66" s="7"/>
    </row>
    <row r="67" spans="17:51" x14ac:dyDescent="0.5">
      <c r="AA67" s="1" t="s">
        <v>764</v>
      </c>
      <c r="AV67" s="8" t="s">
        <v>691</v>
      </c>
      <c r="AW67" s="5"/>
      <c r="AX67" s="7" t="s">
        <v>626</v>
      </c>
      <c r="AY67" s="7"/>
    </row>
    <row r="68" spans="17:51" x14ac:dyDescent="0.5">
      <c r="AA68" s="1" t="s">
        <v>685</v>
      </c>
      <c r="AV68" s="5" t="s">
        <v>538</v>
      </c>
      <c r="AW68" s="5"/>
      <c r="AX68" s="7" t="s">
        <v>435</v>
      </c>
      <c r="AY68" s="7"/>
    </row>
    <row r="69" spans="17:51" x14ac:dyDescent="0.5">
      <c r="AA69" s="1" t="s">
        <v>491</v>
      </c>
      <c r="AV69" s="7" t="s">
        <v>527</v>
      </c>
      <c r="AW69" s="5"/>
      <c r="AX69" s="7" t="s">
        <v>491</v>
      </c>
      <c r="AY69" s="7"/>
    </row>
    <row r="70" spans="17:51" x14ac:dyDescent="0.5">
      <c r="AA70" s="1" t="s">
        <v>332</v>
      </c>
      <c r="AV70" s="8" t="s">
        <v>703</v>
      </c>
      <c r="AW70" s="10"/>
      <c r="AX70" s="7" t="s">
        <v>687</v>
      </c>
      <c r="AY70" s="7"/>
    </row>
    <row r="71" spans="17:51" x14ac:dyDescent="0.5">
      <c r="AV71" s="7" t="s">
        <v>341</v>
      </c>
      <c r="AX71" s="7" t="s">
        <v>516</v>
      </c>
      <c r="AY71" s="7"/>
    </row>
    <row r="72" spans="17:51" x14ac:dyDescent="0.5">
      <c r="AV72" s="7" t="s">
        <v>639</v>
      </c>
      <c r="AX72" s="8" t="s">
        <v>708</v>
      </c>
      <c r="AY72" s="7"/>
    </row>
    <row r="73" spans="17:51" x14ac:dyDescent="0.5">
      <c r="AV73" s="8" t="s">
        <v>607</v>
      </c>
      <c r="AX73" s="7" t="s">
        <v>463</v>
      </c>
      <c r="AY73" s="7"/>
    </row>
    <row r="74" spans="17:51" x14ac:dyDescent="0.5">
      <c r="AV74" s="5" t="s">
        <v>676</v>
      </c>
      <c r="AX74" s="8" t="s">
        <v>597</v>
      </c>
      <c r="AY74" s="7"/>
    </row>
    <row r="75" spans="17:51" x14ac:dyDescent="0.5">
      <c r="AV75" s="6" t="s">
        <v>680</v>
      </c>
      <c r="AX75" s="7" t="s">
        <v>94</v>
      </c>
      <c r="AY75" s="7"/>
    </row>
    <row r="76" spans="17:51" x14ac:dyDescent="0.5">
      <c r="AV76" s="5" t="s">
        <v>683</v>
      </c>
      <c r="AX76" s="7" t="s">
        <v>656</v>
      </c>
      <c r="AY76" s="7"/>
    </row>
    <row r="77" spans="17:51" x14ac:dyDescent="0.5">
      <c r="AV77" s="8" t="s">
        <v>712</v>
      </c>
      <c r="AX77" s="8" t="s">
        <v>415</v>
      </c>
      <c r="AY77" s="7"/>
    </row>
    <row r="78" spans="17:51" x14ac:dyDescent="0.5">
      <c r="AV78" s="8" t="s">
        <v>597</v>
      </c>
      <c r="AX78" s="8" t="s">
        <v>661</v>
      </c>
      <c r="AY78" s="7"/>
    </row>
    <row r="79" spans="17:51" x14ac:dyDescent="0.5">
      <c r="AV79" s="7" t="s">
        <v>94</v>
      </c>
      <c r="AX79" s="7" t="s">
        <v>638</v>
      </c>
      <c r="AY79" s="7"/>
    </row>
    <row r="80" spans="17:51" x14ac:dyDescent="0.5">
      <c r="AV80" s="6" t="s">
        <v>688</v>
      </c>
      <c r="AX80" s="7" t="s">
        <v>584</v>
      </c>
      <c r="AY80" s="7"/>
    </row>
    <row r="81" spans="48:51" x14ac:dyDescent="0.5">
      <c r="AV81" s="8" t="s">
        <v>702</v>
      </c>
      <c r="AX81" s="8" t="s">
        <v>616</v>
      </c>
      <c r="AY81" s="8"/>
    </row>
    <row r="82" spans="48:51" x14ac:dyDescent="0.5">
      <c r="AV82" s="5" t="s">
        <v>694</v>
      </c>
      <c r="AX82" s="7" t="s">
        <v>657</v>
      </c>
      <c r="AY82" s="7"/>
    </row>
    <row r="83" spans="48:51" x14ac:dyDescent="0.5">
      <c r="AV83" s="7" t="s">
        <v>344</v>
      </c>
      <c r="AX83" s="8" t="s">
        <v>531</v>
      </c>
      <c r="AY83" s="8"/>
    </row>
    <row r="84" spans="48:51" x14ac:dyDescent="0.5">
      <c r="AV84" s="8" t="s">
        <v>700</v>
      </c>
      <c r="AX84" s="8" t="s">
        <v>505</v>
      </c>
      <c r="AY84" s="7"/>
    </row>
    <row r="85" spans="48:51" x14ac:dyDescent="0.5">
      <c r="AV85" s="5" t="s">
        <v>555</v>
      </c>
      <c r="AX85" s="7" t="s">
        <v>666</v>
      </c>
      <c r="AY85" s="7"/>
    </row>
    <row r="86" spans="48:51" x14ac:dyDescent="0.5">
      <c r="AV86" s="7" t="s">
        <v>709</v>
      </c>
      <c r="AX86" s="11" t="s">
        <v>561</v>
      </c>
      <c r="AY86" s="7"/>
    </row>
    <row r="87" spans="48:51" x14ac:dyDescent="0.5">
      <c r="AV87" s="8" t="s">
        <v>675</v>
      </c>
      <c r="AX87" s="8" t="s">
        <v>350</v>
      </c>
      <c r="AY87" s="11"/>
    </row>
    <row r="88" spans="48:51" x14ac:dyDescent="0.5">
      <c r="AV88" s="7" t="s">
        <v>348</v>
      </c>
      <c r="AX88" s="8"/>
    </row>
    <row r="89" spans="48:51" x14ac:dyDescent="0.5">
      <c r="AV89" s="8"/>
      <c r="AX89" s="8"/>
    </row>
    <row r="90" spans="48:51" x14ac:dyDescent="0.5">
      <c r="AV90" s="8"/>
      <c r="AX90" s="8"/>
    </row>
    <row r="91" spans="48:51" x14ac:dyDescent="0.5">
      <c r="AV91" s="7"/>
      <c r="AX91" s="8"/>
    </row>
    <row r="92" spans="48:51" x14ac:dyDescent="0.5">
      <c r="AV92" s="8"/>
      <c r="AX92" s="11"/>
    </row>
    <row r="93" spans="48:51" x14ac:dyDescent="0.5">
      <c r="AV93" s="8"/>
    </row>
    <row r="94" spans="48:51" x14ac:dyDescent="0.5">
      <c r="AV94" s="8"/>
    </row>
    <row r="95" spans="48:51" x14ac:dyDescent="0.5">
      <c r="AV95" s="8"/>
    </row>
    <row r="96" spans="48:51" x14ac:dyDescent="0.5">
      <c r="AV96" s="8"/>
    </row>
    <row r="97" spans="48:48" x14ac:dyDescent="0.5">
      <c r="AV97" s="7"/>
    </row>
    <row r="98" spans="48:48" x14ac:dyDescent="0.5">
      <c r="AV98" s="8"/>
    </row>
    <row r="99" spans="48:48" x14ac:dyDescent="0.5">
      <c r="AV99" s="8"/>
    </row>
    <row r="100" spans="48:48" x14ac:dyDescent="0.5">
      <c r="AV100" s="8"/>
    </row>
    <row r="101" spans="48:48" x14ac:dyDescent="0.5">
      <c r="AV101" s="8"/>
    </row>
    <row r="102" spans="48:48" x14ac:dyDescent="0.5">
      <c r="AV102" s="8"/>
    </row>
    <row r="103" spans="48:48" x14ac:dyDescent="0.5">
      <c r="AV103" s="6"/>
    </row>
    <row r="104" spans="48:48" x14ac:dyDescent="0.5">
      <c r="AV104" s="8"/>
    </row>
    <row r="105" spans="48:48" x14ac:dyDescent="0.5">
      <c r="AV105" s="8"/>
    </row>
    <row r="106" spans="48:48" x14ac:dyDescent="0.5">
      <c r="AV106" s="8"/>
    </row>
    <row r="107" spans="48:48" x14ac:dyDescent="0.5">
      <c r="AV107" s="8"/>
    </row>
    <row r="108" spans="48:48" x14ac:dyDescent="0.5">
      <c r="AV108" s="11"/>
    </row>
  </sheetData>
  <sortState xmlns:xlrd2="http://schemas.microsoft.com/office/spreadsheetml/2017/richdata2" ref="AU6:AU66">
    <sortCondition ref="AU5:AU66"/>
  </sortState>
  <mergeCells count="10">
    <mergeCell ref="AL3:AN3"/>
    <mergeCell ref="AO3:AQ3"/>
    <mergeCell ref="AT1:AY1"/>
    <mergeCell ref="S1:AG1"/>
    <mergeCell ref="AL1:AQ1"/>
    <mergeCell ref="L2:Q2"/>
    <mergeCell ref="S2:X2"/>
    <mergeCell ref="Y2:AB2"/>
    <mergeCell ref="AC2:AG2"/>
    <mergeCell ref="AL2:AQ2"/>
  </mergeCells>
  <pageMargins left="0.7" right="0.7" top="0.75" bottom="0.75" header="0.3" footer="0.3"/>
  <legacyDrawing r:id="rId1"/>
  <tableParts count="4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vt:i4>
      </vt:variant>
      <vt:variant>
        <vt:lpstr>Rangos con nombre</vt:lpstr>
      </vt:variant>
      <vt:variant>
        <vt:i4>120</vt:i4>
      </vt:variant>
    </vt:vector>
  </HeadingPairs>
  <TitlesOfParts>
    <vt:vector size="127" baseType="lpstr">
      <vt:lpstr>Paso1 Analisis perfil egreso</vt:lpstr>
      <vt:lpstr>Paso 2 Redacción competen</vt:lpstr>
      <vt:lpstr>Paso 3 Redacción RA </vt:lpstr>
      <vt:lpstr>Paso 4 Estrategias mesocurricu</vt:lpstr>
      <vt:lpstr>Paso 5 Estrategias micro</vt:lpstr>
      <vt:lpstr>Taxonomia para Competencias</vt:lpstr>
      <vt:lpstr>Taxonomias para RA</vt:lpstr>
      <vt:lpstr>'Paso 5 Estrategias micro'!actitudinalB</vt:lpstr>
      <vt:lpstr>actitudinalB</vt:lpstr>
      <vt:lpstr>ActitudinalBAK</vt:lpstr>
      <vt:lpstr>'Paso 5 Estrategias micro'!AK</vt:lpstr>
      <vt:lpstr>AK</vt:lpstr>
      <vt:lpstr>'Paso 5 Estrategias micro'!AnálisisAK</vt:lpstr>
      <vt:lpstr>AnálisisAK</vt:lpstr>
      <vt:lpstr>'Paso 5 Estrategias micro'!AnálisisB</vt:lpstr>
      <vt:lpstr>AnálisisB</vt:lpstr>
      <vt:lpstr>'Paso 5 Estrategias micro'!AnálisisBAK</vt:lpstr>
      <vt:lpstr>AnálisisBAK</vt:lpstr>
      <vt:lpstr>'Paso 5 Estrategias micro'!AnalizarLK</vt:lpstr>
      <vt:lpstr>AnalizarLK</vt:lpstr>
      <vt:lpstr>'Paso 5 Estrategias micro'!AplicaciónB</vt:lpstr>
      <vt:lpstr>AplicaciónB</vt:lpstr>
      <vt:lpstr>'Paso 5 Estrategias micro'!AplicaciónBAK</vt:lpstr>
      <vt:lpstr>AplicaciónBAK</vt:lpstr>
      <vt:lpstr>'Paso 5 Estrategias micro'!AplicarLK</vt:lpstr>
      <vt:lpstr>AplicarLK</vt:lpstr>
      <vt:lpstr>'Paso 5 Estrategias micro'!áreasprofesionales</vt:lpstr>
      <vt:lpstr>áreasprofesionales</vt:lpstr>
      <vt:lpstr>'Paso 5 Estrategias micro'!BAK</vt:lpstr>
      <vt:lpstr>BAK</vt:lpstr>
      <vt:lpstr>Bloom</vt:lpstr>
      <vt:lpstr>'Paso 5 Estrategias micro'!CaracterizarBAK</vt:lpstr>
      <vt:lpstr>CaracterizarBAK</vt:lpstr>
      <vt:lpstr>'Paso 5 Estrategias micro'!Cognitivo</vt:lpstr>
      <vt:lpstr>Cognitivo</vt:lpstr>
      <vt:lpstr>'Paso 5 Estrategias micro'!cognitivoB</vt:lpstr>
      <vt:lpstr>cognitivoB</vt:lpstr>
      <vt:lpstr>CognitivoBAK</vt:lpstr>
      <vt:lpstr>competencias</vt:lpstr>
      <vt:lpstr>ComprenderLK</vt:lpstr>
      <vt:lpstr>'Paso 5 Estrategias micro'!ComprensiónAK</vt:lpstr>
      <vt:lpstr>ComprensiónAK</vt:lpstr>
      <vt:lpstr>'Paso 5 Estrategias micro'!ComprensionB</vt:lpstr>
      <vt:lpstr>ComprensionB</vt:lpstr>
      <vt:lpstr>'Paso 5 Estrategias micro'!ComprensiónBAK</vt:lpstr>
      <vt:lpstr>ComprensiónBAK</vt:lpstr>
      <vt:lpstr>'Paso 5 Estrategias micro'!ConceptosLK</vt:lpstr>
      <vt:lpstr>ConceptosLK</vt:lpstr>
      <vt:lpstr>'Paso 5 Estrategias micro'!ConocimientoB</vt:lpstr>
      <vt:lpstr>ConocimientoB</vt:lpstr>
      <vt:lpstr>'Paso 5 Estrategias micro'!ConocimientoBAK</vt:lpstr>
      <vt:lpstr>ConocimientoBAK</vt:lpstr>
      <vt:lpstr>'Paso 5 Estrategias micro'!Conocimientos</vt:lpstr>
      <vt:lpstr>Conocimientos</vt:lpstr>
      <vt:lpstr>'Paso 5 Estrategias micro'!ControlBAK</vt:lpstr>
      <vt:lpstr>ControlBAK</vt:lpstr>
      <vt:lpstr>'Paso 5 Estrategias micro'!CrearLK</vt:lpstr>
      <vt:lpstr>CrearLK</vt:lpstr>
      <vt:lpstr>dominios</vt:lpstr>
      <vt:lpstr>'Paso 5 Estrategias micro'!EvaluaciónB</vt:lpstr>
      <vt:lpstr>EvaluaciónB</vt:lpstr>
      <vt:lpstr>'Paso 5 Estrategias micro'!EvaluaciónBAK</vt:lpstr>
      <vt:lpstr>EvaluaciónBAK</vt:lpstr>
      <vt:lpstr>EvaluarLK</vt:lpstr>
      <vt:lpstr>'Paso 5 Estrategias micro'!HechosLK</vt:lpstr>
      <vt:lpstr>HechosLK</vt:lpstr>
      <vt:lpstr>'Paso 5 Estrategias micro'!ImitaciónBAK</vt:lpstr>
      <vt:lpstr>ImitaciónBAK</vt:lpstr>
      <vt:lpstr>'Paso 5 Estrategias micro'!InformaciónAK</vt:lpstr>
      <vt:lpstr>InformaciónAK</vt:lpstr>
      <vt:lpstr>'Paso 5 Estrategias micro'!LK</vt:lpstr>
      <vt:lpstr>LK</vt:lpstr>
      <vt:lpstr>'Paso 5 Estrategias micro'!ManipulaciónBAK</vt:lpstr>
      <vt:lpstr>ManipulaciónBAK</vt:lpstr>
      <vt:lpstr>'Paso 5 Estrategias micro'!MetacogniciónAK</vt:lpstr>
      <vt:lpstr>MetacogniciónAK</vt:lpstr>
      <vt:lpstr>'Paso 5 Estrategias micro'!MetacogniciónLK</vt:lpstr>
      <vt:lpstr>MetacogniciónLK</vt:lpstr>
      <vt:lpstr>'Paso 5 Estrategias micro'!MetocogniciónAK</vt:lpstr>
      <vt:lpstr>MetocogniciónAK</vt:lpstr>
      <vt:lpstr>ocupacional</vt:lpstr>
      <vt:lpstr>'Paso 5 Estrategias micro'!OrganizarBAK</vt:lpstr>
      <vt:lpstr>OrganizarBAK</vt:lpstr>
      <vt:lpstr>PercepciónBAK</vt:lpstr>
      <vt:lpstr>'Paso 5 Estrategias micro'!poblacionactuacion</vt:lpstr>
      <vt:lpstr>poblacionactuacion</vt:lpstr>
      <vt:lpstr>'Paso 5 Estrategias micro'!poblaciones</vt:lpstr>
      <vt:lpstr>poblaciones</vt:lpstr>
      <vt:lpstr>'Paso 5 Estrategias micro'!poblacionesactuación</vt:lpstr>
      <vt:lpstr>poblacionesactuación</vt:lpstr>
      <vt:lpstr>'Paso 5 Estrategias micro'!PrecisiónBAK</vt:lpstr>
      <vt:lpstr>PrecisiónBAK</vt:lpstr>
      <vt:lpstr>'Paso 5 Estrategias micro'!procedimentalB</vt:lpstr>
      <vt:lpstr>procedimentalB</vt:lpstr>
      <vt:lpstr>ProcedimentalBAK</vt:lpstr>
      <vt:lpstr>'Paso 5 Estrategias micro'!ProcedimientosLK</vt:lpstr>
      <vt:lpstr>ProcedimientosLK</vt:lpstr>
      <vt:lpstr>'Paso 5 Estrategias micro'!ProcesosAK</vt:lpstr>
      <vt:lpstr>ProcesosAK</vt:lpstr>
      <vt:lpstr>'Paso 5 Estrategias micro'!PsicomotorAK</vt:lpstr>
      <vt:lpstr>PsicomotorAK</vt:lpstr>
      <vt:lpstr>RecordarLK</vt:lpstr>
      <vt:lpstr>RecuperaciónAK</vt:lpstr>
      <vt:lpstr>'Paso 5 Estrategias micro'!ResponderBAK</vt:lpstr>
      <vt:lpstr>ResponderBAK</vt:lpstr>
      <vt:lpstr>resultadoaprendizaje</vt:lpstr>
      <vt:lpstr>Saber</vt:lpstr>
      <vt:lpstr>'Paso 5 Estrategias micro'!Saberhacer</vt:lpstr>
      <vt:lpstr>Saberhacer</vt:lpstr>
      <vt:lpstr>'Paso 5 Estrategias micro'!saberser</vt:lpstr>
      <vt:lpstr>saberser</vt:lpstr>
      <vt:lpstr>'Paso 5 Estrategias micro'!SíntesisB</vt:lpstr>
      <vt:lpstr>SíntesisB</vt:lpstr>
      <vt:lpstr>'Paso 5 Estrategias micro'!SíntesisBAK</vt:lpstr>
      <vt:lpstr>SíntesisBAK</vt:lpstr>
      <vt:lpstr>'Paso 5 Estrategias micro'!tareas</vt:lpstr>
      <vt:lpstr>tareas</vt:lpstr>
      <vt:lpstr>'Paso 5 Estrategias micro'!tareasprofesionales</vt:lpstr>
      <vt:lpstr>tareasprofesionales</vt:lpstr>
      <vt:lpstr>'Paso 5 Estrategias micro'!taxonomiasra</vt:lpstr>
      <vt:lpstr>taxonomiasra</vt:lpstr>
      <vt:lpstr>UsoConocimientoAK</vt:lpstr>
      <vt:lpstr>'Paso 5 Estrategias micro'!Valoragregado</vt:lpstr>
      <vt:lpstr>Valoragregado</vt:lpstr>
      <vt:lpstr>'Paso 5 Estrategias micro'!ValorarBAK</vt:lpstr>
      <vt:lpstr>ValorarBAK</vt:lpstr>
      <vt:lpstr>VerbosCompetencias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Diana Shirley Velasquez Rojas</dc:creator>
  <cp:keywords/>
  <dc:description/>
  <cp:lastModifiedBy>Maria Isabel Cortes Cortes</cp:lastModifiedBy>
  <cp:revision/>
  <dcterms:created xsi:type="dcterms:W3CDTF">2021-03-03T13:22:18Z</dcterms:created>
  <dcterms:modified xsi:type="dcterms:W3CDTF">2026-04-21T20:15:46Z</dcterms:modified>
  <cp:category/>
  <cp:contentStatus/>
</cp:coreProperties>
</file>