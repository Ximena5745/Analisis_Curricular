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comments6.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166925"/>
  <mc:AlternateContent xmlns:mc="http://schemas.openxmlformats.org/markup-compatibility/2006">
    <mc:Choice Requires="x15">
      <x15ac:absPath xmlns:x15ac="http://schemas.microsoft.com/office/spreadsheetml/2010/11/ac" url="https://poligran-my.sharepoint.com/personal/micortes_poligran_edu_co/Documents/Escritorio/01_FormatosRA_ReformaCurricular/"/>
    </mc:Choice>
  </mc:AlternateContent>
  <xr:revisionPtr revIDLastSave="5" documentId="13_ncr:1_{4A644C99-43BB-4A2D-A390-707205923635}" xr6:coauthVersionLast="47" xr6:coauthVersionMax="47" xr10:uidLastSave="{5B1D9F5A-6A37-41C6-87CD-136C38AB25EA}"/>
  <bookViews>
    <workbookView xWindow="-110" yWindow="-110" windowWidth="19420" windowHeight="10300" firstSheet="3" activeTab="4" xr2:uid="{BD68381A-4EB3-42BA-ADD5-D7B5B6C7E498}"/>
  </bookViews>
  <sheets>
    <sheet name="Paso1 Analisis perfil egreso" sheetId="1" r:id="rId1"/>
    <sheet name="Paso 2 Redacción competen" sheetId="6" r:id="rId2"/>
    <sheet name="Paso 3 Redacción RA " sheetId="5" r:id="rId3"/>
    <sheet name="Paso 4 Estrategias mesocurricu" sheetId="8" r:id="rId4"/>
    <sheet name="Paso 5 Estrategias micro" sheetId="7" r:id="rId5"/>
    <sheet name="Taxonomía para competencias" sheetId="10" r:id="rId6"/>
    <sheet name="Taxonomias para RA" sheetId="9" r:id="rId7"/>
  </sheets>
  <definedNames>
    <definedName name="_xlnm._FilterDatabase" localSheetId="4" hidden="1">'Paso 5 Estrategias micro'!$B$1:$Q$30</definedName>
    <definedName name="actitudinalB">Tabla5785[ActitudinalB]</definedName>
    <definedName name="ActitudinalBAK">'Taxonomias para RA'!$AC$3:$AG$3</definedName>
    <definedName name="AK">Tabla5987[AK]</definedName>
    <definedName name="AnálisisB">Tabla385280[AnálisisB]</definedName>
    <definedName name="AnálisisBAK">Tabla3865[AnálisisBAK]</definedName>
    <definedName name="AnálisisMK">Tabla99[AnálisisMK]</definedName>
    <definedName name="AnalizarLK">Tabla2129[AnalizarLK]</definedName>
    <definedName name="AplicaciónB">Tabla375179[AplicaciónB]</definedName>
    <definedName name="AplicaciónBAK">Tabla3764[AplicaciónBAK]</definedName>
    <definedName name="AplicarLK">Tabla2028[AplicarLK]</definedName>
    <definedName name="áreasprofesionales">#REF!</definedName>
    <definedName name="BAK">Tabla5886[BAK]</definedName>
    <definedName name="Bloom">'Taxonomias para RA'!$G$3:$I$3</definedName>
    <definedName name="CaracterizarBAK">Tabla4776[CaracterizarBAK]</definedName>
    <definedName name="Cognitivo">'Paso1 Analisis perfil egreso'!$E$3:$E$16</definedName>
    <definedName name="CognitivoAK">'Taxonomias para RA'!$AL$4:$AQ$4</definedName>
    <definedName name="cognitivoB">Tabla5583[CognitivoB]</definedName>
    <definedName name="CognitivoBAK">'Taxonomias para RA'!$S$3:$X$3</definedName>
    <definedName name="competencias">'Paso 2 Redacción competen'!$F$4:$F$8</definedName>
    <definedName name="ComprenderLK">'Taxonomias para RA'!$AM$5:$AM$27</definedName>
    <definedName name="ComprensionB">Tabla365078[ComprensiónB]</definedName>
    <definedName name="ComprensiónBAK">Tabla3663[ComprensiónBAK]</definedName>
    <definedName name="ComprensiónMK">Tabla98[ComprensiónMK]</definedName>
    <definedName name="ConceptosLK">Tabla91[ConceptosAK]</definedName>
    <definedName name="ConocimientoB">Tabla354977[ConocimientoB]</definedName>
    <definedName name="ConocimientoBAK">Tabla3555[ConocimientoBAK]</definedName>
    <definedName name="Conocimientos">'Paso1 Analisis perfil egreso'!$E$3:$E$16</definedName>
    <definedName name="ControlBAK">Tabla4271[ControlBAK]</definedName>
    <definedName name="CrearLK">Tabla2333[CrearLK]</definedName>
    <definedName name="dominios">'Paso1 Analisis perfil egreso'!$E$2:$G$2</definedName>
    <definedName name="EvaluaciónB">Tabla405482[EvaluaciónB]</definedName>
    <definedName name="EvaluaciónBAK">Tabla4067[EvaluaciónBAK]</definedName>
    <definedName name="EvaluarLK">'Taxonomias para RA'!$AP$5:$AP$46</definedName>
    <definedName name="HechosLK">Tabla90[CognitivoAK]</definedName>
    <definedName name="ImitaciónBAK">Tabla1168[ImitaciónBAK]</definedName>
    <definedName name="ManipulaciónBAK">Tabla3069[ManipulaciónBAK]</definedName>
    <definedName name="MetacogniciónLK">Tabla93[MetacogniciónAK]</definedName>
    <definedName name="MetacogniciónMK">Tabla101[MetacogniciónMK]</definedName>
    <definedName name="MetocogniciónAK">Tabla101[MetacogniciónMK]</definedName>
    <definedName name="MK">Tabla6088[MK]</definedName>
    <definedName name="ocupacional">'Paso1 Analisis perfil egreso'!#REF!</definedName>
    <definedName name="OrganizarBAK">Tabla4675[OrganizarBAK]</definedName>
    <definedName name="PercepciónBAK">'Taxonomias para RA'!$AC$4:$AC$40</definedName>
    <definedName name="poblacionactuacion">#REF!</definedName>
    <definedName name="poblaciones">#REF!</definedName>
    <definedName name="poblacionesactuación">#REF!</definedName>
    <definedName name="PrecisiónBAK">Tabla4170[PrecisiónBAK]</definedName>
    <definedName name="procedimentalB">Tabla5684[ProcedimentalB]</definedName>
    <definedName name="ProcedimentalBAK">'Taxonomias para RA'!$Y$3:$AB$3</definedName>
    <definedName name="ProcedimientosMK">Tabla92[ProcedimientosAK]</definedName>
    <definedName name="ProcesosAK">ProcesosMentalesMK[ProcesosMentalesMK]</definedName>
    <definedName name="PsicomotorMK">Tabla96[PsicomotorMK]</definedName>
    <definedName name="RecordarLK">'Taxonomias para RA'!$AL$5:$AL$27</definedName>
    <definedName name="RecuperaciónMK">'Taxonomias para RA'!$BB$5:$BB$27</definedName>
    <definedName name="ResponderBAK">Tabla4473[ResponderBAK]</definedName>
    <definedName name="resultadoaprendizaje">'Paso 3 Redacción RA '!$I$3:$I$11</definedName>
    <definedName name="Saberhacer">'Paso1 Analisis perfil egreso'!$F$3:$F$15</definedName>
    <definedName name="saberser">'Paso1 Analisis perfil egreso'!$G$3:$G$15</definedName>
    <definedName name="SíntesisB">Tabla395381[SíntesisB]</definedName>
    <definedName name="SíntesisBAK">Tabla3966[SíntesisBAK]</definedName>
    <definedName name="SistemadelYoMK">Tabla11[SistemadelYoMK]</definedName>
    <definedName name="tareas">#REF!</definedName>
    <definedName name="tareasprofesionales">#REF!</definedName>
    <definedName name="taxonomiasra">Tabla1715[Taxonomías]</definedName>
    <definedName name="UsoConocimientoMK">'Taxonomias para RA'!$BE$5:$BE$70</definedName>
    <definedName name="Valoragregado">#REF!</definedName>
    <definedName name="ValorarBAK">Tabla4574[ValorarBAK]</definedName>
    <definedName name="Verboscompetencias">Tabla33103[Verbos Competencias]</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3" i="7" l="1"/>
  <c r="I32" i="7"/>
  <c r="K11" i="7" l="1"/>
  <c r="J11" i="7"/>
  <c r="D31" i="7"/>
  <c r="I31" i="7" l="1"/>
  <c r="K3" i="7" l="1"/>
  <c r="J3" i="7"/>
  <c r="L3" i="7" s="1"/>
  <c r="A30" i="7"/>
  <c r="A29" i="7"/>
  <c r="A28" i="7"/>
  <c r="K28" i="7"/>
  <c r="J28" i="7"/>
  <c r="L28" i="7" s="1"/>
  <c r="A23" i="7"/>
  <c r="A17" i="7"/>
  <c r="A4" i="7"/>
  <c r="A9" i="7"/>
  <c r="A5" i="7"/>
  <c r="A6" i="7"/>
  <c r="A7" i="7"/>
  <c r="A8" i="7"/>
  <c r="A10" i="7"/>
  <c r="A11" i="7"/>
  <c r="A12" i="7"/>
  <c r="A13" i="7"/>
  <c r="A14" i="7"/>
  <c r="A15" i="7"/>
  <c r="A16" i="7"/>
  <c r="A18" i="7"/>
  <c r="A19" i="7"/>
  <c r="A20" i="7"/>
  <c r="A21" i="7"/>
  <c r="A22" i="7"/>
  <c r="A24" i="7"/>
  <c r="A25" i="7"/>
  <c r="A26" i="7"/>
  <c r="A27" i="7"/>
  <c r="A3" i="7"/>
  <c r="J25" i="7" l="1"/>
  <c r="K25" i="7"/>
  <c r="J22" i="7"/>
  <c r="K22" i="7"/>
  <c r="J19" i="7"/>
  <c r="K19" i="7"/>
  <c r="J16" i="7"/>
  <c r="K16" i="7"/>
  <c r="J13" i="7"/>
  <c r="K13" i="7"/>
  <c r="J8" i="7"/>
  <c r="K8" i="7"/>
  <c r="K6" i="7"/>
  <c r="J6" i="7"/>
  <c r="L16" i="7" l="1"/>
  <c r="L8" i="7"/>
  <c r="L6" i="7"/>
  <c r="L19" i="7"/>
  <c r="L22" i="7"/>
  <c r="L25" i="7"/>
  <c r="L13" i="7"/>
  <c r="L11"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C1" authorId="0" shapeId="0" xr:uid="{21A47D5A-E4D2-4053-8BA4-C9D3E99BBD14}">
      <text>
        <r>
          <rPr>
            <sz val="11"/>
            <color theme="1"/>
            <rFont val="Calibri"/>
            <family val="2"/>
            <scheme val="minor"/>
          </rPr>
          <t>Diana Shirley Velásquez Rojas:
Escriba el perfil del egresado que tiene el programa en su documento maestro o el que se haya ajustado de acuerdo con las tendencias o necesidades del entorno que lo hayan generado.</t>
        </r>
      </text>
    </comment>
    <comment ref="E2" authorId="0" shapeId="0" xr:uid="{BF098D7A-8AA7-497C-8346-25E8CAD9D8A7}">
      <text>
        <r>
          <rPr>
            <b/>
            <sz val="9"/>
            <color indexed="81"/>
            <rFont val="Tahoma"/>
            <family val="2"/>
          </rPr>
          <t>Dir. Currículo:</t>
        </r>
        <r>
          <rPr>
            <sz val="9"/>
            <color indexed="81"/>
            <rFont val="Tahoma"/>
            <family val="2"/>
          </rPr>
          <t xml:space="preserve">
Son los conocimientos generales que caracterizan el saber del egresado.</t>
        </r>
      </text>
    </comment>
    <comment ref="F2" authorId="0" shapeId="0" xr:uid="{13665253-EBD5-4ACA-8ADD-D123250A215D}">
      <text>
        <r>
          <rPr>
            <b/>
            <sz val="9"/>
            <color indexed="81"/>
            <rFont val="Tahoma"/>
            <family val="2"/>
          </rPr>
          <t>Dir. Currículo:</t>
        </r>
        <r>
          <rPr>
            <sz val="9"/>
            <color indexed="81"/>
            <rFont val="Tahoma"/>
            <family val="2"/>
          </rPr>
          <t xml:space="preserve">
Es el conocimiento referente a la ejecución de estrategias, técnicas, habilidades, métodos y procedimientos; implican fuerza, rapidez y precisión; hacen referencia a saber cómo hacer y saber hacer.</t>
        </r>
      </text>
    </comment>
    <comment ref="G2" authorId="0" shapeId="0" xr:uid="{A454A21F-5AEC-47FA-AD63-B279B078678D}">
      <text>
        <r>
          <rPr>
            <b/>
            <sz val="9"/>
            <color indexed="81"/>
            <rFont val="Tahoma"/>
            <family val="2"/>
          </rPr>
          <t>Dir. Currículo:</t>
        </r>
        <r>
          <rPr>
            <sz val="9"/>
            <color indexed="81"/>
            <rFont val="Tahoma"/>
            <family val="2"/>
          </rPr>
          <t xml:space="preserve">
Se refiere a cómo debe ser el egresado en el contexto profesional, abarca los principios, normas, condiciones de contexto y reglas, entre otros.</t>
        </r>
      </text>
    </comment>
    <comment ref="H2" authorId="0" shapeId="0" xr:uid="{79591661-65A2-44C3-9322-8C788EAA9143}">
      <text>
        <r>
          <rPr>
            <b/>
            <sz val="9"/>
            <color indexed="81"/>
            <rFont val="Tahoma"/>
            <family val="2"/>
          </rPr>
          <t>Dir. Currículo:</t>
        </r>
        <r>
          <rPr>
            <sz val="9"/>
            <color indexed="81"/>
            <rFont val="Tahoma"/>
            <family val="2"/>
          </rPr>
          <t xml:space="preserve">
Áreas en las que podrá laborar el profesional.</t>
        </r>
      </text>
    </comment>
    <comment ref="I2" authorId="0" shapeId="0" xr:uid="{6219E277-D93F-4144-BB76-E78325F46F14}">
      <text>
        <r>
          <rPr>
            <b/>
            <sz val="9"/>
            <color indexed="81"/>
            <rFont val="Tahoma"/>
            <family val="2"/>
          </rPr>
          <t>Dir. Currículo:</t>
        </r>
        <r>
          <rPr>
            <sz val="9"/>
            <color indexed="81"/>
            <rFont val="Tahoma"/>
            <family val="2"/>
          </rPr>
          <t xml:space="preserve">
Tareas potenciales que hará el profesional.</t>
        </r>
      </text>
    </comment>
    <comment ref="J2" authorId="0" shapeId="0" xr:uid="{82B61287-1E52-4966-9F38-40276C610773}">
      <text>
        <r>
          <rPr>
            <b/>
            <sz val="9"/>
            <color indexed="81"/>
            <rFont val="Tahoma"/>
            <family val="2"/>
          </rPr>
          <t>Dir. Currículo:</t>
        </r>
        <r>
          <rPr>
            <sz val="9"/>
            <color indexed="81"/>
            <rFont val="Tahoma"/>
            <family val="2"/>
          </rPr>
          <t xml:space="preserve">
Poblaciones o contextos donde podrán laborar los profesionales o dónde podrán ejercer su profesión.</t>
        </r>
      </text>
    </comment>
    <comment ref="K2" authorId="0" shapeId="0" xr:uid="{1F50E33F-F17E-46CE-A6F2-470B7CCC159C}">
      <text>
        <r>
          <rPr>
            <b/>
            <sz val="9"/>
            <color indexed="81"/>
            <rFont val="Tahoma"/>
            <family val="2"/>
          </rPr>
          <t>Dir. Currículo:</t>
        </r>
        <r>
          <rPr>
            <sz val="9"/>
            <color indexed="81"/>
            <rFont val="Tahoma"/>
            <family val="2"/>
          </rPr>
          <t xml:space="preserve">
Elementos diferenciales que caracterizan al egresado.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A3" authorId="0" shapeId="0" xr:uid="{AE119CD1-D0D7-4F88-8CD5-00081530DC87}">
      <text>
        <r>
          <rPr>
            <b/>
            <sz val="9"/>
            <color indexed="81"/>
            <rFont val="Tahoma"/>
            <family val="2"/>
          </rPr>
          <t>Dir. Currículo:</t>
        </r>
        <r>
          <rPr>
            <sz val="9"/>
            <color indexed="81"/>
            <rFont val="Tahoma"/>
            <family val="2"/>
          </rPr>
          <t xml:space="preserve">
Respecto al número de competencias a redactar no hay una restricción ni número limitante, solo se debe tener en cuenta que el programa deberá garantizar y demostrar su desarrollo a través del proceso de aprendizaje que lleve a cabo el estudiante y que se desglosarán y declararán por medio de los resultados de aprendizaje.</t>
        </r>
      </text>
    </comment>
    <comment ref="B3" authorId="0" shapeId="0" xr:uid="{A8E80D42-94C0-4781-8FCE-3D3530E25D52}">
      <text>
        <r>
          <rPr>
            <b/>
            <sz val="9"/>
            <color indexed="81"/>
            <rFont val="Tahoma"/>
            <family val="2"/>
          </rPr>
          <t xml:space="preserve">Dir. de Currículo:
</t>
        </r>
        <r>
          <rPr>
            <sz val="9"/>
            <color indexed="81"/>
            <rFont val="Tahoma"/>
            <family val="2"/>
          </rPr>
          <t>Si desea incluir un verbo puede hacerlo en la hoja Taxonomía para competencias, solo procure usar verbos que pueda desagregarse en verbos medibles</t>
        </r>
        <r>
          <rPr>
            <b/>
            <sz val="9"/>
            <color indexed="81"/>
            <rFont val="Tahoma"/>
            <family val="2"/>
          </rPr>
          <t xml:space="preserve">. </t>
        </r>
        <r>
          <rPr>
            <sz val="9"/>
            <color indexed="81"/>
            <rFont val="Tahoma"/>
            <family val="2"/>
          </rPr>
          <t xml:space="preserve">Después de incluirlo podrá elegirlo en la celda que lo requiera.
</t>
        </r>
      </text>
    </comment>
    <comment ref="C3" authorId="0" shapeId="0" xr:uid="{F4110995-1467-4D20-B839-29023BFAEBFF}">
      <text>
        <r>
          <rPr>
            <b/>
            <sz val="9"/>
            <color indexed="81"/>
            <rFont val="Tahoma"/>
            <family val="2"/>
          </rPr>
          <t>Dir. Currículo:</t>
        </r>
        <r>
          <rPr>
            <sz val="9"/>
            <color indexed="81"/>
            <rFont val="Tahoma"/>
            <family val="2"/>
          </rPr>
          <t xml:space="preserve">
Recuerde que el objeto conceptual hace referencia a qué debe saber (conocimientos, hechos, teorías) el egresado cuando termine su formación profesional.</t>
        </r>
      </text>
    </comment>
    <comment ref="D3" authorId="0" shapeId="0" xr:uid="{4E14A77D-E3A8-4B7B-B617-3C89D59C2DC3}">
      <text>
        <r>
          <rPr>
            <b/>
            <sz val="9"/>
            <color indexed="81"/>
            <rFont val="Tahoma"/>
            <family val="2"/>
          </rPr>
          <t>Dir. Currículo:</t>
        </r>
        <r>
          <rPr>
            <sz val="9"/>
            <color indexed="81"/>
            <rFont val="Tahoma"/>
            <family val="2"/>
          </rPr>
          <t xml:space="preserve">
La finalidad se refiere al para qué, se centra en qué es lo que el egresado sabrá hacer (procedimientos, procesos, metodologías, entre otros) con el saber enunciado como objeto conceptual.
El saber hacer o los elementos del componente ocupacional pueden ayudar a declarar la finalidad. Se listaron en la hoja Paso 1.</t>
        </r>
      </text>
    </comment>
    <comment ref="E3" authorId="0" shapeId="0" xr:uid="{60DC37CE-D668-474D-8A19-C4AF0EAA5C5A}">
      <text>
        <r>
          <rPr>
            <b/>
            <sz val="9"/>
            <color indexed="81"/>
            <rFont val="Tahoma"/>
            <family val="2"/>
          </rPr>
          <t>Dir. Currículo:</t>
        </r>
        <r>
          <rPr>
            <sz val="9"/>
            <color indexed="81"/>
            <rFont val="Tahoma"/>
            <family val="2"/>
          </rPr>
          <t xml:space="preserve">
Describe los referentes y parámetros, requerimientos o retos que se necesitan para alcanzar las características del perfil en el contexto donde el egresado se desenvolverá. 
Una pregunta orientadora para diligenciar esta componente es: ¿Qué condición se requiere para que lograr lo establecido en el perfil, en el contexto donde se desenvolverá el egresado? </t>
        </r>
      </text>
    </comment>
    <comment ref="F3" authorId="0" shapeId="0" xr:uid="{8003939F-4001-4AFA-B7C4-32352928747B}">
      <text>
        <r>
          <rPr>
            <b/>
            <sz val="9"/>
            <color indexed="81"/>
            <rFont val="Tahoma"/>
            <family val="2"/>
          </rPr>
          <t>Dir. Currículo:</t>
        </r>
        <r>
          <rPr>
            <sz val="9"/>
            <color indexed="81"/>
            <rFont val="Tahoma"/>
            <family val="2"/>
          </rPr>
          <t xml:space="preserve">
Tenga en cuenta que la competencia indica qué acción hará el egresado con un saber determinado, con un fin asociado a lo que debe saber hacer con el saber y unas condiciones de contexto o referencia, que enmarcan su comportamiento en el ámbito profesional.</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A2" authorId="0" shapeId="0" xr:uid="{219B5E11-E7C0-4E8B-97AE-EB82360ED972}">
      <text>
        <r>
          <rPr>
            <b/>
            <sz val="9"/>
            <color indexed="81"/>
            <rFont val="Tahoma"/>
            <family val="2"/>
          </rPr>
          <t>Dir. Currículo:</t>
        </r>
        <r>
          <rPr>
            <sz val="9"/>
            <color indexed="81"/>
            <rFont val="Tahoma"/>
            <family val="2"/>
          </rPr>
          <t xml:space="preserve">
Recuerde que cada competencia hace referencia a tres dominios que demostrará el estudiante, el cognitivo, el procedimental y el actitudinal o valorativo.
La competencia es lo que demostrará el estudiante en el ámbito profesional y en la academia se implementarán acciones educativas que mostrarán los resultados de lo que el estudiante aprendió y que están orientados a verificar que el estudiante saber, saber hacer y sabe ser en un contexto determinado.</t>
        </r>
      </text>
    </comment>
    <comment ref="B2" authorId="0" shapeId="0" xr:uid="{553B5C01-9AE8-4770-9B69-3C41D7587F56}">
      <text>
        <r>
          <rPr>
            <b/>
            <sz val="9"/>
            <color indexed="81"/>
            <rFont val="Tahoma"/>
            <family val="2"/>
          </rPr>
          <t>Dir. Currículo:</t>
        </r>
        <r>
          <rPr>
            <sz val="9"/>
            <color indexed="81"/>
            <rFont val="Tahoma"/>
            <family val="2"/>
          </rPr>
          <t xml:space="preserve">
Los resultados deben ser concretos, entre más competencias se declaren más resultados se deberán demostrar.</t>
        </r>
      </text>
    </comment>
    <comment ref="C2" authorId="0" shapeId="0" xr:uid="{D8131627-F196-496E-83A7-0A723B34AEBB}">
      <text>
        <r>
          <rPr>
            <b/>
            <sz val="9"/>
            <color indexed="81"/>
            <rFont val="Tahoma"/>
            <family val="2"/>
          </rPr>
          <t>Dir. Currículo:</t>
        </r>
        <r>
          <rPr>
            <sz val="9"/>
            <color indexed="81"/>
            <rFont val="Tahoma"/>
            <family val="2"/>
          </rPr>
          <t xml:space="preserve">
Dado que la competencia se determina por el saber, saber hacer y saber ser, se va a redactar por lo menos un resultado de aprendizaje por cada saber.
Pero puede ocurrir que un resultado sea el mismo para dos o más competencias.</t>
        </r>
      </text>
    </comment>
    <comment ref="D2" authorId="0" shapeId="0" xr:uid="{029DF8E8-3C72-4699-A1B1-3A2203C057D4}">
      <text>
        <r>
          <rPr>
            <b/>
            <sz val="9"/>
            <color indexed="81"/>
            <rFont val="Tahoma"/>
            <family val="2"/>
          </rPr>
          <t>Dir. Currículo:</t>
        </r>
        <r>
          <rPr>
            <sz val="9"/>
            <color indexed="81"/>
            <rFont val="Tahoma"/>
            <family val="2"/>
          </rPr>
          <t xml:space="preserve">
El listado despliega, según el saber elegido en la columna C, lo que se escribió en el paso 1 para ese tipo de saber.</t>
        </r>
      </text>
    </comment>
    <comment ref="E2" authorId="0" shapeId="0" xr:uid="{28C52E8D-E4CF-48B1-9635-51A173F0E866}">
      <text>
        <r>
          <rPr>
            <b/>
            <sz val="9"/>
            <color indexed="81"/>
            <rFont val="Tahoma"/>
            <family val="2"/>
          </rPr>
          <t xml:space="preserve">Dir. Currículo:
</t>
        </r>
        <r>
          <rPr>
            <sz val="9"/>
            <color indexed="81"/>
            <rFont val="Tahoma"/>
            <family val="2"/>
          </rPr>
          <t>Se elije según los conocimientos que se tienen sobre ellas, la más empleada es la de Bloom, pero existen muchas otras.
Si requiere emplear una distinta puede adaptar el formato a sus necesidades.</t>
        </r>
      </text>
    </comment>
    <comment ref="F2" authorId="0" shapeId="0" xr:uid="{BE1AFAE3-AC58-487A-A8AB-89E11F1CCDEA}">
      <text>
        <r>
          <rPr>
            <b/>
            <sz val="9"/>
            <color indexed="81"/>
            <rFont val="Tahoma"/>
            <family val="2"/>
          </rPr>
          <t>Dir. Currículo:</t>
        </r>
        <r>
          <rPr>
            <sz val="9"/>
            <color indexed="81"/>
            <rFont val="Tahoma"/>
            <family val="2"/>
          </rPr>
          <t xml:space="preserve">
En la columna C se indicó el saber que se trabajará por lo que aquí se debe elegir el dominio que debe alcanzar el estudiante.
Recuerde, el saber corresponde al dominio cognitivo en alguna taxonomía, el saber hacer hace referencia al dominio procedimental y el saber ser al dominio actitudinal.</t>
        </r>
      </text>
    </comment>
    <comment ref="G2" authorId="0" shapeId="0" xr:uid="{AAF1445F-E39C-4312-90A1-14054AF028A2}">
      <text>
        <r>
          <rPr>
            <b/>
            <sz val="9"/>
            <color indexed="81"/>
            <rFont val="Tahoma"/>
            <family val="2"/>
          </rPr>
          <t>Dir. Currículo:</t>
        </r>
        <r>
          <rPr>
            <sz val="9"/>
            <color indexed="81"/>
            <rFont val="Tahoma"/>
            <family val="2"/>
          </rPr>
          <t xml:space="preserve">
Las taxonomías se clasifican en niveles, por eso, al elegirlo en la columna E, las filas los despliegan y se selecciona según la coherencia de éste con el dominio por desarrollará. Elegir el nivel permite que en la columna H aparezcan los verbos recomendados.</t>
        </r>
      </text>
    </comment>
    <comment ref="H2" authorId="0" shapeId="0" xr:uid="{7B4A460E-9649-40C7-BFD8-BE954B68C7F3}">
      <text>
        <r>
          <rPr>
            <b/>
            <sz val="9"/>
            <color indexed="81"/>
            <rFont val="Tahoma"/>
            <family val="2"/>
          </rPr>
          <t>Dir. Currículo:</t>
        </r>
        <r>
          <rPr>
            <sz val="9"/>
            <color indexed="81"/>
            <rFont val="Tahoma"/>
            <family val="2"/>
          </rPr>
          <t xml:space="preserve">
En las celdas se despliegan los verbos sugeridos para la categoría seleccionada en la columna G.</t>
        </r>
      </text>
    </comment>
    <comment ref="I2" authorId="0" shapeId="0" xr:uid="{C38B22A1-7462-4A8F-A7C7-9F21D3E7B042}">
      <text>
        <r>
          <rPr>
            <b/>
            <sz val="9"/>
            <color indexed="81"/>
            <rFont val="Tahoma"/>
            <family val="2"/>
          </rPr>
          <t>Dir. Currículo:</t>
        </r>
        <r>
          <rPr>
            <sz val="9"/>
            <color indexed="81"/>
            <rFont val="Tahoma"/>
            <family val="2"/>
          </rPr>
          <t xml:space="preserve">
En las filas de esta columna articule las columnas H y D en una oración que comience por el verbo (col. H), que recaiga sobre el objeto conceptual (col. D) y termine con un complemento de oración, conocida como condición de contexto, que indique para qué, como, con qué, o lo que considere conveniente para dar cierre al resultado de aprendizaje.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B2" authorId="0" shapeId="0" xr:uid="{4FBBD2D6-DC36-4648-89F1-F7D40D2A345D}">
      <text>
        <r>
          <rPr>
            <b/>
            <sz val="9"/>
            <color indexed="81"/>
            <rFont val="Tahoma"/>
            <family val="2"/>
          </rPr>
          <t>Dir. Currículo:</t>
        </r>
        <r>
          <rPr>
            <sz val="9"/>
            <color indexed="81"/>
            <rFont val="Tahoma"/>
            <family val="2"/>
          </rPr>
          <t xml:space="preserve">
Escriba las estrategias que el programa emplea para evaluar los resultados de aprendizaje.</t>
        </r>
      </text>
    </comment>
    <comment ref="D2" authorId="0" shapeId="0" xr:uid="{00DDF55F-44AF-4AB9-97DA-8E74A4D2B530}">
      <text>
        <r>
          <rPr>
            <b/>
            <sz val="9"/>
            <color indexed="81"/>
            <rFont val="Tahoma"/>
            <family val="2"/>
          </rPr>
          <t>Dir. Currículo:</t>
        </r>
        <r>
          <rPr>
            <sz val="9"/>
            <color indexed="81"/>
            <rFont val="Tahoma"/>
            <family val="2"/>
          </rPr>
          <t xml:space="preserve">
Los indicadores de logro, indican cómo cada estrategia contribuye al resultado de aprendizaje y serán aquellos a los que el programa apuntará para ser alcanzados por los estudiantes.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E1" authorId="0" shapeId="0" xr:uid="{5E224E08-24C9-4DAF-AAB9-1B5F114C4BB2}">
      <text>
        <r>
          <rPr>
            <b/>
            <sz val="9"/>
            <color indexed="81"/>
            <rFont val="Tahoma"/>
            <family val="2"/>
          </rPr>
          <t>Dir. Currículo:</t>
        </r>
        <r>
          <rPr>
            <sz val="9"/>
            <color indexed="81"/>
            <rFont val="Tahoma"/>
            <family val="2"/>
          </rPr>
          <t xml:space="preserve">
Los indicadores de logro, indican cómo cada asignatura o módulo contribuye al resultado de aprendizaje y serán aquellos a los que los docentes deberán apuntar para que con sus estrategias sean alcanzados por los estudiantes.</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BG4" authorId="0" shapeId="0" xr:uid="{9607C37A-C8B3-44AC-90C2-DDC4836F9013}">
      <text>
        <r>
          <rPr>
            <b/>
            <sz val="9"/>
            <color indexed="81"/>
            <rFont val="Tahoma"/>
            <family val="2"/>
          </rPr>
          <t>Dir. Currículo:</t>
        </r>
        <r>
          <rPr>
            <sz val="9"/>
            <color indexed="81"/>
            <rFont val="Tahoma"/>
            <family val="2"/>
          </rPr>
          <t xml:space="preserve">
Hay cuatro tipos de pensamiento del sistema del yo que son relevantes para la Nueva Taxonomía: (1) examinar la importancia, (2) examinar la eficacia, (3) examinar la respuesta emocional y (4) examinar la motivación general.</t>
        </r>
      </text>
    </comment>
  </commentList>
</comments>
</file>

<file path=xl/sharedStrings.xml><?xml version="1.0" encoding="utf-8"?>
<sst xmlns="http://schemas.openxmlformats.org/spreadsheetml/2006/main" count="2374" uniqueCount="671">
  <si>
    <t>[Escribir el nombre del programa]</t>
  </si>
  <si>
    <t>[Escribir la modalidad: presencial o virtual]</t>
  </si>
  <si>
    <t>[Escribir el perfil profesional del egresado.]</t>
  </si>
  <si>
    <t>[Escribir el perfil ocupacional del egresado.]</t>
  </si>
  <si>
    <r>
      <rPr>
        <b/>
        <sz val="11"/>
        <color theme="0"/>
        <rFont val="Gill Sans MT"/>
        <family val="2"/>
      </rPr>
      <t>Componentes fundamentales para definir competencias</t>
    </r>
    <r>
      <rPr>
        <b/>
        <sz val="8"/>
        <color theme="0"/>
        <rFont val="Gill Sans MT"/>
        <family val="2"/>
      </rPr>
      <t xml:space="preserve">
</t>
    </r>
    <r>
      <rPr>
        <sz val="8"/>
        <color theme="0"/>
        <rFont val="Gill Sans MT"/>
        <family val="2"/>
      </rPr>
      <t>[Listar las palabras clave, no armar oraciones, respecto qué debe saber el egresado en las categorías de Saber -conocimientos, hechos, teorías-, Saber hacer -técnicas, procedimientos, metodologías-, y Saber ser -valores, condiciones. Esta información se estructura a partir del perfil profesional y cada saber hacer depende del saber ubicado a su izquierda, lo mismo ocurre con el saber ser.]</t>
    </r>
  </si>
  <si>
    <r>
      <rPr>
        <b/>
        <sz val="11"/>
        <color theme="0"/>
        <rFont val="Gill Sans MT"/>
        <family val="2"/>
      </rPr>
      <t>Componentes fundamentales de la ocupación laboral del profesional</t>
    </r>
    <r>
      <rPr>
        <b/>
        <sz val="8"/>
        <color theme="0"/>
        <rFont val="Gill Sans MT"/>
        <family val="2"/>
      </rPr>
      <t xml:space="preserve">
</t>
    </r>
    <r>
      <rPr>
        <sz val="8"/>
        <color theme="0"/>
        <rFont val="Gill Sans MT"/>
        <family val="2"/>
      </rPr>
      <t>[Listar, según lo escrito en el perfil ocupacional, en qué áreas, qué tareas potenciales y en qué poblaciones o contextos podrá laborar el profesional. Esta información es un listado general no requiere dependencia horizontal]</t>
    </r>
  </si>
  <si>
    <r>
      <rPr>
        <b/>
        <sz val="11"/>
        <color theme="0"/>
        <rFont val="Gill Sans MT"/>
        <family val="2"/>
      </rPr>
      <t>Diferencial (valor agregado) del profesional</t>
    </r>
    <r>
      <rPr>
        <b/>
        <sz val="8"/>
        <color theme="0"/>
        <rFont val="Gill Sans MT"/>
        <family val="2"/>
      </rPr>
      <t xml:space="preserve">
</t>
    </r>
    <r>
      <rPr>
        <sz val="8"/>
        <color theme="0"/>
        <rFont val="Gill Sans MT"/>
        <family val="2"/>
      </rPr>
      <t>[Listar, según lo escrito en los perfiles, los elementos que son diferenciales y generan un valor agregado al egresado. Debe ser disciplinar, asociado al perfil, ¿qué es lo que lo hace diferente a otros perfiles similares.]</t>
    </r>
  </si>
  <si>
    <t>Programa</t>
  </si>
  <si>
    <t>Modalidad</t>
  </si>
  <si>
    <t>Perfil profesional</t>
  </si>
  <si>
    <t>Perfil ocupacional</t>
  </si>
  <si>
    <t>Saber</t>
  </si>
  <si>
    <t>Saberhacer</t>
  </si>
  <si>
    <t>Saberser</t>
  </si>
  <si>
    <t>ÁreasProfesionales</t>
  </si>
  <si>
    <t>TareasProfesionales</t>
  </si>
  <si>
    <t>PoblacionesActuacion</t>
  </si>
  <si>
    <t>ValorAgregado</t>
  </si>
  <si>
    <t>Especialización en Gerencia de Mercadeo</t>
  </si>
  <si>
    <t>Virtual</t>
  </si>
  <si>
    <t>El egresado de la Especialización en Gerencia de Mercadeo profundiza en enfoques estratégicos del mercadeo, el comportamiento del consumidor, la investigación e inteligencia de mercados y la gestión comercial, integrando estos conocimientos para evaluar escenarios competitivos y analizar información que respalda la toma de decisiones de mercadeo en las organizaciones. Aplica métodos y herramientas de mercadeo digital, omnicanalidad y experiencia del cliente para proponer, ajustar y operacionalizar estrategias orientadas al fortalecimiento de la marca y al desarrollo comercial. Asimismo, gestiona proyectos y coordina actividades en procesos de planeación comercial y comunicación estratégica, participando en espacios de articulación técnica e interdisciplinaria, con orientación a la generación de valor en contextos organizacionales dinámicos.</t>
  </si>
  <si>
    <t>El egresado de la Especialización en Gerencia de Mercadeo se desempeña en funciones de análisis aplicado y gestión especializada en áreas de mercadeo, comportamiento del consumidor, investigación de mercados, gestión comercial, comunicación y experiencia del cliente en organizaciones de diversos sectores. Participa en la ejecución, seguimiento y ajuste de iniciativas de mercadeo, comerciales, digitales y de marca, y desarrolla acciones de comunicación, posicionamiento y experiencia del cliente que contribuyen a la toma de decisiones organizacionales a partir del análisis del entorno y del desempeño comercial.</t>
  </si>
  <si>
    <t>escenarios competitivos, información del mercado y estudios del comportamiento del consumidor</t>
  </si>
  <si>
    <t>orientar la toma de decisiones de mercadeo</t>
  </si>
  <si>
    <t>con criterio analítico y conceptual,  a partir del uso de datos y evidencias del entorno organizacional</t>
  </si>
  <si>
    <t>Coordinador(a) de Mercadeo/Profesional de Apoyo en Gerencia de Mercadeo/Analista de Mercadeo Estratégico/Gestor(a) de Proyectos de Mercadeo/Consultor(a) Junior en Mercadeo/Analista de Investigación de Mercados/Analista de Inteligencia de Mercados/Profesional de Estudios de Mercado/Analista de Información Comercial/Asistente de Inteligencia de Negocios (Marketing)/Coordinador(a) Comercial/Analista de Gestión Comercial/Profesional de Apoyo a Ventas/Ejecutivo(a) de Desarrollo Comercial/Analista de Indicadores de Ventas/Coordinador(a) de Mercadeo Digital/Analista de Mercadeo Digital/Gestor(a) de Contenidos Digitales/Coordinador(a) de E-commerce/Analista de Canales Digitales y Omnicanalidad/Coordinador(a) de Marca/Analista de Comunicación Estratégica/Profesional de Comunicaciones de Mercadeo/Gestor(a) de Marca y Posicionamiento/Coordinador(a) de Comunicaciones Integradas de Mercadeo/Coordinador(a) de Experiencia del Cliente (CX)/Analista de CRM/Gestor(a) de Relacionamiento con Clientes/Profesional de Fidelización y Retención/Analista de Servicio y Experiencia del Cliente/Coordinador(a) de Planeación de Mercadeo/Analista de Planeación Comercial/Gestor(a) de Proyectos de Mercadeo/Profesional de Apoyo Estratégico en Mercadeo/Analista de Proyectos Comerciales.</t>
  </si>
  <si>
    <t>Analizar información del mercado, la competencia y el consumidor para apoyar la toma de decisiones mercadológicas/Evaluar escenarios competitivos y tendencias del entorno económico y sectorial/Interpretar datos provenientes de estudios de mercado y fuentes secundarias/Participar en la formulación, ajuste y seguimiento de planes estratégicos de mercadeo/Apoyar la definición de objetivos, estrategias y tácticas de mercadeo alineadas con los objetivos organizacionales/Coordinar actividades relacionadas con la ejecución del plan de mercadeo/Aplicar métodos de investigación cualitativa y cuantitativa para el análisis del mercado y del consumidor/Procesar y analizar información para generar insumos que orienten decisiones de mercadeo/Elaborar informes de investigación y análisis de inteligencia de mercados/Apoyar el diseño, implementación y seguimiento de estrategias de mercadeo digital/Analizar el desempeño de canales digitales, e-commerce y puntos de contacto omnicanal/Proponer ajustes a estrategias digitales a partir de métricas y analítica/Implementar tácticas de comunicación y posicionamiento de marca/Coordinar acciones de comunicaciones integradas de mercadeo/Apoyar el desarrollo y seguimiento de planes de comunicación estratégica/Diseñar y dar seguimiento a iniciativas de experiencia del cliente y CRM/Analizar métricas de satisfacción, fidelización y valor del cliente/Proponer acciones de mejora en los puntos de contacto con el cliente/Analizar indicadores de gestión comercial y desempeño de ventas/Apoyar la planeación y seguimiento de estrategias comerciales/Coordinar acciones entre las áreas de mercadeo y ventas/Gestionar y hacer seguimiento a proyectos de mercadeo/Coordinar recursos, cronogramas y actividades de proyectos comerciales y de mercadeo/Elaborar informes de avance y resultados de proyectos/Realizar seguimiento a indicadores de desempeño de mercadeo y comerciales/Evaluar resultados de campañas, estrategias y proyectos de mercadeo/Proponer acciones de mejora basadas en análisis de desempeño/Participar en equipos de trabajo interdisciplinarios/Articular acciones de mercadeo con áreas como ventas, comunicación, finanzas y operaciones/Apoyar procesos de toma de decisiones organizacionales desde el ámbito del mercadeo.</t>
  </si>
  <si>
    <t>Empresas privadas de bienes y servicios en sectores tradicionales y emergentes/Empresas y proyectos de base digital y tecnológica, incluyendo startups y plataformas digitales/Agencias y firmas especializadas en marketing, comunicación estratégica, publicidad, medios, investigación de mercados, mercadeo digital y experiencia del cliente/Consultoras en estrategia, innovación, analítica y desarrollo de negocios/Entidades públicas, mixtas y organizaciones sociales que requieren gestión estratégica de mercados y comunicación/Centros de investigación aplicada y unidades de análisis de datos/Emprendimientos y unidades de negocio propias en etapas de creación, crecimiento o consolidación.</t>
  </si>
  <si>
    <t>La Especialización en Gerencia de Mercadeo se distingue por su enfoque integral, aplicado y orientado a la toma de decisiones estratégicas, que articula el análisis del mercado y del consumidor, la investigación e inteligencia de mercados, la gestión comercial y la integración de estrategias digitales, omnicanales y de experiencia del cliente. El programa incorpora la gestión de relaciones con clientes (CRM) y la experiencia del cliente (CX) como factores de desarrollo para la generación de valor y la sostenibilidad comercial, y adopta una visión sistémica del mercadeo que conecta el análisis, la evaluación y la aplicación de estrategias, fortaleciendo la capacidad del egresado para generar valor, coordinar proyectos y apoyar la competitividad de las organizaciones en contextos empresariales dinámicos y altamente competitivos.</t>
  </si>
  <si>
    <t>estrategias de mercadeo, comunicación, marca y experiencia del cliente</t>
  </si>
  <si>
    <t>proponer ajustes orientados al fortalecimiento de la marca, el desarrollo comercial y el crecimiento organizacional</t>
  </si>
  <si>
    <t>en coherencia con los objetivos estratégicos y las dinámicas del mercado.</t>
  </si>
  <si>
    <t>métodos y herramientas de mercadeo digital, omnicanalidad y experiencia del cliente</t>
  </si>
  <si>
    <t>ejecutar acciones de mercadeo derivadas de estrategias definidas</t>
  </si>
  <si>
    <t>con orientación a la generación de valor en función de las dinámicas del mercado</t>
  </si>
  <si>
    <t>[Enumerar las competencias que se van a declarar.]</t>
  </si>
  <si>
    <t>[A partir de la celda B2 dar clic sobre el ícono de lista desplegable y elegir el verbo que considere adecuado.]</t>
  </si>
  <si>
    <t>[A partir de la celda C2 dar clic sobre la lista desplegable y elegir el saber extraído del perfil de egreso.]</t>
  </si>
  <si>
    <t>[Escribir para qué se abordará el saber elegido. Se sugiere apoyarse en el saber hacer.]</t>
  </si>
  <si>
    <t>[Escribir la condición describiendo los referentes, parámetros, principios, requerimientos o retos que se necesitan para alcanzar las características del perfil en el contexto donde el egresado se desenvolverá.]</t>
  </si>
  <si>
    <t>[Articular los componentes. Iniciar con el verbo, continuar con el objeto conceptual, luego la finalidad y condición de contexto o referencia; estos últimos no requieren un orden particular.]</t>
  </si>
  <si>
    <t>[Escribir el tipo de competencia del perfil: Específica (si es del bloque Disciplinar para pregrado o de los componentes para el caso de posgrado) o Genérica (si aplica bloque institucional pregrado)]</t>
  </si>
  <si>
    <t>No.</t>
  </si>
  <si>
    <t>Verbo competencia</t>
  </si>
  <si>
    <t>Objeto conceptual</t>
  </si>
  <si>
    <t>Finalidad</t>
  </si>
  <si>
    <t>Condición de contexto o referencia</t>
  </si>
  <si>
    <t>Redacción competencia</t>
  </si>
  <si>
    <t>Tipo competencia</t>
  </si>
  <si>
    <t>Diagnosticar</t>
  </si>
  <si>
    <t>Diagnosticar escenarios competitivos, información del mercado y estudios del comportamiento del consumidor, para orientar la toma de decisiones de mercadeo con criterio analítico y conceptual.</t>
  </si>
  <si>
    <t>Específica</t>
  </si>
  <si>
    <t>Evaluar</t>
  </si>
  <si>
    <t>Evaluar estrategias de mercadeo, comunicación, marca y experiencia del cliente, para proponer ajustes orientados al fortalecimiento de la marca, el desarrollo comercial y el crecimiento organizacional, en coherencia con los objetivos estratégicos y las dinámicas del mercado.</t>
  </si>
  <si>
    <t>Implementar</t>
  </si>
  <si>
    <t>Implementar métodos y herramientas de mercadeo digital, omnicanalidad y experiencia del cliente, para ejecutar acciones de mercadeo derivadas de estrategias definidas, con orientación a la generación de valor en función de las dinámicas del mercado.</t>
  </si>
  <si>
    <t xml:space="preserve"> </t>
  </si>
  <si>
    <t>[A partir de la celda A2 dar clic en la lista desplegable y seleccionar la competencia redactada en el paso 2.]</t>
  </si>
  <si>
    <t>[Enumerar los resultados de aprendizaje que se van a declarar.]</t>
  </si>
  <si>
    <t>[A partir de la celda C2, dar clic en la lista desplegable y elegir el tipo de dominio a tratar en el resultado de aprendizaje.]</t>
  </si>
  <si>
    <t>[A partir de la cela D2, dar clic en la lista desplegable y elegir el saber correspondiente al dominio.]</t>
  </si>
  <si>
    <t>[A partir de la celda E2, dar clic en la lista desplegable y elegir la  taxonomía que se considere adecuada, solo se elige una para todos los saberes.]</t>
  </si>
  <si>
    <t>[A partir de la celda F2, dar clic en la lista desplegable y elegir el dominio que se considera adecuado.]</t>
  </si>
  <si>
    <t>[A partir de la celda G2, dar clic en la lista desplegable y elegir el nivel del dominio que se considera adecuado.]</t>
  </si>
  <si>
    <t>[A partir de la celda H2, dar clic en la lista desplegable y elegir el verbo que se considera adecuado.]</t>
  </si>
  <si>
    <t>[Iniciar con el verbo elegido (columna H), en infinitivo, luego el objeto sobre el cual recae la acción (columna D) y finalmente la condición de contexto (académico, disciplinar, social u otro).]</t>
  </si>
  <si>
    <t>Competencia por desarrollar</t>
  </si>
  <si>
    <t>Número de resultado</t>
  </si>
  <si>
    <t>TipoSaber</t>
  </si>
  <si>
    <t>SaberAsociado</t>
  </si>
  <si>
    <t>Taxonomía</t>
  </si>
  <si>
    <t>Dominio Asociado</t>
  </si>
  <si>
    <t>Nivel Dominio</t>
  </si>
  <si>
    <t>Verbo RA</t>
  </si>
  <si>
    <t>Resultados Aprendizaje</t>
  </si>
  <si>
    <t>Bloom</t>
  </si>
  <si>
    <t>CognitivoB</t>
  </si>
  <si>
    <t>AnálisisB</t>
  </si>
  <si>
    <t>Analizar</t>
  </si>
  <si>
    <t>Analiza escenarios competitivos, información del mercado y estudios del comportamiento del consumidor para establecer criterios estratégicos que orienten la toma de decisiones de mercadeo.</t>
  </si>
  <si>
    <t>ProcedimentalB</t>
  </si>
  <si>
    <t>AplicaciónB</t>
  </si>
  <si>
    <t>Aplicar</t>
  </si>
  <si>
    <t>Aplica métodos y herramientas de mercadeo estratégico, digital, omnicanal y de experiencia del cliente para diseñar acciones de mercadeo derivadas de estrategias definidas.</t>
  </si>
  <si>
    <t>ActitudinalB</t>
  </si>
  <si>
    <t>EvaluaciónB</t>
  </si>
  <si>
    <t>Evalúa decisiones y acciones de mercadeo para determinar su alineación con los objetivos estratégicos y su aporte a la generación de valor en contextos dinámicos de mercado.</t>
  </si>
  <si>
    <t>[A partir de la celda A3 despliegue el(los) resultado(s) de aprendizaje y elegir aquel (aquellos)  al(a los) que se contribuye desde la estrategia.]</t>
  </si>
  <si>
    <t>[Escribir el nombre de la estrategia a desarrollar. Participación de los estudiantes en cursos, talleres, seminarios, conferencias, pruebas estandarizadas, investigaciones, actividades o experiencias, cuerpos académicos, redes, comunidades, la elaboración de textos y materiales, así como las publicaciones, entre otros.]</t>
  </si>
  <si>
    <t>[Describir la(s) estrategia(s) definidas por el programa.]</t>
  </si>
  <si>
    <t>[Escribir los indicadores de impacto de la estrategia. Se sugieren indicadores como: Valora el nivel de contribución de la estrategia a los resultados de aprendizaje; Número de estudiantes que participan en la estrategia; Número de veces que se realiza la estrategia, entre otros.]</t>
  </si>
  <si>
    <t>[Escribir las acciones de retroalimentación que usará el programa para comunicar a los estudiantes sobre el alcance de sus resultados de aprendizaje.]</t>
  </si>
  <si>
    <t>[Escribir, para cada indicador con qué instrumento se recogerá información para evidenciar el (los) impacto (s) declarados. Encuesta, lista de asistencia, informe, entre otros.]</t>
  </si>
  <si>
    <t>Resultado de aprendizaje</t>
  </si>
  <si>
    <t>Estrategia del programa</t>
  </si>
  <si>
    <t>Descripción</t>
  </si>
  <si>
    <t>Indicador de Impacto de la Estrategia</t>
  </si>
  <si>
    <t>Acciones de retroalimentación para los estudiantes</t>
  </si>
  <si>
    <t>Instrumentos de medición</t>
  </si>
  <si>
    <t>Incorporate: Ejecutivos Destacados</t>
  </si>
  <si>
    <t>Espacio académico en el que ejecutivos de empresas reconocidas comparten con los estudiantes casos empresariales de éxito y experiencias de su ejercicio profesional, fortaleciendo el vínculo entre la teoría y la práctica profesional.</t>
  </si>
  <si>
    <t>Número de estudiantes que participan en la estrategia anualmente.</t>
  </si>
  <si>
    <t>Formar a los estudiantes mediante el aprendizaje logrado a partir de los casos de éxito compartidos por profesionales del sector, promoviendo la conexión entre la teoría y la práctica.</t>
  </si>
  <si>
    <t>Listados de participación</t>
  </si>
  <si>
    <t>Número de empresas que participan en la actividad de aprendizaje por anualidad.</t>
  </si>
  <si>
    <t>Número de veces que se realiza la estrategia anualmente.</t>
  </si>
  <si>
    <t>Informe o Reporte</t>
  </si>
  <si>
    <t>Valoración del nivel de aporte de la estrategia a los resultados de aprendizaje del programa.</t>
  </si>
  <si>
    <t>Encuesta de valoración</t>
  </si>
  <si>
    <t>Feedback: Experiencias Educativas</t>
  </si>
  <si>
    <t>Encuentro entre egresados y estudiantes actuales del programa, para socializar la experiencia educativa en el POLI y su impacto en el desarrollo profesional y personal, promoviendo el sentido de pertenencia institucional.</t>
  </si>
  <si>
    <t>Número de estudiantes y egresados que participan en la estrategia anualmente.</t>
  </si>
  <si>
    <t>Informar y ayudar a decidir a los estudiantes mediante el intercambio con egresados, para que reconozcan las oportunidades, desafíos y proyecciones del campo profesional, orientando sus decisiones académicas y laborales.</t>
  </si>
  <si>
    <t>Working Together: Retos</t>
  </si>
  <si>
    <t>Estrategia de aula invertida y trabajo colaborativo entre academia y empresa, en la que los estudiantes enfrentan situaciones reales del entorno organizacional para diseñar soluciones de mercadeo y comunicación.</t>
  </si>
  <si>
    <t>Formar al propiciar experiencias de aprendizaje basadas en retos colaborativos con empresas, que fortalecen la resolución de problemas reales y preparan al estudiante para enfrentar escenarios laborales complejos.</t>
  </si>
  <si>
    <t>Marketing Boulevard</t>
  </si>
  <si>
    <t>Estrategia de comunicación, relacionamiento y divulgación académica que fomenta el trabajo en red con instituciones nacionales e internacionales, para promover el intercambio de conocimiento e investigación en mercadeo y comunicación.</t>
  </si>
  <si>
    <t>Informar y formar sobre las tendencias, investigaciones y buenas prácticas del sector, promoviendo el pensamiento crítico y el aprendizaje continuo a través del intercambio académico con expertos nacionales e internacionales.</t>
  </si>
  <si>
    <t>Listas de participación</t>
  </si>
  <si>
    <t>Poli Digital Day</t>
  </si>
  <si>
    <t>Evento académico que aborda temáticas especializadas en mercadeo y publicidad digital, con la participación de invitados expertos del sector que comparten tendencias, herramientas y casos de éxito.</t>
  </si>
  <si>
    <t>Formar e informar a los estudiantes sobre las tendencias del mercadeo y la publicidad digital, fortaleciendo competencias tecnológicas y estratégicas orientadas al entorno digital.</t>
  </si>
  <si>
    <t>Seminario Internacional</t>
  </si>
  <si>
    <t>Espacio académico en el que expertos presentan y desarrollan un tema específico de la disciplina. En este escenario, los estudiantes elaboran y exponen trabajos de aplicación relacionados con los conceptos abordados, lo que permite profundizar en su comprensión y favorecer la discusión académica.</t>
  </si>
  <si>
    <t>Informar y formar a los estudiantes en temas de gerencia, estrategia, investigación, mercadeo y publicidad, que permitan fortalecer las teorías, los conceptos y las buenas prácticas de la Gerencia de Mercadeo en el sector empresarial.</t>
  </si>
  <si>
    <t>Número de trabajos desarrollados que apliquen las temáticas vistas en el seminario.</t>
  </si>
  <si>
    <t>Misión Académica</t>
  </si>
  <si>
    <t xml:space="preserve">Viajes académicos grupales de corta duración (entre una y dos semanas) en las que se desarrollan actividades con componentes académicos, empresariales o culturales. </t>
  </si>
  <si>
    <t>[Estas celdas se diligencian automáticamente. No ajustar.]</t>
  </si>
  <si>
    <t>[A partir de la celda A3 despliegue el(los) resultado(s) de aprendizaje y elija aquel (aquellos) al(a los) que se contribuye desde la asignatura o módulo).]</t>
  </si>
  <si>
    <t>[Escribir el semestre en el que se cursa la asignatura o módulo.]</t>
  </si>
  <si>
    <t>[Escribir el nombre de la asignatura o módulo que contribuye al logro del resultado de aprendizaje.]</t>
  </si>
  <si>
    <t>[Redactar los indicadores iniciando con el verbo en presente indicativo, luego el objeto conceptual y finalmente el complemento de oración (que indique una condición o finalidad, con, para, de, entre otros conectores).]</t>
  </si>
  <si>
    <t> [Escribir la tipología: T (teórico), P (Práctico), TP (Teórico Práctico)]</t>
  </si>
  <si>
    <t>[Marcar con X el bloque o componente al que pertenece la asignatura o módulo. Por favor ajustar para posgrado, eliminar una columna y ubicar los títulos C.Fundamentación y C.Profundización.]</t>
  </si>
  <si>
    <t>[Escribir el número de créditos de la asignatura o módulo]</t>
  </si>
  <si>
    <t>[Escribir el número de horas de trabajo directo: 16*# o 12*#, para presencial o virtual, según sea el caso.]</t>
  </si>
  <si>
    <t>[Escribir el número de horas de trabajo independiente: 32*# columna J o 36*# columna J, para presencial o virtual, respectivamente.]</t>
  </si>
  <si>
    <t>[Escribir la suma de los números de horas de las dos celdas anteriores.]</t>
  </si>
  <si>
    <t>[Escribir el nombre de los cuatro núcleos temáticos que abordará la asignatura o el módulo.]</t>
  </si>
  <si>
    <t>[Escribir las lecturas, talleres, análisis, referentes, etc., que realiza el estudiante, clasificadas en trabajo directo e independiente.]</t>
  </si>
  <si>
    <t xml:space="preserve">[Escribir las actividades de evaluación que se emplean para identificar el alcance del (de los) indicador(es) de logro(s).] </t>
  </si>
  <si>
    <t>[Escribir las acciones de retroalimentación que se emplearán en la asignatura o módulo, para retroalimentar a los estudiantes respecto al alcance de los indicadores de logro. Recordar que son cuatro acciones: informar, formar, prevenir y ayudar a tomar decisiones e indique cómo.]</t>
  </si>
  <si>
    <t>Tipo de Saber</t>
  </si>
  <si>
    <t>Semestre</t>
  </si>
  <si>
    <t>Nombre asignatura o módulo</t>
  </si>
  <si>
    <t>Indicadores de logro asignatura o módulo</t>
  </si>
  <si>
    <t>Tipología</t>
  </si>
  <si>
    <t>C.Fudamentación</t>
  </si>
  <si>
    <t>C.Profundización</t>
  </si>
  <si>
    <t>Créditos</t>
  </si>
  <si>
    <t>Número de horas trabajo directo</t>
  </si>
  <si>
    <t>Número de horas trabajo independiente</t>
  </si>
  <si>
    <t>Total de horas</t>
  </si>
  <si>
    <t>Núcleos temáticos</t>
  </si>
  <si>
    <t>Actividades de aprendizaje</t>
  </si>
  <si>
    <t>Actividades de evaluación</t>
  </si>
  <si>
    <t>Acciones de retroalimentación</t>
  </si>
  <si>
    <t>Gerencia Estratégica de Mercadeo</t>
  </si>
  <si>
    <t>Analiza los fundamentos y las variables estratégicas del mercadeo para establecer lineamientos orientados a la gerencia estratégica del mercadeo desde una perspectiva de liderazgo.</t>
  </si>
  <si>
    <t>TP</t>
  </si>
  <si>
    <t>X</t>
  </si>
  <si>
    <t>1. Fundamentos y rol estratégico del mercadeo.
2. Identificación y análisis estratégico de las variables de mercadeo.
3. Dirección, control y evaluación estratégica del mercadeo.
4. Gestión del cambio, innovación y liderazgo estratégico.</t>
  </si>
  <si>
    <t>Trabajo directo:
Encuentros sincrónicos, mensajería interna, foros generales, anuncios.  
Trabajo independiente: 
Lecturas Fundamentales y complementarias
Anuncios
Foros
Actividades de refuerzo y recursos del modulo</t>
  </si>
  <si>
    <t>Evaluación diagnóstica (semana 1 - Cuestionario inicial de, mínimo, cinco preguntas, que recopila información sobre el conocimiento previo o las habilidades del estudiante).
Actividad formativa (semana 2 - Foro individual o grupal, creado para que el estudiante participe activamente en la construcción de su conocimiento y desarrollo de habilidades. Varía entre una actividad entregable y la participación en un foro).
Actividad de entrega 1 (semana 4 - Actividad individual o grupal, diseñada para evaluar de manera integral el nivel de conocimiento, comprensión y el desempeño de los indicadores de logro. Varía entre entregas independientes o secuenciales).
Actividad formativa (semana 6 - Foro individual o grupal, creado para que el estudiante participe activamente en la construcción de su conocimiento y desarrollo de habilidades. Varía entre una actividad entregable y la participación en un foro).
Actividad de entrega 2 (semana 7 - Actividad individual o grupal, diseñada para evaluar de manera integral el nivel de conocimiento, comprensión y el desempeño de los indicadores de logro. Varía entre entregas independientes o secuenciales).
Autoevaluación (semana 8 - Cuestionario final de, mínimo, cinco preguntas, en el cual el estudiante reflexiona sobre su propio desempeño, habilidades y resultados en un contexto específico).</t>
  </si>
  <si>
    <t xml:space="preserve">Las acciones retroalimentación varían entre las siguientes, según las condiciones que identifique el tutor.
Formar: donde se crean las condiciones para que los estudiantes adquieran conocimientos, habilidades, actitudes, aptitudes y destrezas. Además, debe promover su desarrollo integral y debe acompañarlos en las situaciones académicas que enfrenten durante el desarrollo de un módulo o una asignatura.  
Informar: para que los estudiantes identifiquen los cambios que pueden afectarlos directa o indirectamente tanto en el aula de clase como en otros espacios. 
Prevenir: con el fin de anticiparse a las situaciones académicas que pueden representar dificultad para los estudiantes. Esto se logra a través de la interacción individual con los estudiantes y del completo conocimiento del contexto educativo en que el tutor se desenvuelve.
Ayudar a decidir: donde se orienta a los estudiantes para que tomen la mejor decisión ante una situación concreta. El objetivo es que el estudiante fortalezca su autonomía y la toma de decisiones responsable. </t>
  </si>
  <si>
    <t>Comportamiento del Consumidor</t>
  </si>
  <si>
    <t>Analiza los patrones y procesos de decisión del consumidor para determinar criterios estratégicos que orienten acciones de mercadeo que generen valor.</t>
  </si>
  <si>
    <t>1. Fundamentos del comportamiento del consumidor y su rol estratégico en el mercadeo.
2. Procesos psicológicos y de decisión del consumidor.
3. Influencias sociales y culturales en el comportamiento del consumidor.
4. Aplicación estratégica e investigación del comportamiento del consumidor.</t>
  </si>
  <si>
    <t>Actividad de puntos evaluables (semana 2 – Cuestionario de 5 preguntas).
Entrega previa 1 (semana 3 - Laboratorio, taller, ejercicios, resolución de casos o de problemas, desarrollo de procesos o ejecución de propuestas. Entrega de forma individual o grupal, según indicaciones del profesor).
Parcial (semana 4 - Cuestionarios de entre 15 y 20 preguntas).
Entrega previa 2 (semana 5 - Laboratorio, taller, ejercicios, resolución de casos o de problemas, desarrollo de procesos o ejecución de propuestas. Entrega de forma individual o grupal, según indicaciones dadas por el profesor).
Entrega final (semana 7 - Laboratorio, taller, ejercicios, resolución de casos o de problemas, desarrollo de procesos o ejecución de propuestas. Entrega de forma individual o grupal, según indicaciones dadas por el profesor).
Evaluación final (semana 8 - Cuestionario de entre 15 y 20 preguntas).</t>
  </si>
  <si>
    <t xml:space="preserve">Formar: donde se crean las condiciones para que los estudiantes adquieran conocimientos, habilidades, actitudes, aptitudes y destrezas. Además, debe promover su desarrollo integral y debe acompañarlos en las situaciones académicas que enfrenten durante el desarrollo de un módulo o una asignatura.  
Informar: para que los estudiantes identifiquen los cambios que pueden afectarlos directa o indirectamente tanto en el aula de clase como en otros espacios. 
Prevenir: con el fin de anticiparse a las situaciones académicas que pueden representar dificultad para los estudiantes. Esto se logra a través de la interacción individual con los estudiantes y del completo conocimiento del contexto educativo en que el tutor se desenvuelve.
Ayudar a decidir: donde se orienta a los estudiantes para que tomen la mejor decisión ante una situación concreta. El objetivo es que el estudiante fortalezca su autonomía y la toma de decisiones responsable. </t>
  </si>
  <si>
    <t>Comunicación Estratégica</t>
  </si>
  <si>
    <t>Identifica los procesos de comunicación y las herramientas de las comunicaciones integradas de mercadeo, para estructurar un Plan Estratégico de Comunicación (PEC) orientado a la creación de valor.</t>
  </si>
  <si>
    <t>1. Conceptualización de la Comunicación Estratégica y las Comunicaciones Integradas de Mercadeo (CIM).
2. Herramientas de las Comunicaciones Integradas de Mercadeo (CIM).
3. Análisis y diseño del Plan Estratégico de Comunicación (PEC) y definición de la mezcla de comunicación.
4. Implementación, evaluación y control del Plan Estratégico de Comunicación (PEC).</t>
  </si>
  <si>
    <t xml:space="preserve">Trabajo directo 
Sincrónico
Clases magistrales activas
Estudios de caso
Lectura de artículos científicos
Cuadernillo de ejercicios prácticos
Asincrónico
Mensajería a través de Teams, Drive o Correo electrónico
Trabajo independiente
Lecturas complementarias (en segunda lengua)
Talleres
Uso de recursos audiovisuales y tecnológicos
</t>
  </si>
  <si>
    <t>Habilidades Gerenciales</t>
  </si>
  <si>
    <t>Desarrolla estrategias para la productividad a través de propuestas  que evidencian la gestión del tiempo basado los propósitos laborales, personales, familiares y sociales para la generación de valor.
Propone acciones estratégicas reconociendo los diferentes enfoques de liderazgo para la solución de problemáticas organizaciones en diversos contextos
Diseña  modelos para desarrollar habilidades de negociación a través de acciones  que le permitan lograr los propósitos laborales, personales, familiares y sociales.</t>
  </si>
  <si>
    <t>Evaluación formativa:
Preguntas intercalas en la sesiones sincrónicas.
Respuesta a los foros de dudas y a la mensajería interna. 
Realimentación de entregables: ensayo, artículo, cuadro comparativo, revisión y foro analítico o argumentativo documental.
Evaluación sumativa:
Entrega proyecto #01.
Entrega proyecto #02.
Entrega final y sustentación del proyecto.</t>
  </si>
  <si>
    <t>Investigación e Inteligencia de Mercados</t>
  </si>
  <si>
    <t>Aplica métodos de investigación y sistemas de inteligencia de mercados para determinar criterios que orienten decisiones estratégicas de mercadeo en situaciones de estudio.</t>
  </si>
  <si>
    <t>1.  Fundamentos y formulación de proyectos de investigación de mercados.
2. Diseño metodológico: investigaciones exploratorias y concluyentes.
3. Muestreo, análisis de datos y comunicación de resultados.
4. Sistemas de información e inteligencia de mercados.</t>
  </si>
  <si>
    <t>Estrategias de CRM y CX</t>
  </si>
  <si>
    <t>Aplica datos y procesos automatizados de CRM y CX para diseñar estrategias de relacionamiento y experiencia del cliente.</t>
  </si>
  <si>
    <t>1. Fundamentos de CRM y CX.
2. Diseño de estrategias de CX.
3. Automatización, tecnología y datos.
4. Fidelización y relacionamiento.</t>
  </si>
  <si>
    <t>Mercadeo Digital y Social Media</t>
  </si>
  <si>
    <t>Aplica fundamentos de mercadeo digital y social media para diseñar propuestas estratégicas sustentadas en información de analítica digital.</t>
  </si>
  <si>
    <t>1. Fundamentos del mercadeo digital y ecosistemas transmedia.
2. Social Media Marketing, gestión de contenidos y comunidad.
3. Publicidad y analítica digital, Paid Media, performance marketing  y optimización de campañas.
4. Estrategia digital integrada, automatización y analítica avanzada.</t>
  </si>
  <si>
    <t>Distribución, E-commerce y Omnicanalidad</t>
  </si>
  <si>
    <t>Analiza alternativas de distribución, e-commerce y omnicanalidad para proponer procesos comerciales en entornos físicos o digitales.</t>
  </si>
  <si>
    <t xml:space="preserve">1. Fundamentos de distribución y canales comerciales.
2. E-commerce: modelos, operación y logística.
3. Omnicanalidad y ecosistemas integrados.
4. Tecnologías, analítica y optimización.
</t>
  </si>
  <si>
    <t xml:space="preserve">Trabajo directo 
Sincrónico
Clases magistrales activas
Estudios de caso
Lectura de artículos científicos
Cuadernillo de ejercicios prácticos
Asincrónico
Mensajería a través de Teams, Drive o Correo electrónico
Trabajo independiente
Lecturas complementarias (en segunda lengua)
Talleres
Uso de recursos audiovisuales y tecnológicos"
</t>
  </si>
  <si>
    <t>Gerencia Comercial</t>
  </si>
  <si>
    <t>Aplica indicadores y métricas de gestión comercial para formular estrategias de ventas y relaciones comerciales.</t>
  </si>
  <si>
    <t>1. Fundamentos y dirección de la gestión comercial.
2. Estrategias de ventas y relaciones comerciales.
3. Indicadores, métricas y gestión del desempeño comercial.
4. Liderazgo, talento comercial y transformación comercial.</t>
  </si>
  <si>
    <t>Planeación Estratégica de Mercadeo</t>
  </si>
  <si>
    <t>Formula estrategias de mercadeo a partir del diagnóstico del mercado y la organización, para integrar criterios de innovación, sostenibilidad y ética en un plan estratégico.</t>
  </si>
  <si>
    <t>1. Fundamentos de la planeación estratégica de mercadeo y análisis del entorno.
2. Formulación de estrategias de mercadeo.
3. Implementación, control y evaluación estratégica.
4. Innovación, sostenibilidad y ética en la estrategia de mercadeo.</t>
  </si>
  <si>
    <t>II</t>
  </si>
  <si>
    <t>Total módulos del programa</t>
  </si>
  <si>
    <t>Total créditos programa</t>
  </si>
  <si>
    <t>Total créditos fundamentación</t>
  </si>
  <si>
    <t>Total créditos profundización</t>
  </si>
  <si>
    <t>Verbos Competencias</t>
  </si>
  <si>
    <r>
      <rPr>
        <b/>
        <sz val="11"/>
        <color theme="0"/>
        <rFont val="Calibri"/>
        <family val="2"/>
        <scheme val="minor"/>
      </rPr>
      <t>Observación:</t>
    </r>
    <r>
      <rPr>
        <sz val="11"/>
        <color theme="0"/>
        <rFont val="Calibri"/>
        <family val="2"/>
        <scheme val="minor"/>
      </rPr>
      <t xml:space="preserve"> estos verbos son solo algunos y se pueden agregar tantos como se requieran; solo hay que tener en cuenta que debe estar al nivel de un perfil profesional.</t>
    </r>
  </si>
  <si>
    <t>Actualizar</t>
  </si>
  <si>
    <t>Administrar</t>
  </si>
  <si>
    <t>Asegurar</t>
  </si>
  <si>
    <t>Asesorar</t>
  </si>
  <si>
    <t>Auditar</t>
  </si>
  <si>
    <t>Comunicar</t>
  </si>
  <si>
    <t>Conducir</t>
  </si>
  <si>
    <t>Conocer</t>
  </si>
  <si>
    <t>Coordinar</t>
  </si>
  <si>
    <t>Definir</t>
  </si>
  <si>
    <t>Desarrollar</t>
  </si>
  <si>
    <t>Dirigir</t>
  </si>
  <si>
    <t>Diseñar</t>
  </si>
  <si>
    <t>Dominar</t>
  </si>
  <si>
    <t>Establecer</t>
  </si>
  <si>
    <t>Fiscalizar</t>
  </si>
  <si>
    <t>Formular</t>
  </si>
  <si>
    <t>Generar</t>
  </si>
  <si>
    <t>Gestionar</t>
  </si>
  <si>
    <t>Hacer</t>
  </si>
  <si>
    <t>Liderar</t>
  </si>
  <si>
    <t>Modelar</t>
  </si>
  <si>
    <t>Participar</t>
  </si>
  <si>
    <t>Planear</t>
  </si>
  <si>
    <t>Presidir</t>
  </si>
  <si>
    <t>Producir</t>
  </si>
  <si>
    <t>Resolver</t>
  </si>
  <si>
    <t>Sistematizar</t>
  </si>
  <si>
    <t>Supervisar</t>
  </si>
  <si>
    <t>Transformar</t>
  </si>
  <si>
    <t>Validar</t>
  </si>
  <si>
    <t>Valorar</t>
  </si>
  <si>
    <t>Verificar</t>
  </si>
  <si>
    <t>Taxonomía de Bloom Adaptada con las propuestas de Anderson y Krathwohl</t>
  </si>
  <si>
    <t>Taxonomía de Anderson y Krathwohl (AK)</t>
  </si>
  <si>
    <t>Taxonomía de Marzano y Kendal (MK)</t>
  </si>
  <si>
    <t>Taxonomía de Bloom</t>
  </si>
  <si>
    <t>Cognitivo(BAK)</t>
  </si>
  <si>
    <t>Procedimental(BAK)</t>
  </si>
  <si>
    <t>Actitudinal(BAK)</t>
  </si>
  <si>
    <t>Taxonomías</t>
  </si>
  <si>
    <t>BAK</t>
  </si>
  <si>
    <t>AK</t>
  </si>
  <si>
    <t>MK</t>
  </si>
  <si>
    <t>ConocimientoB</t>
  </si>
  <si>
    <t>ComprensiónB</t>
  </si>
  <si>
    <t>SíntesisB</t>
  </si>
  <si>
    <t>ConocimientoBAK</t>
  </si>
  <si>
    <t>ComprensiónBAK</t>
  </si>
  <si>
    <t>AplicaciónBAK</t>
  </si>
  <si>
    <t>AnálisisBAK</t>
  </si>
  <si>
    <t>SíntesisBAK</t>
  </si>
  <si>
    <t>EvaluaciónBAK</t>
  </si>
  <si>
    <t>ImitaciónBAK</t>
  </si>
  <si>
    <t>ManipulaciónBAK</t>
  </si>
  <si>
    <t>PrecisiónBAK</t>
  </si>
  <si>
    <t>ControlBAK</t>
  </si>
  <si>
    <t>PercepciónBAK</t>
  </si>
  <si>
    <t>ResponderBAK</t>
  </si>
  <si>
    <t>ValorarBAK</t>
  </si>
  <si>
    <t>OrganizarBAK</t>
  </si>
  <si>
    <t>CaracterizarBAK</t>
  </si>
  <si>
    <t>CognitivoInf(AK)</t>
  </si>
  <si>
    <t>CognitivoSup(AK)</t>
  </si>
  <si>
    <t>Procedimental(AK)</t>
  </si>
  <si>
    <t>Actitudinal(AK)</t>
  </si>
  <si>
    <t>CognitivoBAK</t>
  </si>
  <si>
    <t>HechosAK</t>
  </si>
  <si>
    <t>InformaciónMK</t>
  </si>
  <si>
    <t>Adquirir</t>
  </si>
  <si>
    <t>Aislar</t>
  </si>
  <si>
    <t>Adaptar</t>
  </si>
  <si>
    <t>Aconsejar</t>
  </si>
  <si>
    <t>Ajustar</t>
  </si>
  <si>
    <t>Direccionar</t>
  </si>
  <si>
    <t>Disponer</t>
  </si>
  <si>
    <t>Remover</t>
  </si>
  <si>
    <t>Aprobar</t>
  </si>
  <si>
    <t>Adoptar</t>
  </si>
  <si>
    <t>Extraer</t>
  </si>
  <si>
    <t>Negociar</t>
  </si>
  <si>
    <t>RecordarLK</t>
  </si>
  <si>
    <t>ComprenderLK</t>
  </si>
  <si>
    <t>AplicarLK</t>
  </si>
  <si>
    <t>AnalizarLK</t>
  </si>
  <si>
    <t>EvaluarLK</t>
  </si>
  <si>
    <t>CrearLK</t>
  </si>
  <si>
    <t>RecuperaciónMK</t>
  </si>
  <si>
    <t>ComprensiónMK</t>
  </si>
  <si>
    <t>AnálisisMK</t>
  </si>
  <si>
    <t>UsoConocimientoMK</t>
  </si>
  <si>
    <t>MetacogniciónMK</t>
  </si>
  <si>
    <t>SistemadelYoMK</t>
  </si>
  <si>
    <t>ProcedimentalBAK</t>
  </si>
  <si>
    <t>ConceptosAK</t>
  </si>
  <si>
    <t>ProcesosMentalesMK</t>
  </si>
  <si>
    <t>Buscar</t>
  </si>
  <si>
    <t>Bosquejar</t>
  </si>
  <si>
    <t>Calisificar</t>
  </si>
  <si>
    <t>Adjuntar</t>
  </si>
  <si>
    <t>Desmontar</t>
  </si>
  <si>
    <t>Quitar</t>
  </si>
  <si>
    <t>Autorizar</t>
  </si>
  <si>
    <t>Resumir</t>
  </si>
  <si>
    <t>Ofrecer</t>
  </si>
  <si>
    <t>Afirmar</t>
  </si>
  <si>
    <t>Clasificar</t>
  </si>
  <si>
    <t>Actuar</t>
  </si>
  <si>
    <t>Agrupar</t>
  </si>
  <si>
    <t>Aceptar</t>
  </si>
  <si>
    <t>ActitudinalBAK</t>
  </si>
  <si>
    <t>ProcedimientoslAK</t>
  </si>
  <si>
    <t>PsicomotorMK</t>
  </si>
  <si>
    <t>Citar</t>
  </si>
  <si>
    <t>Comentar</t>
  </si>
  <si>
    <t>Combinar</t>
  </si>
  <si>
    <t>Calcular</t>
  </si>
  <si>
    <t>Arreglar</t>
  </si>
  <si>
    <t>Agregar</t>
  </si>
  <si>
    <t>Modificar</t>
  </si>
  <si>
    <t>Dramatizar</t>
  </si>
  <si>
    <t>Apalancar</t>
  </si>
  <si>
    <t>Suprimir</t>
  </si>
  <si>
    <t>Demostrar</t>
  </si>
  <si>
    <t>Promover</t>
  </si>
  <si>
    <t>Comparar</t>
  </si>
  <si>
    <t>Añadir</t>
  </si>
  <si>
    <t>Elaborar</t>
  </si>
  <si>
    <t>Adelantar</t>
  </si>
  <si>
    <t>MetacogniciónAK</t>
  </si>
  <si>
    <t>Consignar</t>
  </si>
  <si>
    <t>Componer</t>
  </si>
  <si>
    <t>Categorizar</t>
  </si>
  <si>
    <t>Alinear</t>
  </si>
  <si>
    <t>Concretar</t>
  </si>
  <si>
    <t>Docificar</t>
  </si>
  <si>
    <t>Levantar</t>
  </si>
  <si>
    <t>Eliminar</t>
  </si>
  <si>
    <t>Comportarse bajo condiciones</t>
  </si>
  <si>
    <t>Copiar</t>
  </si>
  <si>
    <t>Contrastar</t>
  </si>
  <si>
    <t>Asumir</t>
  </si>
  <si>
    <t>Apoyar</t>
  </si>
  <si>
    <t>Maximizar</t>
  </si>
  <si>
    <t>Afinar</t>
  </si>
  <si>
    <t>Decir</t>
  </si>
  <si>
    <t>Convertir</t>
  </si>
  <si>
    <t>Articular</t>
  </si>
  <si>
    <t>Arbitrar</t>
  </si>
  <si>
    <t>Dibujar</t>
  </si>
  <si>
    <t>Estimular</t>
  </si>
  <si>
    <t>Retirar</t>
  </si>
  <si>
    <t>Ratificar</t>
  </si>
  <si>
    <t>Fomentar</t>
  </si>
  <si>
    <t>Completar</t>
  </si>
  <si>
    <t>Buscar similitudes</t>
  </si>
  <si>
    <t>Argumentar</t>
  </si>
  <si>
    <t>Mejorar</t>
  </si>
  <si>
    <t>Agradecer</t>
  </si>
  <si>
    <t>Criticar</t>
  </si>
  <si>
    <t>Construir</t>
  </si>
  <si>
    <t>Considerar</t>
  </si>
  <si>
    <t>Aumentar</t>
  </si>
  <si>
    <t>Trazar</t>
  </si>
  <si>
    <t>Localizar</t>
  </si>
  <si>
    <t>Extirpar</t>
  </si>
  <si>
    <t>Manejar</t>
  </si>
  <si>
    <t>Apreciar</t>
  </si>
  <si>
    <t>Anticipar</t>
  </si>
  <si>
    <t>Discutir</t>
  </si>
  <si>
    <t>Conectar</t>
  </si>
  <si>
    <t>Cambiar</t>
  </si>
  <si>
    <t>Minimizar</t>
  </si>
  <si>
    <t>Ambicionar</t>
  </si>
  <si>
    <t>Deletrear</t>
  </si>
  <si>
    <t>Dar ejemplos</t>
  </si>
  <si>
    <t>Ubicar</t>
  </si>
  <si>
    <t>Disipar</t>
  </si>
  <si>
    <t>Guiar</t>
  </si>
  <si>
    <t>Comprender</t>
  </si>
  <si>
    <t>Proponer</t>
  </si>
  <si>
    <t>Acabar</t>
  </si>
  <si>
    <t>Ejemplificar</t>
  </si>
  <si>
    <t xml:space="preserve">Construir </t>
  </si>
  <si>
    <t>Centrarse</t>
  </si>
  <si>
    <t>Anhelar</t>
  </si>
  <si>
    <t>CognitivoAK</t>
  </si>
  <si>
    <t>ProcedimientosAK</t>
  </si>
  <si>
    <t>Debatir</t>
  </si>
  <si>
    <t>Determinar</t>
  </si>
  <si>
    <t>Atar</t>
  </si>
  <si>
    <t>Encontrar</t>
  </si>
  <si>
    <t>Realizar</t>
  </si>
  <si>
    <t>Hablar</t>
  </si>
  <si>
    <t>Defender</t>
  </si>
  <si>
    <t>Terminar</t>
  </si>
  <si>
    <t xml:space="preserve">Duplicar </t>
  </si>
  <si>
    <t>Esquematizar</t>
  </si>
  <si>
    <t>Pensar</t>
  </si>
  <si>
    <t>RecordarAK</t>
  </si>
  <si>
    <t>Describir</t>
  </si>
  <si>
    <t>Cuestionar</t>
  </si>
  <si>
    <t>Computar</t>
  </si>
  <si>
    <t>Perforar</t>
  </si>
  <si>
    <t>Colocar</t>
  </si>
  <si>
    <t>Reproducir</t>
  </si>
  <si>
    <t>Emplear</t>
  </si>
  <si>
    <t>Estimar</t>
  </si>
  <si>
    <t>Proteger</t>
  </si>
  <si>
    <t>Contextualizar</t>
  </si>
  <si>
    <t>Elegir</t>
  </si>
  <si>
    <t>Explicar</t>
  </si>
  <si>
    <t>Correlacionar</t>
  </si>
  <si>
    <t>Compilar</t>
  </si>
  <si>
    <t xml:space="preserve">Planear </t>
  </si>
  <si>
    <t>ComprenderAK</t>
  </si>
  <si>
    <t>ComprendeAK</t>
  </si>
  <si>
    <t>Desplegar</t>
  </si>
  <si>
    <t>Discriminar</t>
  </si>
  <si>
    <t>Concluir</t>
  </si>
  <si>
    <t>Calificar</t>
  </si>
  <si>
    <t>Organizar</t>
  </si>
  <si>
    <t>Ejercitar</t>
  </si>
  <si>
    <t>Traducir</t>
  </si>
  <si>
    <t>Cooperar</t>
  </si>
  <si>
    <t>Tasar</t>
  </si>
  <si>
    <t>Escribir</t>
  </si>
  <si>
    <t>Expresar</t>
  </si>
  <si>
    <t>Descomponer</t>
  </si>
  <si>
    <t>AplicarAK</t>
  </si>
  <si>
    <t>Enseñar</t>
  </si>
  <si>
    <t>Deducir</t>
  </si>
  <si>
    <t>Censurar</t>
  </si>
  <si>
    <t>Ordenar</t>
  </si>
  <si>
    <t>Hallar</t>
  </si>
  <si>
    <t>Entregar</t>
  </si>
  <si>
    <t>Admitir</t>
  </si>
  <si>
    <t>Colaborar</t>
  </si>
  <si>
    <t>Aspirar</t>
  </si>
  <si>
    <t>Leer</t>
  </si>
  <si>
    <t>Generalizar</t>
  </si>
  <si>
    <t>Diferenciar</t>
  </si>
  <si>
    <t>Reescribir</t>
  </si>
  <si>
    <t>Asistir</t>
  </si>
  <si>
    <t>AnalizarAK</t>
  </si>
  <si>
    <t>Situar</t>
  </si>
  <si>
    <t>Actuar recíprocamente</t>
  </si>
  <si>
    <t>Listar</t>
  </si>
  <si>
    <t>Ilustrar</t>
  </si>
  <si>
    <t>Distinguir</t>
  </si>
  <si>
    <t>Convencer</t>
  </si>
  <si>
    <t>Simplificar</t>
  </si>
  <si>
    <t>EvaluarAK</t>
  </si>
  <si>
    <t>Duplicar</t>
  </si>
  <si>
    <t>Detectar</t>
  </si>
  <si>
    <t>Crear</t>
  </si>
  <si>
    <t>Acordar</t>
  </si>
  <si>
    <t>Bajar</t>
  </si>
  <si>
    <t>Obrar recíprocamente</t>
  </si>
  <si>
    <t>Discernir</t>
  </si>
  <si>
    <t>Inferir</t>
  </si>
  <si>
    <t>Dividir</t>
  </si>
  <si>
    <t>Suponer</t>
  </si>
  <si>
    <t>Atender</t>
  </si>
  <si>
    <t>CrearAK</t>
  </si>
  <si>
    <t>Etiquetar</t>
  </si>
  <si>
    <t>Diagramar</t>
  </si>
  <si>
    <t>Decidir</t>
  </si>
  <si>
    <t>Manipular</t>
  </si>
  <si>
    <t>Reparar</t>
  </si>
  <si>
    <t>Recitar</t>
  </si>
  <si>
    <t>Creer</t>
  </si>
  <si>
    <t>Percibir</t>
  </si>
  <si>
    <t>Memorizar</t>
  </si>
  <si>
    <t xml:space="preserve">Informar </t>
  </si>
  <si>
    <t>Entrevistar</t>
  </si>
  <si>
    <t>Sustituir</t>
  </si>
  <si>
    <t>Examinar</t>
  </si>
  <si>
    <t>Emparejar</t>
  </si>
  <si>
    <t>Conformar</t>
  </si>
  <si>
    <t>Armar</t>
  </si>
  <si>
    <t>Ser partidario de</t>
  </si>
  <si>
    <t>Identificar</t>
  </si>
  <si>
    <t>Juzgar</t>
  </si>
  <si>
    <t>Mostrar</t>
  </si>
  <si>
    <t>Interpretar</t>
  </si>
  <si>
    <t>Hacer uso</t>
  </si>
  <si>
    <t>Teorizar</t>
  </si>
  <si>
    <t>Derivar</t>
  </si>
  <si>
    <t>Constrastar</t>
  </si>
  <si>
    <t>Ensamblar</t>
  </si>
  <si>
    <t>Medir</t>
  </si>
  <si>
    <t>Reemplazar</t>
  </si>
  <si>
    <t>Enumerar</t>
  </si>
  <si>
    <t>Cuidar</t>
  </si>
  <si>
    <t>Reconocer</t>
  </si>
  <si>
    <t>Nombrar</t>
  </si>
  <si>
    <t>Encuestar</t>
  </si>
  <si>
    <t>Testar</t>
  </si>
  <si>
    <t>Grabar</t>
  </si>
  <si>
    <t>Exponer</t>
  </si>
  <si>
    <t>Contabilizar</t>
  </si>
  <si>
    <t>Reunir</t>
  </si>
  <si>
    <t>Ejecutar</t>
  </si>
  <si>
    <t>Racionar</t>
  </si>
  <si>
    <t>Preguntar</t>
  </si>
  <si>
    <t>Narrar</t>
  </si>
  <si>
    <t>Observar</t>
  </si>
  <si>
    <t>Controlar</t>
  </si>
  <si>
    <t>Explorar</t>
  </si>
  <si>
    <t>Separer</t>
  </si>
  <si>
    <t>Reponer</t>
  </si>
  <si>
    <t>Interrogar</t>
  </si>
  <si>
    <t>Referir</t>
  </si>
  <si>
    <t>Servir</t>
  </si>
  <si>
    <t>Omitir</t>
  </si>
  <si>
    <t>Parafrasear</t>
  </si>
  <si>
    <t>Visualizar</t>
  </si>
  <si>
    <t>Aunar</t>
  </si>
  <si>
    <t>Estructurar</t>
  </si>
  <si>
    <t>Desempeñar</t>
  </si>
  <si>
    <t>Corregir</t>
  </si>
  <si>
    <t>Edificar</t>
  </si>
  <si>
    <t>Publicar</t>
  </si>
  <si>
    <t>Preocuparse de o por</t>
  </si>
  <si>
    <t>Cumplir</t>
  </si>
  <si>
    <t>Rastrear</t>
  </si>
  <si>
    <t>Predecir</t>
  </si>
  <si>
    <t>Encajar</t>
  </si>
  <si>
    <t>Repartir</t>
  </si>
  <si>
    <t>Asisitir</t>
  </si>
  <si>
    <t>Ejercer</t>
  </si>
  <si>
    <t>Inspeccionar</t>
  </si>
  <si>
    <t>Descubrir</t>
  </si>
  <si>
    <t>Experimentar</t>
  </si>
  <si>
    <t>Mezclar</t>
  </si>
  <si>
    <t>Seleccionar</t>
  </si>
  <si>
    <t>Relacionar</t>
  </si>
  <si>
    <t>Practicar</t>
  </si>
  <si>
    <t>Investigar</t>
  </si>
  <si>
    <t>Constatar</t>
  </si>
  <si>
    <t>Mostar</t>
  </si>
  <si>
    <t>Culminar</t>
  </si>
  <si>
    <t>Preparar</t>
  </si>
  <si>
    <t>Acceder</t>
  </si>
  <si>
    <t>Porcionar</t>
  </si>
  <si>
    <t>Correr</t>
  </si>
  <si>
    <t>Escoger</t>
  </si>
  <si>
    <t>Motivar</t>
  </si>
  <si>
    <t>Compartir</t>
  </si>
  <si>
    <t>Indicar</t>
  </si>
  <si>
    <t>Inventariar</t>
  </si>
  <si>
    <t>Llevar</t>
  </si>
  <si>
    <t>Ocupar</t>
  </si>
  <si>
    <t>Relatar</t>
  </si>
  <si>
    <t>Soportar</t>
  </si>
  <si>
    <t>Revisar</t>
  </si>
  <si>
    <t>Numerar</t>
  </si>
  <si>
    <t>Convocar</t>
  </si>
  <si>
    <t>Revelar</t>
  </si>
  <si>
    <t>Repetir</t>
  </si>
  <si>
    <t>Mover</t>
  </si>
  <si>
    <t>Seguir</t>
  </si>
  <si>
    <t>Contar</t>
  </si>
  <si>
    <t>Unir</t>
  </si>
  <si>
    <t>Exteriorizar</t>
  </si>
  <si>
    <t>Simular</t>
  </si>
  <si>
    <t>Obtener</t>
  </si>
  <si>
    <t>Estudiar</t>
  </si>
  <si>
    <t>Comprobar</t>
  </si>
  <si>
    <t>Maniobrar</t>
  </si>
  <si>
    <t>Trasladar</t>
  </si>
  <si>
    <t>Informar</t>
  </si>
  <si>
    <t>Transferir</t>
  </si>
  <si>
    <t>Priorizar</t>
  </si>
  <si>
    <t>Extender</t>
  </si>
  <si>
    <t>Figurar</t>
  </si>
  <si>
    <t>Escuchar</t>
  </si>
  <si>
    <t>Probar</t>
  </si>
  <si>
    <t>Esculpir</t>
  </si>
  <si>
    <t>Anotar</t>
  </si>
  <si>
    <t>Usar</t>
  </si>
  <si>
    <t>Razonar</t>
  </si>
  <si>
    <t>Hipotetizar</t>
  </si>
  <si>
    <t>Emitir</t>
  </si>
  <si>
    <t>Entallar</t>
  </si>
  <si>
    <t>Proporcionar</t>
  </si>
  <si>
    <t>Reorganizar</t>
  </si>
  <si>
    <t>Influir</t>
  </si>
  <si>
    <t>Presentar</t>
  </si>
  <si>
    <t>Operar</t>
  </si>
  <si>
    <t>Registrar</t>
  </si>
  <si>
    <t>Abrir</t>
  </si>
  <si>
    <t>Resaltar</t>
  </si>
  <si>
    <t>Innovar</t>
  </si>
  <si>
    <t>Limpiar</t>
  </si>
  <si>
    <t>Destapar</t>
  </si>
  <si>
    <t>Coser</t>
  </si>
  <si>
    <t>Contribuir</t>
  </si>
  <si>
    <t>Separar</t>
  </si>
  <si>
    <t>Justificar</t>
  </si>
  <si>
    <t>Reportar</t>
  </si>
  <si>
    <t>Patronar</t>
  </si>
  <si>
    <t>Filtrar</t>
  </si>
  <si>
    <t>Instalar</t>
  </si>
  <si>
    <t>Comenzar</t>
  </si>
  <si>
    <t>Soldar</t>
  </si>
  <si>
    <t>Provocar</t>
  </si>
  <si>
    <t>Subdividir</t>
  </si>
  <si>
    <t>Poner</t>
  </si>
  <si>
    <t>Recordar</t>
  </si>
  <si>
    <t>Recoger</t>
  </si>
  <si>
    <t>Opinar</t>
  </si>
  <si>
    <t>Introducir</t>
  </si>
  <si>
    <t>Recaudar</t>
  </si>
  <si>
    <t>Impulsar</t>
  </si>
  <si>
    <t>Originar</t>
  </si>
  <si>
    <t>Inventar</t>
  </si>
  <si>
    <t>Juntar</t>
  </si>
  <si>
    <t>Finalizar</t>
  </si>
  <si>
    <t>Ampliar</t>
  </si>
  <si>
    <t>Ensanchar</t>
  </si>
  <si>
    <t>Persuadir</t>
  </si>
  <si>
    <t>Formar</t>
  </si>
  <si>
    <t>Cotejar</t>
  </si>
  <si>
    <t>Premiar</t>
  </si>
  <si>
    <t>Repasar</t>
  </si>
  <si>
    <t>Rotular</t>
  </si>
  <si>
    <t>Empaquetar</t>
  </si>
  <si>
    <t>Balancear</t>
  </si>
  <si>
    <t>Recomendar</t>
  </si>
  <si>
    <t>Marcar</t>
  </si>
  <si>
    <t>Envasar</t>
  </si>
  <si>
    <t>Subrayar</t>
  </si>
  <si>
    <t>Pintar</t>
  </si>
  <si>
    <t>Cortar</t>
  </si>
  <si>
    <t>Recortar</t>
  </si>
  <si>
    <t>Sincronizar</t>
  </si>
  <si>
    <t>Bailar</t>
  </si>
  <si>
    <t>Perfeccionar</t>
  </si>
  <si>
    <t>Peritar</t>
  </si>
  <si>
    <t>Planificar</t>
  </si>
  <si>
    <t>Pronosticar</t>
  </si>
  <si>
    <t>Señalar</t>
  </si>
  <si>
    <t>Difundir</t>
  </si>
  <si>
    <t>Tocar</t>
  </si>
  <si>
    <t>Transmitir</t>
  </si>
  <si>
    <t>Representar</t>
  </si>
  <si>
    <t>Tapizar</t>
  </si>
  <si>
    <t>Entrenar</t>
  </si>
  <si>
    <t>Proyectar</t>
  </si>
  <si>
    <t>Sacar</t>
  </si>
  <si>
    <t>Utilizar</t>
  </si>
  <si>
    <t>Sugerir</t>
  </si>
  <si>
    <t>Imprimir</t>
  </si>
  <si>
    <t>Ponderar</t>
  </si>
  <si>
    <t>Estampar</t>
  </si>
  <si>
    <t>Mecanizar</t>
  </si>
  <si>
    <t>Industrializar</t>
  </si>
  <si>
    <t>Codificar</t>
  </si>
  <si>
    <t>Fabricar</t>
  </si>
  <si>
    <t>Vincular</t>
  </si>
  <si>
    <t>Reducir</t>
  </si>
  <si>
    <t>Mitigar</t>
  </si>
  <si>
    <t>1. Gestión del tiempo.
2. Liderazgo. 
3. Técnicas de negociación. 
4. Trabajo en equipo.</t>
  </si>
  <si>
    <t>Elementos para redactar las competencias que desarrollará el programa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</si>
</sst>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20" x14ac:knownFonts="1">
    <font>
      <sz val="11"/>
      <color theme="1"/>
      <name val="Calibri"/>
      <family val="2"/>
      <scheme val="minor"/>
    </font>
    <font>
      <sz val="9"/>
      <color indexed="81"/>
      <name val="Tahoma"/>
      <family val="2"/>
    </font>
    <font>
      <b/>
      <sz val="9"/>
      <color indexed="81"/>
      <name val="Tahoma"/>
      <family val="2"/>
    </font>
    <font>
      <sz val="11"/>
      <color theme="1"/>
      <name val="Gill Sans MT"/>
      <family val="2"/>
    </font>
    <font>
      <sz val="11"/>
      <color rgb="FF000000"/>
      <name val="Gill Sans MT"/>
      <family val="2"/>
    </font>
    <font>
      <b/>
      <sz val="11"/>
      <color theme="0"/>
      <name val="Gill Sans MT"/>
      <family val="2"/>
    </font>
    <font>
      <sz val="11"/>
      <color theme="0"/>
      <name val="Gill Sans MT"/>
      <family val="2"/>
    </font>
    <font>
      <b/>
      <sz val="11"/>
      <name val="Gill Sans MT"/>
      <family val="2"/>
    </font>
    <font>
      <b/>
      <sz val="9"/>
      <color theme="0"/>
      <name val="Gill Sans MT"/>
      <family val="2"/>
    </font>
    <font>
      <sz val="11"/>
      <name val="Gill Sans MT"/>
      <family val="2"/>
    </font>
    <font>
      <sz val="8"/>
      <color theme="0"/>
      <name val="Gill Sans MT"/>
      <family val="2"/>
    </font>
    <font>
      <b/>
      <sz val="11"/>
      <color theme="0"/>
      <name val="Calibri"/>
      <family val="2"/>
      <scheme val="minor"/>
    </font>
    <font>
      <sz val="11"/>
      <color theme="0"/>
      <name val="Calibri"/>
      <family val="2"/>
      <scheme val="minor"/>
    </font>
    <font>
      <b/>
      <sz val="11"/>
      <color rgb="FFFFFFFF"/>
      <name val="Gill Sans MT"/>
      <family val="2"/>
    </font>
    <font>
      <sz val="8"/>
      <color rgb="FFFFFFFF"/>
      <name val="Gill Sans MT"/>
      <family val="2"/>
    </font>
    <font>
      <b/>
      <sz val="8"/>
      <color theme="0"/>
      <name val="Gill Sans MT"/>
      <family val="2"/>
    </font>
    <font>
      <sz val="8"/>
      <color rgb="FF000000"/>
      <name val="Gill Sans MT"/>
      <family val="2"/>
    </font>
    <font>
      <sz val="8"/>
      <name val="Gill Sans MT"/>
      <family val="2"/>
    </font>
    <font>
      <b/>
      <sz val="11"/>
      <color rgb="FF000000"/>
      <name val="Gill Sans MT"/>
      <family val="2"/>
    </font>
    <font>
      <b/>
      <sz val="11"/>
      <color theme="1"/>
      <name val="Gill Sans MT"/>
      <family val="2"/>
    </font>
  </fonts>
  <fills count="10">
    <fill>
      <patternFill patternType="none"/>
    </fill>
    <fill>
      <patternFill patternType="gray125"/>
    </fill>
    <fill>
      <patternFill patternType="solid">
        <fgColor rgb="FF0F385A"/>
        <bgColor indexed="64"/>
      </patternFill>
    </fill>
    <fill>
      <patternFill patternType="solid">
        <fgColor rgb="FF1FB2DE"/>
        <bgColor indexed="64"/>
      </patternFill>
    </fill>
    <fill>
      <patternFill patternType="solid">
        <fgColor theme="4"/>
        <bgColor indexed="64"/>
      </patternFill>
    </fill>
    <fill>
      <patternFill patternType="solid">
        <fgColor theme="4" tint="0.79998168889431442"/>
        <bgColor theme="4" tint="0.79998168889431442"/>
      </patternFill>
    </fill>
    <fill>
      <patternFill patternType="solid">
        <fgColor rgb="FF0F385A"/>
        <bgColor rgb="FF000000"/>
      </patternFill>
    </fill>
    <fill>
      <patternFill patternType="solid">
        <fgColor rgb="FF1FB2DE"/>
        <bgColor rgb="FF000000"/>
      </patternFill>
    </fill>
    <fill>
      <patternFill patternType="solid">
        <fgColor rgb="FFDDEBF7"/>
        <bgColor rgb="FF000000"/>
      </patternFill>
    </fill>
    <fill>
      <patternFill patternType="solid">
        <fgColor theme="2"/>
        <bgColor indexed="64"/>
      </patternFill>
    </fill>
  </fills>
  <borders count="20">
    <border>
      <left/>
      <right/>
      <top/>
      <bottom/>
      <diagonal/>
    </border>
    <border>
      <left style="thin">
        <color auto="1"/>
      </left>
      <right style="thin">
        <color auto="1"/>
      </right>
      <top style="thin">
        <color auto="1"/>
      </top>
      <bottom style="thin">
        <color auto="1"/>
      </bottom>
      <diagonal/>
    </border>
    <border>
      <left style="thin">
        <color theme="4" tint="0.39997558519241921"/>
      </left>
      <right style="thin">
        <color theme="4" tint="0.39997558519241921"/>
      </right>
      <top style="thin">
        <color theme="4" tint="0.39997558519241921"/>
      </top>
      <bottom style="thin">
        <color theme="4" tint="0.39997558519241921"/>
      </bottom>
      <diagonal/>
    </border>
    <border>
      <left style="thin">
        <color theme="4" tint="0.39997558519241921"/>
      </left>
      <right style="thin">
        <color theme="4" tint="0.39997558519241921"/>
      </right>
      <top style="thin">
        <color theme="4" tint="0.3999755851924192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top style="medium">
        <color indexed="64"/>
      </top>
      <bottom/>
      <diagonal/>
    </border>
    <border>
      <left/>
      <right/>
      <top/>
      <bottom style="medium">
        <color indexed="64"/>
      </bottom>
      <diagonal/>
    </border>
    <border>
      <left/>
      <right/>
      <top/>
      <bottom style="medium">
        <color rgb="FF000000"/>
      </bottom>
      <diagonal/>
    </border>
    <border>
      <left/>
      <right/>
      <top style="thin">
        <color rgb="FF0F385A"/>
      </top>
      <bottom/>
      <diagonal/>
    </border>
    <border>
      <left style="thin">
        <color auto="1"/>
      </left>
      <right style="thin">
        <color auto="1"/>
      </right>
      <top style="thin">
        <color auto="1"/>
      </top>
      <bottom/>
      <diagonal/>
    </border>
    <border>
      <left/>
      <right/>
      <top style="thin">
        <color auto="1"/>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style="medium">
        <color indexed="64"/>
      </top>
      <bottom style="hair">
        <color theme="1" tint="0.499984740745262"/>
      </bottom>
      <diagonal/>
    </border>
    <border>
      <left/>
      <right/>
      <top style="hair">
        <color theme="1" tint="0.499984740745262"/>
      </top>
      <bottom style="hair">
        <color theme="1" tint="0.499984740745262"/>
      </bottom>
      <diagonal/>
    </border>
    <border>
      <left/>
      <right/>
      <top style="medium">
        <color rgb="FF000000"/>
      </top>
      <bottom/>
      <diagonal/>
    </border>
    <border>
      <left style="thin">
        <color rgb="FF1FB2DE"/>
      </left>
      <right/>
      <top/>
      <bottom style="thin">
        <color indexed="64"/>
      </bottom>
      <diagonal/>
    </border>
    <border>
      <left/>
      <right/>
      <top/>
      <bottom style="thin">
        <color indexed="64"/>
      </bottom>
      <diagonal/>
    </border>
  </borders>
  <cellStyleXfs count="1">
    <xf numFmtId="0" fontId="0" fillId="0" borderId="0"/>
  </cellStyleXfs>
  <cellXfs count="113">
    <xf numFmtId="0" fontId="0" fillId="0" borderId="0" xfId="0"/>
    <xf numFmtId="0" fontId="3" fillId="0" borderId="0" xfId="0" applyFont="1"/>
    <xf numFmtId="0" fontId="4" fillId="0" borderId="0" xfId="0" applyFont="1" applyAlignment="1">
      <alignment vertical="center"/>
    </xf>
    <xf numFmtId="0" fontId="3" fillId="0" borderId="0" xfId="0" applyFont="1" applyAlignment="1">
      <alignment wrapText="1"/>
    </xf>
    <xf numFmtId="0" fontId="3" fillId="0" borderId="0" xfId="0" applyFont="1" applyAlignment="1">
      <alignment horizontal="left" wrapText="1"/>
    </xf>
    <xf numFmtId="0" fontId="3" fillId="0" borderId="0" xfId="0" applyFont="1" applyAlignment="1">
      <alignment vertical="center" wrapText="1"/>
    </xf>
    <xf numFmtId="0" fontId="3" fillId="0" borderId="0" xfId="0" applyFont="1" applyAlignment="1">
      <alignment horizontal="left" vertical="center" wrapText="1"/>
    </xf>
    <xf numFmtId="0" fontId="3" fillId="0" borderId="0" xfId="0" applyFont="1" applyAlignment="1">
      <alignment horizontal="center" vertical="center" wrapText="1"/>
    </xf>
    <xf numFmtId="0" fontId="3" fillId="0" borderId="0" xfId="0" applyFont="1" applyAlignment="1">
      <alignment horizontal="center" vertical="center"/>
    </xf>
    <xf numFmtId="0" fontId="3" fillId="0" borderId="0" xfId="0" applyFont="1" applyAlignment="1">
      <alignment horizontal="center"/>
    </xf>
    <xf numFmtId="0" fontId="4" fillId="0" borderId="0" xfId="0" applyFont="1" applyAlignment="1">
      <alignment horizontal="center" vertical="center"/>
    </xf>
    <xf numFmtId="0" fontId="6" fillId="0" borderId="0" xfId="0" applyFont="1" applyAlignment="1">
      <alignment horizontal="center" vertical="center"/>
    </xf>
    <xf numFmtId="0" fontId="6" fillId="0" borderId="0" xfId="0" applyFont="1" applyAlignment="1">
      <alignment vertical="center"/>
    </xf>
    <xf numFmtId="0" fontId="4" fillId="5" borderId="2" xfId="0" applyFont="1" applyFill="1" applyBorder="1" applyAlignment="1">
      <alignment vertical="center"/>
    </xf>
    <xf numFmtId="0" fontId="4" fillId="0" borderId="2" xfId="0" applyFont="1" applyBorder="1" applyAlignment="1">
      <alignment vertical="center"/>
    </xf>
    <xf numFmtId="0" fontId="3" fillId="5" borderId="2" xfId="0" applyFont="1" applyFill="1" applyBorder="1"/>
    <xf numFmtId="0" fontId="3" fillId="0" borderId="2" xfId="0" applyFont="1" applyBorder="1"/>
    <xf numFmtId="0" fontId="3" fillId="5" borderId="3" xfId="0" applyFont="1" applyFill="1" applyBorder="1"/>
    <xf numFmtId="0" fontId="4" fillId="5" borderId="3" xfId="0" applyFont="1" applyFill="1" applyBorder="1" applyAlignment="1">
      <alignment vertical="center"/>
    </xf>
    <xf numFmtId="0" fontId="3" fillId="0" borderId="3" xfId="0" applyFont="1" applyBorder="1"/>
    <xf numFmtId="0" fontId="3" fillId="0" borderId="7" xfId="0" applyFont="1" applyBorder="1" applyAlignment="1">
      <alignment horizontal="left" vertical="center" wrapText="1"/>
    </xf>
    <xf numFmtId="0" fontId="3" fillId="0" borderId="8" xfId="0" applyFont="1" applyBorder="1" applyAlignment="1">
      <alignment horizontal="left" vertical="center" wrapText="1"/>
    </xf>
    <xf numFmtId="0" fontId="12" fillId="2" borderId="0" xfId="0" applyFont="1" applyFill="1" applyAlignment="1">
      <alignment wrapText="1"/>
    </xf>
    <xf numFmtId="0" fontId="4" fillId="0" borderId="0" xfId="0" applyFont="1" applyAlignment="1">
      <alignment vertical="center" wrapText="1"/>
    </xf>
    <xf numFmtId="0" fontId="3" fillId="0" borderId="0" xfId="0" applyFont="1" applyAlignment="1">
      <alignment vertical="center"/>
    </xf>
    <xf numFmtId="0" fontId="9" fillId="0" borderId="0" xfId="0" applyFont="1" applyAlignment="1">
      <alignment horizontal="left" vertical="center" wrapText="1"/>
    </xf>
    <xf numFmtId="0" fontId="3" fillId="0" borderId="8" xfId="0" applyFont="1" applyBorder="1" applyAlignment="1">
      <alignment vertical="center" wrapText="1"/>
    </xf>
    <xf numFmtId="0" fontId="3" fillId="0" borderId="7" xfId="0" applyFont="1" applyBorder="1" applyAlignment="1">
      <alignment vertical="center" wrapText="1"/>
    </xf>
    <xf numFmtId="0" fontId="3" fillId="0" borderId="7" xfId="0" applyFont="1" applyBorder="1" applyAlignment="1">
      <alignment wrapText="1"/>
    </xf>
    <xf numFmtId="0" fontId="4" fillId="0" borderId="7" xfId="0" applyFont="1" applyBorder="1" applyAlignment="1">
      <alignment vertical="center" wrapText="1"/>
    </xf>
    <xf numFmtId="0" fontId="3" fillId="0" borderId="8" xfId="0" applyFont="1" applyBorder="1" applyAlignment="1">
      <alignment wrapText="1"/>
    </xf>
    <xf numFmtId="0" fontId="3" fillId="0" borderId="7" xfId="0" applyFont="1" applyBorder="1" applyAlignment="1">
      <alignment vertical="center"/>
    </xf>
    <xf numFmtId="0" fontId="3" fillId="0" borderId="8" xfId="0" applyFont="1" applyBorder="1" applyAlignment="1">
      <alignment vertical="center"/>
    </xf>
    <xf numFmtId="0" fontId="5" fillId="2" borderId="1" xfId="0" applyFont="1" applyFill="1" applyBorder="1" applyAlignment="1">
      <alignment horizontal="center" vertical="center" wrapText="1"/>
    </xf>
    <xf numFmtId="0" fontId="7" fillId="3" borderId="11" xfId="0" applyFont="1" applyFill="1" applyBorder="1" applyAlignment="1">
      <alignment horizontal="center" vertical="center" wrapText="1"/>
    </xf>
    <xf numFmtId="0" fontId="14" fillId="6" borderId="1" xfId="0" applyFont="1" applyFill="1" applyBorder="1" applyAlignment="1">
      <alignment horizontal="center" vertical="center" wrapText="1"/>
    </xf>
    <xf numFmtId="0" fontId="15" fillId="2" borderId="1" xfId="0" applyFont="1" applyFill="1" applyBorder="1" applyAlignment="1">
      <alignment horizontal="center" vertical="center" wrapText="1"/>
    </xf>
    <xf numFmtId="0" fontId="7" fillId="3" borderId="1" xfId="0" applyFont="1" applyFill="1" applyBorder="1" applyAlignment="1">
      <alignment horizontal="center" vertical="center" wrapText="1"/>
    </xf>
    <xf numFmtId="0" fontId="13" fillId="6" borderId="1" xfId="0" applyFont="1" applyFill="1" applyBorder="1" applyAlignment="1">
      <alignment horizontal="center" vertical="center" wrapText="1"/>
    </xf>
    <xf numFmtId="0" fontId="16" fillId="7" borderId="1" xfId="0" applyFont="1" applyFill="1" applyBorder="1" applyAlignment="1">
      <alignment horizontal="center" vertical="center" wrapText="1"/>
    </xf>
    <xf numFmtId="0" fontId="17" fillId="7" borderId="1" xfId="0" applyFont="1" applyFill="1" applyBorder="1" applyAlignment="1">
      <alignment horizontal="center" vertical="center" wrapText="1"/>
    </xf>
    <xf numFmtId="0" fontId="18" fillId="7" borderId="1" xfId="0" applyFont="1" applyFill="1" applyBorder="1" applyAlignment="1">
      <alignment horizontal="center" vertical="center" wrapText="1"/>
    </xf>
    <xf numFmtId="0" fontId="7" fillId="7" borderId="1" xfId="0" applyFont="1" applyFill="1" applyBorder="1" applyAlignment="1">
      <alignment horizontal="center" vertical="center" wrapText="1"/>
    </xf>
    <xf numFmtId="0" fontId="8" fillId="2" borderId="1" xfId="0" applyFont="1" applyFill="1" applyBorder="1" applyAlignment="1">
      <alignment horizontal="center" vertical="center" wrapText="1"/>
    </xf>
    <xf numFmtId="0" fontId="16" fillId="8" borderId="1" xfId="0" applyFont="1" applyFill="1" applyBorder="1" applyAlignment="1">
      <alignment horizontal="center" vertical="center" wrapText="1"/>
    </xf>
    <xf numFmtId="0" fontId="16" fillId="7" borderId="6" xfId="0" applyFont="1" applyFill="1" applyBorder="1" applyAlignment="1">
      <alignment horizontal="center" vertical="center" wrapText="1"/>
    </xf>
    <xf numFmtId="0" fontId="14" fillId="6" borderId="6" xfId="0" applyFont="1" applyFill="1" applyBorder="1" applyAlignment="1">
      <alignment horizontal="center" vertical="center" wrapText="1"/>
    </xf>
    <xf numFmtId="0" fontId="18" fillId="8" borderId="13" xfId="0" applyFont="1" applyFill="1" applyBorder="1" applyAlignment="1">
      <alignment horizontal="center" vertical="center" wrapText="1"/>
    </xf>
    <xf numFmtId="0" fontId="18" fillId="7" borderId="14" xfId="0" applyFont="1" applyFill="1" applyBorder="1" applyAlignment="1">
      <alignment horizontal="center" vertical="center" wrapText="1"/>
    </xf>
    <xf numFmtId="0" fontId="13" fillId="6" borderId="14" xfId="0" applyFont="1" applyFill="1" applyBorder="1" applyAlignment="1">
      <alignment horizontal="center" vertical="center" wrapText="1"/>
    </xf>
    <xf numFmtId="0" fontId="4" fillId="0" borderId="0" xfId="0" applyFont="1" applyAlignment="1">
      <alignment horizontal="left" vertical="center" wrapText="1"/>
    </xf>
    <xf numFmtId="0" fontId="3" fillId="0" borderId="7" xfId="0" applyFont="1" applyBorder="1" applyAlignment="1">
      <alignment horizontal="center" vertical="center" wrapText="1"/>
    </xf>
    <xf numFmtId="0" fontId="3" fillId="0" borderId="8" xfId="0" applyFont="1" applyBorder="1" applyAlignment="1">
      <alignment horizontal="center" vertical="center" wrapText="1"/>
    </xf>
    <xf numFmtId="0" fontId="4" fillId="0" borderId="8" xfId="0" applyFont="1" applyBorder="1" applyAlignment="1">
      <alignment vertical="center" wrapText="1"/>
    </xf>
    <xf numFmtId="0" fontId="4" fillId="0" borderId="8" xfId="0" applyFont="1" applyBorder="1" applyAlignment="1">
      <alignment horizontal="left" vertical="center" wrapText="1"/>
    </xf>
    <xf numFmtId="0" fontId="9" fillId="0" borderId="7" xfId="0" applyFont="1" applyBorder="1" applyAlignment="1">
      <alignment horizontal="left" vertical="center" wrapText="1"/>
    </xf>
    <xf numFmtId="0" fontId="9" fillId="0" borderId="8" xfId="0" applyFont="1" applyBorder="1" applyAlignment="1">
      <alignment horizontal="left" vertical="center" wrapText="1"/>
    </xf>
    <xf numFmtId="0" fontId="5" fillId="2" borderId="7" xfId="0" applyFont="1" applyFill="1" applyBorder="1" applyAlignment="1">
      <alignment horizontal="center" vertical="center" wrapText="1"/>
    </xf>
    <xf numFmtId="0" fontId="19" fillId="9" borderId="0" xfId="0" applyFont="1" applyFill="1" applyAlignment="1">
      <alignment horizontal="center" vertical="center" wrapText="1"/>
    </xf>
    <xf numFmtId="0" fontId="5" fillId="2" borderId="15" xfId="0" applyFont="1" applyFill="1" applyBorder="1" applyAlignment="1">
      <alignment horizontal="center" vertical="center" wrapText="1"/>
    </xf>
    <xf numFmtId="0" fontId="19" fillId="9" borderId="15" xfId="0" applyFont="1" applyFill="1" applyBorder="1" applyAlignment="1">
      <alignment horizontal="center" vertical="center" wrapText="1"/>
    </xf>
    <xf numFmtId="0" fontId="13" fillId="6" borderId="16" xfId="0" applyFont="1" applyFill="1" applyBorder="1" applyAlignment="1">
      <alignment horizontal="center" vertical="center" wrapText="1"/>
    </xf>
    <xf numFmtId="0" fontId="19" fillId="9" borderId="16" xfId="0" applyFont="1" applyFill="1" applyBorder="1" applyAlignment="1">
      <alignment horizontal="center" vertical="center" wrapText="1"/>
    </xf>
    <xf numFmtId="0" fontId="9" fillId="0" borderId="0" xfId="0" applyFont="1" applyAlignment="1">
      <alignment vertical="center" wrapText="1"/>
    </xf>
    <xf numFmtId="0" fontId="4" fillId="0" borderId="9" xfId="0" applyFont="1" applyBorder="1" applyAlignment="1">
      <alignment vertical="center" wrapText="1"/>
    </xf>
    <xf numFmtId="0" fontId="9" fillId="0" borderId="0" xfId="0" applyFont="1" applyAlignment="1">
      <alignment horizontal="center" vertical="center" wrapText="1"/>
    </xf>
    <xf numFmtId="0" fontId="9" fillId="0" borderId="12" xfId="0" applyFont="1" applyBorder="1" applyAlignment="1">
      <alignment vertical="center" wrapText="1"/>
    </xf>
    <xf numFmtId="0" fontId="9" fillId="0" borderId="10" xfId="0" applyFont="1" applyBorder="1" applyAlignment="1">
      <alignment vertical="center"/>
    </xf>
    <xf numFmtId="0" fontId="9" fillId="0" borderId="10" xfId="0" applyFont="1" applyBorder="1" applyAlignment="1">
      <alignment vertical="center" wrapText="1"/>
    </xf>
    <xf numFmtId="0" fontId="9" fillId="0" borderId="0" xfId="0" applyFont="1" applyAlignment="1">
      <alignment vertical="center"/>
    </xf>
    <xf numFmtId="0" fontId="9" fillId="0" borderId="0" xfId="0" applyFont="1" applyAlignment="1">
      <alignment wrapText="1"/>
    </xf>
    <xf numFmtId="0" fontId="3" fillId="0" borderId="9" xfId="0" applyFont="1" applyBorder="1" applyAlignment="1">
      <alignment vertical="center"/>
    </xf>
    <xf numFmtId="0" fontId="3" fillId="0" borderId="7" xfId="0" applyFont="1" applyBorder="1" applyAlignment="1">
      <alignment horizontal="center" vertical="center" wrapText="1"/>
    </xf>
    <xf numFmtId="0" fontId="3" fillId="0" borderId="0" xfId="0" applyFont="1" applyAlignment="1">
      <alignment horizontal="center" vertical="center" wrapText="1"/>
    </xf>
    <xf numFmtId="0" fontId="3" fillId="0" borderId="8" xfId="0" applyFont="1" applyBorder="1" applyAlignment="1">
      <alignment horizontal="center" vertical="center" wrapText="1"/>
    </xf>
    <xf numFmtId="0" fontId="3" fillId="0" borderId="7" xfId="0" applyFont="1" applyBorder="1" applyAlignment="1">
      <alignment horizontal="left" vertical="center" wrapText="1"/>
    </xf>
    <xf numFmtId="0" fontId="3" fillId="0" borderId="0" xfId="0" applyFont="1" applyAlignment="1">
      <alignment horizontal="left" vertical="center" wrapText="1"/>
    </xf>
    <xf numFmtId="0" fontId="3" fillId="0" borderId="8" xfId="0" applyFont="1" applyBorder="1" applyAlignment="1">
      <alignment horizontal="left" vertical="center" wrapText="1"/>
    </xf>
    <xf numFmtId="0" fontId="4" fillId="0" borderId="7" xfId="0" applyFont="1" applyBorder="1" applyAlignment="1">
      <alignment horizontal="center" vertical="center" wrapText="1"/>
    </xf>
    <xf numFmtId="0" fontId="4" fillId="0" borderId="0" xfId="0" applyFont="1" applyAlignment="1">
      <alignment horizontal="center" vertical="center" wrapText="1"/>
    </xf>
    <xf numFmtId="0" fontId="4" fillId="0" borderId="8" xfId="0" applyFont="1" applyBorder="1" applyAlignment="1">
      <alignment horizontal="center" vertical="center" wrapText="1"/>
    </xf>
    <xf numFmtId="0" fontId="4" fillId="0" borderId="7" xfId="0" applyFont="1" applyBorder="1" applyAlignment="1">
      <alignment vertical="center" wrapText="1"/>
    </xf>
    <xf numFmtId="0" fontId="4" fillId="0" borderId="0" xfId="0" applyFont="1" applyAlignment="1">
      <alignment vertical="center" wrapText="1"/>
    </xf>
    <xf numFmtId="0" fontId="4" fillId="0" borderId="8" xfId="0" applyFont="1" applyBorder="1" applyAlignment="1">
      <alignment vertical="center" wrapText="1"/>
    </xf>
    <xf numFmtId="0" fontId="4" fillId="0" borderId="7" xfId="0" applyFont="1" applyBorder="1" applyAlignment="1">
      <alignment horizontal="left" vertical="center" wrapText="1"/>
    </xf>
    <xf numFmtId="0" fontId="4" fillId="0" borderId="8" xfId="0" applyFont="1" applyBorder="1" applyAlignment="1">
      <alignment horizontal="left" vertical="center" wrapText="1"/>
    </xf>
    <xf numFmtId="0" fontId="4" fillId="0" borderId="0" xfId="0" applyFont="1" applyAlignment="1">
      <alignment horizontal="left" vertical="center" wrapText="1"/>
    </xf>
    <xf numFmtId="0" fontId="14" fillId="6" borderId="4" xfId="0" applyFont="1" applyFill="1" applyBorder="1" applyAlignment="1">
      <alignment horizontal="center" vertical="center" wrapText="1"/>
    </xf>
    <xf numFmtId="0" fontId="14" fillId="6" borderId="6" xfId="0" applyFont="1" applyFill="1" applyBorder="1" applyAlignment="1">
      <alignment horizontal="center" vertical="center" wrapText="1"/>
    </xf>
    <xf numFmtId="0" fontId="3" fillId="0" borderId="7" xfId="0" applyFont="1" applyBorder="1" applyAlignment="1">
      <alignment vertical="center" wrapText="1"/>
    </xf>
    <xf numFmtId="0" fontId="3" fillId="0" borderId="8" xfId="0" applyFont="1" applyBorder="1" applyAlignment="1">
      <alignment vertical="center" wrapText="1"/>
    </xf>
    <xf numFmtId="0" fontId="9" fillId="0" borderId="7" xfId="0" applyFont="1" applyBorder="1" applyAlignment="1">
      <alignment horizontal="left" vertical="center" wrapText="1"/>
    </xf>
    <xf numFmtId="0" fontId="9" fillId="0" borderId="0" xfId="0" applyFont="1" applyAlignment="1">
      <alignment horizontal="left" vertical="center" wrapText="1"/>
    </xf>
    <xf numFmtId="0" fontId="9" fillId="0" borderId="8" xfId="0" applyFont="1" applyBorder="1" applyAlignment="1">
      <alignment horizontal="left" vertical="center" wrapText="1"/>
    </xf>
    <xf numFmtId="0" fontId="4" fillId="0" borderId="7" xfId="0" applyFont="1" applyBorder="1" applyAlignment="1">
      <alignment horizontal="center" vertical="center"/>
    </xf>
    <xf numFmtId="0" fontId="4" fillId="0" borderId="0" xfId="0" applyFont="1" applyAlignment="1">
      <alignment horizontal="center" vertical="center"/>
    </xf>
    <xf numFmtId="0" fontId="4" fillId="0" borderId="8" xfId="0" applyFont="1" applyBorder="1" applyAlignment="1">
      <alignment horizontal="center" vertical="center"/>
    </xf>
    <xf numFmtId="0" fontId="3" fillId="0" borderId="12" xfId="0" applyFont="1" applyBorder="1" applyAlignment="1">
      <alignment horizontal="left" vertical="center" wrapText="1"/>
    </xf>
    <xf numFmtId="0" fontId="15" fillId="2" borderId="1" xfId="0" applyFont="1" applyFill="1" applyBorder="1" applyAlignment="1">
      <alignment horizontal="center" vertical="center" wrapText="1"/>
    </xf>
    <xf numFmtId="0" fontId="13" fillId="6" borderId="18" xfId="0" applyFont="1" applyFill="1" applyBorder="1" applyAlignment="1">
      <alignment horizontal="center" vertical="center" wrapText="1"/>
    </xf>
    <xf numFmtId="0" fontId="13" fillId="6" borderId="19" xfId="0" applyFont="1" applyFill="1" applyBorder="1" applyAlignment="1">
      <alignment horizontal="center" vertical="center" wrapText="1"/>
    </xf>
    <xf numFmtId="0" fontId="9" fillId="0" borderId="7" xfId="0" applyFont="1" applyBorder="1" applyAlignment="1">
      <alignment horizontal="center" vertical="center" wrapText="1"/>
    </xf>
    <xf numFmtId="0" fontId="9" fillId="0" borderId="0" xfId="0" applyFont="1" applyAlignment="1">
      <alignment horizontal="center" vertical="center" wrapText="1"/>
    </xf>
    <xf numFmtId="0" fontId="9" fillId="0" borderId="8" xfId="0" applyFont="1" applyBorder="1" applyAlignment="1">
      <alignment horizontal="center" vertical="center" wrapText="1"/>
    </xf>
    <xf numFmtId="0" fontId="9" fillId="0" borderId="9" xfId="0" applyFont="1" applyBorder="1" applyAlignment="1">
      <alignment horizontal="center" vertical="center" wrapText="1"/>
    </xf>
    <xf numFmtId="0" fontId="4" fillId="0" borderId="9" xfId="0" applyFont="1" applyBorder="1" applyAlignment="1">
      <alignment horizontal="center" vertical="center" wrapText="1"/>
    </xf>
    <xf numFmtId="0" fontId="9" fillId="0" borderId="9" xfId="0" applyFont="1" applyBorder="1" applyAlignment="1">
      <alignment horizontal="left" vertical="center" wrapText="1"/>
    </xf>
    <xf numFmtId="0" fontId="9" fillId="0" borderId="17" xfId="0" applyFont="1" applyBorder="1" applyAlignment="1">
      <alignment horizontal="center" vertical="center" wrapText="1"/>
    </xf>
    <xf numFmtId="0" fontId="3" fillId="0" borderId="0" xfId="0" applyFont="1" applyAlignment="1">
      <alignment horizontal="center"/>
    </xf>
    <xf numFmtId="0" fontId="5" fillId="4" borderId="1" xfId="0" applyFont="1" applyFill="1" applyBorder="1" applyAlignment="1">
      <alignment horizontal="center"/>
    </xf>
    <xf numFmtId="0" fontId="5" fillId="4" borderId="4" xfId="0" applyFont="1" applyFill="1" applyBorder="1" applyAlignment="1">
      <alignment horizontal="center"/>
    </xf>
    <xf numFmtId="0" fontId="5" fillId="4" borderId="5" xfId="0" applyFont="1" applyFill="1" applyBorder="1" applyAlignment="1">
      <alignment horizontal="center"/>
    </xf>
    <xf numFmtId="0" fontId="5" fillId="4" borderId="6" xfId="0" applyFont="1" applyFill="1" applyBorder="1" applyAlignment="1">
      <alignment horizontal="center"/>
    </xf>
  </cellXfs>
  <cellStyles count="1">
    <cellStyle name="Normal" xfId="0" builtinId="0"/>
  </cellStyles>
  <dxfs count="179">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strike val="0"/>
        <outline val="0"/>
        <shadow val="0"/>
        <u val="none"/>
        <vertAlign val="baseline"/>
        <sz val="11"/>
        <name val="Gill Sans MT"/>
        <family val="2"/>
        <scheme val="none"/>
      </font>
    </dxf>
    <dxf>
      <font>
        <strike val="0"/>
        <outline val="0"/>
        <shadow val="0"/>
        <u val="none"/>
        <vertAlign val="baseline"/>
        <sz val="11"/>
        <name val="Gill Sans MT"/>
        <family val="2"/>
        <scheme val="none"/>
      </font>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strike val="0"/>
        <outline val="0"/>
        <shadow val="0"/>
        <u val="none"/>
        <vertAlign val="baseline"/>
        <sz val="11"/>
        <color theme="1"/>
        <name val="Gill Sans MT"/>
        <family val="2"/>
        <scheme val="none"/>
      </font>
    </dxf>
    <dxf>
      <font>
        <strike val="0"/>
        <outline val="0"/>
        <shadow val="0"/>
        <u val="none"/>
        <vertAlign val="baseline"/>
        <sz val="11"/>
        <color theme="1"/>
        <name val="Gill Sans MT"/>
        <family val="2"/>
        <scheme val="none"/>
      </font>
    </dxf>
    <dxf>
      <font>
        <strike val="0"/>
        <outline val="0"/>
        <shadow val="0"/>
        <u val="none"/>
        <vertAlign val="baseline"/>
        <sz val="11"/>
        <color theme="1"/>
        <name val="Gill Sans MT"/>
        <family val="2"/>
        <scheme val="none"/>
      </font>
    </dxf>
    <dxf>
      <fill>
        <patternFill>
          <bgColor theme="8" tint="0.79998168889431442"/>
        </patternFill>
      </fill>
      <border>
        <left style="thin">
          <color auto="1"/>
        </left>
        <right style="thin">
          <color auto="1"/>
        </right>
        <top style="thin">
          <color auto="1"/>
        </top>
        <bottom style="thin">
          <color auto="1"/>
        </bottom>
      </border>
    </dxf>
    <dxf>
      <fill>
        <patternFill patternType="none">
          <bgColor auto="1"/>
        </patternFill>
      </fill>
    </dxf>
    <dxf>
      <fill>
        <patternFill>
          <bgColor theme="4"/>
        </patternFill>
      </fill>
      <border>
        <left style="thin">
          <color auto="1"/>
        </left>
        <right style="thin">
          <color auto="1"/>
        </right>
        <top style="thin">
          <color auto="1"/>
        </top>
        <bottom style="thin">
          <color auto="1"/>
        </bottom>
        <vertical style="thin">
          <color auto="1"/>
        </vertical>
        <horizontal style="thin">
          <color auto="1"/>
        </horizontal>
      </border>
    </dxf>
  </dxfs>
  <tableStyles count="3" defaultTableStyle="TableStyleMedium2" defaultPivotStyle="PivotStyleLight16">
    <tableStyle name="Estilo de tabla 1" pivot="0" count="1" xr9:uid="{D31AC5D5-9EFB-4153-9086-9AA6037B7BF8}">
      <tableStyleElement type="headerRow" dxfId="178"/>
    </tableStyle>
    <tableStyle name="Estilo de tabla 2" pivot="0" count="1" xr9:uid="{C6F8D6C6-DD7E-42E8-8328-19C722F9F97F}">
      <tableStyleElement type="wholeTable" dxfId="177"/>
    </tableStyle>
    <tableStyle name="Estilo de tabla 3" pivot="0" count="1" xr9:uid="{BD8219D8-F95E-4ADD-BD98-5883EDA7E91C}">
      <tableStyleElement type="headerRow" dxfId="176"/>
    </tableStyle>
  </tableStyles>
  <colors>
    <mruColors>
      <color rgb="FF0F385A"/>
      <color rgb="FF1FB2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B2A92B26-EF0C-4878-B50A-6837C8B938F9}" name="Tabla33103" displayName="Tabla33103" ref="B1:B39" totalsRowShown="0" headerRowDxfId="175" dataDxfId="174">
  <autoFilter ref="B1:B39" xr:uid="{B2A92B26-EF0C-4878-B50A-6837C8B938F9}"/>
  <sortState xmlns:xlrd2="http://schemas.microsoft.com/office/spreadsheetml/2017/richdata2" ref="B2:B37">
    <sortCondition ref="B1:B37"/>
  </sortState>
  <tableColumns count="1">
    <tableColumn id="1" xr3:uid="{29152045-E0EB-4BF0-98F0-61C280340B30}" name="Verbos Competencias" dataDxfId="17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48FC5A9A-4920-4623-A07A-3CF9371DCF4A}" name="Tabla1715" displayName="Tabla1715" ref="A3:A7" totalsRowShown="0" headerRowDxfId="172" dataDxfId="171">
  <autoFilter ref="A3:A7" xr:uid="{48FC5A9A-4920-4623-A07A-3CF9371DCF4A}"/>
  <tableColumns count="1">
    <tableColumn id="1" xr3:uid="{63D540FA-82EB-4145-8DC7-B519D8CD7CC0}" name="Taxonomías" dataDxfId="170"/>
  </tableColumns>
  <tableStyleInfo name="Estilo de tabla 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59BF92EC-A277-4656-A963-5B1EAB7D46D6}" name="Tabla1816" displayName="Tabla1816" ref="AL4:AL32" totalsRowShown="0" headerRowDxfId="169" dataDxfId="168">
  <autoFilter ref="AL4:AL32" xr:uid="{59BF92EC-A277-4656-A963-5B1EAB7D46D6}"/>
  <sortState xmlns:xlrd2="http://schemas.microsoft.com/office/spreadsheetml/2017/richdata2" ref="AL5:AL32">
    <sortCondition ref="AL5:AL32"/>
  </sortState>
  <tableColumns count="1">
    <tableColumn id="1" xr3:uid="{F4C3BEC3-A8BA-43A6-AF00-06D2C8E04D5E}" name="RecordarLK" dataDxfId="167"/>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B3A057E8-BC14-4481-9B47-B7A94BC9D97A}" name="Tabla1926" displayName="Tabla1926" ref="AM4:AM28" totalsRowShown="0" headerRowDxfId="166" dataDxfId="165">
  <autoFilter ref="AM4:AM28" xr:uid="{B3A057E8-BC14-4481-9B47-B7A94BC9D97A}"/>
  <sortState xmlns:xlrd2="http://schemas.microsoft.com/office/spreadsheetml/2017/richdata2" ref="AM5:AM28">
    <sortCondition ref="AM5:AM28"/>
  </sortState>
  <tableColumns count="1">
    <tableColumn id="1" xr3:uid="{22C36FE7-AAEE-4B9D-8345-61BDDF16672A}" name="ComprenderLK" dataDxfId="164"/>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CD6709B3-878C-4665-A64F-6617D841DAF8}" name="Tabla2028" displayName="Tabla2028" ref="AN4:AN31" totalsRowShown="0" headerRowDxfId="163" dataDxfId="162">
  <autoFilter ref="AN4:AN31" xr:uid="{CD6709B3-878C-4665-A64F-6617D841DAF8}"/>
  <sortState xmlns:xlrd2="http://schemas.microsoft.com/office/spreadsheetml/2017/richdata2" ref="AN5:AN31">
    <sortCondition ref="AN5:AN31"/>
  </sortState>
  <tableColumns count="1">
    <tableColumn id="1" xr3:uid="{E0748E34-505E-4B6C-88AD-69D1650A1458}" name="AplicarLK" dataDxfId="161"/>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C6F0B0E8-A8D0-4F61-A40D-B1423DE7B813}" name="Tabla2129" displayName="Tabla2129" ref="AO4:AO35" totalsRowShown="0" headerRowDxfId="160" dataDxfId="159">
  <autoFilter ref="AO4:AO35" xr:uid="{C6F0B0E8-A8D0-4F61-A40D-B1423DE7B813}"/>
  <sortState xmlns:xlrd2="http://schemas.microsoft.com/office/spreadsheetml/2017/richdata2" ref="AO5:AO35">
    <sortCondition ref="AO5:AO35"/>
  </sortState>
  <tableColumns count="1">
    <tableColumn id="1" xr3:uid="{4EC3AE28-DA86-4BC0-BF7B-BF5699537101}" name="AnalizarLK" dataDxfId="158"/>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7847CBB9-9D6E-4D0E-8127-07F853DB7AC6}" name="Tabla2230" displayName="Tabla2230" ref="AP4:AP47" totalsRowShown="0" headerRowDxfId="157" dataDxfId="156">
  <autoFilter ref="AP4:AP47" xr:uid="{7847CBB9-9D6E-4D0E-8127-07F853DB7AC6}"/>
  <sortState xmlns:xlrd2="http://schemas.microsoft.com/office/spreadsheetml/2017/richdata2" ref="AP5:AP47">
    <sortCondition ref="AP5:AP47"/>
  </sortState>
  <tableColumns count="1">
    <tableColumn id="1" xr3:uid="{47FDF88B-30DA-4104-BC28-92F05B1464DC}" name="EvaluarLK" dataDxfId="155"/>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1D29FBDA-C4C7-4802-9945-B1136AA1A5B6}" name="Tabla2333" displayName="Tabla2333" ref="AQ4:AQ21" totalsRowShown="0" headerRowDxfId="154" dataDxfId="153">
  <autoFilter ref="AQ4:AQ21" xr:uid="{1D29FBDA-C4C7-4802-9945-B1136AA1A5B6}"/>
  <sortState xmlns:xlrd2="http://schemas.microsoft.com/office/spreadsheetml/2017/richdata2" ref="AQ5:AQ21">
    <sortCondition ref="AQ5:AQ21"/>
  </sortState>
  <tableColumns count="1">
    <tableColumn id="1" xr3:uid="{695E3FF0-9053-4D06-82E6-12950FD1BCA1}" name="CrearLK" dataDxfId="152"/>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F8CECA1C-3082-403C-A916-A3F7860E419B}" name="Tabla3555" displayName="Tabla3555" ref="S3:S45" totalsRowShown="0" headerRowDxfId="151" dataDxfId="150">
  <autoFilter ref="S3:S45" xr:uid="{F8CECA1C-3082-403C-A916-A3F7860E419B}"/>
  <sortState xmlns:xlrd2="http://schemas.microsoft.com/office/spreadsheetml/2017/richdata2" ref="S4:S45">
    <sortCondition ref="S4:S45"/>
  </sortState>
  <tableColumns count="1">
    <tableColumn id="1" xr3:uid="{E8288FDF-6DC1-467B-8083-3BB5E5966D23}" name="ConocimientoBAK" dataDxfId="149"/>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91DAFDAE-F212-4BAF-BC19-DDD22FBAA62D}" name="Tabla3663" displayName="Tabla3663" ref="T3:T42" totalsRowShown="0" headerRowDxfId="148" dataDxfId="147">
  <autoFilter ref="T3:T42" xr:uid="{91DAFDAE-F212-4BAF-BC19-DDD22FBAA62D}"/>
  <sortState xmlns:xlrd2="http://schemas.microsoft.com/office/spreadsheetml/2017/richdata2" ref="T4:T42">
    <sortCondition ref="T4:T42"/>
  </sortState>
  <tableColumns count="1">
    <tableColumn id="1" xr3:uid="{BE0B8AE9-98EE-44F6-8C48-260F8C2558A0}" name="ComprensiónBAK" dataDxfId="146"/>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B1A040A9-8CFD-4596-8FBC-27FD56392945}" name="Tabla3764" displayName="Tabla3764" ref="U3:U43" totalsRowShown="0" headerRowDxfId="145" dataDxfId="144">
  <autoFilter ref="U3:U43" xr:uid="{B1A040A9-8CFD-4596-8FBC-27FD56392945}"/>
  <sortState xmlns:xlrd2="http://schemas.microsoft.com/office/spreadsheetml/2017/richdata2" ref="U4:U43">
    <sortCondition ref="U4:U43"/>
  </sortState>
  <tableColumns count="1">
    <tableColumn id="1" xr3:uid="{37523E1E-21F0-4AD5-AE5F-B4C6B322C81C}" name="AplicaciónBAK" dataDxfId="143"/>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2AA761F5-FCA1-4A0B-90D8-1C642DDF1D1A}" name="Tabla3865" displayName="Tabla3865" ref="V3:V36" totalsRowShown="0" headerRowDxfId="142" dataDxfId="141">
  <autoFilter ref="V3:V36" xr:uid="{2AA761F5-FCA1-4A0B-90D8-1C642DDF1D1A}"/>
  <sortState xmlns:xlrd2="http://schemas.microsoft.com/office/spreadsheetml/2017/richdata2" ref="V4:V36">
    <sortCondition ref="V4:V36"/>
  </sortState>
  <tableColumns count="1">
    <tableColumn id="1" xr3:uid="{AF14FE7A-A899-43F9-A3C0-8119863088B1}" name="AnálisisBAK" dataDxfId="140"/>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F6A45780-86A0-4428-88DB-1A555C4970E6}" name="Tabla3966" displayName="Tabla3966" ref="W3:W63" totalsRowShown="0" headerRowDxfId="139" dataDxfId="138">
  <autoFilter ref="W3:W63" xr:uid="{F6A45780-86A0-4428-88DB-1A555C4970E6}"/>
  <sortState xmlns:xlrd2="http://schemas.microsoft.com/office/spreadsheetml/2017/richdata2" ref="W4:W63">
    <sortCondition ref="W4:W63"/>
  </sortState>
  <tableColumns count="1">
    <tableColumn id="1" xr3:uid="{8D1F3CAA-A929-411E-B3AB-90C77CB5BC14}" name="SíntesisBAK" dataDxfId="137"/>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3245156A-EE8E-4F9F-B3E3-F1F013A29E6E}" name="Tabla4067" displayName="Tabla4067" ref="X3:X66" totalsRowShown="0" headerRowDxfId="136" dataDxfId="135">
  <autoFilter ref="X3:X66" xr:uid="{3245156A-EE8E-4F9F-B3E3-F1F013A29E6E}"/>
  <sortState xmlns:xlrd2="http://schemas.microsoft.com/office/spreadsheetml/2017/richdata2" ref="X4:X66">
    <sortCondition ref="X4:X66"/>
  </sortState>
  <tableColumns count="1">
    <tableColumn id="1" xr3:uid="{D08EDAAB-166E-48F7-9B09-46F65D2F2270}" name="EvaluaciónBAK" dataDxfId="134"/>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0C46EE9B-0911-4522-BB5D-1931406AB4AB}" name="Tabla1168" displayName="Tabla1168" ref="Y3:Y52" totalsRowShown="0" headerRowDxfId="133" dataDxfId="132">
  <autoFilter ref="Y3:Y52" xr:uid="{0C46EE9B-0911-4522-BB5D-1931406AB4AB}"/>
  <tableColumns count="1">
    <tableColumn id="1" xr3:uid="{CDE7758F-9A83-44EB-B2E4-CC670F5593B8}" name="ImitaciónBAK" dataDxfId="131"/>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300A78DD-9219-4A2F-A2DA-93669B9B6AF3}" name="Tabla3069" displayName="Tabla3069" ref="Z3:Z40" totalsRowShown="0" headerRowDxfId="130" dataDxfId="129">
  <autoFilter ref="Z3:Z40" xr:uid="{300A78DD-9219-4A2F-A2DA-93669B9B6AF3}"/>
  <tableColumns count="1">
    <tableColumn id="1" xr3:uid="{3C407CCE-B486-4656-BA81-116BE1090143}" name="ManipulaciónBAK" dataDxfId="128"/>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6877FA86-1F49-4E2D-9448-AFF0346B8BB8}" name="Tabla4170" displayName="Tabla4170" ref="AA3:AA68" totalsRowShown="0" headerRowDxfId="127" dataDxfId="126">
  <autoFilter ref="AA3:AA68" xr:uid="{6877FA86-1F49-4E2D-9448-AFF0346B8BB8}"/>
  <tableColumns count="1">
    <tableColumn id="1" xr3:uid="{D21AF291-1BAF-43EA-AFD3-DAFB2D955E09}" name="PrecisiónBAK" dataDxfId="125"/>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FD38FA61-1361-4EA5-A764-8E58B96581E9}" name="Tabla4271" displayName="Tabla4271" ref="AB3:AB62" totalsRowShown="0" headerRowDxfId="124" dataDxfId="123">
  <autoFilter ref="AB3:AB62" xr:uid="{FD38FA61-1361-4EA5-A764-8E58B96581E9}"/>
  <tableColumns count="1">
    <tableColumn id="1" xr3:uid="{982D722A-3D7A-4AAD-A2DF-5EE8DF5E4D9D}" name="ControlBAK" dataDxfId="122"/>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503448E5-D0D5-4B82-B461-0CD544CE9D23}" name="Tabla4372" displayName="Tabla4372" ref="AC3:AC43" totalsRowShown="0" headerRowDxfId="121" dataDxfId="120">
  <autoFilter ref="AC3:AC43" xr:uid="{503448E5-D0D5-4B82-B461-0CD544CE9D23}"/>
  <tableColumns count="1">
    <tableColumn id="1" xr3:uid="{03441D59-E383-407F-99E2-74596636CEF0}" name="PercepciónBAK" dataDxfId="119"/>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08B46976-D2F4-4AEA-B0BA-6ECF06521BA8}" name="Tabla4473" displayName="Tabla4473" ref="AD3:AD33" totalsRowShown="0" headerRowDxfId="118" dataDxfId="117">
  <autoFilter ref="AD3:AD33" xr:uid="{08B46976-D2F4-4AEA-B0BA-6ECF06521BA8}"/>
  <tableColumns count="1">
    <tableColumn id="1" xr3:uid="{0C49A45E-6C59-4AAB-BD6C-F53324766649}" name="ResponderBAK" dataDxfId="116"/>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49448539-0C4F-43C9-9924-5A219B16757C}" name="Tabla4574" displayName="Tabla4574" ref="AE3:AE38" totalsRowShown="0" headerRowDxfId="115" dataDxfId="114">
  <autoFilter ref="AE3:AE38" xr:uid="{49448539-0C4F-43C9-9924-5A219B16757C}"/>
  <tableColumns count="1">
    <tableColumn id="1" xr3:uid="{E2890547-6570-4474-811E-70109D5F5465}" name="ValorarBAK" dataDxfId="113"/>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21E76DB2-0E8B-466D-A413-2ABD524DDEEA}" name="Tabla4675" displayName="Tabla4675" ref="AF3:AF29" totalsRowShown="0" headerRowDxfId="112" dataDxfId="111">
  <autoFilter ref="AF3:AF29" xr:uid="{21E76DB2-0E8B-466D-A413-2ABD524DDEEA}"/>
  <tableColumns count="1">
    <tableColumn id="1" xr3:uid="{674DA899-A4D0-4618-B839-C8613BA61338}" name="OrganizarBAK" dataDxfId="110"/>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835318B2-CEAD-4A84-8E6B-21115489F3F9}" name="Tabla4776" displayName="Tabla4776" ref="AG3:AG29" totalsRowShown="0" headerRowDxfId="109" dataDxfId="108">
  <autoFilter ref="AG3:AG29" xr:uid="{835318B2-CEAD-4A84-8E6B-21115489F3F9}"/>
  <tableColumns count="1">
    <tableColumn id="1" xr3:uid="{C98AB4FD-C9CE-4966-B509-E36C390C09C7}" name="CaracterizarBAK" dataDxfId="107"/>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9E4643CC-87B6-4485-9E83-A8ED35E11905}" name="Tabla354977" displayName="Tabla354977" ref="L3:L45" totalsRowShown="0" headerRowDxfId="106" dataDxfId="105">
  <autoFilter ref="L3:L45" xr:uid="{9E4643CC-87B6-4485-9E83-A8ED35E11905}"/>
  <sortState xmlns:xlrd2="http://schemas.microsoft.com/office/spreadsheetml/2017/richdata2" ref="L4:L45">
    <sortCondition ref="L4:L45"/>
  </sortState>
  <tableColumns count="1">
    <tableColumn id="1" xr3:uid="{29725637-71B1-4F7E-96A8-CB90D5C646B2}" name="ConocimientoB" dataDxfId="104"/>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C726BD4C-A167-44A9-8F1B-6936952A7A59}" name="Tabla365078" displayName="Tabla365078" ref="M3:M42" totalsRowShown="0" headerRowDxfId="103" dataDxfId="102">
  <autoFilter ref="M3:M42" xr:uid="{C726BD4C-A167-44A9-8F1B-6936952A7A59}"/>
  <sortState xmlns:xlrd2="http://schemas.microsoft.com/office/spreadsheetml/2017/richdata2" ref="M4:M42">
    <sortCondition ref="M4:M42"/>
  </sortState>
  <tableColumns count="1">
    <tableColumn id="1" xr3:uid="{302CEF3F-D9B7-44E2-B341-CAA4B0E1BEB1}" name="ComprensiónB" dataDxfId="101"/>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85965F80-D722-4217-9624-BAE055366227}" name="Tabla375179" displayName="Tabla375179" ref="N3:N43" totalsRowShown="0" headerRowDxfId="100" dataDxfId="99">
  <autoFilter ref="N3:N43" xr:uid="{85965F80-D722-4217-9624-BAE055366227}"/>
  <sortState xmlns:xlrd2="http://schemas.microsoft.com/office/spreadsheetml/2017/richdata2" ref="N4:N43">
    <sortCondition ref="N4:N43"/>
  </sortState>
  <tableColumns count="1">
    <tableColumn id="1" xr3:uid="{8CDFD0B2-187A-490F-B898-52C789C626A8}" name="AplicaciónB" dataDxfId="98"/>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4F44782F-9CE2-445E-8EAA-F5D6BC4CE9FF}" name="Tabla385280" displayName="Tabla385280" ref="O3:O36" totalsRowShown="0" headerRowDxfId="97" dataDxfId="96">
  <autoFilter ref="O3:O36" xr:uid="{4F44782F-9CE2-445E-8EAA-F5D6BC4CE9FF}"/>
  <sortState xmlns:xlrd2="http://schemas.microsoft.com/office/spreadsheetml/2017/richdata2" ref="O4:O36">
    <sortCondition ref="O4:O36"/>
  </sortState>
  <tableColumns count="1">
    <tableColumn id="1" xr3:uid="{7941CE9F-DC23-4AFF-A5EC-374F0F21BBEB}" name="AnálisisB" dataDxfId="95"/>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8357A631-F2AC-40DB-8ACA-80F00DED06A3}" name="Tabla395381" displayName="Tabla395381" ref="P3:P63" totalsRowShown="0" headerRowDxfId="94" dataDxfId="93">
  <autoFilter ref="P3:P63" xr:uid="{8357A631-F2AC-40DB-8ACA-80F00DED06A3}"/>
  <sortState xmlns:xlrd2="http://schemas.microsoft.com/office/spreadsheetml/2017/richdata2" ref="P4:P63">
    <sortCondition ref="P4:P63"/>
  </sortState>
  <tableColumns count="1">
    <tableColumn id="1" xr3:uid="{E9C49887-DB96-4751-9494-F1CFAE7E02AD}" name="SíntesisB" dataDxfId="92"/>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141F631B-4F40-430C-9880-8A1F264F50D0}" name="Tabla405482" displayName="Tabla405482" ref="Q3:Q66" totalsRowShown="0" headerRowDxfId="91" dataDxfId="90">
  <autoFilter ref="Q3:Q66" xr:uid="{141F631B-4F40-430C-9880-8A1F264F50D0}"/>
  <sortState xmlns:xlrd2="http://schemas.microsoft.com/office/spreadsheetml/2017/richdata2" ref="Q4:Q66">
    <sortCondition ref="Q4:Q66"/>
  </sortState>
  <tableColumns count="1">
    <tableColumn id="1" xr3:uid="{42FB5979-4CFB-474A-948A-4C9E2A15A2FA}" name="EvaluaciónB" dataDxfId="89"/>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284779C2-7F70-4C90-85C0-9E3404733D87}" name="Tabla6088" displayName="Tabla6088" ref="E3:E6" totalsRowShown="0" headerRowDxfId="88" dataDxfId="87">
  <autoFilter ref="E3:E6" xr:uid="{284779C2-7F70-4C90-85C0-9E3404733D87}"/>
  <tableColumns count="1">
    <tableColumn id="1" xr3:uid="{CE47A420-A4CC-4416-8E2B-4A40C2078194}" name="MK" dataDxfId="86"/>
  </tableColumns>
  <tableStyleInfo name="Estilo de tabla 1"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0359C141-9677-47C3-845D-242D3C20A7BD}" name="Tabla5987" displayName="Tabla5987" ref="D3:D7" totalsRowShown="0" headerRowDxfId="85" dataDxfId="84">
  <autoFilter ref="D3:D7" xr:uid="{0359C141-9677-47C3-845D-242D3C20A7BD}"/>
  <tableColumns count="1">
    <tableColumn id="1" xr3:uid="{027F3234-EBF7-434A-A95C-3D90248F7600}" name="AK" dataDxfId="83"/>
  </tableColumns>
  <tableStyleInfo name="Estilo de tabla 1"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60F5C8CF-3F5B-45A8-90A3-91960BC0CC3F}" name="Tabla5886" displayName="Tabla5886" ref="C3:C6" totalsRowShown="0" headerRowDxfId="82" dataDxfId="81">
  <autoFilter ref="C3:C6" xr:uid="{60F5C8CF-3F5B-45A8-90A3-91960BC0CC3F}"/>
  <tableColumns count="1">
    <tableColumn id="1" xr3:uid="{7261A279-5B41-48E2-A232-E66D4B2C997C}" name="BAK" dataDxfId="80"/>
  </tableColumns>
  <tableStyleInfo name="Estilo de tabla 1"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46409B6B-E133-4AC9-A20A-4A73C6DBD813}" name="Tabla5785" displayName="Tabla5785" ref="I3:I9" totalsRowShown="0" headerRowDxfId="79" dataDxfId="78">
  <autoFilter ref="I3:I9" xr:uid="{46409B6B-E133-4AC9-A20A-4A73C6DBD813}"/>
  <tableColumns count="1">
    <tableColumn id="1" xr3:uid="{12B3014A-6B1D-4C6D-9FA4-0161E9656EA6}" name="ActitudinalB" dataDxfId="77"/>
  </tableColumns>
  <tableStyleInfo name="Estilo de tabla 1"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4FBECC47-261F-41D0-B554-ADEA02FBDD3E}" name="Tabla5684" displayName="Tabla5684" ref="H3:H9" totalsRowShown="0" headerRowDxfId="76" dataDxfId="75">
  <autoFilter ref="H3:H9" xr:uid="{4FBECC47-261F-41D0-B554-ADEA02FBDD3E}"/>
  <tableColumns count="1">
    <tableColumn id="1" xr3:uid="{D263AD73-E936-424B-80A9-E791CCE4D60C}" name="ProcedimentalB" dataDxfId="74"/>
  </tableColumns>
  <tableStyleInfo name="Estilo de tabla 1"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E7A59938-F7EA-457A-87F1-AA0873A8FDA8}" name="Tabla5583" displayName="Tabla5583" ref="G3:G9" totalsRowShown="0" headerRowDxfId="73" dataDxfId="72">
  <autoFilter ref="G3:G9" xr:uid="{E7A59938-F7EA-457A-87F1-AA0873A8FDA8}"/>
  <tableColumns count="1">
    <tableColumn id="1" xr3:uid="{9BE87125-AAAE-4780-B69A-FA583B2B341A}" name="CognitivoB" dataDxfId="71"/>
  </tableColumns>
  <tableStyleInfo name="Estilo de tabla 1"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FB5563E9-3423-496B-A7C6-740A8638246F}" name="Tabla90" displayName="Tabla90" ref="G11:G17" totalsRowShown="0" headerRowDxfId="70" dataDxfId="69">
  <autoFilter ref="G11:G17" xr:uid="{FB5563E9-3423-496B-A7C6-740A8638246F}"/>
  <tableColumns count="1">
    <tableColumn id="1" xr3:uid="{D2F8054E-C594-43A9-96F5-5294D078E620}" name="CognitivoAK" dataDxfId="68"/>
  </tableColumns>
  <tableStyleInfo name="Estilo de tabla 1"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5235961D-4B2F-4CB8-AC75-46CF8A859099}" name="Tabla91" displayName="Tabla91" ref="H11:H17" totalsRowShown="0" headerRowDxfId="67" dataDxfId="66">
  <autoFilter ref="H11:H17" xr:uid="{5235961D-4B2F-4CB8-AC75-46CF8A859099}"/>
  <tableColumns count="1">
    <tableColumn id="1" xr3:uid="{DF3A0232-2B49-4FF7-B62E-7F56B2A16095}" name="ConceptosAK" dataDxfId="65"/>
  </tableColumns>
  <tableStyleInfo name="Estilo de tabla 1"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74EFBE03-70FE-4E61-AF1A-7CAE74394FB0}" name="Tabla92" displayName="Tabla92" ref="I11:I17" totalsRowShown="0" headerRowDxfId="64" dataDxfId="63">
  <autoFilter ref="I11:I17" xr:uid="{74EFBE03-70FE-4E61-AF1A-7CAE74394FB0}"/>
  <tableColumns count="1">
    <tableColumn id="1" xr3:uid="{02D20833-4DB8-415C-A919-A0178DA3CC95}" name="ProcedimientosAK" dataDxfId="62"/>
  </tableColumns>
  <tableStyleInfo name="Estilo de tabla 1"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01D445B2-006B-45B1-9326-AB65B144ABD8}" name="Tabla93" displayName="Tabla93" ref="J11:J17" totalsRowShown="0" headerRowDxfId="61" dataDxfId="60">
  <autoFilter ref="J11:J17" xr:uid="{01D445B2-006B-45B1-9326-AB65B144ABD8}"/>
  <tableColumns count="1">
    <tableColumn id="1" xr3:uid="{B548BB39-2B40-4E98-AE24-D564B24A0831}" name="MetacogniciónAK" dataDxfId="59"/>
  </tableColumns>
  <tableStyleInfo name="Estilo de tabla 1"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8F99EDF7-BECB-4CB8-94CB-15DEF8DBE8E0}" name="InformaciónMK" displayName="InformaciónMK" ref="G19:G25" totalsRowShown="0" headerRowDxfId="58" dataDxfId="57">
  <autoFilter ref="G19:G25" xr:uid="{8F99EDF7-BECB-4CB8-94CB-15DEF8DBE8E0}"/>
  <tableColumns count="1">
    <tableColumn id="1" xr3:uid="{995D4B7F-2557-48EF-AE97-D4FE09E63D59}" name="InformaciónMK" dataDxfId="56"/>
  </tableColumns>
  <tableStyleInfo name="Estilo de tabla 1"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DFB0C1EA-F7F7-4443-9626-BCD7D06ACAA7}" name="ProcesosMentalesMK" displayName="ProcesosMentalesMK" ref="H19:H25" totalsRowShown="0" headerRowDxfId="55" dataDxfId="54">
  <autoFilter ref="H19:H25" xr:uid="{DFB0C1EA-F7F7-4443-9626-BCD7D06ACAA7}"/>
  <tableColumns count="1">
    <tableColumn id="1" xr3:uid="{977268A2-A618-4E2F-BE67-44E018AA2B3D}" name="ProcesosMentalesMK" dataDxfId="53"/>
  </tableColumns>
  <tableStyleInfo name="Estilo de tabla 1"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AC2042AB-A078-4FDF-91CA-322668C40EBE}" name="Tabla96" displayName="Tabla96" ref="I19:I25" totalsRowShown="0" headerRowDxfId="52" dataDxfId="51">
  <autoFilter ref="I19:I25" xr:uid="{AC2042AB-A078-4FDF-91CA-322668C40EBE}"/>
  <tableColumns count="1">
    <tableColumn id="1" xr3:uid="{AAE35896-9168-4715-8D56-25997B0AB9C8}" name="PsicomotorMK" dataDxfId="50"/>
  </tableColumns>
  <tableStyleInfo name="Estilo de tabla 1"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538ED7E5-6B58-402B-94DF-D07C13DE2D9E}" name="Tabla97" displayName="Tabla97" ref="BB4:BB28" totalsRowShown="0" headerRowDxfId="49" dataDxfId="48" tableBorderDxfId="47">
  <autoFilter ref="BB4:BB28" xr:uid="{538ED7E5-6B58-402B-94DF-D07C13DE2D9E}"/>
  <sortState xmlns:xlrd2="http://schemas.microsoft.com/office/spreadsheetml/2017/richdata2" ref="BB5:BB28">
    <sortCondition ref="BB5:BB28"/>
  </sortState>
  <tableColumns count="1">
    <tableColumn id="1" xr3:uid="{BBBA71C3-D37D-42D2-B57F-3792E560AED8}" name="RecuperaciónMK" dataDxfId="46"/>
  </tableColumns>
  <tableStyleInfo name="TableStyleMedium2"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0217E0C4-2DD9-4417-BE26-3FF0FF3F395D}" name="Tabla98" displayName="Tabla98" ref="BC4:BC56" totalsRowShown="0" headerRowDxfId="45" dataDxfId="44">
  <autoFilter ref="BC4:BC56" xr:uid="{0217E0C4-2DD9-4417-BE26-3FF0FF3F395D}"/>
  <sortState xmlns:xlrd2="http://schemas.microsoft.com/office/spreadsheetml/2017/richdata2" ref="BC5:BC56">
    <sortCondition ref="BC5:BC56"/>
  </sortState>
  <tableColumns count="1">
    <tableColumn id="1" xr3:uid="{EEF7A2C9-904A-475E-B946-D75F88E5CF1A}" name="ComprensiónMK" dataDxfId="43"/>
  </tableColumns>
  <tableStyleInfo name="TableStyleMedium2"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522023D2-447B-4863-8827-33272C577B77}" name="Tabla99" displayName="Tabla99" ref="BD4:BD108" totalsRowShown="0" headerRowDxfId="42" dataDxfId="41" tableBorderDxfId="40">
  <autoFilter ref="BD4:BD108" xr:uid="{522023D2-447B-4863-8827-33272C577B77}"/>
  <sortState xmlns:xlrd2="http://schemas.microsoft.com/office/spreadsheetml/2017/richdata2" ref="BD5:BD108">
    <sortCondition ref="BD5:BD108"/>
  </sortState>
  <tableColumns count="1">
    <tableColumn id="1" xr3:uid="{9344A526-D889-455B-8393-6E992E4F8707}" name="AnálisisMK" dataDxfId="39"/>
  </tableColumns>
  <tableStyleInfo name="TableStyleMedium2"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6AB46F11-6BD0-4EBD-B99F-F1D1FC283558}" name="Tabla100" displayName="Tabla100" ref="BE4:BE70" totalsRowShown="0" headerRowDxfId="38" dataDxfId="37" tableBorderDxfId="36">
  <autoFilter ref="BE4:BE70" xr:uid="{6AB46F11-6BD0-4EBD-B99F-F1D1FC283558}"/>
  <sortState xmlns:xlrd2="http://schemas.microsoft.com/office/spreadsheetml/2017/richdata2" ref="BE5:BE70">
    <sortCondition ref="BE5:BE70"/>
  </sortState>
  <tableColumns count="1">
    <tableColumn id="1" xr3:uid="{9B864D54-9851-4B93-B3C8-06FA6FD5E1D3}" name="UsoConocimientoMK" dataDxfId="35"/>
  </tableColumns>
  <tableStyleInfo name="TableStyleMedium2"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5C094C7C-8551-4EC0-B36D-BC7DA6369C48}" name="Tabla101" displayName="Tabla101" ref="BF4:BF92" totalsRowShown="0" headerRowDxfId="34" dataDxfId="33" tableBorderDxfId="32">
  <autoFilter ref="BF4:BF92" xr:uid="{5C094C7C-8551-4EC0-B36D-BC7DA6369C48}"/>
  <sortState xmlns:xlrd2="http://schemas.microsoft.com/office/spreadsheetml/2017/richdata2" ref="BF5:BF92">
    <sortCondition ref="BF5:BF92"/>
  </sortState>
  <tableColumns count="1">
    <tableColumn id="1" xr3:uid="{02A922E1-8BFE-426F-8C44-897F7B4F7498}" name="MetacogniciónMK" dataDxfId="31"/>
  </tableColumns>
  <tableStyleInfo name="TableStyleMedium2"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028CBBA-0913-46A4-9A7A-1484F73BB293}" name="Tabla11" displayName="Tabla11" ref="BG4:BG87" totalsRowShown="0" headerRowDxfId="30" dataDxfId="29" tableBorderDxfId="28">
  <autoFilter ref="BG4:BG87" xr:uid="{E028CBBA-0913-46A4-9A7A-1484F73BB293}"/>
  <tableColumns count="1">
    <tableColumn id="1" xr3:uid="{0478638C-EFB5-452E-960C-8B4E2E4D8F5A}" name="SistemadelYoMK" dataDxfId="27"/>
  </tableColumns>
  <tableStyleInfo name="TableStyleMedium2"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93AEC37-2B83-41E3-AA53-B1C4C9AAFED6}" name="Tabla11682" displayName="Tabla11682" ref="AR4:AR53" totalsRowShown="0" headerRowDxfId="26" dataDxfId="25">
  <autoFilter ref="AR4:AR53" xr:uid="{A93AEC37-2B83-41E3-AA53-B1C4C9AAFED6}"/>
  <tableColumns count="1">
    <tableColumn id="1" xr3:uid="{BC599931-18FB-493B-998F-5EBFDA26F99A}" name="ImitaciónBAK" dataDxfId="24"/>
  </tableColumns>
  <tableStyleInfo name="TableStyleMedium2"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F6786D6-3072-4AED-9E96-46E6FBDF3D96}" name="Tabla30694" displayName="Tabla30694" ref="AS4:AS41" totalsRowShown="0" headerRowDxfId="23" dataDxfId="22">
  <autoFilter ref="AS4:AS41" xr:uid="{5F6786D6-3072-4AED-9E96-46E6FBDF3D96}"/>
  <tableColumns count="1">
    <tableColumn id="1" xr3:uid="{7541B21B-5B3A-458E-99AA-6AC7DBF28BEC}" name="ManipulaciónBAK" dataDxfId="21"/>
  </tableColumns>
  <tableStyleInfo name="TableStyleMedium2"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A139879-F39C-4F39-932E-1A47FC0092F6}" name="Tabla41706" displayName="Tabla41706" ref="AT4:AT69" totalsRowShown="0" headerRowDxfId="20" dataDxfId="19">
  <autoFilter ref="AT4:AT69" xr:uid="{BA139879-F39C-4F39-932E-1A47FC0092F6}"/>
  <tableColumns count="1">
    <tableColumn id="1" xr3:uid="{CEE9D729-59A2-41C0-AF9F-CCA72DF4F138}" name="PrecisiónBAK" dataDxfId="18"/>
  </tableColumns>
  <tableStyleInfo name="TableStyleMedium2"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9D6BCE83-DCD0-4239-95CE-6A6A7A146442}" name="Tabla42717" displayName="Tabla42717" ref="AU4:AU63" totalsRowShown="0" headerRowDxfId="17" dataDxfId="16">
  <autoFilter ref="AU4:AU63" xr:uid="{9D6BCE83-DCD0-4239-95CE-6A6A7A146442}"/>
  <tableColumns count="1">
    <tableColumn id="1" xr3:uid="{A6259F30-12C1-4C84-9ECA-D290C3094A76}" name="ControlBAK" dataDxfId="15"/>
  </tableColumns>
  <tableStyleInfo name="TableStyleMedium2"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13318784-679D-484B-A0F4-4662B63A05DE}" name="Tabla437218" displayName="Tabla437218" ref="AV4:AV44" totalsRowShown="0" headerRowDxfId="14" dataDxfId="13">
  <autoFilter ref="AV4:AV44" xr:uid="{13318784-679D-484B-A0F4-4662B63A05DE}"/>
  <tableColumns count="1">
    <tableColumn id="1" xr3:uid="{30F45F34-6591-419F-827C-BF81F08B96E2}" name="PercepciónBAK" dataDxfId="12"/>
  </tableColumns>
  <tableStyleInfo name="TableStyleMedium2"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21176BB-02DC-4671-9FA9-797A042C6481}" name="Tabla447319" displayName="Tabla447319" ref="AW4:AW34" totalsRowShown="0" headerRowDxfId="11" dataDxfId="10">
  <autoFilter ref="AW4:AW34" xr:uid="{721176BB-02DC-4671-9FA9-797A042C6481}"/>
  <tableColumns count="1">
    <tableColumn id="1" xr3:uid="{F605F378-67F2-4F23-8E79-B8A90607E39A}" name="ResponderBAK" dataDxfId="9"/>
  </tableColumns>
  <tableStyleInfo name="TableStyleMedium2"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6EE921D-2080-42C6-AD5D-D4AB16D41154}" name="Tabla457420" displayName="Tabla457420" ref="AX4:AX39" totalsRowShown="0" headerRowDxfId="8" dataDxfId="7">
  <autoFilter ref="AX4:AX39" xr:uid="{26EE921D-2080-42C6-AD5D-D4AB16D41154}"/>
  <tableColumns count="1">
    <tableColumn id="1" xr3:uid="{686D7ECA-9035-4891-94AC-7D1EEE0CA2FF}" name="ValorarBAK" dataDxfId="6"/>
  </tableColumns>
  <tableStyleInfo name="TableStyleMedium2"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C2FD5F7B-4A17-40C0-AA00-7F903470FD5C}" name="Tabla467521" displayName="Tabla467521" ref="AY4:AY30" totalsRowShown="0" headerRowDxfId="5" dataDxfId="4">
  <autoFilter ref="AY4:AY30" xr:uid="{C2FD5F7B-4A17-40C0-AA00-7F903470FD5C}"/>
  <tableColumns count="1">
    <tableColumn id="1" xr3:uid="{D6CB45EB-499A-4E4F-AC0E-DC20DF7271A5}" name="OrganizarBAK" dataDxfId="3"/>
  </tableColumns>
  <tableStyleInfo name="TableStyleMedium2"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F6D5E08D-ACF9-4A74-B1D2-CD9F4DF55DB1}" name="Tabla477622" displayName="Tabla477622" ref="AZ4:AZ30" totalsRowShown="0" headerRowDxfId="2" dataDxfId="1">
  <autoFilter ref="AZ4:AZ30" xr:uid="{F6D5E08D-ACF9-4A74-B1D2-CD9F4DF55DB1}"/>
  <tableColumns count="1">
    <tableColumn id="1" xr3:uid="{016529B9-A15E-4EE4-B1CE-6BB660F0619F}" name="CaracterizarBAK" dataDxfId="0"/>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3" Type="http://schemas.openxmlformats.org/officeDocument/2006/relationships/table" Target="../tables/table13.xml"/><Relationship Id="rId18" Type="http://schemas.openxmlformats.org/officeDocument/2006/relationships/table" Target="../tables/table18.xml"/><Relationship Id="rId26" Type="http://schemas.openxmlformats.org/officeDocument/2006/relationships/table" Target="../tables/table26.xml"/><Relationship Id="rId39" Type="http://schemas.openxmlformats.org/officeDocument/2006/relationships/table" Target="../tables/table39.xml"/><Relationship Id="rId21" Type="http://schemas.openxmlformats.org/officeDocument/2006/relationships/table" Target="../tables/table21.xml"/><Relationship Id="rId34" Type="http://schemas.openxmlformats.org/officeDocument/2006/relationships/table" Target="../tables/table34.xml"/><Relationship Id="rId42" Type="http://schemas.openxmlformats.org/officeDocument/2006/relationships/table" Target="../tables/table42.xml"/><Relationship Id="rId47" Type="http://schemas.openxmlformats.org/officeDocument/2006/relationships/table" Target="../tables/table47.xml"/><Relationship Id="rId50" Type="http://schemas.openxmlformats.org/officeDocument/2006/relationships/table" Target="../tables/table50.xml"/><Relationship Id="rId55" Type="http://schemas.openxmlformats.org/officeDocument/2006/relationships/table" Target="../tables/table55.xml"/><Relationship Id="rId7" Type="http://schemas.openxmlformats.org/officeDocument/2006/relationships/table" Target="../tables/table7.xml"/><Relationship Id="rId2" Type="http://schemas.openxmlformats.org/officeDocument/2006/relationships/table" Target="../tables/table2.xml"/><Relationship Id="rId16" Type="http://schemas.openxmlformats.org/officeDocument/2006/relationships/table" Target="../tables/table16.xml"/><Relationship Id="rId29" Type="http://schemas.openxmlformats.org/officeDocument/2006/relationships/table" Target="../tables/table29.xml"/><Relationship Id="rId11" Type="http://schemas.openxmlformats.org/officeDocument/2006/relationships/table" Target="../tables/table11.xml"/><Relationship Id="rId24" Type="http://schemas.openxmlformats.org/officeDocument/2006/relationships/table" Target="../tables/table24.xml"/><Relationship Id="rId32" Type="http://schemas.openxmlformats.org/officeDocument/2006/relationships/table" Target="../tables/table32.xml"/><Relationship Id="rId37" Type="http://schemas.openxmlformats.org/officeDocument/2006/relationships/table" Target="../tables/table37.xml"/><Relationship Id="rId40" Type="http://schemas.openxmlformats.org/officeDocument/2006/relationships/table" Target="../tables/table40.xml"/><Relationship Id="rId45" Type="http://schemas.openxmlformats.org/officeDocument/2006/relationships/table" Target="../tables/table45.xml"/><Relationship Id="rId53" Type="http://schemas.openxmlformats.org/officeDocument/2006/relationships/table" Target="../tables/table53.xml"/><Relationship Id="rId58" Type="http://schemas.openxmlformats.org/officeDocument/2006/relationships/comments" Target="../comments6.xml"/><Relationship Id="rId5" Type="http://schemas.openxmlformats.org/officeDocument/2006/relationships/table" Target="../tables/table5.xml"/><Relationship Id="rId19" Type="http://schemas.openxmlformats.org/officeDocument/2006/relationships/table" Target="../tables/table19.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 Id="rId22" Type="http://schemas.openxmlformats.org/officeDocument/2006/relationships/table" Target="../tables/table22.xml"/><Relationship Id="rId27" Type="http://schemas.openxmlformats.org/officeDocument/2006/relationships/table" Target="../tables/table27.xml"/><Relationship Id="rId30" Type="http://schemas.openxmlformats.org/officeDocument/2006/relationships/table" Target="../tables/table30.xml"/><Relationship Id="rId35" Type="http://schemas.openxmlformats.org/officeDocument/2006/relationships/table" Target="../tables/table35.xml"/><Relationship Id="rId43" Type="http://schemas.openxmlformats.org/officeDocument/2006/relationships/table" Target="../tables/table43.xml"/><Relationship Id="rId48" Type="http://schemas.openxmlformats.org/officeDocument/2006/relationships/table" Target="../tables/table48.xml"/><Relationship Id="rId56" Type="http://schemas.openxmlformats.org/officeDocument/2006/relationships/table" Target="../tables/table56.xml"/><Relationship Id="rId8" Type="http://schemas.openxmlformats.org/officeDocument/2006/relationships/table" Target="../tables/table8.xml"/><Relationship Id="rId51" Type="http://schemas.openxmlformats.org/officeDocument/2006/relationships/table" Target="../tables/table51.xml"/><Relationship Id="rId3" Type="http://schemas.openxmlformats.org/officeDocument/2006/relationships/table" Target="../tables/table3.xml"/><Relationship Id="rId12" Type="http://schemas.openxmlformats.org/officeDocument/2006/relationships/table" Target="../tables/table12.xml"/><Relationship Id="rId17" Type="http://schemas.openxmlformats.org/officeDocument/2006/relationships/table" Target="../tables/table17.xml"/><Relationship Id="rId25" Type="http://schemas.openxmlformats.org/officeDocument/2006/relationships/table" Target="../tables/table25.xml"/><Relationship Id="rId33" Type="http://schemas.openxmlformats.org/officeDocument/2006/relationships/table" Target="../tables/table33.xml"/><Relationship Id="rId38" Type="http://schemas.openxmlformats.org/officeDocument/2006/relationships/table" Target="../tables/table38.xml"/><Relationship Id="rId46" Type="http://schemas.openxmlformats.org/officeDocument/2006/relationships/table" Target="../tables/table46.xml"/><Relationship Id="rId20" Type="http://schemas.openxmlformats.org/officeDocument/2006/relationships/table" Target="../tables/table20.xml"/><Relationship Id="rId41" Type="http://schemas.openxmlformats.org/officeDocument/2006/relationships/table" Target="../tables/table41.xml"/><Relationship Id="rId54" Type="http://schemas.openxmlformats.org/officeDocument/2006/relationships/table" Target="../tables/table54.xml"/><Relationship Id="rId1" Type="http://schemas.openxmlformats.org/officeDocument/2006/relationships/vmlDrawing" Target="../drawings/vmlDrawing6.vml"/><Relationship Id="rId6" Type="http://schemas.openxmlformats.org/officeDocument/2006/relationships/table" Target="../tables/table6.xml"/><Relationship Id="rId15" Type="http://schemas.openxmlformats.org/officeDocument/2006/relationships/table" Target="../tables/table15.xml"/><Relationship Id="rId23" Type="http://schemas.openxmlformats.org/officeDocument/2006/relationships/table" Target="../tables/table23.xml"/><Relationship Id="rId28" Type="http://schemas.openxmlformats.org/officeDocument/2006/relationships/table" Target="../tables/table28.xml"/><Relationship Id="rId36" Type="http://schemas.openxmlformats.org/officeDocument/2006/relationships/table" Target="../tables/table36.xml"/><Relationship Id="rId49" Type="http://schemas.openxmlformats.org/officeDocument/2006/relationships/table" Target="../tables/table49.xml"/><Relationship Id="rId57" Type="http://schemas.openxmlformats.org/officeDocument/2006/relationships/table" Target="../tables/table57.xml"/><Relationship Id="rId10" Type="http://schemas.openxmlformats.org/officeDocument/2006/relationships/table" Target="../tables/table10.xml"/><Relationship Id="rId31" Type="http://schemas.openxmlformats.org/officeDocument/2006/relationships/table" Target="../tables/table31.xml"/><Relationship Id="rId44" Type="http://schemas.openxmlformats.org/officeDocument/2006/relationships/table" Target="../tables/table44.xml"/><Relationship Id="rId52" Type="http://schemas.openxmlformats.org/officeDocument/2006/relationships/table" Target="../tables/table5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FA7EDF-246F-4EE0-BFE4-7EACACD45C48}">
  <dimension ref="A1:K28"/>
  <sheetViews>
    <sheetView zoomScaleNormal="100" workbookViewId="0">
      <selection activeCell="A3" sqref="A3:A5"/>
    </sheetView>
  </sheetViews>
  <sheetFormatPr baseColWidth="10" defaultColWidth="76.26953125" defaultRowHeight="16.5" x14ac:dyDescent="0.5"/>
  <cols>
    <col min="1" max="1" width="19.7265625" style="3" customWidth="1"/>
    <col min="2" max="2" width="16.7265625" style="3" customWidth="1"/>
    <col min="3" max="4" width="69.1796875" style="3" customWidth="1"/>
    <col min="5" max="5" width="34.1796875" style="3" customWidth="1"/>
    <col min="6" max="7" width="34.1796875" style="1" customWidth="1"/>
    <col min="8" max="8" width="87" style="3" customWidth="1"/>
    <col min="9" max="9" width="95.26953125" style="3" customWidth="1"/>
    <col min="10" max="10" width="67.1796875" style="3" customWidth="1"/>
    <col min="11" max="11" width="76.81640625" style="3" customWidth="1"/>
    <col min="12" max="16384" width="76.26953125" style="3"/>
  </cols>
  <sheetData>
    <row r="1" spans="1:11" ht="42.5" x14ac:dyDescent="0.5">
      <c r="A1" s="35" t="s">
        <v>0</v>
      </c>
      <c r="B1" s="35" t="s">
        <v>1</v>
      </c>
      <c r="C1" s="35" t="s">
        <v>2</v>
      </c>
      <c r="D1" s="35" t="s">
        <v>3</v>
      </c>
      <c r="E1" s="98" t="s">
        <v>4</v>
      </c>
      <c r="F1" s="98"/>
      <c r="G1" s="98"/>
      <c r="H1" s="98" t="s">
        <v>5</v>
      </c>
      <c r="I1" s="98"/>
      <c r="J1" s="98"/>
      <c r="K1" s="36" t="s">
        <v>6</v>
      </c>
    </row>
    <row r="2" spans="1:11" s="4" customFormat="1" x14ac:dyDescent="0.5">
      <c r="A2" s="33" t="s">
        <v>7</v>
      </c>
      <c r="B2" s="33" t="s">
        <v>8</v>
      </c>
      <c r="C2" s="33" t="s">
        <v>9</v>
      </c>
      <c r="D2" s="33" t="s">
        <v>10</v>
      </c>
      <c r="E2" s="34" t="s">
        <v>11</v>
      </c>
      <c r="F2" s="34" t="s">
        <v>12</v>
      </c>
      <c r="G2" s="34" t="s">
        <v>13</v>
      </c>
      <c r="H2" s="37" t="s">
        <v>14</v>
      </c>
      <c r="I2" s="37" t="s">
        <v>15</v>
      </c>
      <c r="J2" s="37" t="s">
        <v>16</v>
      </c>
      <c r="K2" s="37" t="s">
        <v>17</v>
      </c>
    </row>
    <row r="3" spans="1:11" s="6" customFormat="1" ht="77.150000000000006" customHeight="1" x14ac:dyDescent="0.35">
      <c r="A3" s="73" t="s">
        <v>18</v>
      </c>
      <c r="B3" s="73" t="s">
        <v>19</v>
      </c>
      <c r="C3" s="76" t="s">
        <v>20</v>
      </c>
      <c r="D3" s="76" t="s">
        <v>21</v>
      </c>
      <c r="E3" s="66" t="s">
        <v>22</v>
      </c>
      <c r="F3" s="66" t="s">
        <v>23</v>
      </c>
      <c r="G3" s="66" t="s">
        <v>24</v>
      </c>
      <c r="H3" s="97" t="s">
        <v>25</v>
      </c>
      <c r="I3" s="97" t="s">
        <v>26</v>
      </c>
      <c r="J3" s="97" t="s">
        <v>27</v>
      </c>
      <c r="K3" s="97" t="s">
        <v>28</v>
      </c>
    </row>
    <row r="4" spans="1:11" s="6" customFormat="1" ht="77.150000000000006" customHeight="1" x14ac:dyDescent="0.35">
      <c r="A4" s="73"/>
      <c r="B4" s="73"/>
      <c r="C4" s="76"/>
      <c r="D4" s="76"/>
      <c r="E4" s="25" t="s">
        <v>29</v>
      </c>
      <c r="F4" s="63" t="s">
        <v>30</v>
      </c>
      <c r="G4" s="63" t="s">
        <v>31</v>
      </c>
      <c r="H4" s="76"/>
      <c r="I4" s="76"/>
      <c r="J4" s="76"/>
      <c r="K4" s="76"/>
    </row>
    <row r="5" spans="1:11" s="5" customFormat="1" ht="113.5" customHeight="1" x14ac:dyDescent="0.35">
      <c r="A5" s="73"/>
      <c r="B5" s="73"/>
      <c r="C5" s="76"/>
      <c r="D5" s="76"/>
      <c r="E5" s="63" t="s">
        <v>32</v>
      </c>
      <c r="F5" s="63" t="s">
        <v>33</v>
      </c>
      <c r="G5" s="63" t="s">
        <v>34</v>
      </c>
      <c r="H5" s="76"/>
      <c r="I5" s="76"/>
      <c r="J5" s="76"/>
      <c r="K5" s="76"/>
    </row>
    <row r="6" spans="1:11" x14ac:dyDescent="0.5">
      <c r="A6" s="5"/>
      <c r="B6" s="5"/>
      <c r="C6" s="65"/>
      <c r="D6" s="65"/>
      <c r="E6" s="5"/>
      <c r="F6" s="4"/>
      <c r="H6" s="4"/>
    </row>
    <row r="7" spans="1:11" x14ac:dyDescent="0.5">
      <c r="A7" s="5"/>
      <c r="B7" s="5"/>
      <c r="C7" s="65"/>
      <c r="D7" s="65"/>
      <c r="E7" s="5"/>
      <c r="F7" s="4"/>
      <c r="H7" s="4"/>
    </row>
    <row r="8" spans="1:11" x14ac:dyDescent="0.5">
      <c r="A8" s="5"/>
      <c r="B8" s="5"/>
      <c r="C8" s="65"/>
      <c r="D8" s="65"/>
      <c r="E8" s="5"/>
      <c r="F8" s="4"/>
    </row>
    <row r="9" spans="1:11" x14ac:dyDescent="0.5">
      <c r="A9" s="5"/>
      <c r="B9" s="5"/>
      <c r="C9" s="65"/>
      <c r="D9" s="65"/>
      <c r="E9" s="4"/>
      <c r="F9" s="4"/>
    </row>
    <row r="10" spans="1:11" x14ac:dyDescent="0.5">
      <c r="A10" s="5"/>
      <c r="B10" s="5"/>
      <c r="C10" s="65"/>
      <c r="D10" s="65"/>
      <c r="E10" s="4"/>
      <c r="F10" s="4"/>
    </row>
    <row r="11" spans="1:11" x14ac:dyDescent="0.5">
      <c r="A11" s="5"/>
      <c r="B11" s="5"/>
      <c r="C11" s="65"/>
      <c r="D11" s="65"/>
      <c r="E11" s="4"/>
      <c r="F11" s="4"/>
    </row>
    <row r="12" spans="1:11" x14ac:dyDescent="0.5">
      <c r="A12" s="5"/>
      <c r="B12" s="5"/>
      <c r="C12" s="65"/>
      <c r="D12" s="65"/>
      <c r="E12" s="4"/>
      <c r="F12" s="4"/>
    </row>
    <row r="13" spans="1:11" x14ac:dyDescent="0.5">
      <c r="A13" s="5"/>
      <c r="B13" s="5"/>
      <c r="C13" s="63"/>
      <c r="D13" s="70"/>
      <c r="E13" s="4"/>
      <c r="F13" s="4"/>
    </row>
    <row r="14" spans="1:11" x14ac:dyDescent="0.5">
      <c r="A14" s="5"/>
      <c r="B14" s="5"/>
      <c r="C14" s="63"/>
      <c r="D14" s="70"/>
      <c r="E14" s="4"/>
      <c r="F14" s="4"/>
    </row>
    <row r="15" spans="1:11" x14ac:dyDescent="0.5">
      <c r="A15" s="5"/>
      <c r="B15" s="5"/>
      <c r="C15" s="63"/>
      <c r="D15" s="70"/>
      <c r="E15" s="4"/>
      <c r="F15" s="4"/>
    </row>
    <row r="16" spans="1:11" x14ac:dyDescent="0.5">
      <c r="A16" s="5"/>
      <c r="B16" s="5"/>
      <c r="C16" s="63"/>
      <c r="D16" s="70"/>
      <c r="E16" s="4"/>
    </row>
    <row r="17" spans="1:4" x14ac:dyDescent="0.5">
      <c r="A17" s="5"/>
      <c r="B17" s="5"/>
      <c r="C17" s="63"/>
      <c r="D17" s="70"/>
    </row>
    <row r="18" spans="1:4" x14ac:dyDescent="0.5">
      <c r="A18" s="5"/>
      <c r="B18" s="5"/>
      <c r="C18" s="5"/>
      <c r="D18" s="70"/>
    </row>
    <row r="19" spans="1:4" x14ac:dyDescent="0.5">
      <c r="A19" s="5"/>
      <c r="B19" s="5"/>
      <c r="C19" s="5"/>
      <c r="D19" s="70"/>
    </row>
    <row r="20" spans="1:4" x14ac:dyDescent="0.5">
      <c r="A20" s="5"/>
      <c r="B20" s="5"/>
      <c r="C20" s="5"/>
      <c r="D20" s="70"/>
    </row>
    <row r="21" spans="1:4" x14ac:dyDescent="0.5">
      <c r="A21" s="5"/>
      <c r="B21" s="5"/>
      <c r="C21" s="5"/>
      <c r="D21" s="70"/>
    </row>
    <row r="22" spans="1:4" x14ac:dyDescent="0.5">
      <c r="D22" s="70"/>
    </row>
    <row r="23" spans="1:4" x14ac:dyDescent="0.5">
      <c r="D23" s="70"/>
    </row>
    <row r="24" spans="1:4" x14ac:dyDescent="0.5">
      <c r="D24" s="70"/>
    </row>
    <row r="25" spans="1:4" x14ac:dyDescent="0.5">
      <c r="D25" s="70"/>
    </row>
    <row r="26" spans="1:4" x14ac:dyDescent="0.5">
      <c r="D26" s="70"/>
    </row>
    <row r="27" spans="1:4" x14ac:dyDescent="0.5">
      <c r="D27" s="70"/>
    </row>
    <row r="28" spans="1:4" x14ac:dyDescent="0.5">
      <c r="D28" s="70"/>
    </row>
  </sheetData>
  <mergeCells count="10">
    <mergeCell ref="K3:K5"/>
    <mergeCell ref="C3:C5"/>
    <mergeCell ref="D3:D5"/>
    <mergeCell ref="H1:J1"/>
    <mergeCell ref="E1:G1"/>
    <mergeCell ref="A3:A5"/>
    <mergeCell ref="B3:B5"/>
    <mergeCell ref="H3:H5"/>
    <mergeCell ref="I3:I5"/>
    <mergeCell ref="J3:J5"/>
  </mergeCells>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C1850E-A9C8-4F69-8E80-DEAF9721FFBF}">
  <dimension ref="A1:G13"/>
  <sheetViews>
    <sheetView zoomScaleNormal="100" workbookViewId="0">
      <selection sqref="A1:G1"/>
    </sheetView>
  </sheetViews>
  <sheetFormatPr baseColWidth="10" defaultColWidth="11.453125" defaultRowHeight="16.5" x14ac:dyDescent="0.5"/>
  <cols>
    <col min="1" max="1" width="19" style="3" customWidth="1"/>
    <col min="2" max="2" width="24" style="3" customWidth="1"/>
    <col min="3" max="3" width="32.1796875" style="3" customWidth="1"/>
    <col min="4" max="4" width="36.81640625" style="3" customWidth="1"/>
    <col min="5" max="5" width="41.54296875" style="3" customWidth="1"/>
    <col min="6" max="6" width="96.81640625" style="3" customWidth="1"/>
    <col min="7" max="7" width="27.81640625" style="3" customWidth="1"/>
    <col min="8" max="16384" width="11.453125" style="3"/>
  </cols>
  <sheetData>
    <row r="1" spans="1:7" ht="17.25" customHeight="1" x14ac:dyDescent="0.5">
      <c r="A1" s="99" t="s">
        <v>670</v>
      </c>
      <c r="B1" s="100"/>
      <c r="C1" s="100"/>
      <c r="D1" s="100"/>
      <c r="E1" s="100"/>
      <c r="F1" s="100"/>
      <c r="G1" s="100"/>
    </row>
    <row r="2" spans="1:7" ht="65" x14ac:dyDescent="0.5">
      <c r="A2" s="44" t="s">
        <v>35</v>
      </c>
      <c r="B2" s="45" t="s">
        <v>36</v>
      </c>
      <c r="C2" s="45" t="s">
        <v>37</v>
      </c>
      <c r="D2" s="45" t="s">
        <v>38</v>
      </c>
      <c r="E2" s="45" t="s">
        <v>39</v>
      </c>
      <c r="F2" s="46" t="s">
        <v>40</v>
      </c>
      <c r="G2" s="46" t="s">
        <v>41</v>
      </c>
    </row>
    <row r="3" spans="1:7" x14ac:dyDescent="0.5">
      <c r="A3" s="47" t="s">
        <v>42</v>
      </c>
      <c r="B3" s="48" t="s">
        <v>43</v>
      </c>
      <c r="C3" s="48" t="s">
        <v>44</v>
      </c>
      <c r="D3" s="48" t="s">
        <v>45</v>
      </c>
      <c r="E3" s="48" t="s">
        <v>46</v>
      </c>
      <c r="F3" s="49" t="s">
        <v>47</v>
      </c>
      <c r="G3" s="49" t="s">
        <v>48</v>
      </c>
    </row>
    <row r="4" spans="1:7" s="5" customFormat="1" ht="49.5" x14ac:dyDescent="0.35">
      <c r="A4" s="7">
        <v>1</v>
      </c>
      <c r="B4" s="67" t="s">
        <v>49</v>
      </c>
      <c r="C4" s="68" t="s">
        <v>22</v>
      </c>
      <c r="D4" s="68" t="s">
        <v>23</v>
      </c>
      <c r="E4" s="68" t="s">
        <v>24</v>
      </c>
      <c r="F4" s="25" t="s">
        <v>50</v>
      </c>
      <c r="G4" s="5" t="s">
        <v>51</v>
      </c>
    </row>
    <row r="5" spans="1:7" s="5" customFormat="1" ht="49.5" x14ac:dyDescent="0.35">
      <c r="A5" s="7">
        <v>2</v>
      </c>
      <c r="B5" s="69" t="s">
        <v>52</v>
      </c>
      <c r="C5" s="63" t="s">
        <v>29</v>
      </c>
      <c r="D5" s="63" t="s">
        <v>30</v>
      </c>
      <c r="E5" s="63" t="s">
        <v>31</v>
      </c>
      <c r="F5" s="25" t="s">
        <v>53</v>
      </c>
      <c r="G5" s="5" t="s">
        <v>51</v>
      </c>
    </row>
    <row r="6" spans="1:7" s="5" customFormat="1" ht="49.5" x14ac:dyDescent="0.35">
      <c r="A6" s="7">
        <v>3</v>
      </c>
      <c r="B6" s="69" t="s">
        <v>54</v>
      </c>
      <c r="C6" s="63" t="s">
        <v>32</v>
      </c>
      <c r="D6" s="63" t="s">
        <v>33</v>
      </c>
      <c r="E6" s="63" t="s">
        <v>34</v>
      </c>
      <c r="F6" s="25" t="s">
        <v>55</v>
      </c>
      <c r="G6" s="5" t="s">
        <v>51</v>
      </c>
    </row>
    <row r="7" spans="1:7" x14ac:dyDescent="0.5">
      <c r="B7" s="1"/>
      <c r="D7" s="4"/>
      <c r="E7" s="1"/>
    </row>
    <row r="8" spans="1:7" x14ac:dyDescent="0.5">
      <c r="B8" s="1"/>
    </row>
    <row r="13" spans="1:7" x14ac:dyDescent="0.5">
      <c r="E13" s="3" t="s">
        <v>56</v>
      </c>
    </row>
  </sheetData>
  <mergeCells count="1">
    <mergeCell ref="A1:G1"/>
  </mergeCells>
  <dataValidations count="2">
    <dataValidation type="list" allowBlank="1" showInputMessage="1" showErrorMessage="1" sqref="C4:C8" xr:uid="{296160A6-FB03-49EA-93B2-DD1CAF2E1EB2}">
      <formula1>Conocimientos</formula1>
    </dataValidation>
    <dataValidation type="list" allowBlank="1" showInputMessage="1" showErrorMessage="1" sqref="B4:B8" xr:uid="{7FF6EE86-2F70-4AF5-821E-634C08680A10}">
      <formula1>Verboscompetencias</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9A7500A7-F309-4DDD-8A6F-4233C463F17F}">
          <x14:formula1>
            <xm:f>'Paso1 Analisis perfil egreso'!$F$3:$F$5</xm:f>
          </x14:formula1>
          <xm:sqref>D4:D6</xm:sqref>
        </x14:dataValidation>
        <x14:dataValidation type="list" allowBlank="1" showInputMessage="1" showErrorMessage="1" xr:uid="{62707FCF-7FEF-4F5A-BD9D-627BBFA45324}">
          <x14:formula1>
            <xm:f>'Paso1 Analisis perfil egreso'!$G$3:$G$5</xm:f>
          </x14:formula1>
          <xm:sqref>E4:E6</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AF649-42F4-466A-BE11-44357078F961}">
  <dimension ref="A1:I11"/>
  <sheetViews>
    <sheetView zoomScaleNormal="100" workbookViewId="0"/>
  </sheetViews>
  <sheetFormatPr baseColWidth="10" defaultColWidth="11.453125" defaultRowHeight="16.5" x14ac:dyDescent="0.5"/>
  <cols>
    <col min="1" max="1" width="81.1796875" style="6" customWidth="1"/>
    <col min="2" max="2" width="16.7265625" style="7" customWidth="1"/>
    <col min="3" max="3" width="19.1796875" style="6" customWidth="1"/>
    <col min="4" max="4" width="28.1796875" style="6" customWidth="1"/>
    <col min="5" max="5" width="17.54296875" style="6" customWidth="1"/>
    <col min="6" max="6" width="17.81640625" style="6" customWidth="1"/>
    <col min="7" max="7" width="20.1796875" style="8" customWidth="1"/>
    <col min="8" max="8" width="18.26953125" style="1" customWidth="1"/>
    <col min="9" max="9" width="72" style="1" customWidth="1"/>
    <col min="10" max="10" width="43.26953125" style="6" customWidth="1"/>
    <col min="11" max="16384" width="11.453125" style="6"/>
  </cols>
  <sheetData>
    <row r="1" spans="1:9" ht="78" x14ac:dyDescent="0.35">
      <c r="A1" s="35" t="s">
        <v>57</v>
      </c>
      <c r="B1" s="35" t="s">
        <v>58</v>
      </c>
      <c r="C1" s="39" t="s">
        <v>59</v>
      </c>
      <c r="D1" s="40" t="s">
        <v>60</v>
      </c>
      <c r="E1" s="40" t="s">
        <v>61</v>
      </c>
      <c r="F1" s="39" t="s">
        <v>62</v>
      </c>
      <c r="G1" s="39" t="s">
        <v>63</v>
      </c>
      <c r="H1" s="39" t="s">
        <v>64</v>
      </c>
      <c r="I1" s="35" t="s">
        <v>65</v>
      </c>
    </row>
    <row r="2" spans="1:9" ht="33.5" thickBot="1" x14ac:dyDescent="0.4">
      <c r="A2" s="38" t="s">
        <v>66</v>
      </c>
      <c r="B2" s="38" t="s">
        <v>67</v>
      </c>
      <c r="C2" s="41" t="s">
        <v>68</v>
      </c>
      <c r="D2" s="42" t="s">
        <v>69</v>
      </c>
      <c r="E2" s="42" t="s">
        <v>70</v>
      </c>
      <c r="F2" s="41" t="s">
        <v>71</v>
      </c>
      <c r="G2" s="41" t="s">
        <v>72</v>
      </c>
      <c r="H2" s="41" t="s">
        <v>73</v>
      </c>
      <c r="I2" s="38" t="s">
        <v>74</v>
      </c>
    </row>
    <row r="3" spans="1:9" ht="66" x14ac:dyDescent="0.35">
      <c r="A3" s="27" t="s">
        <v>50</v>
      </c>
      <c r="B3" s="51">
        <v>1</v>
      </c>
      <c r="C3" s="20" t="s">
        <v>11</v>
      </c>
      <c r="D3" s="20" t="s">
        <v>22</v>
      </c>
      <c r="E3" s="20" t="s">
        <v>75</v>
      </c>
      <c r="F3" s="27" t="s">
        <v>76</v>
      </c>
      <c r="G3" s="31" t="s">
        <v>77</v>
      </c>
      <c r="H3" s="31" t="s">
        <v>78</v>
      </c>
      <c r="I3" s="20" t="s">
        <v>79</v>
      </c>
    </row>
    <row r="4" spans="1:9" ht="49.5" x14ac:dyDescent="0.35">
      <c r="A4" s="5" t="s">
        <v>50</v>
      </c>
      <c r="B4" s="7">
        <v>2</v>
      </c>
      <c r="C4" s="6" t="s">
        <v>12</v>
      </c>
      <c r="D4" s="6" t="s">
        <v>23</v>
      </c>
      <c r="E4" s="6" t="s">
        <v>75</v>
      </c>
      <c r="F4" s="5" t="s">
        <v>80</v>
      </c>
      <c r="G4" s="24" t="s">
        <v>81</v>
      </c>
      <c r="H4" s="24" t="s">
        <v>82</v>
      </c>
      <c r="I4" s="50" t="s">
        <v>83</v>
      </c>
    </row>
    <row r="5" spans="1:9" ht="49.5" x14ac:dyDescent="0.35">
      <c r="A5" s="5" t="s">
        <v>50</v>
      </c>
      <c r="B5" s="52">
        <v>3</v>
      </c>
      <c r="C5" s="6" t="s">
        <v>13</v>
      </c>
      <c r="D5" s="6" t="s">
        <v>34</v>
      </c>
      <c r="E5" s="6" t="s">
        <v>75</v>
      </c>
      <c r="F5" s="5" t="s">
        <v>84</v>
      </c>
      <c r="G5" s="24" t="s">
        <v>85</v>
      </c>
      <c r="H5" s="24" t="s">
        <v>52</v>
      </c>
      <c r="I5" s="54" t="s">
        <v>86</v>
      </c>
    </row>
    <row r="6" spans="1:9" ht="49.5" x14ac:dyDescent="0.35">
      <c r="A6" s="27" t="s">
        <v>53</v>
      </c>
      <c r="B6" s="51">
        <v>1</v>
      </c>
      <c r="C6" s="20" t="s">
        <v>11</v>
      </c>
      <c r="D6" s="20" t="s">
        <v>29</v>
      </c>
      <c r="E6" s="20" t="s">
        <v>75</v>
      </c>
      <c r="F6" s="27" t="s">
        <v>76</v>
      </c>
      <c r="G6" s="31" t="s">
        <v>77</v>
      </c>
      <c r="H6" s="31" t="s">
        <v>78</v>
      </c>
      <c r="I6" s="20" t="s">
        <v>79</v>
      </c>
    </row>
    <row r="7" spans="1:9" ht="66" x14ac:dyDescent="0.35">
      <c r="A7" s="5" t="s">
        <v>53</v>
      </c>
      <c r="B7" s="7">
        <v>2</v>
      </c>
      <c r="C7" s="6" t="s">
        <v>12</v>
      </c>
      <c r="D7" s="6" t="s">
        <v>30</v>
      </c>
      <c r="E7" s="6" t="s">
        <v>75</v>
      </c>
      <c r="F7" s="5" t="s">
        <v>80</v>
      </c>
      <c r="G7" s="24" t="s">
        <v>81</v>
      </c>
      <c r="H7" s="24" t="s">
        <v>82</v>
      </c>
      <c r="I7" s="50" t="s">
        <v>83</v>
      </c>
    </row>
    <row r="8" spans="1:9" ht="49.5" x14ac:dyDescent="0.35">
      <c r="A8" s="5" t="s">
        <v>53</v>
      </c>
      <c r="B8" s="52">
        <v>3</v>
      </c>
      <c r="C8" s="6" t="s">
        <v>13</v>
      </c>
      <c r="D8" s="6" t="s">
        <v>34</v>
      </c>
      <c r="E8" s="6" t="s">
        <v>75</v>
      </c>
      <c r="F8" s="5" t="s">
        <v>84</v>
      </c>
      <c r="G8" s="24" t="s">
        <v>85</v>
      </c>
      <c r="H8" s="24" t="s">
        <v>52</v>
      </c>
      <c r="I8" s="54" t="s">
        <v>86</v>
      </c>
    </row>
    <row r="9" spans="1:9" ht="49.5" x14ac:dyDescent="0.35">
      <c r="A9" s="27" t="s">
        <v>55</v>
      </c>
      <c r="B9" s="51">
        <v>1</v>
      </c>
      <c r="C9" s="20" t="s">
        <v>11</v>
      </c>
      <c r="D9" s="20" t="s">
        <v>32</v>
      </c>
      <c r="E9" s="20" t="s">
        <v>75</v>
      </c>
      <c r="F9" s="27" t="s">
        <v>76</v>
      </c>
      <c r="G9" s="31" t="s">
        <v>77</v>
      </c>
      <c r="H9" s="31" t="s">
        <v>78</v>
      </c>
      <c r="I9" s="20" t="s">
        <v>79</v>
      </c>
    </row>
    <row r="10" spans="1:9" ht="49.5" x14ac:dyDescent="0.35">
      <c r="A10" s="5" t="s">
        <v>55</v>
      </c>
      <c r="B10" s="7">
        <v>2</v>
      </c>
      <c r="C10" s="6" t="s">
        <v>12</v>
      </c>
      <c r="D10" s="6" t="s">
        <v>33</v>
      </c>
      <c r="E10" s="6" t="s">
        <v>75</v>
      </c>
      <c r="F10" s="5" t="s">
        <v>80</v>
      </c>
      <c r="G10" s="24" t="s">
        <v>81</v>
      </c>
      <c r="H10" s="24" t="s">
        <v>82</v>
      </c>
      <c r="I10" s="50" t="s">
        <v>83</v>
      </c>
    </row>
    <row r="11" spans="1:9" ht="49.5" x14ac:dyDescent="0.35">
      <c r="A11" s="26" t="s">
        <v>55</v>
      </c>
      <c r="B11" s="52">
        <v>3</v>
      </c>
      <c r="C11" s="21" t="s">
        <v>13</v>
      </c>
      <c r="D11" s="21" t="s">
        <v>34</v>
      </c>
      <c r="E11" s="21" t="s">
        <v>75</v>
      </c>
      <c r="F11" s="26" t="s">
        <v>84</v>
      </c>
      <c r="G11" s="71" t="s">
        <v>85</v>
      </c>
      <c r="H11" s="71" t="s">
        <v>52</v>
      </c>
      <c r="I11" s="54" t="s">
        <v>86</v>
      </c>
    </row>
  </sheetData>
  <dataValidations count="8">
    <dataValidation type="list" allowBlank="1" showInputMessage="1" showErrorMessage="1" sqref="C3:C11" xr:uid="{3EEE3B63-C572-46CF-960D-B5C131832E7C}">
      <formula1>dominios</formula1>
    </dataValidation>
    <dataValidation type="list" allowBlank="1" showInputMessage="1" showErrorMessage="1" sqref="A3:A11" xr:uid="{C75ACEBC-F466-42F9-8994-B0B52F0BD49B}">
      <formula1>competencias</formula1>
    </dataValidation>
    <dataValidation type="list" allowBlank="1" showInputMessage="1" showErrorMessage="1" sqref="G12" xr:uid="{0672F913-2951-4A69-81CA-17D84AE0F8F1}">
      <formula1>INDIRECT($E8)</formula1>
    </dataValidation>
    <dataValidation type="list" allowBlank="1" showInputMessage="1" showErrorMessage="1" promptTitle="Taxonomías" prompt="De la lista elija la taxonomía que considere pertinente para establecer los verbos de los resultados de aprendizaje._x000a_B: Tax. de Bloom_x000a_BAK: Tax. Bloom según Anderson y Krathwohl_x000a_AK: Tax. según Anderson y Krathwohl_x000a_MK: Tax. según Marzano y Kendal" sqref="E3:E11" xr:uid="{EFFF541A-9FA7-4D87-BD80-7B4D10675962}">
      <formula1>taxonomiasra</formula1>
    </dataValidation>
    <dataValidation type="list" allowBlank="1" showInputMessage="1" showErrorMessage="1" sqref="F3:F11" xr:uid="{A67273FC-D6BC-4601-A146-88AA40CB5471}">
      <formula1>INDIRECT($E3)</formula1>
    </dataValidation>
    <dataValidation type="list" allowBlank="1" showInputMessage="1" showErrorMessage="1" sqref="H3:H11" xr:uid="{BD1A6CDA-7283-4262-9F88-FE80565918E8}">
      <formula1>INDIRECT($G3)</formula1>
    </dataValidation>
    <dataValidation type="list" allowBlank="1" showInputMessage="1" showErrorMessage="1" sqref="G3:G11" xr:uid="{5A5167AA-8E05-4C2B-AB93-AFCCFC818F7C}">
      <formula1>INDIRECT($F3)</formula1>
    </dataValidation>
    <dataValidation type="list" allowBlank="1" showInputMessage="1" showErrorMessage="1" sqref="D4:D5 D7:D8 D10:D11" xr:uid="{8B694A6C-2F9D-4256-9525-279EF56F94F5}">
      <formula1>INDIRECT($C4)</formula1>
    </dataValidation>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E2131109-056B-4726-8C6F-55EA011C247B}">
          <x14:formula1>
            <xm:f>'Paso1 Analisis perfil egreso'!$E$3:$E$5</xm:f>
          </x14:formula1>
          <xm:sqref>D3 D6 D9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726B80-E6B4-4ED4-A764-E59AF4E18393}">
  <dimension ref="A1:F25"/>
  <sheetViews>
    <sheetView zoomScaleNormal="100" workbookViewId="0"/>
  </sheetViews>
  <sheetFormatPr baseColWidth="10" defaultColWidth="11.453125" defaultRowHeight="16.5" x14ac:dyDescent="0.35"/>
  <cols>
    <col min="1" max="1" width="57.1796875" style="24" customWidth="1"/>
    <col min="2" max="2" width="43.81640625" style="24" customWidth="1"/>
    <col min="3" max="3" width="48" style="24" customWidth="1"/>
    <col min="4" max="4" width="45.81640625" style="24" customWidth="1"/>
    <col min="5" max="5" width="39.1796875" style="24" customWidth="1"/>
    <col min="6" max="6" width="33.453125" style="24" customWidth="1"/>
    <col min="7" max="16384" width="11.453125" style="24"/>
  </cols>
  <sheetData>
    <row r="1" spans="1:6" ht="65" x14ac:dyDescent="0.35">
      <c r="A1" s="35" t="s">
        <v>87</v>
      </c>
      <c r="B1" s="35" t="s">
        <v>88</v>
      </c>
      <c r="C1" s="35" t="s">
        <v>89</v>
      </c>
      <c r="D1" s="35" t="s">
        <v>90</v>
      </c>
      <c r="E1" s="35" t="s">
        <v>91</v>
      </c>
      <c r="F1" s="35" t="s">
        <v>92</v>
      </c>
    </row>
    <row r="2" spans="1:6" ht="33.5" thickBot="1" x14ac:dyDescent="0.4">
      <c r="A2" s="38" t="s">
        <v>93</v>
      </c>
      <c r="B2" s="38" t="s">
        <v>94</v>
      </c>
      <c r="C2" s="38" t="s">
        <v>95</v>
      </c>
      <c r="D2" s="38" t="s">
        <v>96</v>
      </c>
      <c r="E2" s="38" t="s">
        <v>97</v>
      </c>
      <c r="F2" s="38" t="s">
        <v>98</v>
      </c>
    </row>
    <row r="3" spans="1:6" ht="66" x14ac:dyDescent="0.35">
      <c r="A3" s="5" t="s">
        <v>79</v>
      </c>
      <c r="B3" s="78" t="s">
        <v>99</v>
      </c>
      <c r="C3" s="91" t="s">
        <v>100</v>
      </c>
      <c r="D3" s="55" t="s">
        <v>101</v>
      </c>
      <c r="E3" s="101" t="s">
        <v>102</v>
      </c>
      <c r="F3" s="29" t="s">
        <v>103</v>
      </c>
    </row>
    <row r="4" spans="1:6" ht="49.5" x14ac:dyDescent="0.35">
      <c r="A4" s="5" t="s">
        <v>86</v>
      </c>
      <c r="B4" s="79"/>
      <c r="C4" s="92"/>
      <c r="D4" s="25" t="s">
        <v>104</v>
      </c>
      <c r="E4" s="102"/>
      <c r="F4" s="23" t="s">
        <v>103</v>
      </c>
    </row>
    <row r="5" spans="1:6" ht="33" x14ac:dyDescent="0.35">
      <c r="A5" s="5"/>
      <c r="B5" s="79"/>
      <c r="C5" s="92"/>
      <c r="D5" s="50" t="s">
        <v>105</v>
      </c>
      <c r="E5" s="102"/>
      <c r="F5" s="5" t="s">
        <v>106</v>
      </c>
    </row>
    <row r="6" spans="1:6" ht="33.5" thickBot="1" x14ac:dyDescent="0.4">
      <c r="A6" s="26"/>
      <c r="B6" s="80"/>
      <c r="C6" s="93"/>
      <c r="D6" s="56" t="s">
        <v>107</v>
      </c>
      <c r="E6" s="103"/>
      <c r="F6" s="53" t="s">
        <v>108</v>
      </c>
    </row>
    <row r="7" spans="1:6" ht="66" x14ac:dyDescent="0.35">
      <c r="A7" s="5" t="s">
        <v>79</v>
      </c>
      <c r="B7" s="78" t="s">
        <v>109</v>
      </c>
      <c r="C7" s="91" t="s">
        <v>110</v>
      </c>
      <c r="D7" s="55" t="s">
        <v>111</v>
      </c>
      <c r="E7" s="101" t="s">
        <v>112</v>
      </c>
      <c r="F7" s="50" t="s">
        <v>103</v>
      </c>
    </row>
    <row r="8" spans="1:6" ht="49.5" x14ac:dyDescent="0.35">
      <c r="A8" s="5" t="s">
        <v>86</v>
      </c>
      <c r="B8" s="79"/>
      <c r="C8" s="92"/>
      <c r="D8" s="50" t="s">
        <v>105</v>
      </c>
      <c r="E8" s="102"/>
      <c r="F8" s="50" t="s">
        <v>106</v>
      </c>
    </row>
    <row r="9" spans="1:6" ht="33.5" thickBot="1" x14ac:dyDescent="0.4">
      <c r="A9" s="26"/>
      <c r="B9" s="80"/>
      <c r="C9" s="93"/>
      <c r="D9" s="25" t="s">
        <v>107</v>
      </c>
      <c r="E9" s="103"/>
      <c r="F9" s="50" t="s">
        <v>108</v>
      </c>
    </row>
    <row r="10" spans="1:6" ht="66" x14ac:dyDescent="0.35">
      <c r="A10" s="5" t="s">
        <v>79</v>
      </c>
      <c r="B10" s="78" t="s">
        <v>113</v>
      </c>
      <c r="C10" s="91" t="s">
        <v>114</v>
      </c>
      <c r="D10" s="55" t="s">
        <v>101</v>
      </c>
      <c r="E10" s="101" t="s">
        <v>115</v>
      </c>
      <c r="F10" s="29" t="s">
        <v>103</v>
      </c>
    </row>
    <row r="11" spans="1:6" ht="49.5" x14ac:dyDescent="0.35">
      <c r="A11" s="5" t="s">
        <v>83</v>
      </c>
      <c r="B11" s="79"/>
      <c r="C11" s="92"/>
      <c r="D11" s="50" t="s">
        <v>105</v>
      </c>
      <c r="E11" s="102"/>
      <c r="F11" s="63" t="s">
        <v>106</v>
      </c>
    </row>
    <row r="12" spans="1:6" ht="33.5" thickBot="1" x14ac:dyDescent="0.4">
      <c r="A12" s="26"/>
      <c r="B12" s="80"/>
      <c r="C12" s="93"/>
      <c r="D12" s="25" t="s">
        <v>107</v>
      </c>
      <c r="E12" s="103"/>
      <c r="F12" s="53" t="s">
        <v>108</v>
      </c>
    </row>
    <row r="13" spans="1:6" ht="66" x14ac:dyDescent="0.35">
      <c r="A13" s="5" t="s">
        <v>79</v>
      </c>
      <c r="B13" s="78" t="s">
        <v>116</v>
      </c>
      <c r="C13" s="91" t="s">
        <v>117</v>
      </c>
      <c r="D13" s="55" t="s">
        <v>101</v>
      </c>
      <c r="E13" s="101" t="s">
        <v>118</v>
      </c>
      <c r="F13" s="23" t="s">
        <v>119</v>
      </c>
    </row>
    <row r="14" spans="1:6" ht="49.5" x14ac:dyDescent="0.35">
      <c r="A14" s="5" t="s">
        <v>86</v>
      </c>
      <c r="B14" s="79"/>
      <c r="C14" s="92"/>
      <c r="D14" s="50" t="s">
        <v>105</v>
      </c>
      <c r="E14" s="102"/>
      <c r="F14" s="25" t="s">
        <v>106</v>
      </c>
    </row>
    <row r="15" spans="1:6" ht="33.5" thickBot="1" x14ac:dyDescent="0.4">
      <c r="A15" s="26"/>
      <c r="B15" s="80"/>
      <c r="C15" s="93"/>
      <c r="D15" s="56" t="s">
        <v>107</v>
      </c>
      <c r="E15" s="104"/>
      <c r="F15" s="64" t="s">
        <v>108</v>
      </c>
    </row>
    <row r="16" spans="1:6" ht="66" x14ac:dyDescent="0.35">
      <c r="A16" s="5" t="s">
        <v>79</v>
      </c>
      <c r="B16" s="78" t="s">
        <v>120</v>
      </c>
      <c r="C16" s="91" t="s">
        <v>121</v>
      </c>
      <c r="D16" s="55" t="s">
        <v>101</v>
      </c>
      <c r="E16" s="107" t="s">
        <v>122</v>
      </c>
      <c r="F16" s="23" t="s">
        <v>119</v>
      </c>
    </row>
    <row r="17" spans="1:6" ht="49.5" x14ac:dyDescent="0.35">
      <c r="A17" s="5" t="s">
        <v>86</v>
      </c>
      <c r="B17" s="79"/>
      <c r="C17" s="92"/>
      <c r="D17" s="50" t="s">
        <v>105</v>
      </c>
      <c r="E17" s="102"/>
      <c r="F17" s="23" t="s">
        <v>106</v>
      </c>
    </row>
    <row r="18" spans="1:6" ht="33.5" thickBot="1" x14ac:dyDescent="0.4">
      <c r="A18" s="26"/>
      <c r="B18" s="105"/>
      <c r="C18" s="106"/>
      <c r="D18" s="56" t="s">
        <v>107</v>
      </c>
      <c r="E18" s="104"/>
      <c r="F18" s="64" t="s">
        <v>108</v>
      </c>
    </row>
    <row r="19" spans="1:6" ht="66" x14ac:dyDescent="0.35">
      <c r="A19" s="5" t="s">
        <v>79</v>
      </c>
      <c r="B19" s="78" t="s">
        <v>123</v>
      </c>
      <c r="C19" s="91" t="s">
        <v>124</v>
      </c>
      <c r="D19" s="25" t="s">
        <v>101</v>
      </c>
      <c r="E19" s="101" t="s">
        <v>125</v>
      </c>
      <c r="F19" s="23" t="s">
        <v>119</v>
      </c>
    </row>
    <row r="20" spans="1:6" ht="49.5" x14ac:dyDescent="0.35">
      <c r="A20" s="5" t="s">
        <v>86</v>
      </c>
      <c r="B20" s="79"/>
      <c r="C20" s="92"/>
      <c r="D20" s="25" t="s">
        <v>105</v>
      </c>
      <c r="E20" s="102"/>
      <c r="F20" s="23" t="s">
        <v>106</v>
      </c>
    </row>
    <row r="21" spans="1:6" ht="33" x14ac:dyDescent="0.35">
      <c r="A21" s="5"/>
      <c r="B21" s="79"/>
      <c r="C21" s="92"/>
      <c r="D21" s="25" t="s">
        <v>126</v>
      </c>
      <c r="E21" s="102"/>
      <c r="F21" s="23" t="s">
        <v>106</v>
      </c>
    </row>
    <row r="22" spans="1:6" ht="33.5" thickBot="1" x14ac:dyDescent="0.4">
      <c r="A22" s="32"/>
      <c r="B22" s="80"/>
      <c r="C22" s="93"/>
      <c r="D22" s="56" t="s">
        <v>107</v>
      </c>
      <c r="E22" s="103"/>
      <c r="F22" s="53" t="s">
        <v>108</v>
      </c>
    </row>
    <row r="23" spans="1:6" ht="66" x14ac:dyDescent="0.35">
      <c r="A23" s="5" t="s">
        <v>79</v>
      </c>
      <c r="B23" s="78" t="s">
        <v>127</v>
      </c>
      <c r="C23" s="91" t="s">
        <v>128</v>
      </c>
      <c r="D23" s="25" t="s">
        <v>101</v>
      </c>
      <c r="E23" s="101" t="s">
        <v>125</v>
      </c>
      <c r="F23" s="23" t="s">
        <v>119</v>
      </c>
    </row>
    <row r="24" spans="1:6" ht="49.5" x14ac:dyDescent="0.35">
      <c r="A24" s="5" t="s">
        <v>86</v>
      </c>
      <c r="B24" s="79"/>
      <c r="C24" s="92"/>
      <c r="D24" s="25" t="s">
        <v>105</v>
      </c>
      <c r="E24" s="102"/>
      <c r="F24" s="23" t="s">
        <v>106</v>
      </c>
    </row>
    <row r="25" spans="1:6" ht="33.5" thickBot="1" x14ac:dyDescent="0.4">
      <c r="A25" s="26"/>
      <c r="B25" s="80"/>
      <c r="C25" s="93"/>
      <c r="D25" s="56" t="s">
        <v>107</v>
      </c>
      <c r="E25" s="103"/>
      <c r="F25" s="53" t="s">
        <v>108</v>
      </c>
    </row>
  </sheetData>
  <mergeCells count="21">
    <mergeCell ref="E3:E6"/>
    <mergeCell ref="B7:B9"/>
    <mergeCell ref="C7:C9"/>
    <mergeCell ref="E7:E9"/>
    <mergeCell ref="B10:B12"/>
    <mergeCell ref="C10:C12"/>
    <mergeCell ref="E10:E12"/>
    <mergeCell ref="B3:B6"/>
    <mergeCell ref="C3:C6"/>
    <mergeCell ref="E13:E15"/>
    <mergeCell ref="B16:B18"/>
    <mergeCell ref="C16:C18"/>
    <mergeCell ref="E16:E18"/>
    <mergeCell ref="B13:B15"/>
    <mergeCell ref="C13:C15"/>
    <mergeCell ref="E19:E22"/>
    <mergeCell ref="B23:B25"/>
    <mergeCell ref="C23:C25"/>
    <mergeCell ref="E23:E25"/>
    <mergeCell ref="B19:B22"/>
    <mergeCell ref="C19:C22"/>
  </mergeCells>
  <dataValidations count="1">
    <dataValidation type="list" allowBlank="1" showInputMessage="1" showErrorMessage="1" sqref="A23:A25 A3:A21" xr:uid="{3809FD9E-C184-4096-95E4-A87EBEFB4EA5}">
      <formula1>resultadoaprendizaje</formula1>
    </dataValidation>
  </dataValidations>
  <pageMargins left="0.7" right="0.7" top="0.75" bottom="0.75" header="0.3" footer="0.3"/>
  <pageSetup orientation="portrait"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248250-C92C-4D02-A0C3-2CB27C341894}">
  <dimension ref="A1:Q33"/>
  <sheetViews>
    <sheetView tabSelected="1" zoomScaleNormal="100" workbookViewId="0">
      <selection activeCell="B3" sqref="B3"/>
    </sheetView>
  </sheetViews>
  <sheetFormatPr baseColWidth="10" defaultColWidth="11.453125" defaultRowHeight="16.5" x14ac:dyDescent="0.35"/>
  <cols>
    <col min="1" max="1" width="11.1796875" style="5" customWidth="1"/>
    <col min="2" max="2" width="57" style="5" customWidth="1"/>
    <col min="3" max="3" width="17.26953125" style="5" customWidth="1"/>
    <col min="4" max="4" width="26.54296875" style="5" customWidth="1"/>
    <col min="5" max="5" width="57" style="6" customWidth="1"/>
    <col min="6" max="6" width="27.1796875" style="7" customWidth="1"/>
    <col min="7" max="7" width="16.7265625" style="7" customWidth="1"/>
    <col min="8" max="8" width="18.1796875" style="7" customWidth="1"/>
    <col min="9" max="9" width="13.54296875" style="7" customWidth="1"/>
    <col min="10" max="10" width="20.453125" style="7" customWidth="1"/>
    <col min="11" max="11" width="24.453125" style="7" customWidth="1"/>
    <col min="12" max="12" width="11.26953125" style="7" customWidth="1"/>
    <col min="13" max="14" width="40.7265625" style="6" customWidth="1"/>
    <col min="15" max="15" width="50.1796875" style="6" customWidth="1"/>
    <col min="16" max="16" width="69.26953125" style="6" customWidth="1"/>
    <col min="17" max="16384" width="11.453125" style="5"/>
  </cols>
  <sheetData>
    <row r="1" spans="1:17" s="7" customFormat="1" ht="65" x14ac:dyDescent="0.35">
      <c r="A1" s="35" t="s">
        <v>129</v>
      </c>
      <c r="B1" s="35" t="s">
        <v>130</v>
      </c>
      <c r="C1" s="35" t="s">
        <v>131</v>
      </c>
      <c r="D1" s="35" t="s">
        <v>132</v>
      </c>
      <c r="E1" s="35" t="s">
        <v>133</v>
      </c>
      <c r="F1" s="35" t="s">
        <v>134</v>
      </c>
      <c r="G1" s="87" t="s">
        <v>135</v>
      </c>
      <c r="H1" s="88"/>
      <c r="I1" s="35" t="s">
        <v>136</v>
      </c>
      <c r="J1" s="35" t="s">
        <v>137</v>
      </c>
      <c r="K1" s="35" t="s">
        <v>138</v>
      </c>
      <c r="L1" s="35" t="s">
        <v>139</v>
      </c>
      <c r="M1" s="35" t="s">
        <v>140</v>
      </c>
      <c r="N1" s="35" t="s">
        <v>141</v>
      </c>
      <c r="O1" s="35" t="s">
        <v>142</v>
      </c>
      <c r="P1" s="35" t="s">
        <v>143</v>
      </c>
    </row>
    <row r="2" spans="1:17" s="7" customFormat="1" ht="33" x14ac:dyDescent="0.35">
      <c r="A2" s="38" t="s">
        <v>144</v>
      </c>
      <c r="B2" s="38" t="s">
        <v>93</v>
      </c>
      <c r="C2" s="38" t="s">
        <v>145</v>
      </c>
      <c r="D2" s="38" t="s">
        <v>146</v>
      </c>
      <c r="E2" s="38" t="s">
        <v>147</v>
      </c>
      <c r="F2" s="38" t="s">
        <v>148</v>
      </c>
      <c r="G2" s="43" t="s">
        <v>149</v>
      </c>
      <c r="H2" s="43" t="s">
        <v>150</v>
      </c>
      <c r="I2" s="38" t="s">
        <v>151</v>
      </c>
      <c r="J2" s="38" t="s">
        <v>152</v>
      </c>
      <c r="K2" s="38" t="s">
        <v>153</v>
      </c>
      <c r="L2" s="38" t="s">
        <v>154</v>
      </c>
      <c r="M2" s="38" t="s">
        <v>155</v>
      </c>
      <c r="N2" s="38" t="s">
        <v>156</v>
      </c>
      <c r="O2" s="38" t="s">
        <v>157</v>
      </c>
      <c r="P2" s="38" t="s">
        <v>158</v>
      </c>
    </row>
    <row r="3" spans="1:17" ht="66" x14ac:dyDescent="0.35">
      <c r="A3" s="5" t="str">
        <f>_xlfn.XLOOKUP(B3,'Paso 3 Redacción RA '!I$3:I$11,'Paso 3 Redacción RA '!C$3:C$11,,0,1)</f>
        <v>Saber</v>
      </c>
      <c r="B3" s="5" t="s">
        <v>79</v>
      </c>
      <c r="C3" s="73">
        <v>1</v>
      </c>
      <c r="D3" s="73" t="s">
        <v>159</v>
      </c>
      <c r="E3" s="76" t="s">
        <v>160</v>
      </c>
      <c r="F3" s="79" t="s">
        <v>161</v>
      </c>
      <c r="G3" s="79" t="s">
        <v>162</v>
      </c>
      <c r="H3" s="79"/>
      <c r="I3" s="79">
        <v>3</v>
      </c>
      <c r="J3" s="79">
        <f>12*I3</f>
        <v>36</v>
      </c>
      <c r="K3" s="79">
        <f>36*I3</f>
        <v>108</v>
      </c>
      <c r="L3" s="79">
        <f>SUM(J3:K5)</f>
        <v>144</v>
      </c>
      <c r="M3" s="86" t="s">
        <v>163</v>
      </c>
      <c r="N3" s="86" t="s">
        <v>164</v>
      </c>
      <c r="O3" s="82" t="s">
        <v>165</v>
      </c>
      <c r="P3" s="86" t="s">
        <v>166</v>
      </c>
      <c r="Q3" s="5" t="s">
        <v>56</v>
      </c>
    </row>
    <row r="4" spans="1:17" ht="49.5" x14ac:dyDescent="0.35">
      <c r="A4" s="5" t="str">
        <f>_xlfn.XLOOKUP(B4,'Paso 3 Redacción RA '!I$3:I$11,'Paso 3 Redacción RA '!C$3:C$11,,0,1)</f>
        <v>Saberhacer</v>
      </c>
      <c r="B4" s="5" t="s">
        <v>83</v>
      </c>
      <c r="C4" s="73"/>
      <c r="D4" s="73"/>
      <c r="E4" s="76"/>
      <c r="F4" s="79"/>
      <c r="G4" s="79"/>
      <c r="H4" s="79"/>
      <c r="I4" s="79"/>
      <c r="J4" s="79"/>
      <c r="K4" s="79"/>
      <c r="L4" s="79"/>
      <c r="M4" s="86"/>
      <c r="N4" s="86"/>
      <c r="O4" s="82"/>
      <c r="P4" s="86"/>
    </row>
    <row r="5" spans="1:17" ht="49.5" x14ac:dyDescent="0.35">
      <c r="A5" s="26" t="str">
        <f>_xlfn.XLOOKUP(B5,'Paso 3 Redacción RA '!I$3:I$11,'Paso 3 Redacción RA '!C$3:C$11,,0,1)</f>
        <v>Saberser</v>
      </c>
      <c r="B5" s="26" t="s">
        <v>86</v>
      </c>
      <c r="C5" s="74"/>
      <c r="D5" s="74"/>
      <c r="E5" s="77"/>
      <c r="F5" s="80"/>
      <c r="G5" s="80"/>
      <c r="H5" s="80"/>
      <c r="I5" s="80"/>
      <c r="J5" s="80"/>
      <c r="K5" s="80"/>
      <c r="L5" s="80"/>
      <c r="M5" s="85"/>
      <c r="N5" s="85"/>
      <c r="O5" s="83"/>
      <c r="P5" s="85"/>
    </row>
    <row r="6" spans="1:17" ht="66" x14ac:dyDescent="0.5">
      <c r="A6" s="27" t="str">
        <f>_xlfn.XLOOKUP(B6,'Paso 3 Redacción RA '!I$3:I$11,'Paso 3 Redacción RA '!C$3:C$11,,0,1)</f>
        <v>Saber</v>
      </c>
      <c r="B6" s="28" t="s">
        <v>79</v>
      </c>
      <c r="C6" s="72">
        <v>1</v>
      </c>
      <c r="D6" s="72" t="s">
        <v>167</v>
      </c>
      <c r="E6" s="89" t="s">
        <v>168</v>
      </c>
      <c r="F6" s="72" t="s">
        <v>161</v>
      </c>
      <c r="G6" s="78"/>
      <c r="H6" s="78" t="s">
        <v>162</v>
      </c>
      <c r="I6" s="78">
        <v>3</v>
      </c>
      <c r="J6" s="78">
        <f>12*I6</f>
        <v>36</v>
      </c>
      <c r="K6" s="78">
        <f>36*I6</f>
        <v>108</v>
      </c>
      <c r="L6" s="78">
        <f>SUM(J6:K7)</f>
        <v>144</v>
      </c>
      <c r="M6" s="84" t="s">
        <v>169</v>
      </c>
      <c r="N6" s="84" t="s">
        <v>164</v>
      </c>
      <c r="O6" s="81" t="s">
        <v>170</v>
      </c>
      <c r="P6" s="84" t="s">
        <v>171</v>
      </c>
    </row>
    <row r="7" spans="1:17" ht="49.5" x14ac:dyDescent="0.5">
      <c r="A7" s="26" t="str">
        <f>_xlfn.XLOOKUP(B7,'Paso 3 Redacción RA '!I$3:I$11,'Paso 3 Redacción RA '!C$3:C$11,,0,1)</f>
        <v>Saberser</v>
      </c>
      <c r="B7" s="30" t="s">
        <v>86</v>
      </c>
      <c r="C7" s="74"/>
      <c r="D7" s="74"/>
      <c r="E7" s="90"/>
      <c r="F7" s="74"/>
      <c r="G7" s="80"/>
      <c r="H7" s="80"/>
      <c r="I7" s="80"/>
      <c r="J7" s="80"/>
      <c r="K7" s="80"/>
      <c r="L7" s="80"/>
      <c r="M7" s="85"/>
      <c r="N7" s="85"/>
      <c r="O7" s="83"/>
      <c r="P7" s="85"/>
    </row>
    <row r="8" spans="1:17" ht="66" x14ac:dyDescent="0.35">
      <c r="A8" s="5" t="str">
        <f>_xlfn.XLOOKUP(B8,'Paso 3 Redacción RA '!I$3:I$11,'Paso 3 Redacción RA '!C$3:C$11,,0,1)</f>
        <v>Saber</v>
      </c>
      <c r="B8" s="27" t="s">
        <v>79</v>
      </c>
      <c r="C8" s="72">
        <v>1</v>
      </c>
      <c r="D8" s="72" t="s">
        <v>172</v>
      </c>
      <c r="E8" s="75" t="s">
        <v>173</v>
      </c>
      <c r="F8" s="72" t="s">
        <v>161</v>
      </c>
      <c r="G8" s="78" t="s">
        <v>162</v>
      </c>
      <c r="H8" s="78"/>
      <c r="I8" s="78">
        <v>2</v>
      </c>
      <c r="J8" s="78">
        <f>12*I8</f>
        <v>24</v>
      </c>
      <c r="K8" s="78">
        <f>36*I8</f>
        <v>72</v>
      </c>
      <c r="L8" s="78">
        <f>SUM(J8:K8)</f>
        <v>96</v>
      </c>
      <c r="M8" s="81" t="s">
        <v>174</v>
      </c>
      <c r="N8" s="84" t="s">
        <v>175</v>
      </c>
      <c r="O8" s="81" t="s">
        <v>170</v>
      </c>
      <c r="P8" s="84" t="s">
        <v>166</v>
      </c>
    </row>
    <row r="9" spans="1:17" ht="49.5" x14ac:dyDescent="0.35">
      <c r="A9" s="5" t="str">
        <f>_xlfn.XLOOKUP(B9,'Paso 3 Redacción RA '!I$3:I$11,'Paso 3 Redacción RA '!C$3:C$11,,0,1)</f>
        <v>Saberhacer</v>
      </c>
      <c r="B9" s="5" t="s">
        <v>83</v>
      </c>
      <c r="C9" s="73"/>
      <c r="D9" s="73"/>
      <c r="E9" s="76"/>
      <c r="F9" s="73"/>
      <c r="G9" s="79"/>
      <c r="H9" s="79"/>
      <c r="I9" s="79"/>
      <c r="J9" s="79"/>
      <c r="K9" s="79"/>
      <c r="L9" s="79"/>
      <c r="M9" s="82"/>
      <c r="N9" s="86"/>
      <c r="O9" s="82"/>
      <c r="P9" s="86"/>
    </row>
    <row r="10" spans="1:17" ht="49.5" x14ac:dyDescent="0.35">
      <c r="A10" s="26" t="str">
        <f>_xlfn.XLOOKUP(B10,'Paso 3 Redacción RA '!I$3:I$11,'Paso 3 Redacción RA '!C$3:C$11,,0,1)</f>
        <v>Saberser</v>
      </c>
      <c r="B10" s="26" t="s">
        <v>86</v>
      </c>
      <c r="C10" s="74"/>
      <c r="D10" s="74"/>
      <c r="E10" s="77"/>
      <c r="F10" s="74"/>
      <c r="G10" s="80"/>
      <c r="H10" s="80"/>
      <c r="I10" s="80"/>
      <c r="J10" s="80"/>
      <c r="K10" s="80"/>
      <c r="L10" s="80"/>
      <c r="M10" s="83"/>
      <c r="N10" s="85"/>
      <c r="O10" s="83"/>
      <c r="P10" s="85"/>
    </row>
    <row r="11" spans="1:17" ht="66" x14ac:dyDescent="0.35">
      <c r="A11" s="5" t="str">
        <f>_xlfn.XLOOKUP(B11,'Paso 3 Redacción RA '!I$3:I$11,'Paso 3 Redacción RA '!C$3:C$11,,0,1)</f>
        <v>Saber</v>
      </c>
      <c r="B11" s="27" t="s">
        <v>79</v>
      </c>
      <c r="C11" s="72">
        <v>1</v>
      </c>
      <c r="D11" s="72" t="s">
        <v>176</v>
      </c>
      <c r="E11" s="75" t="s">
        <v>177</v>
      </c>
      <c r="F11" s="72" t="s">
        <v>161</v>
      </c>
      <c r="G11" s="72" t="s">
        <v>162</v>
      </c>
      <c r="H11" s="72"/>
      <c r="I11" s="78">
        <v>2</v>
      </c>
      <c r="J11" s="78">
        <f>12*I11</f>
        <v>24</v>
      </c>
      <c r="K11" s="78">
        <f>36*I11</f>
        <v>72</v>
      </c>
      <c r="L11" s="78">
        <f>SUM(J11:K11)</f>
        <v>96</v>
      </c>
      <c r="M11" s="75" t="s">
        <v>669</v>
      </c>
      <c r="N11" s="75" t="s">
        <v>175</v>
      </c>
      <c r="O11" s="81" t="s">
        <v>178</v>
      </c>
      <c r="P11" s="84" t="s">
        <v>166</v>
      </c>
    </row>
    <row r="12" spans="1:17" ht="49.5" x14ac:dyDescent="0.35">
      <c r="A12" s="26" t="str">
        <f>_xlfn.XLOOKUP(B12,'Paso 3 Redacción RA '!I$3:I$11,'Paso 3 Redacción RA '!C$3:C$11,,0,1)</f>
        <v>Saberser</v>
      </c>
      <c r="B12" s="26" t="s">
        <v>86</v>
      </c>
      <c r="C12" s="74"/>
      <c r="D12" s="74"/>
      <c r="E12" s="77"/>
      <c r="F12" s="74"/>
      <c r="G12" s="74"/>
      <c r="H12" s="74"/>
      <c r="I12" s="80"/>
      <c r="J12" s="80"/>
      <c r="K12" s="80"/>
      <c r="L12" s="80"/>
      <c r="M12" s="77"/>
      <c r="N12" s="77"/>
      <c r="O12" s="83"/>
      <c r="P12" s="85"/>
    </row>
    <row r="13" spans="1:17" ht="66" x14ac:dyDescent="0.35">
      <c r="A13" s="27" t="str">
        <f>_xlfn.XLOOKUP(B13,'Paso 3 Redacción RA '!I$3:I$11,'Paso 3 Redacción RA '!C$3:C$11,,0,1)</f>
        <v>Saber</v>
      </c>
      <c r="B13" s="29" t="s">
        <v>79</v>
      </c>
      <c r="C13" s="72">
        <v>1</v>
      </c>
      <c r="D13" s="72" t="s">
        <v>179</v>
      </c>
      <c r="E13" s="75" t="s">
        <v>180</v>
      </c>
      <c r="F13" s="72" t="s">
        <v>161</v>
      </c>
      <c r="G13" s="72"/>
      <c r="H13" s="78" t="s">
        <v>162</v>
      </c>
      <c r="I13" s="94">
        <v>2</v>
      </c>
      <c r="J13" s="78">
        <f>12*I13</f>
        <v>24</v>
      </c>
      <c r="K13" s="78">
        <f>36*I13</f>
        <v>72</v>
      </c>
      <c r="L13" s="78">
        <f>SUM(J13:K15)</f>
        <v>96</v>
      </c>
      <c r="M13" s="91" t="s">
        <v>181</v>
      </c>
      <c r="N13" s="75" t="s">
        <v>164</v>
      </c>
      <c r="O13" s="81" t="s">
        <v>170</v>
      </c>
      <c r="P13" s="75" t="s">
        <v>166</v>
      </c>
    </row>
    <row r="14" spans="1:17" ht="49.5" x14ac:dyDescent="0.35">
      <c r="A14" s="5" t="str">
        <f>_xlfn.XLOOKUP(B14,'Paso 3 Redacción RA '!I$3:I$11,'Paso 3 Redacción RA '!C$3:C$11,,0,1)</f>
        <v>Saberhacer</v>
      </c>
      <c r="B14" s="5" t="s">
        <v>83</v>
      </c>
      <c r="C14" s="73"/>
      <c r="D14" s="73"/>
      <c r="E14" s="76"/>
      <c r="F14" s="73"/>
      <c r="G14" s="73"/>
      <c r="H14" s="79"/>
      <c r="I14" s="95"/>
      <c r="J14" s="79"/>
      <c r="K14" s="79"/>
      <c r="L14" s="79"/>
      <c r="M14" s="92"/>
      <c r="N14" s="76"/>
      <c r="O14" s="82"/>
      <c r="P14" s="76"/>
    </row>
    <row r="15" spans="1:17" ht="49.5" x14ac:dyDescent="0.35">
      <c r="A15" s="26" t="str">
        <f>_xlfn.XLOOKUP(B15,'Paso 3 Redacción RA '!I$3:I$11,'Paso 3 Redacción RA '!C$3:C$11,,0,1)</f>
        <v>Saberser</v>
      </c>
      <c r="B15" s="26" t="s">
        <v>86</v>
      </c>
      <c r="C15" s="74"/>
      <c r="D15" s="74"/>
      <c r="E15" s="77"/>
      <c r="F15" s="74"/>
      <c r="G15" s="74"/>
      <c r="H15" s="80"/>
      <c r="I15" s="96"/>
      <c r="J15" s="80"/>
      <c r="K15" s="80"/>
      <c r="L15" s="80"/>
      <c r="M15" s="93"/>
      <c r="N15" s="77"/>
      <c r="O15" s="83"/>
      <c r="P15" s="77"/>
    </row>
    <row r="16" spans="1:17" ht="66" x14ac:dyDescent="0.35">
      <c r="A16" s="5" t="str">
        <f>_xlfn.XLOOKUP(B16,'Paso 3 Redacción RA '!I$3:I$11,'Paso 3 Redacción RA '!C$3:C$11,,0,1)</f>
        <v>Saber</v>
      </c>
      <c r="B16" s="27" t="s">
        <v>79</v>
      </c>
      <c r="C16" s="72">
        <v>2</v>
      </c>
      <c r="D16" s="72" t="s">
        <v>182</v>
      </c>
      <c r="E16" s="75" t="s">
        <v>183</v>
      </c>
      <c r="F16" s="72" t="s">
        <v>161</v>
      </c>
      <c r="G16" s="72"/>
      <c r="H16" s="72" t="s">
        <v>162</v>
      </c>
      <c r="I16" s="72">
        <v>2</v>
      </c>
      <c r="J16" s="72">
        <f>12*I16</f>
        <v>24</v>
      </c>
      <c r="K16" s="72">
        <f>36*I16</f>
        <v>72</v>
      </c>
      <c r="L16" s="72">
        <f>SUM(J16:K18)</f>
        <v>96</v>
      </c>
      <c r="M16" s="75" t="s">
        <v>184</v>
      </c>
      <c r="N16" s="75" t="s">
        <v>164</v>
      </c>
      <c r="O16" s="81" t="s">
        <v>165</v>
      </c>
      <c r="P16" s="75" t="s">
        <v>166</v>
      </c>
    </row>
    <row r="17" spans="1:16" ht="49.5" x14ac:dyDescent="0.35">
      <c r="A17" s="5" t="str">
        <f>_xlfn.XLOOKUP(B17,'Paso 3 Redacción RA '!I$3:I$11,'Paso 3 Redacción RA '!C$3:C$11,,0,1)</f>
        <v>Saberhacer</v>
      </c>
      <c r="B17" s="5" t="s">
        <v>83</v>
      </c>
      <c r="C17" s="73"/>
      <c r="D17" s="73"/>
      <c r="E17" s="76"/>
      <c r="F17" s="73"/>
      <c r="G17" s="73"/>
      <c r="H17" s="73"/>
      <c r="I17" s="73"/>
      <c r="J17" s="73"/>
      <c r="K17" s="73"/>
      <c r="L17" s="73"/>
      <c r="M17" s="76"/>
      <c r="N17" s="76"/>
      <c r="O17" s="82"/>
      <c r="P17" s="76"/>
    </row>
    <row r="18" spans="1:16" ht="49.5" x14ac:dyDescent="0.35">
      <c r="A18" s="26" t="str">
        <f>_xlfn.XLOOKUP(B18,'Paso 3 Redacción RA '!I$3:I$11,'Paso 3 Redacción RA '!C$3:C$11,,0,1)</f>
        <v>Saberser</v>
      </c>
      <c r="B18" s="26" t="s">
        <v>86</v>
      </c>
      <c r="C18" s="74"/>
      <c r="D18" s="74"/>
      <c r="E18" s="77"/>
      <c r="F18" s="74"/>
      <c r="G18" s="74"/>
      <c r="H18" s="74"/>
      <c r="I18" s="74"/>
      <c r="J18" s="74"/>
      <c r="K18" s="74"/>
      <c r="L18" s="74"/>
      <c r="M18" s="77"/>
      <c r="N18" s="77"/>
      <c r="O18" s="83"/>
      <c r="P18" s="77"/>
    </row>
    <row r="19" spans="1:16" ht="66" x14ac:dyDescent="0.35">
      <c r="A19" s="27" t="str">
        <f>_xlfn.XLOOKUP(B19,'Paso 3 Redacción RA '!I$3:I$11,'Paso 3 Redacción RA '!C$3:C$11,,0,1)</f>
        <v>Saber</v>
      </c>
      <c r="B19" s="27" t="s">
        <v>79</v>
      </c>
      <c r="C19" s="72">
        <v>2</v>
      </c>
      <c r="D19" s="72" t="s">
        <v>185</v>
      </c>
      <c r="E19" s="75" t="s">
        <v>186</v>
      </c>
      <c r="F19" s="72" t="s">
        <v>161</v>
      </c>
      <c r="G19" s="72"/>
      <c r="H19" s="72" t="s">
        <v>162</v>
      </c>
      <c r="I19" s="78">
        <v>2</v>
      </c>
      <c r="J19" s="78">
        <f>I19*12</f>
        <v>24</v>
      </c>
      <c r="K19" s="78">
        <f>I19*36</f>
        <v>72</v>
      </c>
      <c r="L19" s="78">
        <f>SUM(J19:K21)</f>
        <v>96</v>
      </c>
      <c r="M19" s="75" t="s">
        <v>187</v>
      </c>
      <c r="N19" s="75" t="s">
        <v>164</v>
      </c>
      <c r="O19" s="81" t="s">
        <v>165</v>
      </c>
      <c r="P19" s="75" t="s">
        <v>166</v>
      </c>
    </row>
    <row r="20" spans="1:16" ht="49.5" x14ac:dyDescent="0.35">
      <c r="A20" s="5" t="str">
        <f>_xlfn.XLOOKUP(B20,'Paso 3 Redacción RA '!I$3:I$11,'Paso 3 Redacción RA '!C$3:C$11,,0,1)</f>
        <v>Saberhacer</v>
      </c>
      <c r="B20" s="5" t="s">
        <v>83</v>
      </c>
      <c r="C20" s="73"/>
      <c r="D20" s="73"/>
      <c r="E20" s="76"/>
      <c r="F20" s="73"/>
      <c r="G20" s="73"/>
      <c r="H20" s="73"/>
      <c r="I20" s="79"/>
      <c r="J20" s="79"/>
      <c r="K20" s="79"/>
      <c r="L20" s="79"/>
      <c r="M20" s="76"/>
      <c r="N20" s="76"/>
      <c r="O20" s="82"/>
      <c r="P20" s="76"/>
    </row>
    <row r="21" spans="1:16" ht="49.5" x14ac:dyDescent="0.35">
      <c r="A21" s="26" t="str">
        <f>_xlfn.XLOOKUP(B21,'Paso 3 Redacción RA '!I$3:I$11,'Paso 3 Redacción RA '!C$3:C$11,,0,1)</f>
        <v>Saberser</v>
      </c>
      <c r="B21" s="26" t="s">
        <v>86</v>
      </c>
      <c r="C21" s="74"/>
      <c r="D21" s="74"/>
      <c r="E21" s="77"/>
      <c r="F21" s="74"/>
      <c r="G21" s="74"/>
      <c r="H21" s="74"/>
      <c r="I21" s="80"/>
      <c r="J21" s="80"/>
      <c r="K21" s="80"/>
      <c r="L21" s="80"/>
      <c r="M21" s="77"/>
      <c r="N21" s="77"/>
      <c r="O21" s="83"/>
      <c r="P21" s="77"/>
    </row>
    <row r="22" spans="1:16" ht="66" x14ac:dyDescent="0.35">
      <c r="A22" s="5" t="str">
        <f>_xlfn.XLOOKUP(B22,'Paso 3 Redacción RA '!I$3:I$11,'Paso 3 Redacción RA '!C$3:C$11,,0,1)</f>
        <v>Saber</v>
      </c>
      <c r="B22" s="27" t="s">
        <v>79</v>
      </c>
      <c r="C22" s="72">
        <v>2</v>
      </c>
      <c r="D22" s="72" t="s">
        <v>188</v>
      </c>
      <c r="E22" s="75" t="s">
        <v>189</v>
      </c>
      <c r="F22" s="72" t="s">
        <v>161</v>
      </c>
      <c r="G22" s="72"/>
      <c r="H22" s="72" t="s">
        <v>162</v>
      </c>
      <c r="I22" s="78">
        <v>3</v>
      </c>
      <c r="J22" s="78">
        <f>I22*12</f>
        <v>36</v>
      </c>
      <c r="K22" s="78">
        <f>I22*36</f>
        <v>108</v>
      </c>
      <c r="L22" s="78">
        <f>SUM(J22:K22)</f>
        <v>144</v>
      </c>
      <c r="M22" s="75" t="s">
        <v>190</v>
      </c>
      <c r="N22" s="75" t="s">
        <v>191</v>
      </c>
      <c r="O22" s="81" t="s">
        <v>165</v>
      </c>
      <c r="P22" s="75" t="s">
        <v>166</v>
      </c>
    </row>
    <row r="23" spans="1:16" ht="49.5" x14ac:dyDescent="0.35">
      <c r="A23" s="5" t="str">
        <f>_xlfn.XLOOKUP(B23,'Paso 3 Redacción RA '!I$3:I$11,'Paso 3 Redacción RA '!C$3:C$11,,0,1)</f>
        <v>Saberhacer</v>
      </c>
      <c r="B23" s="5" t="s">
        <v>83</v>
      </c>
      <c r="C23" s="73"/>
      <c r="D23" s="73"/>
      <c r="E23" s="76"/>
      <c r="F23" s="73"/>
      <c r="G23" s="73"/>
      <c r="H23" s="73"/>
      <c r="I23" s="79"/>
      <c r="J23" s="79"/>
      <c r="K23" s="79"/>
      <c r="L23" s="79"/>
      <c r="M23" s="76"/>
      <c r="N23" s="76"/>
      <c r="O23" s="82"/>
      <c r="P23" s="76"/>
    </row>
    <row r="24" spans="1:16" ht="49.5" x14ac:dyDescent="0.35">
      <c r="A24" s="26" t="str">
        <f>_xlfn.XLOOKUP(B24,'Paso 3 Redacción RA '!I$3:I$11,'Paso 3 Redacción RA '!C$3:C$11,,0,1)</f>
        <v>Saberser</v>
      </c>
      <c r="B24" s="26" t="s">
        <v>86</v>
      </c>
      <c r="C24" s="74"/>
      <c r="D24" s="74"/>
      <c r="E24" s="77"/>
      <c r="F24" s="74"/>
      <c r="G24" s="74"/>
      <c r="H24" s="74"/>
      <c r="I24" s="80"/>
      <c r="J24" s="80"/>
      <c r="K24" s="80"/>
      <c r="L24" s="80"/>
      <c r="M24" s="77"/>
      <c r="N24" s="77"/>
      <c r="O24" s="83"/>
      <c r="P24" s="77"/>
    </row>
    <row r="25" spans="1:16" ht="66" x14ac:dyDescent="0.35">
      <c r="A25" s="27" t="str">
        <f>_xlfn.XLOOKUP(B25,'Paso 3 Redacción RA '!I$3:I$11,'Paso 3 Redacción RA '!C$3:C$11,,0,1)</f>
        <v>Saber</v>
      </c>
      <c r="B25" s="27" t="s">
        <v>79</v>
      </c>
      <c r="C25" s="72">
        <v>2</v>
      </c>
      <c r="D25" s="72" t="s">
        <v>192</v>
      </c>
      <c r="E25" s="75" t="s">
        <v>193</v>
      </c>
      <c r="F25" s="72" t="s">
        <v>161</v>
      </c>
      <c r="G25" s="72"/>
      <c r="H25" s="72" t="s">
        <v>162</v>
      </c>
      <c r="I25" s="78">
        <v>3</v>
      </c>
      <c r="J25" s="78">
        <f>I25*12</f>
        <v>36</v>
      </c>
      <c r="K25" s="78">
        <f>I25*36</f>
        <v>108</v>
      </c>
      <c r="L25" s="78">
        <f>SUM(J25:K25)</f>
        <v>144</v>
      </c>
      <c r="M25" s="75" t="s">
        <v>194</v>
      </c>
      <c r="N25" s="75" t="s">
        <v>164</v>
      </c>
      <c r="O25" s="81" t="s">
        <v>170</v>
      </c>
      <c r="P25" s="75" t="s">
        <v>166</v>
      </c>
    </row>
    <row r="26" spans="1:16" ht="49.5" x14ac:dyDescent="0.35">
      <c r="A26" s="5" t="str">
        <f>_xlfn.XLOOKUP(B26,'Paso 3 Redacción RA '!I$3:I$11,'Paso 3 Redacción RA '!C$3:C$11,,0,1)</f>
        <v>Saberhacer</v>
      </c>
      <c r="B26" s="5" t="s">
        <v>83</v>
      </c>
      <c r="C26" s="73"/>
      <c r="D26" s="73"/>
      <c r="E26" s="76"/>
      <c r="F26" s="73"/>
      <c r="G26" s="73"/>
      <c r="H26" s="73"/>
      <c r="I26" s="79"/>
      <c r="J26" s="79"/>
      <c r="K26" s="79"/>
      <c r="L26" s="79"/>
      <c r="M26" s="76"/>
      <c r="N26" s="76"/>
      <c r="O26" s="82"/>
      <c r="P26" s="76"/>
    </row>
    <row r="27" spans="1:16" ht="49.5" x14ac:dyDescent="0.35">
      <c r="A27" s="26" t="str">
        <f>_xlfn.XLOOKUP(B27,'Paso 3 Redacción RA '!I$3:I$11,'Paso 3 Redacción RA '!C$3:C$11,,0,1)</f>
        <v>Saberser</v>
      </c>
      <c r="B27" s="26" t="s">
        <v>86</v>
      </c>
      <c r="C27" s="74"/>
      <c r="D27" s="74"/>
      <c r="E27" s="77"/>
      <c r="F27" s="74"/>
      <c r="G27" s="74"/>
      <c r="H27" s="74"/>
      <c r="I27" s="80"/>
      <c r="J27" s="80"/>
      <c r="K27" s="80"/>
      <c r="L27" s="80"/>
      <c r="M27" s="77"/>
      <c r="N27" s="77"/>
      <c r="O27" s="83"/>
      <c r="P27" s="77"/>
    </row>
    <row r="28" spans="1:16" ht="66" x14ac:dyDescent="0.35">
      <c r="A28" s="27" t="str">
        <f>_xlfn.XLOOKUP(B28,'Paso 3 Redacción RA '!I$3:I$11,'Paso 3 Redacción RA '!C$3:C$11,,0,1)</f>
        <v>Saber</v>
      </c>
      <c r="B28" s="5" t="s">
        <v>79</v>
      </c>
      <c r="C28" s="72">
        <v>2</v>
      </c>
      <c r="D28" s="72" t="s">
        <v>195</v>
      </c>
      <c r="E28" s="75" t="s">
        <v>196</v>
      </c>
      <c r="F28" s="72" t="s">
        <v>161</v>
      </c>
      <c r="G28" s="72"/>
      <c r="H28" s="72" t="s">
        <v>162</v>
      </c>
      <c r="I28" s="78">
        <v>3</v>
      </c>
      <c r="J28" s="78">
        <f>I28*12</f>
        <v>36</v>
      </c>
      <c r="K28" s="78">
        <f>I28*36</f>
        <v>108</v>
      </c>
      <c r="L28" s="78">
        <f>SUM(J28:K28)</f>
        <v>144</v>
      </c>
      <c r="M28" s="75" t="s">
        <v>197</v>
      </c>
      <c r="N28" s="75" t="s">
        <v>191</v>
      </c>
      <c r="O28" s="81" t="s">
        <v>165</v>
      </c>
      <c r="P28" s="75" t="s">
        <v>166</v>
      </c>
    </row>
    <row r="29" spans="1:16" ht="49.5" x14ac:dyDescent="0.35">
      <c r="A29" s="5" t="str">
        <f>_xlfn.XLOOKUP(B29,'Paso 3 Redacción RA '!I$3:I$11,'Paso 3 Redacción RA '!C$3:C$11,,0,1)</f>
        <v>Saberhacer</v>
      </c>
      <c r="B29" s="5" t="s">
        <v>83</v>
      </c>
      <c r="C29" s="73"/>
      <c r="D29" s="73"/>
      <c r="E29" s="76"/>
      <c r="F29" s="73"/>
      <c r="G29" s="73"/>
      <c r="H29" s="73"/>
      <c r="I29" s="79"/>
      <c r="J29" s="79"/>
      <c r="K29" s="79"/>
      <c r="L29" s="79"/>
      <c r="M29" s="76"/>
      <c r="N29" s="76"/>
      <c r="O29" s="82"/>
      <c r="P29" s="76"/>
    </row>
    <row r="30" spans="1:16" ht="49.5" x14ac:dyDescent="0.35">
      <c r="A30" s="26" t="str">
        <f>_xlfn.XLOOKUP(B30,'Paso 3 Redacción RA '!I$3:I$11,'Paso 3 Redacción RA '!C$3:C$11,,0,1)</f>
        <v>Saberser</v>
      </c>
      <c r="B30" s="26" t="s">
        <v>86</v>
      </c>
      <c r="C30" s="74" t="s">
        <v>198</v>
      </c>
      <c r="D30" s="74"/>
      <c r="E30" s="77"/>
      <c r="F30" s="74"/>
      <c r="G30" s="74"/>
      <c r="H30" s="74"/>
      <c r="I30" s="80"/>
      <c r="J30" s="80"/>
      <c r="K30" s="80"/>
      <c r="L30" s="80"/>
      <c r="M30" s="77"/>
      <c r="N30" s="77"/>
      <c r="O30" s="83"/>
      <c r="P30" s="77"/>
    </row>
    <row r="31" spans="1:16" ht="33" x14ac:dyDescent="0.35">
      <c r="C31" s="57" t="s">
        <v>199</v>
      </c>
      <c r="D31" s="58">
        <f>COUNTA(D3:D30)</f>
        <v>10</v>
      </c>
      <c r="H31" s="59" t="s">
        <v>200</v>
      </c>
      <c r="I31" s="60">
        <f>SUM(I3:I30)</f>
        <v>25</v>
      </c>
    </row>
    <row r="32" spans="1:16" ht="33" x14ac:dyDescent="0.35">
      <c r="H32" s="61" t="s">
        <v>201</v>
      </c>
      <c r="I32" s="62">
        <f>SUMIF(G3:G30,"X",I3:I30)</f>
        <v>7</v>
      </c>
    </row>
    <row r="33" spans="8:9" ht="33" x14ac:dyDescent="0.35">
      <c r="H33" s="61" t="s">
        <v>202</v>
      </c>
      <c r="I33" s="62">
        <f>SUMIF(H3:H30,"X",I3:I30)</f>
        <v>18</v>
      </c>
    </row>
  </sheetData>
  <mergeCells count="141">
    <mergeCell ref="C13:C15"/>
    <mergeCell ref="D13:D15"/>
    <mergeCell ref="E13:E15"/>
    <mergeCell ref="G13:G15"/>
    <mergeCell ref="H13:H15"/>
    <mergeCell ref="I13:I15"/>
    <mergeCell ref="J13:J15"/>
    <mergeCell ref="K13:K15"/>
    <mergeCell ref="C22:C24"/>
    <mergeCell ref="D22:D24"/>
    <mergeCell ref="E22:E24"/>
    <mergeCell ref="G22:G24"/>
    <mergeCell ref="H22:H24"/>
    <mergeCell ref="I22:I24"/>
    <mergeCell ref="J22:J24"/>
    <mergeCell ref="K22:K24"/>
    <mergeCell ref="C19:C21"/>
    <mergeCell ref="D19:D21"/>
    <mergeCell ref="E19:E21"/>
    <mergeCell ref="F13:F15"/>
    <mergeCell ref="F16:F18"/>
    <mergeCell ref="F19:F21"/>
    <mergeCell ref="F22:F24"/>
    <mergeCell ref="D25:D27"/>
    <mergeCell ref="I25:I27"/>
    <mergeCell ref="P25:P27"/>
    <mergeCell ref="O25:O27"/>
    <mergeCell ref="N25:N27"/>
    <mergeCell ref="C16:C18"/>
    <mergeCell ref="D16:D18"/>
    <mergeCell ref="E16:E18"/>
    <mergeCell ref="G16:G18"/>
    <mergeCell ref="H16:H18"/>
    <mergeCell ref="I16:I18"/>
    <mergeCell ref="J16:J18"/>
    <mergeCell ref="K16:K18"/>
    <mergeCell ref="L16:L18"/>
    <mergeCell ref="M16:M18"/>
    <mergeCell ref="N16:N18"/>
    <mergeCell ref="C25:C27"/>
    <mergeCell ref="N22:N24"/>
    <mergeCell ref="O22:O24"/>
    <mergeCell ref="P22:P24"/>
    <mergeCell ref="N19:N21"/>
    <mergeCell ref="G25:G27"/>
    <mergeCell ref="H25:H27"/>
    <mergeCell ref="M25:M27"/>
    <mergeCell ref="E25:E27"/>
    <mergeCell ref="M11:M12"/>
    <mergeCell ref="L11:L12"/>
    <mergeCell ref="K11:K12"/>
    <mergeCell ref="J11:J12"/>
    <mergeCell ref="I11:I12"/>
    <mergeCell ref="H11:H12"/>
    <mergeCell ref="L13:L15"/>
    <mergeCell ref="M13:M15"/>
    <mergeCell ref="M22:M24"/>
    <mergeCell ref="K19:K21"/>
    <mergeCell ref="L19:L21"/>
    <mergeCell ref="L22:L24"/>
    <mergeCell ref="F11:F12"/>
    <mergeCell ref="F25:F27"/>
    <mergeCell ref="L25:L27"/>
    <mergeCell ref="K25:K27"/>
    <mergeCell ref="J25:J27"/>
    <mergeCell ref="G19:G21"/>
    <mergeCell ref="H19:H21"/>
    <mergeCell ref="I19:I21"/>
    <mergeCell ref="J19:J21"/>
    <mergeCell ref="M19:M21"/>
    <mergeCell ref="C11:C12"/>
    <mergeCell ref="D11:D12"/>
    <mergeCell ref="E11:E12"/>
    <mergeCell ref="G11:G12"/>
    <mergeCell ref="N8:N10"/>
    <mergeCell ref="N11:N12"/>
    <mergeCell ref="F3:F5"/>
    <mergeCell ref="G1:H1"/>
    <mergeCell ref="O11:O12"/>
    <mergeCell ref="L6:L7"/>
    <mergeCell ref="C6:C7"/>
    <mergeCell ref="D6:D7"/>
    <mergeCell ref="E6:E7"/>
    <mergeCell ref="G6:G7"/>
    <mergeCell ref="C8:C10"/>
    <mergeCell ref="D8:D10"/>
    <mergeCell ref="E8:E10"/>
    <mergeCell ref="G8:G10"/>
    <mergeCell ref="H8:H10"/>
    <mergeCell ref="I8:I10"/>
    <mergeCell ref="J8:J10"/>
    <mergeCell ref="K8:K10"/>
    <mergeCell ref="H6:H7"/>
    <mergeCell ref="I6:I7"/>
    <mergeCell ref="C3:C5"/>
    <mergeCell ref="D3:D5"/>
    <mergeCell ref="E3:E5"/>
    <mergeCell ref="G3:G5"/>
    <mergeCell ref="H3:H5"/>
    <mergeCell ref="I3:I5"/>
    <mergeCell ref="N3:N5"/>
    <mergeCell ref="M3:M5"/>
    <mergeCell ref="L8:L10"/>
    <mergeCell ref="M8:M10"/>
    <mergeCell ref="J3:J5"/>
    <mergeCell ref="K3:K5"/>
    <mergeCell ref="L3:L5"/>
    <mergeCell ref="J6:J7"/>
    <mergeCell ref="K6:K7"/>
    <mergeCell ref="F6:F7"/>
    <mergeCell ref="F8:F10"/>
    <mergeCell ref="P11:P12"/>
    <mergeCell ref="O8:O10"/>
    <mergeCell ref="P8:P10"/>
    <mergeCell ref="P6:P7"/>
    <mergeCell ref="P3:P5"/>
    <mergeCell ref="N6:N7"/>
    <mergeCell ref="M6:M7"/>
    <mergeCell ref="O6:O7"/>
    <mergeCell ref="O3:O5"/>
    <mergeCell ref="O16:O18"/>
    <mergeCell ref="P16:P18"/>
    <mergeCell ref="O13:O15"/>
    <mergeCell ref="P13:P15"/>
    <mergeCell ref="N13:N15"/>
    <mergeCell ref="O19:O21"/>
    <mergeCell ref="P19:P21"/>
    <mergeCell ref="L28:L30"/>
    <mergeCell ref="M28:M30"/>
    <mergeCell ref="N28:N30"/>
    <mergeCell ref="O28:O30"/>
    <mergeCell ref="P28:P30"/>
    <mergeCell ref="C28:C30"/>
    <mergeCell ref="D28:D30"/>
    <mergeCell ref="E28:E30"/>
    <mergeCell ref="F28:F30"/>
    <mergeCell ref="G28:G30"/>
    <mergeCell ref="H28:H30"/>
    <mergeCell ref="I28:I30"/>
    <mergeCell ref="J28:J30"/>
    <mergeCell ref="K28:K30"/>
  </mergeCells>
  <dataValidations count="1">
    <dataValidation type="list" allowBlank="1" showInputMessage="1" showErrorMessage="1" sqref="B3:B44" xr:uid="{149936BB-E9F7-467B-9B8A-466861C21273}">
      <formula1>resultadoaprendizaje</formula1>
    </dataValidation>
  </dataValidations>
  <pageMargins left="0.7" right="0.7" top="0.75" bottom="0.75" header="0.3" footer="0.3"/>
  <pageSetup orientation="portrait" horizontalDpi="1200" verticalDpi="120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64FCBD-ADC1-40F4-BFE8-98BA12AA9611}">
  <dimension ref="B1:D39"/>
  <sheetViews>
    <sheetView topLeftCell="A26" workbookViewId="0">
      <selection activeCell="D43" sqref="D43"/>
    </sheetView>
  </sheetViews>
  <sheetFormatPr baseColWidth="10" defaultColWidth="11.453125" defaultRowHeight="14.5" x14ac:dyDescent="0.35"/>
  <cols>
    <col min="2" max="2" width="27.1796875" customWidth="1"/>
    <col min="4" max="4" width="99.26953125" customWidth="1"/>
  </cols>
  <sheetData>
    <row r="1" spans="2:4" ht="30.5" x14ac:dyDescent="0.5">
      <c r="B1" s="1" t="s">
        <v>203</v>
      </c>
      <c r="D1" s="22" t="s">
        <v>204</v>
      </c>
    </row>
    <row r="2" spans="2:4" ht="16.5" x14ac:dyDescent="0.5">
      <c r="B2" s="1" t="s">
        <v>205</v>
      </c>
    </row>
    <row r="3" spans="2:4" ht="16.5" x14ac:dyDescent="0.5">
      <c r="B3" s="1" t="s">
        <v>206</v>
      </c>
    </row>
    <row r="4" spans="2:4" ht="16.5" x14ac:dyDescent="0.5">
      <c r="B4" s="1" t="s">
        <v>82</v>
      </c>
    </row>
    <row r="5" spans="2:4" ht="16.5" x14ac:dyDescent="0.5">
      <c r="B5" s="1" t="s">
        <v>207</v>
      </c>
    </row>
    <row r="6" spans="2:4" ht="16.5" x14ac:dyDescent="0.5">
      <c r="B6" s="1" t="s">
        <v>208</v>
      </c>
    </row>
    <row r="7" spans="2:4" ht="16.5" x14ac:dyDescent="0.5">
      <c r="B7" s="1" t="s">
        <v>209</v>
      </c>
    </row>
    <row r="8" spans="2:4" ht="16.5" x14ac:dyDescent="0.5">
      <c r="B8" s="1" t="s">
        <v>210</v>
      </c>
    </row>
    <row r="9" spans="2:4" ht="16.5" x14ac:dyDescent="0.5">
      <c r="B9" s="1" t="s">
        <v>211</v>
      </c>
    </row>
    <row r="10" spans="2:4" ht="16.5" x14ac:dyDescent="0.5">
      <c r="B10" s="1" t="s">
        <v>212</v>
      </c>
    </row>
    <row r="11" spans="2:4" ht="16.5" x14ac:dyDescent="0.5">
      <c r="B11" s="1" t="s">
        <v>213</v>
      </c>
    </row>
    <row r="12" spans="2:4" ht="16.5" x14ac:dyDescent="0.5">
      <c r="B12" s="1" t="s">
        <v>214</v>
      </c>
    </row>
    <row r="13" spans="2:4" ht="16.5" x14ac:dyDescent="0.5">
      <c r="B13" s="1" t="s">
        <v>215</v>
      </c>
    </row>
    <row r="14" spans="2:4" ht="16.5" x14ac:dyDescent="0.5">
      <c r="B14" s="1" t="s">
        <v>216</v>
      </c>
    </row>
    <row r="15" spans="2:4" ht="16.5" x14ac:dyDescent="0.5">
      <c r="B15" s="1" t="s">
        <v>217</v>
      </c>
    </row>
    <row r="16" spans="2:4" ht="16.5" x14ac:dyDescent="0.5">
      <c r="B16" s="1" t="s">
        <v>218</v>
      </c>
    </row>
    <row r="17" spans="2:2" ht="16.5" x14ac:dyDescent="0.5">
      <c r="B17" s="1" t="s">
        <v>219</v>
      </c>
    </row>
    <row r="18" spans="2:2" ht="16.5" x14ac:dyDescent="0.5">
      <c r="B18" s="1" t="s">
        <v>52</v>
      </c>
    </row>
    <row r="19" spans="2:2" ht="16.5" x14ac:dyDescent="0.5">
      <c r="B19" s="1" t="s">
        <v>220</v>
      </c>
    </row>
    <row r="20" spans="2:2" ht="16.5" x14ac:dyDescent="0.5">
      <c r="B20" s="1" t="s">
        <v>221</v>
      </c>
    </row>
    <row r="21" spans="2:2" ht="16.5" x14ac:dyDescent="0.5">
      <c r="B21" s="1" t="s">
        <v>222</v>
      </c>
    </row>
    <row r="22" spans="2:2" ht="16.5" x14ac:dyDescent="0.5">
      <c r="B22" s="1" t="s">
        <v>223</v>
      </c>
    </row>
    <row r="23" spans="2:2" ht="16.5" x14ac:dyDescent="0.5">
      <c r="B23" s="1" t="s">
        <v>224</v>
      </c>
    </row>
    <row r="24" spans="2:2" ht="16.5" x14ac:dyDescent="0.5">
      <c r="B24" s="1" t="s">
        <v>54</v>
      </c>
    </row>
    <row r="25" spans="2:2" ht="16.5" x14ac:dyDescent="0.5">
      <c r="B25" s="1" t="s">
        <v>225</v>
      </c>
    </row>
    <row r="26" spans="2:2" ht="16.5" x14ac:dyDescent="0.5">
      <c r="B26" s="1" t="s">
        <v>226</v>
      </c>
    </row>
    <row r="27" spans="2:2" ht="16.5" x14ac:dyDescent="0.5">
      <c r="B27" s="1" t="s">
        <v>227</v>
      </c>
    </row>
    <row r="28" spans="2:2" ht="16.5" x14ac:dyDescent="0.5">
      <c r="B28" s="1" t="s">
        <v>228</v>
      </c>
    </row>
    <row r="29" spans="2:2" ht="16.5" x14ac:dyDescent="0.5">
      <c r="B29" s="1" t="s">
        <v>229</v>
      </c>
    </row>
    <row r="30" spans="2:2" ht="16.5" x14ac:dyDescent="0.5">
      <c r="B30" s="1" t="s">
        <v>230</v>
      </c>
    </row>
    <row r="31" spans="2:2" ht="16.5" x14ac:dyDescent="0.5">
      <c r="B31" s="1" t="s">
        <v>231</v>
      </c>
    </row>
    <row r="32" spans="2:2" ht="16.5" x14ac:dyDescent="0.5">
      <c r="B32" s="1" t="s">
        <v>232</v>
      </c>
    </row>
    <row r="33" spans="2:2" ht="16.5" x14ac:dyDescent="0.5">
      <c r="B33" s="1" t="s">
        <v>233</v>
      </c>
    </row>
    <row r="34" spans="2:2" ht="16.5" x14ac:dyDescent="0.5">
      <c r="B34" s="1" t="s">
        <v>234</v>
      </c>
    </row>
    <row r="35" spans="2:2" ht="16.5" x14ac:dyDescent="0.5">
      <c r="B35" s="1" t="s">
        <v>235</v>
      </c>
    </row>
    <row r="36" spans="2:2" ht="16.5" x14ac:dyDescent="0.5">
      <c r="B36" s="1" t="s">
        <v>236</v>
      </c>
    </row>
    <row r="37" spans="2:2" ht="16.5" x14ac:dyDescent="0.5">
      <c r="B37" s="1" t="s">
        <v>237</v>
      </c>
    </row>
    <row r="38" spans="2:2" ht="16.5" x14ac:dyDescent="0.5">
      <c r="B38" s="1" t="s">
        <v>78</v>
      </c>
    </row>
    <row r="39" spans="2:2" ht="16.5" x14ac:dyDescent="0.5">
      <c r="B39" s="1" t="s">
        <v>49</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A97597-49CE-4804-805A-84A20592BE98}">
  <dimension ref="A1:BK108"/>
  <sheetViews>
    <sheetView topLeftCell="BA59" zoomScale="66" workbookViewId="0">
      <selection activeCell="BF90" sqref="BF90"/>
    </sheetView>
  </sheetViews>
  <sheetFormatPr baseColWidth="10" defaultColWidth="11.453125" defaultRowHeight="16.5" x14ac:dyDescent="0.5"/>
  <cols>
    <col min="1" max="1" width="20.453125" style="1" customWidth="1"/>
    <col min="2" max="2" width="14.26953125" style="1" customWidth="1"/>
    <col min="3" max="3" width="22.1796875" style="1" customWidth="1"/>
    <col min="4" max="4" width="21.54296875" style="1" customWidth="1"/>
    <col min="5" max="5" width="22.81640625" style="1" customWidth="1"/>
    <col min="6" max="6" width="16.81640625" style="1" customWidth="1"/>
    <col min="7" max="7" width="21.81640625" style="1" customWidth="1"/>
    <col min="8" max="8" width="26.1796875" style="1" customWidth="1"/>
    <col min="9" max="9" width="25.26953125" style="1" customWidth="1"/>
    <col min="10" max="10" width="24.453125" style="1" customWidth="1"/>
    <col min="11" max="11" width="15.26953125" style="1" customWidth="1"/>
    <col min="12" max="17" width="17.7265625" style="1" customWidth="1"/>
    <col min="18" max="18" width="22.54296875" style="1" customWidth="1"/>
    <col min="19" max="33" width="17.453125" style="1" customWidth="1"/>
    <col min="34" max="36" width="13.1796875" style="1" customWidth="1"/>
    <col min="37" max="37" width="14.54296875" style="1" customWidth="1"/>
    <col min="38" max="38" width="23.1796875" style="1" bestFit="1" customWidth="1"/>
    <col min="39" max="39" width="18" style="1" customWidth="1"/>
    <col min="40" max="40" width="20.453125" style="1" bestFit="1" customWidth="1"/>
    <col min="41" max="41" width="21.81640625" style="1" bestFit="1" customWidth="1"/>
    <col min="42" max="42" width="17.453125" style="1" bestFit="1" customWidth="1"/>
    <col min="43" max="43" width="18.54296875" style="1" bestFit="1" customWidth="1"/>
    <col min="44" max="44" width="16.7265625" style="1" customWidth="1"/>
    <col min="45" max="45" width="26.54296875" style="1" bestFit="1" customWidth="1"/>
    <col min="46" max="46" width="21.54296875" style="1" bestFit="1" customWidth="1"/>
    <col min="47" max="47" width="19.1796875" style="1" bestFit="1" customWidth="1"/>
    <col min="48" max="48" width="24.1796875" style="1" bestFit="1" customWidth="1"/>
    <col min="49" max="49" width="24.81640625" style="1" bestFit="1" customWidth="1"/>
    <col min="50" max="50" width="23.1796875" style="1" bestFit="1" customWidth="1"/>
    <col min="51" max="51" width="22.26953125" style="1" bestFit="1" customWidth="1"/>
    <col min="52" max="52" width="32.1796875" style="1" bestFit="1" customWidth="1"/>
    <col min="53" max="53" width="13.26953125" style="1" customWidth="1"/>
    <col min="54" max="54" width="23.81640625" style="1" customWidth="1"/>
    <col min="55" max="55" width="22.54296875" style="1" customWidth="1"/>
    <col min="56" max="56" width="21.453125" style="1" customWidth="1"/>
    <col min="57" max="57" width="25" style="1" customWidth="1"/>
    <col min="58" max="58" width="24.7265625" style="1" customWidth="1"/>
    <col min="59" max="59" width="22.7265625" style="1" customWidth="1"/>
    <col min="60" max="63" width="13.26953125" style="1" customWidth="1"/>
    <col min="64" max="16384" width="11.453125" style="1"/>
  </cols>
  <sheetData>
    <row r="1" spans="1:63" x14ac:dyDescent="0.5">
      <c r="S1" s="108" t="s">
        <v>238</v>
      </c>
      <c r="T1" s="108"/>
      <c r="U1" s="108"/>
      <c r="V1" s="108"/>
      <c r="W1" s="108"/>
      <c r="X1" s="108"/>
      <c r="Y1" s="108"/>
      <c r="Z1" s="108"/>
      <c r="AA1" s="108"/>
      <c r="AB1" s="108"/>
      <c r="AC1" s="108"/>
      <c r="AD1" s="108"/>
      <c r="AE1" s="108"/>
      <c r="AF1" s="108"/>
      <c r="AG1" s="108"/>
      <c r="AH1" s="9"/>
      <c r="AI1" s="9"/>
      <c r="AJ1" s="9"/>
      <c r="AL1" s="108" t="s">
        <v>239</v>
      </c>
      <c r="AM1" s="108"/>
      <c r="AN1" s="108"/>
      <c r="AO1" s="108"/>
      <c r="AP1" s="108"/>
      <c r="AQ1" s="108"/>
      <c r="AR1" s="108"/>
      <c r="AS1" s="108"/>
      <c r="AT1" s="108"/>
      <c r="AU1" s="108"/>
      <c r="AV1" s="108"/>
      <c r="AW1" s="108"/>
      <c r="AX1" s="108"/>
      <c r="AY1" s="108"/>
      <c r="AZ1" s="108"/>
      <c r="BA1" s="9"/>
      <c r="BB1" s="108" t="s">
        <v>240</v>
      </c>
      <c r="BC1" s="108"/>
      <c r="BD1" s="108"/>
      <c r="BE1" s="108"/>
      <c r="BF1" s="108"/>
      <c r="BG1" s="108"/>
      <c r="BH1" s="9"/>
      <c r="BK1" s="9"/>
    </row>
    <row r="2" spans="1:63" x14ac:dyDescent="0.5">
      <c r="L2" s="108" t="s">
        <v>241</v>
      </c>
      <c r="M2" s="108"/>
      <c r="N2" s="108"/>
      <c r="O2" s="108"/>
      <c r="P2" s="108"/>
      <c r="Q2" s="108"/>
      <c r="S2" s="109" t="s">
        <v>242</v>
      </c>
      <c r="T2" s="109"/>
      <c r="U2" s="109"/>
      <c r="V2" s="109"/>
      <c r="W2" s="109"/>
      <c r="X2" s="109"/>
      <c r="Y2" s="109" t="s">
        <v>243</v>
      </c>
      <c r="Z2" s="109"/>
      <c r="AA2" s="109"/>
      <c r="AB2" s="109"/>
      <c r="AC2" s="109" t="s">
        <v>244</v>
      </c>
      <c r="AD2" s="109"/>
      <c r="AE2" s="109"/>
      <c r="AF2" s="109"/>
      <c r="AG2" s="109"/>
      <c r="AH2" s="9"/>
      <c r="AI2" s="9"/>
      <c r="AJ2" s="9"/>
      <c r="AL2" s="108"/>
      <c r="AM2" s="108"/>
      <c r="AN2" s="108"/>
      <c r="AO2" s="108"/>
      <c r="AP2" s="108"/>
      <c r="AQ2" s="108"/>
      <c r="AR2" s="9"/>
      <c r="AS2" s="9"/>
      <c r="AT2" s="9"/>
      <c r="AU2" s="9"/>
      <c r="AV2" s="9"/>
      <c r="AW2" s="9"/>
      <c r="AX2" s="9"/>
      <c r="AY2" s="9"/>
      <c r="AZ2" s="9"/>
      <c r="BA2" s="9"/>
      <c r="BB2" s="9"/>
      <c r="BC2" s="9"/>
      <c r="BD2" s="9"/>
      <c r="BE2" s="9"/>
      <c r="BF2" s="9"/>
      <c r="BG2" s="9"/>
      <c r="BH2" s="9"/>
      <c r="BK2" s="9"/>
    </row>
    <row r="3" spans="1:63" x14ac:dyDescent="0.5">
      <c r="A3" s="1" t="s">
        <v>245</v>
      </c>
      <c r="C3" s="1" t="s">
        <v>246</v>
      </c>
      <c r="D3" s="1" t="s">
        <v>247</v>
      </c>
      <c r="E3" s="1" t="s">
        <v>248</v>
      </c>
      <c r="G3" s="1" t="s">
        <v>76</v>
      </c>
      <c r="H3" s="1" t="s">
        <v>80</v>
      </c>
      <c r="I3" s="1" t="s">
        <v>84</v>
      </c>
      <c r="L3" s="1" t="s">
        <v>249</v>
      </c>
      <c r="M3" s="1" t="s">
        <v>250</v>
      </c>
      <c r="N3" s="1" t="s">
        <v>81</v>
      </c>
      <c r="O3" s="1" t="s">
        <v>77</v>
      </c>
      <c r="P3" s="1" t="s">
        <v>251</v>
      </c>
      <c r="Q3" s="1" t="s">
        <v>85</v>
      </c>
      <c r="S3" s="1" t="s">
        <v>252</v>
      </c>
      <c r="T3" s="1" t="s">
        <v>253</v>
      </c>
      <c r="U3" s="1" t="s">
        <v>254</v>
      </c>
      <c r="V3" s="1" t="s">
        <v>255</v>
      </c>
      <c r="W3" s="1" t="s">
        <v>256</v>
      </c>
      <c r="X3" s="1" t="s">
        <v>257</v>
      </c>
      <c r="Y3" s="1" t="s">
        <v>258</v>
      </c>
      <c r="Z3" s="1" t="s">
        <v>259</v>
      </c>
      <c r="AA3" s="1" t="s">
        <v>260</v>
      </c>
      <c r="AB3" s="1" t="s">
        <v>261</v>
      </c>
      <c r="AC3" s="1" t="s">
        <v>262</v>
      </c>
      <c r="AD3" s="1" t="s">
        <v>263</v>
      </c>
      <c r="AE3" s="1" t="s">
        <v>264</v>
      </c>
      <c r="AF3" s="1" t="s">
        <v>265</v>
      </c>
      <c r="AG3" s="1" t="s">
        <v>266</v>
      </c>
      <c r="AL3" s="110" t="s">
        <v>267</v>
      </c>
      <c r="AM3" s="111"/>
      <c r="AN3" s="111"/>
      <c r="AO3" s="110" t="s">
        <v>268</v>
      </c>
      <c r="AP3" s="111"/>
      <c r="AQ3" s="111"/>
      <c r="AR3" s="110" t="s">
        <v>269</v>
      </c>
      <c r="AS3" s="111"/>
      <c r="AT3" s="111"/>
      <c r="AU3" s="112"/>
      <c r="AV3" s="110" t="s">
        <v>270</v>
      </c>
      <c r="AW3" s="111"/>
      <c r="AX3" s="111"/>
      <c r="AY3" s="111"/>
      <c r="AZ3" s="112"/>
      <c r="BA3" s="10"/>
      <c r="BB3" s="10"/>
      <c r="BC3" s="10"/>
      <c r="BD3" s="10"/>
      <c r="BE3" s="10"/>
      <c r="BF3" s="10"/>
      <c r="BG3" s="10"/>
      <c r="BH3" s="10"/>
      <c r="BK3" s="10"/>
    </row>
    <row r="4" spans="1:63" x14ac:dyDescent="0.5">
      <c r="A4" s="1" t="s">
        <v>75</v>
      </c>
      <c r="C4" s="1" t="s">
        <v>271</v>
      </c>
      <c r="D4" s="1" t="s">
        <v>272</v>
      </c>
      <c r="E4" s="1" t="s">
        <v>273</v>
      </c>
      <c r="G4" s="1" t="s">
        <v>249</v>
      </c>
      <c r="H4" s="1" t="s">
        <v>249</v>
      </c>
      <c r="I4" s="1" t="s">
        <v>249</v>
      </c>
      <c r="L4" s="1" t="s">
        <v>274</v>
      </c>
      <c r="M4" s="1" t="s">
        <v>209</v>
      </c>
      <c r="N4" s="1" t="s">
        <v>82</v>
      </c>
      <c r="O4" s="1" t="s">
        <v>275</v>
      </c>
      <c r="P4" s="1" t="s">
        <v>276</v>
      </c>
      <c r="Q4" s="1" t="s">
        <v>277</v>
      </c>
      <c r="S4" s="1" t="s">
        <v>274</v>
      </c>
      <c r="T4" s="1" t="s">
        <v>209</v>
      </c>
      <c r="U4" s="1" t="s">
        <v>82</v>
      </c>
      <c r="V4" s="1" t="s">
        <v>275</v>
      </c>
      <c r="W4" s="1" t="s">
        <v>276</v>
      </c>
      <c r="X4" s="1" t="s">
        <v>277</v>
      </c>
      <c r="Y4" s="1" t="s">
        <v>278</v>
      </c>
      <c r="Z4" s="1" t="s">
        <v>279</v>
      </c>
      <c r="AA4" s="1" t="s">
        <v>280</v>
      </c>
      <c r="AB4" s="1" t="s">
        <v>281</v>
      </c>
      <c r="AC4" s="1" t="s">
        <v>224</v>
      </c>
      <c r="AD4" s="1" t="s">
        <v>282</v>
      </c>
      <c r="AE4" s="1" t="s">
        <v>283</v>
      </c>
      <c r="AF4" s="1" t="s">
        <v>284</v>
      </c>
      <c r="AG4" s="1" t="s">
        <v>285</v>
      </c>
      <c r="AL4" s="11" t="s">
        <v>286</v>
      </c>
      <c r="AM4" s="11" t="s">
        <v>287</v>
      </c>
      <c r="AN4" s="11" t="s">
        <v>288</v>
      </c>
      <c r="AO4" s="11" t="s">
        <v>289</v>
      </c>
      <c r="AP4" s="12" t="s">
        <v>290</v>
      </c>
      <c r="AQ4" s="11" t="s">
        <v>291</v>
      </c>
      <c r="AR4" s="1" t="s">
        <v>258</v>
      </c>
      <c r="AS4" s="1" t="s">
        <v>259</v>
      </c>
      <c r="AT4" s="1" t="s">
        <v>260</v>
      </c>
      <c r="AU4" s="1" t="s">
        <v>261</v>
      </c>
      <c r="AV4" s="1" t="s">
        <v>262</v>
      </c>
      <c r="AW4" s="1" t="s">
        <v>263</v>
      </c>
      <c r="AX4" s="1" t="s">
        <v>264</v>
      </c>
      <c r="AY4" s="1" t="s">
        <v>265</v>
      </c>
      <c r="AZ4" s="1" t="s">
        <v>266</v>
      </c>
      <c r="BA4" s="10"/>
      <c r="BB4" s="1" t="s">
        <v>292</v>
      </c>
      <c r="BC4" s="1" t="s">
        <v>293</v>
      </c>
      <c r="BD4" s="1" t="s">
        <v>294</v>
      </c>
      <c r="BE4" s="1" t="s">
        <v>295</v>
      </c>
      <c r="BF4" s="1" t="s">
        <v>296</v>
      </c>
      <c r="BG4" s="1" t="s">
        <v>297</v>
      </c>
      <c r="BH4" s="10"/>
      <c r="BK4" s="10"/>
    </row>
    <row r="5" spans="1:63" x14ac:dyDescent="0.5">
      <c r="A5" s="1" t="s">
        <v>246</v>
      </c>
      <c r="C5" s="1" t="s">
        <v>298</v>
      </c>
      <c r="D5" s="1" t="s">
        <v>299</v>
      </c>
      <c r="E5" s="1" t="s">
        <v>300</v>
      </c>
      <c r="G5" s="1" t="s">
        <v>250</v>
      </c>
      <c r="H5" s="1" t="s">
        <v>250</v>
      </c>
      <c r="I5" s="1" t="s">
        <v>250</v>
      </c>
      <c r="L5" s="1" t="s">
        <v>301</v>
      </c>
      <c r="M5" s="1" t="s">
        <v>302</v>
      </c>
      <c r="N5" s="1" t="s">
        <v>303</v>
      </c>
      <c r="O5" s="1" t="s">
        <v>78</v>
      </c>
      <c r="P5" s="1" t="s">
        <v>206</v>
      </c>
      <c r="Q5" s="1" t="s">
        <v>304</v>
      </c>
      <c r="S5" s="1" t="s">
        <v>301</v>
      </c>
      <c r="T5" s="1" t="s">
        <v>302</v>
      </c>
      <c r="U5" s="1" t="s">
        <v>303</v>
      </c>
      <c r="V5" s="1" t="s">
        <v>78</v>
      </c>
      <c r="W5" s="1" t="s">
        <v>206</v>
      </c>
      <c r="X5" s="1" t="s">
        <v>304</v>
      </c>
      <c r="Y5" s="1" t="s">
        <v>276</v>
      </c>
      <c r="Z5" s="1" t="s">
        <v>305</v>
      </c>
      <c r="AA5" s="1" t="s">
        <v>228</v>
      </c>
      <c r="AB5" s="1" t="s">
        <v>306</v>
      </c>
      <c r="AC5" s="1" t="s">
        <v>211</v>
      </c>
      <c r="AD5" s="1" t="s">
        <v>307</v>
      </c>
      <c r="AE5" s="1" t="s">
        <v>282</v>
      </c>
      <c r="AF5" s="1" t="s">
        <v>308</v>
      </c>
      <c r="AG5" s="1" t="s">
        <v>309</v>
      </c>
      <c r="AL5" s="2" t="s">
        <v>310</v>
      </c>
      <c r="AM5" s="2" t="s">
        <v>311</v>
      </c>
      <c r="AN5" s="2" t="s">
        <v>312</v>
      </c>
      <c r="AO5" s="2" t="s">
        <v>313</v>
      </c>
      <c r="AP5" s="2" t="s">
        <v>276</v>
      </c>
      <c r="AQ5" s="2" t="s">
        <v>215</v>
      </c>
      <c r="AR5" s="1" t="s">
        <v>278</v>
      </c>
      <c r="AS5" s="1" t="s">
        <v>279</v>
      </c>
      <c r="AT5" s="1" t="s">
        <v>280</v>
      </c>
      <c r="AU5" s="1" t="s">
        <v>281</v>
      </c>
      <c r="AV5" s="1" t="s">
        <v>224</v>
      </c>
      <c r="AW5" s="1" t="s">
        <v>282</v>
      </c>
      <c r="AX5" s="1" t="s">
        <v>283</v>
      </c>
      <c r="AY5" s="1" t="s">
        <v>284</v>
      </c>
      <c r="AZ5" s="1" t="s">
        <v>285</v>
      </c>
      <c r="BA5" s="2"/>
      <c r="BB5" s="13" t="s">
        <v>310</v>
      </c>
      <c r="BC5" s="15" t="s">
        <v>209</v>
      </c>
      <c r="BD5" s="13" t="s">
        <v>313</v>
      </c>
      <c r="BE5" s="13" t="s">
        <v>312</v>
      </c>
      <c r="BF5" s="15" t="s">
        <v>314</v>
      </c>
      <c r="BG5" s="15" t="s">
        <v>314</v>
      </c>
      <c r="BH5" s="2"/>
      <c r="BK5" s="2"/>
    </row>
    <row r="6" spans="1:63" x14ac:dyDescent="0.5">
      <c r="A6" s="1" t="s">
        <v>247</v>
      </c>
      <c r="C6" s="1" t="s">
        <v>315</v>
      </c>
      <c r="D6" s="1" t="s">
        <v>316</v>
      </c>
      <c r="E6" s="1" t="s">
        <v>317</v>
      </c>
      <c r="G6" s="1" t="s">
        <v>81</v>
      </c>
      <c r="H6" s="1" t="s">
        <v>81</v>
      </c>
      <c r="I6" s="1" t="s">
        <v>81</v>
      </c>
      <c r="L6" s="1" t="s">
        <v>318</v>
      </c>
      <c r="M6" s="1" t="s">
        <v>319</v>
      </c>
      <c r="N6" s="1" t="s">
        <v>320</v>
      </c>
      <c r="O6" s="1" t="s">
        <v>321</v>
      </c>
      <c r="P6" s="1" t="s">
        <v>322</v>
      </c>
      <c r="Q6" s="1" t="s">
        <v>323</v>
      </c>
      <c r="S6" s="1" t="s">
        <v>318</v>
      </c>
      <c r="T6" s="1" t="s">
        <v>319</v>
      </c>
      <c r="U6" s="1" t="s">
        <v>320</v>
      </c>
      <c r="V6" s="1" t="s">
        <v>321</v>
      </c>
      <c r="W6" s="1" t="s">
        <v>322</v>
      </c>
      <c r="X6" s="1" t="s">
        <v>323</v>
      </c>
      <c r="Y6" s="1" t="s">
        <v>324</v>
      </c>
      <c r="Z6" s="1" t="s">
        <v>325</v>
      </c>
      <c r="AA6" s="1" t="s">
        <v>326</v>
      </c>
      <c r="AB6" s="1" t="s">
        <v>327</v>
      </c>
      <c r="AC6" s="1" t="s">
        <v>216</v>
      </c>
      <c r="AD6" s="1" t="s">
        <v>328</v>
      </c>
      <c r="AE6" s="1" t="s">
        <v>314</v>
      </c>
      <c r="AF6" s="1" t="s">
        <v>329</v>
      </c>
      <c r="AG6" s="1" t="s">
        <v>211</v>
      </c>
      <c r="AL6" s="2" t="s">
        <v>318</v>
      </c>
      <c r="AM6" s="2" t="s">
        <v>330</v>
      </c>
      <c r="AN6" s="2" t="s">
        <v>313</v>
      </c>
      <c r="AO6" s="2" t="s">
        <v>275</v>
      </c>
      <c r="AP6" s="2" t="s">
        <v>331</v>
      </c>
      <c r="AQ6" s="2" t="s">
        <v>332</v>
      </c>
      <c r="AR6" s="1" t="s">
        <v>276</v>
      </c>
      <c r="AS6" s="1" t="s">
        <v>305</v>
      </c>
      <c r="AT6" s="1" t="s">
        <v>228</v>
      </c>
      <c r="AU6" s="1" t="s">
        <v>306</v>
      </c>
      <c r="AV6" s="1" t="s">
        <v>211</v>
      </c>
      <c r="AW6" s="1" t="s">
        <v>307</v>
      </c>
      <c r="AX6" s="1" t="s">
        <v>282</v>
      </c>
      <c r="AY6" s="1" t="s">
        <v>308</v>
      </c>
      <c r="AZ6" s="1" t="s">
        <v>309</v>
      </c>
      <c r="BA6" s="2"/>
      <c r="BB6" s="14" t="s">
        <v>318</v>
      </c>
      <c r="BC6" s="16" t="s">
        <v>302</v>
      </c>
      <c r="BD6" s="15" t="s">
        <v>275</v>
      </c>
      <c r="BE6" s="14" t="s">
        <v>313</v>
      </c>
      <c r="BF6" s="16" t="s">
        <v>333</v>
      </c>
      <c r="BG6" s="15" t="s">
        <v>283</v>
      </c>
      <c r="BH6" s="2"/>
      <c r="BK6" s="2"/>
    </row>
    <row r="7" spans="1:63" x14ac:dyDescent="0.5">
      <c r="A7" s="1" t="s">
        <v>248</v>
      </c>
      <c r="D7" s="1" t="s">
        <v>334</v>
      </c>
      <c r="G7" s="1" t="s">
        <v>77</v>
      </c>
      <c r="H7" s="1" t="s">
        <v>77</v>
      </c>
      <c r="I7" s="1" t="s">
        <v>77</v>
      </c>
      <c r="L7" s="1" t="s">
        <v>335</v>
      </c>
      <c r="M7" s="1" t="s">
        <v>210</v>
      </c>
      <c r="N7" s="1" t="s">
        <v>336</v>
      </c>
      <c r="O7" s="1" t="s">
        <v>337</v>
      </c>
      <c r="P7" s="1" t="s">
        <v>322</v>
      </c>
      <c r="Q7" s="1" t="s">
        <v>338</v>
      </c>
      <c r="S7" s="1" t="s">
        <v>335</v>
      </c>
      <c r="T7" s="1" t="s">
        <v>210</v>
      </c>
      <c r="U7" s="1" t="s">
        <v>336</v>
      </c>
      <c r="V7" s="1" t="s">
        <v>337</v>
      </c>
      <c r="W7" s="1" t="s">
        <v>322</v>
      </c>
      <c r="X7" s="1" t="s">
        <v>338</v>
      </c>
      <c r="Y7" s="1" t="s">
        <v>339</v>
      </c>
      <c r="Z7" s="1" t="s">
        <v>340</v>
      </c>
      <c r="AA7" s="1" t="s">
        <v>341</v>
      </c>
      <c r="AB7" s="1" t="s">
        <v>342</v>
      </c>
      <c r="AC7" s="1" t="s">
        <v>279</v>
      </c>
      <c r="AD7" s="1" t="s">
        <v>310</v>
      </c>
      <c r="AE7" s="1" t="s">
        <v>310</v>
      </c>
      <c r="AF7" s="1" t="s">
        <v>333</v>
      </c>
      <c r="AG7" s="1" t="s">
        <v>343</v>
      </c>
      <c r="AL7" s="2" t="s">
        <v>344</v>
      </c>
      <c r="AM7" s="2" t="s">
        <v>345</v>
      </c>
      <c r="AN7" s="2" t="s">
        <v>321</v>
      </c>
      <c r="AO7" s="2" t="s">
        <v>346</v>
      </c>
      <c r="AP7" s="2" t="s">
        <v>347</v>
      </c>
      <c r="AQ7" s="2" t="s">
        <v>348</v>
      </c>
      <c r="AR7" s="1" t="s">
        <v>324</v>
      </c>
      <c r="AS7" s="1" t="s">
        <v>325</v>
      </c>
      <c r="AT7" s="1" t="s">
        <v>326</v>
      </c>
      <c r="AU7" s="1" t="s">
        <v>327</v>
      </c>
      <c r="AV7" s="1" t="s">
        <v>216</v>
      </c>
      <c r="AW7" s="1" t="s">
        <v>328</v>
      </c>
      <c r="AX7" s="1" t="s">
        <v>314</v>
      </c>
      <c r="AY7" s="1" t="s">
        <v>329</v>
      </c>
      <c r="AZ7" s="1" t="s">
        <v>211</v>
      </c>
      <c r="BA7" s="2"/>
      <c r="BB7" s="13" t="s">
        <v>344</v>
      </c>
      <c r="BC7" s="1" t="s">
        <v>311</v>
      </c>
      <c r="BD7" s="16" t="s">
        <v>78</v>
      </c>
      <c r="BE7" s="15" t="s">
        <v>82</v>
      </c>
      <c r="BF7" s="15" t="s">
        <v>283</v>
      </c>
      <c r="BG7" s="15" t="s">
        <v>349</v>
      </c>
      <c r="BH7" s="2"/>
      <c r="BK7" s="2"/>
    </row>
    <row r="8" spans="1:63" x14ac:dyDescent="0.5">
      <c r="G8" s="1" t="s">
        <v>251</v>
      </c>
      <c r="H8" s="1" t="s">
        <v>251</v>
      </c>
      <c r="I8" s="1" t="s">
        <v>251</v>
      </c>
      <c r="L8" s="1" t="s">
        <v>350</v>
      </c>
      <c r="M8" s="1" t="s">
        <v>351</v>
      </c>
      <c r="N8" s="1" t="s">
        <v>211</v>
      </c>
      <c r="O8" s="1" t="s">
        <v>330</v>
      </c>
      <c r="P8" s="1" t="s">
        <v>352</v>
      </c>
      <c r="Q8" s="1" t="s">
        <v>353</v>
      </c>
      <c r="S8" s="1" t="s">
        <v>350</v>
      </c>
      <c r="T8" s="1" t="s">
        <v>351</v>
      </c>
      <c r="U8" s="1" t="s">
        <v>211</v>
      </c>
      <c r="V8" s="1" t="s">
        <v>330</v>
      </c>
      <c r="W8" s="1" t="s">
        <v>352</v>
      </c>
      <c r="X8" s="1" t="s">
        <v>353</v>
      </c>
      <c r="Y8" s="1" t="s">
        <v>207</v>
      </c>
      <c r="Z8" s="1" t="s">
        <v>354</v>
      </c>
      <c r="AA8" s="1" t="s">
        <v>355</v>
      </c>
      <c r="AB8" s="1" t="s">
        <v>356</v>
      </c>
      <c r="AC8" s="1" t="s">
        <v>82</v>
      </c>
      <c r="AD8" s="1" t="s">
        <v>207</v>
      </c>
      <c r="AE8" s="1" t="s">
        <v>357</v>
      </c>
      <c r="AF8" s="1" t="s">
        <v>358</v>
      </c>
      <c r="AG8" s="1" t="s">
        <v>359</v>
      </c>
      <c r="AL8" s="2" t="s">
        <v>350</v>
      </c>
      <c r="AM8" s="2" t="s">
        <v>328</v>
      </c>
      <c r="AN8" s="2" t="s">
        <v>337</v>
      </c>
      <c r="AO8" s="2" t="s">
        <v>360</v>
      </c>
      <c r="AP8" s="2" t="s">
        <v>361</v>
      </c>
      <c r="AQ8" s="2" t="s">
        <v>362</v>
      </c>
      <c r="AR8" s="1" t="s">
        <v>339</v>
      </c>
      <c r="AS8" s="1" t="s">
        <v>340</v>
      </c>
      <c r="AT8" s="1" t="s">
        <v>341</v>
      </c>
      <c r="AU8" s="1" t="s">
        <v>342</v>
      </c>
      <c r="AV8" s="1" t="s">
        <v>279</v>
      </c>
      <c r="AW8" s="1" t="s">
        <v>310</v>
      </c>
      <c r="AX8" s="1" t="s">
        <v>310</v>
      </c>
      <c r="AY8" s="1" t="s">
        <v>333</v>
      </c>
      <c r="AZ8" s="1" t="s">
        <v>343</v>
      </c>
      <c r="BA8" s="2"/>
      <c r="BB8" s="14" t="s">
        <v>350</v>
      </c>
      <c r="BC8" s="15" t="s">
        <v>319</v>
      </c>
      <c r="BD8" s="15" t="s">
        <v>82</v>
      </c>
      <c r="BE8" s="13" t="s">
        <v>321</v>
      </c>
      <c r="BF8" s="16" t="s">
        <v>349</v>
      </c>
      <c r="BG8" s="15" t="s">
        <v>363</v>
      </c>
      <c r="BH8" s="2"/>
      <c r="BK8" s="2"/>
    </row>
    <row r="9" spans="1:63" x14ac:dyDescent="0.5">
      <c r="G9" s="1" t="s">
        <v>85</v>
      </c>
      <c r="H9" s="1" t="s">
        <v>85</v>
      </c>
      <c r="I9" s="1" t="s">
        <v>85</v>
      </c>
      <c r="L9" s="1" t="s">
        <v>214</v>
      </c>
      <c r="M9" s="1" t="s">
        <v>364</v>
      </c>
      <c r="N9" s="1" t="s">
        <v>365</v>
      </c>
      <c r="O9" s="1" t="s">
        <v>366</v>
      </c>
      <c r="P9" s="1" t="s">
        <v>367</v>
      </c>
      <c r="Q9" s="1" t="s">
        <v>207</v>
      </c>
      <c r="S9" s="1" t="s">
        <v>214</v>
      </c>
      <c r="T9" s="1" t="s">
        <v>364</v>
      </c>
      <c r="U9" s="1" t="s">
        <v>365</v>
      </c>
      <c r="V9" s="1" t="s">
        <v>366</v>
      </c>
      <c r="W9" s="1" t="s">
        <v>367</v>
      </c>
      <c r="X9" s="1" t="s">
        <v>207</v>
      </c>
      <c r="Y9" s="1" t="s">
        <v>338</v>
      </c>
      <c r="Z9" s="1" t="s">
        <v>368</v>
      </c>
      <c r="AA9" s="1" t="s">
        <v>369</v>
      </c>
      <c r="AB9" s="1" t="s">
        <v>370</v>
      </c>
      <c r="AC9" s="1" t="s">
        <v>371</v>
      </c>
      <c r="AD9" s="1" t="s">
        <v>224</v>
      </c>
      <c r="AE9" s="1" t="s">
        <v>372</v>
      </c>
      <c r="AF9" s="1" t="s">
        <v>373</v>
      </c>
      <c r="AG9" s="1" t="s">
        <v>349</v>
      </c>
      <c r="AL9" s="2" t="s">
        <v>214</v>
      </c>
      <c r="AM9" s="2" t="s">
        <v>374</v>
      </c>
      <c r="AN9" s="2" t="s">
        <v>375</v>
      </c>
      <c r="AO9" s="2" t="s">
        <v>337</v>
      </c>
      <c r="AP9" s="2" t="s">
        <v>376</v>
      </c>
      <c r="AQ9" s="2" t="s">
        <v>377</v>
      </c>
      <c r="AR9" s="1" t="s">
        <v>207</v>
      </c>
      <c r="AS9" s="1" t="s">
        <v>354</v>
      </c>
      <c r="AT9" s="1" t="s">
        <v>355</v>
      </c>
      <c r="AU9" s="1" t="s">
        <v>356</v>
      </c>
      <c r="AV9" s="1" t="s">
        <v>82</v>
      </c>
      <c r="AW9" s="1" t="s">
        <v>207</v>
      </c>
      <c r="AX9" s="1" t="s">
        <v>357</v>
      </c>
      <c r="AY9" s="1" t="s">
        <v>358</v>
      </c>
      <c r="AZ9" s="1" t="s">
        <v>359</v>
      </c>
      <c r="BA9" s="2"/>
      <c r="BB9" s="13" t="s">
        <v>214</v>
      </c>
      <c r="BC9" s="14" t="s">
        <v>330</v>
      </c>
      <c r="BD9" s="15" t="s">
        <v>346</v>
      </c>
      <c r="BE9" s="16" t="s">
        <v>303</v>
      </c>
      <c r="BF9" s="16" t="s">
        <v>310</v>
      </c>
      <c r="BG9" s="16" t="s">
        <v>378</v>
      </c>
      <c r="BH9" s="2"/>
      <c r="BK9" s="2"/>
    </row>
    <row r="10" spans="1:63" x14ac:dyDescent="0.5">
      <c r="L10" s="1" t="s">
        <v>379</v>
      </c>
      <c r="M10" s="1" t="s">
        <v>380</v>
      </c>
      <c r="N10" s="1" t="s">
        <v>328</v>
      </c>
      <c r="O10" s="1" t="s">
        <v>345</v>
      </c>
      <c r="P10" s="1" t="s">
        <v>321</v>
      </c>
      <c r="Q10" s="1" t="s">
        <v>208</v>
      </c>
      <c r="S10" s="1" t="s">
        <v>379</v>
      </c>
      <c r="T10" s="1" t="s">
        <v>380</v>
      </c>
      <c r="U10" s="1" t="s">
        <v>328</v>
      </c>
      <c r="V10" s="1" t="s">
        <v>345</v>
      </c>
      <c r="W10" s="1" t="s">
        <v>321</v>
      </c>
      <c r="X10" s="1" t="s">
        <v>208</v>
      </c>
      <c r="Y10" s="1" t="s">
        <v>78</v>
      </c>
      <c r="Z10" s="1" t="s">
        <v>224</v>
      </c>
      <c r="AA10" s="1" t="s">
        <v>381</v>
      </c>
      <c r="AB10" s="1" t="s">
        <v>382</v>
      </c>
      <c r="AC10" s="1" t="s">
        <v>383</v>
      </c>
      <c r="AD10" s="1" t="s">
        <v>210</v>
      </c>
      <c r="AE10" s="1" t="s">
        <v>384</v>
      </c>
      <c r="AF10" s="1" t="s">
        <v>385</v>
      </c>
      <c r="AG10" s="1" t="s">
        <v>386</v>
      </c>
      <c r="AL10" s="2" t="s">
        <v>379</v>
      </c>
      <c r="AM10" s="2" t="s">
        <v>387</v>
      </c>
      <c r="AN10" s="2" t="s">
        <v>388</v>
      </c>
      <c r="AO10" s="2" t="s">
        <v>389</v>
      </c>
      <c r="AP10" s="2" t="s">
        <v>320</v>
      </c>
      <c r="AQ10" s="2" t="s">
        <v>226</v>
      </c>
      <c r="AR10" s="1" t="s">
        <v>338</v>
      </c>
      <c r="AS10" s="1" t="s">
        <v>368</v>
      </c>
      <c r="AT10" s="1" t="s">
        <v>369</v>
      </c>
      <c r="AU10" s="1" t="s">
        <v>370</v>
      </c>
      <c r="AV10" s="1" t="s">
        <v>371</v>
      </c>
      <c r="AW10" s="1" t="s">
        <v>224</v>
      </c>
      <c r="AX10" s="1" t="s">
        <v>372</v>
      </c>
      <c r="AY10" s="1" t="s">
        <v>373</v>
      </c>
      <c r="AZ10" s="1" t="s">
        <v>349</v>
      </c>
      <c r="BA10" s="2"/>
      <c r="BB10" s="14" t="s">
        <v>379</v>
      </c>
      <c r="BC10" s="16" t="s">
        <v>210</v>
      </c>
      <c r="BD10" s="16" t="s">
        <v>360</v>
      </c>
      <c r="BE10" s="14" t="s">
        <v>337</v>
      </c>
      <c r="BF10" s="16" t="s">
        <v>363</v>
      </c>
      <c r="BG10" s="15" t="s">
        <v>390</v>
      </c>
      <c r="BH10" s="2"/>
      <c r="BK10" s="2"/>
    </row>
    <row r="11" spans="1:63" x14ac:dyDescent="0.5">
      <c r="G11" s="1" t="s">
        <v>391</v>
      </c>
      <c r="H11" s="1" t="s">
        <v>299</v>
      </c>
      <c r="I11" s="1" t="s">
        <v>392</v>
      </c>
      <c r="J11" s="1" t="s">
        <v>334</v>
      </c>
      <c r="L11" s="1" t="s">
        <v>328</v>
      </c>
      <c r="M11" s="1" t="s">
        <v>393</v>
      </c>
      <c r="N11" s="1" t="s">
        <v>394</v>
      </c>
      <c r="O11" s="1" t="s">
        <v>364</v>
      </c>
      <c r="P11" s="1" t="s">
        <v>336</v>
      </c>
      <c r="Q11" s="1" t="s">
        <v>395</v>
      </c>
      <c r="S11" s="1" t="s">
        <v>328</v>
      </c>
      <c r="T11" s="1" t="s">
        <v>393</v>
      </c>
      <c r="U11" s="1" t="s">
        <v>394</v>
      </c>
      <c r="V11" s="1" t="s">
        <v>364</v>
      </c>
      <c r="W11" s="1" t="s">
        <v>336</v>
      </c>
      <c r="X11" s="1" t="s">
        <v>395</v>
      </c>
      <c r="Y11" s="1" t="s">
        <v>82</v>
      </c>
      <c r="Z11" s="1" t="s">
        <v>284</v>
      </c>
      <c r="AA11" s="1" t="s">
        <v>396</v>
      </c>
      <c r="AB11" s="1" t="s">
        <v>224</v>
      </c>
      <c r="AC11" s="1" t="s">
        <v>397</v>
      </c>
      <c r="AD11" s="1" t="s">
        <v>398</v>
      </c>
      <c r="AE11" s="1" t="s">
        <v>363</v>
      </c>
      <c r="AF11" s="1" t="s">
        <v>399</v>
      </c>
      <c r="AG11" s="1" t="s">
        <v>400</v>
      </c>
      <c r="AL11" s="2" t="s">
        <v>401</v>
      </c>
      <c r="AM11" s="2" t="s">
        <v>402</v>
      </c>
      <c r="AN11" s="2" t="s">
        <v>328</v>
      </c>
      <c r="AO11" s="2" t="s">
        <v>330</v>
      </c>
      <c r="AP11" s="2" t="s">
        <v>330</v>
      </c>
      <c r="AQ11" s="2" t="s">
        <v>403</v>
      </c>
      <c r="AR11" s="1" t="s">
        <v>78</v>
      </c>
      <c r="AS11" s="1" t="s">
        <v>224</v>
      </c>
      <c r="AT11" s="1" t="s">
        <v>381</v>
      </c>
      <c r="AU11" s="1" t="s">
        <v>382</v>
      </c>
      <c r="AV11" s="1" t="s">
        <v>383</v>
      </c>
      <c r="AW11" s="1" t="s">
        <v>210</v>
      </c>
      <c r="AX11" s="1" t="s">
        <v>384</v>
      </c>
      <c r="AY11" s="1" t="s">
        <v>385</v>
      </c>
      <c r="AZ11" s="1" t="s">
        <v>386</v>
      </c>
      <c r="BA11" s="2"/>
      <c r="BB11" s="13" t="s">
        <v>401</v>
      </c>
      <c r="BC11" s="13" t="s">
        <v>345</v>
      </c>
      <c r="BD11" s="15" t="s">
        <v>321</v>
      </c>
      <c r="BE11" s="15" t="s">
        <v>320</v>
      </c>
      <c r="BF11" s="16" t="s">
        <v>378</v>
      </c>
      <c r="BG11" s="15" t="s">
        <v>373</v>
      </c>
      <c r="BH11" s="2"/>
      <c r="BK11" s="2"/>
    </row>
    <row r="12" spans="1:63" x14ac:dyDescent="0.5">
      <c r="G12" s="1" t="s">
        <v>404</v>
      </c>
      <c r="H12" s="1" t="s">
        <v>404</v>
      </c>
      <c r="I12" s="1" t="s">
        <v>404</v>
      </c>
      <c r="J12" s="1" t="s">
        <v>404</v>
      </c>
      <c r="L12" s="1" t="s">
        <v>405</v>
      </c>
      <c r="M12" s="1" t="s">
        <v>405</v>
      </c>
      <c r="N12" s="1" t="s">
        <v>354</v>
      </c>
      <c r="O12" s="1" t="s">
        <v>406</v>
      </c>
      <c r="P12" s="1" t="s">
        <v>407</v>
      </c>
      <c r="Q12" s="1" t="s">
        <v>321</v>
      </c>
      <c r="S12" s="1" t="s">
        <v>405</v>
      </c>
      <c r="T12" s="1" t="s">
        <v>405</v>
      </c>
      <c r="U12" s="1" t="s">
        <v>354</v>
      </c>
      <c r="V12" s="1" t="s">
        <v>406</v>
      </c>
      <c r="W12" s="1" t="s">
        <v>407</v>
      </c>
      <c r="X12" s="1" t="s">
        <v>321</v>
      </c>
      <c r="Y12" s="1" t="s">
        <v>322</v>
      </c>
      <c r="Z12" s="1" t="s">
        <v>408</v>
      </c>
      <c r="AA12" s="1" t="s">
        <v>409</v>
      </c>
      <c r="AB12" s="1" t="s">
        <v>410</v>
      </c>
      <c r="AC12" s="1" t="s">
        <v>411</v>
      </c>
      <c r="AD12" s="1" t="s">
        <v>374</v>
      </c>
      <c r="AE12" s="1" t="s">
        <v>412</v>
      </c>
      <c r="AF12" s="1" t="s">
        <v>413</v>
      </c>
      <c r="AG12" s="1" t="s">
        <v>414</v>
      </c>
      <c r="AL12" s="2" t="s">
        <v>415</v>
      </c>
      <c r="AM12" s="2" t="s">
        <v>416</v>
      </c>
      <c r="AN12" s="2" t="s">
        <v>215</v>
      </c>
      <c r="AO12" s="2" t="s">
        <v>417</v>
      </c>
      <c r="AP12" s="2" t="s">
        <v>418</v>
      </c>
      <c r="AQ12" s="2" t="s">
        <v>419</v>
      </c>
      <c r="AR12" s="1" t="s">
        <v>82</v>
      </c>
      <c r="AS12" s="1" t="s">
        <v>284</v>
      </c>
      <c r="AT12" s="1" t="s">
        <v>396</v>
      </c>
      <c r="AU12" s="1" t="s">
        <v>224</v>
      </c>
      <c r="AV12" s="1" t="s">
        <v>397</v>
      </c>
      <c r="AW12" s="1" t="s">
        <v>398</v>
      </c>
      <c r="AX12" s="1" t="s">
        <v>363</v>
      </c>
      <c r="AY12" s="1" t="s">
        <v>399</v>
      </c>
      <c r="AZ12" s="1" t="s">
        <v>400</v>
      </c>
      <c r="BA12" s="2"/>
      <c r="BB12" s="14" t="s">
        <v>415</v>
      </c>
      <c r="BC12" s="15" t="s">
        <v>351</v>
      </c>
      <c r="BD12" s="16" t="s">
        <v>311</v>
      </c>
      <c r="BE12" s="16" t="s">
        <v>336</v>
      </c>
      <c r="BF12" s="15" t="s">
        <v>390</v>
      </c>
      <c r="BG12" s="16" t="s">
        <v>372</v>
      </c>
      <c r="BH12" s="2"/>
      <c r="BK12" s="2"/>
    </row>
    <row r="13" spans="1:63" x14ac:dyDescent="0.5">
      <c r="G13" s="1" t="s">
        <v>420</v>
      </c>
      <c r="H13" s="1" t="s">
        <v>420</v>
      </c>
      <c r="I13" s="1" t="s">
        <v>420</v>
      </c>
      <c r="J13" s="1" t="s">
        <v>421</v>
      </c>
      <c r="L13" s="1" t="s">
        <v>415</v>
      </c>
      <c r="M13" s="1" t="s">
        <v>422</v>
      </c>
      <c r="N13" s="1" t="s">
        <v>423</v>
      </c>
      <c r="O13" s="1" t="s">
        <v>393</v>
      </c>
      <c r="P13" s="1" t="s">
        <v>424</v>
      </c>
      <c r="Q13" s="1" t="s">
        <v>425</v>
      </c>
      <c r="S13" s="1" t="s">
        <v>415</v>
      </c>
      <c r="T13" s="1" t="s">
        <v>422</v>
      </c>
      <c r="U13" s="1" t="s">
        <v>423</v>
      </c>
      <c r="V13" s="1" t="s">
        <v>393</v>
      </c>
      <c r="W13" s="1" t="s">
        <v>424</v>
      </c>
      <c r="X13" s="1" t="s">
        <v>425</v>
      </c>
      <c r="Y13" s="1" t="s">
        <v>426</v>
      </c>
      <c r="Z13" s="1" t="s">
        <v>427</v>
      </c>
      <c r="AA13" s="1" t="s">
        <v>219</v>
      </c>
      <c r="AB13" s="1" t="s">
        <v>428</v>
      </c>
      <c r="AC13" s="1" t="s">
        <v>314</v>
      </c>
      <c r="AD13" s="1" t="s">
        <v>429</v>
      </c>
      <c r="AE13" s="1" t="s">
        <v>430</v>
      </c>
      <c r="AF13" s="1" t="s">
        <v>214</v>
      </c>
      <c r="AG13" s="1" t="s">
        <v>429</v>
      </c>
      <c r="AL13" s="2" t="s">
        <v>431</v>
      </c>
      <c r="AM13" s="2" t="s">
        <v>432</v>
      </c>
      <c r="AN13" s="2" t="s">
        <v>325</v>
      </c>
      <c r="AO13" s="2" t="s">
        <v>433</v>
      </c>
      <c r="AP13" s="2" t="s">
        <v>336</v>
      </c>
      <c r="AQ13" s="2" t="s">
        <v>385</v>
      </c>
      <c r="AR13" s="1" t="s">
        <v>322</v>
      </c>
      <c r="AS13" s="1" t="s">
        <v>408</v>
      </c>
      <c r="AT13" s="1" t="s">
        <v>409</v>
      </c>
      <c r="AU13" s="1" t="s">
        <v>410</v>
      </c>
      <c r="AV13" s="1" t="s">
        <v>411</v>
      </c>
      <c r="AW13" s="1" t="s">
        <v>374</v>
      </c>
      <c r="AX13" s="1" t="s">
        <v>412</v>
      </c>
      <c r="AY13" s="1" t="s">
        <v>413</v>
      </c>
      <c r="AZ13" s="1" t="s">
        <v>414</v>
      </c>
      <c r="BA13" s="2"/>
      <c r="BB13" s="13" t="s">
        <v>431</v>
      </c>
      <c r="BC13" s="16" t="s">
        <v>364</v>
      </c>
      <c r="BD13" s="16" t="s">
        <v>337</v>
      </c>
      <c r="BE13" s="15" t="s">
        <v>211</v>
      </c>
      <c r="BF13" s="16" t="s">
        <v>373</v>
      </c>
      <c r="BG13" s="15" t="s">
        <v>282</v>
      </c>
      <c r="BH13" s="2"/>
      <c r="BK13" s="2"/>
    </row>
    <row r="14" spans="1:63" x14ac:dyDescent="0.5">
      <c r="G14" s="1" t="s">
        <v>434</v>
      </c>
      <c r="H14" s="1" t="s">
        <v>434</v>
      </c>
      <c r="I14" s="1" t="s">
        <v>434</v>
      </c>
      <c r="J14" s="1" t="s">
        <v>434</v>
      </c>
      <c r="L14" s="1" t="s">
        <v>435</v>
      </c>
      <c r="M14" s="1" t="s">
        <v>354</v>
      </c>
      <c r="N14" s="1" t="s">
        <v>217</v>
      </c>
      <c r="O14" s="1" t="s">
        <v>436</v>
      </c>
      <c r="P14" s="1" t="s">
        <v>375</v>
      </c>
      <c r="Q14" s="1" t="s">
        <v>437</v>
      </c>
      <c r="S14" s="1" t="s">
        <v>435</v>
      </c>
      <c r="T14" s="1" t="s">
        <v>354</v>
      </c>
      <c r="U14" s="1" t="s">
        <v>217</v>
      </c>
      <c r="V14" s="1" t="s">
        <v>436</v>
      </c>
      <c r="W14" s="1" t="s">
        <v>375</v>
      </c>
      <c r="X14" s="1" t="s">
        <v>437</v>
      </c>
      <c r="Y14" s="1" t="s">
        <v>438</v>
      </c>
      <c r="Z14" s="1" t="s">
        <v>435</v>
      </c>
      <c r="AA14" s="1" t="s">
        <v>439</v>
      </c>
      <c r="AB14" s="1" t="s">
        <v>440</v>
      </c>
      <c r="AC14" s="1" t="s">
        <v>441</v>
      </c>
      <c r="AD14" s="1" t="s">
        <v>442</v>
      </c>
      <c r="AE14" s="1" t="s">
        <v>443</v>
      </c>
      <c r="AF14" s="1" t="s">
        <v>394</v>
      </c>
      <c r="AG14" s="1" t="s">
        <v>442</v>
      </c>
      <c r="AL14" s="2" t="s">
        <v>444</v>
      </c>
      <c r="AM14" s="2" t="s">
        <v>445</v>
      </c>
      <c r="AN14" s="2" t="s">
        <v>415</v>
      </c>
      <c r="AO14" s="2" t="s">
        <v>446</v>
      </c>
      <c r="AP14" s="2" t="s">
        <v>365</v>
      </c>
      <c r="AQ14" s="2" t="s">
        <v>447</v>
      </c>
      <c r="AR14" s="1" t="s">
        <v>426</v>
      </c>
      <c r="AS14" s="1" t="s">
        <v>427</v>
      </c>
      <c r="AT14" s="1" t="s">
        <v>219</v>
      </c>
      <c r="AU14" s="1" t="s">
        <v>428</v>
      </c>
      <c r="AV14" s="1" t="s">
        <v>314</v>
      </c>
      <c r="AW14" s="1" t="s">
        <v>429</v>
      </c>
      <c r="AX14" s="1" t="s">
        <v>430</v>
      </c>
      <c r="AY14" s="1" t="s">
        <v>214</v>
      </c>
      <c r="AZ14" s="1" t="s">
        <v>429</v>
      </c>
      <c r="BA14" s="2"/>
      <c r="BB14" s="14" t="s">
        <v>444</v>
      </c>
      <c r="BC14" s="15" t="s">
        <v>380</v>
      </c>
      <c r="BD14" s="14" t="s">
        <v>389</v>
      </c>
      <c r="BE14" s="13" t="s">
        <v>375</v>
      </c>
      <c r="BF14" s="16" t="s">
        <v>347</v>
      </c>
      <c r="BG14" s="15" t="s">
        <v>448</v>
      </c>
      <c r="BH14" s="2"/>
      <c r="BK14" s="2"/>
    </row>
    <row r="15" spans="1:63" x14ac:dyDescent="0.5">
      <c r="G15" s="1" t="s">
        <v>449</v>
      </c>
      <c r="H15" s="1" t="s">
        <v>449</v>
      </c>
      <c r="I15" s="1" t="s">
        <v>449</v>
      </c>
      <c r="J15" s="1" t="s">
        <v>449</v>
      </c>
      <c r="L15" s="1" t="s">
        <v>431</v>
      </c>
      <c r="M15" s="1" t="s">
        <v>374</v>
      </c>
      <c r="N15" s="1" t="s">
        <v>325</v>
      </c>
      <c r="O15" s="1" t="s">
        <v>215</v>
      </c>
      <c r="P15" s="1" t="s">
        <v>365</v>
      </c>
      <c r="Q15" s="1" t="s">
        <v>311</v>
      </c>
      <c r="S15" s="1" t="s">
        <v>431</v>
      </c>
      <c r="T15" s="1" t="s">
        <v>374</v>
      </c>
      <c r="U15" s="1" t="s">
        <v>325</v>
      </c>
      <c r="V15" s="1" t="s">
        <v>215</v>
      </c>
      <c r="W15" s="1" t="s">
        <v>365</v>
      </c>
      <c r="X15" s="1" t="s">
        <v>311</v>
      </c>
      <c r="Y15" s="1" t="s">
        <v>280</v>
      </c>
      <c r="Z15" s="1" t="s">
        <v>211</v>
      </c>
      <c r="AA15" s="1" t="s">
        <v>450</v>
      </c>
      <c r="AB15" s="1" t="s">
        <v>211</v>
      </c>
      <c r="AC15" s="1" t="s">
        <v>52</v>
      </c>
      <c r="AD15" s="1" t="s">
        <v>451</v>
      </c>
      <c r="AE15" s="1" t="s">
        <v>378</v>
      </c>
      <c r="AF15" s="1" t="s">
        <v>366</v>
      </c>
      <c r="AG15" s="1" t="s">
        <v>423</v>
      </c>
      <c r="AL15" s="2" t="s">
        <v>452</v>
      </c>
      <c r="AM15" s="2" t="s">
        <v>453</v>
      </c>
      <c r="AN15" s="2" t="s">
        <v>411</v>
      </c>
      <c r="AO15" s="2" t="s">
        <v>454</v>
      </c>
      <c r="AP15" s="2" t="s">
        <v>455</v>
      </c>
      <c r="AQ15" s="2" t="s">
        <v>456</v>
      </c>
      <c r="AR15" s="1" t="s">
        <v>438</v>
      </c>
      <c r="AS15" s="1" t="s">
        <v>435</v>
      </c>
      <c r="AT15" s="1" t="s">
        <v>439</v>
      </c>
      <c r="AU15" s="1" t="s">
        <v>440</v>
      </c>
      <c r="AV15" s="1" t="s">
        <v>441</v>
      </c>
      <c r="AW15" s="1" t="s">
        <v>442</v>
      </c>
      <c r="AX15" s="1" t="s">
        <v>443</v>
      </c>
      <c r="AY15" s="1" t="s">
        <v>394</v>
      </c>
      <c r="AZ15" s="1" t="s">
        <v>442</v>
      </c>
      <c r="BA15" s="2"/>
      <c r="BB15" s="13" t="s">
        <v>452</v>
      </c>
      <c r="BC15" s="16" t="s">
        <v>393</v>
      </c>
      <c r="BD15" s="15" t="s">
        <v>320</v>
      </c>
      <c r="BE15" s="16" t="s">
        <v>365</v>
      </c>
      <c r="BF15" s="16" t="s">
        <v>372</v>
      </c>
      <c r="BG15" s="15" t="s">
        <v>443</v>
      </c>
      <c r="BH15" s="2"/>
      <c r="BK15" s="2"/>
    </row>
    <row r="16" spans="1:63" x14ac:dyDescent="0.5">
      <c r="G16" s="1" t="s">
        <v>457</v>
      </c>
      <c r="H16" s="1" t="s">
        <v>457</v>
      </c>
      <c r="I16" s="1" t="s">
        <v>457</v>
      </c>
      <c r="J16" s="1" t="s">
        <v>457</v>
      </c>
      <c r="L16" s="1" t="s">
        <v>219</v>
      </c>
      <c r="M16" s="1" t="s">
        <v>217</v>
      </c>
      <c r="N16" s="1" t="s">
        <v>458</v>
      </c>
      <c r="O16" s="1" t="s">
        <v>459</v>
      </c>
      <c r="P16" s="1" t="s">
        <v>460</v>
      </c>
      <c r="Q16" s="1" t="s">
        <v>407</v>
      </c>
      <c r="S16" s="1" t="s">
        <v>219</v>
      </c>
      <c r="T16" s="1" t="s">
        <v>217</v>
      </c>
      <c r="U16" s="1" t="s">
        <v>458</v>
      </c>
      <c r="V16" s="1" t="s">
        <v>459</v>
      </c>
      <c r="W16" s="1" t="s">
        <v>460</v>
      </c>
      <c r="X16" s="1" t="s">
        <v>407</v>
      </c>
      <c r="Y16" s="1" t="s">
        <v>461</v>
      </c>
      <c r="Z16" s="1" t="s">
        <v>216</v>
      </c>
      <c r="AA16" s="1" t="s">
        <v>462</v>
      </c>
      <c r="AB16" s="1" t="s">
        <v>279</v>
      </c>
      <c r="AC16" s="1" t="s">
        <v>236</v>
      </c>
      <c r="AD16" s="1" t="s">
        <v>463</v>
      </c>
      <c r="AE16" s="1" t="s">
        <v>390</v>
      </c>
      <c r="AF16" s="1" t="s">
        <v>464</v>
      </c>
      <c r="AG16" s="1" t="s">
        <v>454</v>
      </c>
      <c r="AL16" s="2" t="s">
        <v>369</v>
      </c>
      <c r="AM16" s="2" t="s">
        <v>465</v>
      </c>
      <c r="AN16" s="2" t="s">
        <v>435</v>
      </c>
      <c r="AO16" s="2" t="s">
        <v>466</v>
      </c>
      <c r="AP16" s="2" t="s">
        <v>460</v>
      </c>
      <c r="AQ16" s="2" t="s">
        <v>467</v>
      </c>
      <c r="AR16" s="1" t="s">
        <v>280</v>
      </c>
      <c r="AS16" s="1" t="s">
        <v>211</v>
      </c>
      <c r="AT16" s="1" t="s">
        <v>450</v>
      </c>
      <c r="AU16" s="1" t="s">
        <v>211</v>
      </c>
      <c r="AV16" s="1" t="s">
        <v>52</v>
      </c>
      <c r="AW16" s="1" t="s">
        <v>451</v>
      </c>
      <c r="AX16" s="1" t="s">
        <v>378</v>
      </c>
      <c r="AY16" s="1" t="s">
        <v>366</v>
      </c>
      <c r="AZ16" s="1" t="s">
        <v>423</v>
      </c>
      <c r="BA16" s="2"/>
      <c r="BB16" s="14" t="s">
        <v>369</v>
      </c>
      <c r="BC16" s="14" t="s">
        <v>328</v>
      </c>
      <c r="BD16" s="15" t="s">
        <v>330</v>
      </c>
      <c r="BE16" s="13" t="s">
        <v>328</v>
      </c>
      <c r="BF16" s="16" t="s">
        <v>282</v>
      </c>
      <c r="BG16" s="15" t="s">
        <v>468</v>
      </c>
      <c r="BH16" s="2"/>
      <c r="BK16" s="2"/>
    </row>
    <row r="17" spans="7:63" x14ac:dyDescent="0.5">
      <c r="G17" s="1" t="s">
        <v>469</v>
      </c>
      <c r="H17" s="1" t="s">
        <v>469</v>
      </c>
      <c r="I17" s="1" t="s">
        <v>469</v>
      </c>
      <c r="J17" s="1" t="s">
        <v>469</v>
      </c>
      <c r="L17" s="1" t="s">
        <v>470</v>
      </c>
      <c r="M17" s="1" t="s">
        <v>219</v>
      </c>
      <c r="N17" s="1" t="s">
        <v>415</v>
      </c>
      <c r="O17" s="1" t="s">
        <v>471</v>
      </c>
      <c r="P17" s="1" t="s">
        <v>472</v>
      </c>
      <c r="Q17" s="1" t="s">
        <v>424</v>
      </c>
      <c r="S17" s="1" t="s">
        <v>470</v>
      </c>
      <c r="T17" s="1" t="s">
        <v>219</v>
      </c>
      <c r="U17" s="1" t="s">
        <v>415</v>
      </c>
      <c r="V17" s="1" t="s">
        <v>471</v>
      </c>
      <c r="W17" s="1" t="s">
        <v>472</v>
      </c>
      <c r="X17" s="1" t="s">
        <v>424</v>
      </c>
      <c r="Y17" s="1" t="s">
        <v>223</v>
      </c>
      <c r="Z17" s="1" t="s">
        <v>371</v>
      </c>
      <c r="AA17" s="1" t="s">
        <v>473</v>
      </c>
      <c r="AB17" s="1" t="s">
        <v>474</v>
      </c>
      <c r="AC17" s="1" t="s">
        <v>372</v>
      </c>
      <c r="AD17" s="1" t="s">
        <v>475</v>
      </c>
      <c r="AE17" s="1" t="s">
        <v>476</v>
      </c>
      <c r="AF17" s="1" t="s">
        <v>477</v>
      </c>
      <c r="AG17" s="1" t="s">
        <v>337</v>
      </c>
      <c r="AL17" s="2" t="s">
        <v>478</v>
      </c>
      <c r="AM17" s="2" t="s">
        <v>479</v>
      </c>
      <c r="AN17" s="2" t="s">
        <v>480</v>
      </c>
      <c r="AO17" s="2" t="s">
        <v>415</v>
      </c>
      <c r="AP17" s="2" t="s">
        <v>364</v>
      </c>
      <c r="AQ17" s="2" t="s">
        <v>481</v>
      </c>
      <c r="AR17" s="1" t="s">
        <v>461</v>
      </c>
      <c r="AS17" s="1" t="s">
        <v>216</v>
      </c>
      <c r="AT17" s="1" t="s">
        <v>462</v>
      </c>
      <c r="AU17" s="1" t="s">
        <v>279</v>
      </c>
      <c r="AV17" s="1" t="s">
        <v>236</v>
      </c>
      <c r="AW17" s="1" t="s">
        <v>463</v>
      </c>
      <c r="AX17" s="1" t="s">
        <v>390</v>
      </c>
      <c r="AY17" s="1" t="s">
        <v>464</v>
      </c>
      <c r="AZ17" s="1" t="s">
        <v>454</v>
      </c>
      <c r="BA17" s="2"/>
      <c r="BB17" s="13" t="s">
        <v>478</v>
      </c>
      <c r="BC17" s="15" t="s">
        <v>405</v>
      </c>
      <c r="BD17" s="16" t="s">
        <v>336</v>
      </c>
      <c r="BE17" s="14" t="s">
        <v>215</v>
      </c>
      <c r="BF17" s="16" t="s">
        <v>322</v>
      </c>
      <c r="BG17" s="15" t="s">
        <v>337</v>
      </c>
      <c r="BH17" s="2"/>
      <c r="BK17" s="2"/>
    </row>
    <row r="18" spans="7:63" x14ac:dyDescent="0.5">
      <c r="L18" s="1" t="s">
        <v>482</v>
      </c>
      <c r="M18" s="1" t="s">
        <v>482</v>
      </c>
      <c r="N18" s="1" t="s">
        <v>483</v>
      </c>
      <c r="O18" s="1" t="s">
        <v>446</v>
      </c>
      <c r="P18" s="1" t="s">
        <v>436</v>
      </c>
      <c r="Q18" s="1" t="s">
        <v>484</v>
      </c>
      <c r="S18" s="1" t="s">
        <v>482</v>
      </c>
      <c r="T18" s="1" t="s">
        <v>482</v>
      </c>
      <c r="U18" s="1" t="s">
        <v>483</v>
      </c>
      <c r="V18" s="1" t="s">
        <v>446</v>
      </c>
      <c r="W18" s="1" t="s">
        <v>436</v>
      </c>
      <c r="X18" s="1" t="s">
        <v>484</v>
      </c>
      <c r="Y18" s="1" t="s">
        <v>485</v>
      </c>
      <c r="Z18" s="1" t="s">
        <v>383</v>
      </c>
      <c r="AA18" s="1" t="s">
        <v>371</v>
      </c>
      <c r="AB18" s="1" t="s">
        <v>336</v>
      </c>
      <c r="AC18" s="1" t="s">
        <v>430</v>
      </c>
      <c r="AD18" s="1" t="s">
        <v>350</v>
      </c>
      <c r="AE18" s="1" t="s">
        <v>486</v>
      </c>
      <c r="AF18" s="1" t="s">
        <v>487</v>
      </c>
      <c r="AG18" s="1" t="s">
        <v>488</v>
      </c>
      <c r="AL18" s="2" t="s">
        <v>489</v>
      </c>
      <c r="AM18" s="2" t="s">
        <v>490</v>
      </c>
      <c r="AN18" s="2" t="s">
        <v>491</v>
      </c>
      <c r="AO18" s="2" t="s">
        <v>396</v>
      </c>
      <c r="AP18" s="2" t="s">
        <v>393</v>
      </c>
      <c r="AQ18" s="2" t="s">
        <v>492</v>
      </c>
      <c r="AR18" s="1" t="s">
        <v>223</v>
      </c>
      <c r="AS18" s="1" t="s">
        <v>371</v>
      </c>
      <c r="AT18" s="1" t="s">
        <v>473</v>
      </c>
      <c r="AU18" s="1" t="s">
        <v>474</v>
      </c>
      <c r="AV18" s="1" t="s">
        <v>372</v>
      </c>
      <c r="AW18" s="1" t="s">
        <v>475</v>
      </c>
      <c r="AX18" s="1" t="s">
        <v>476</v>
      </c>
      <c r="AY18" s="1" t="s">
        <v>477</v>
      </c>
      <c r="AZ18" s="1" t="s">
        <v>337</v>
      </c>
      <c r="BA18" s="2"/>
      <c r="BB18" s="14" t="s">
        <v>489</v>
      </c>
      <c r="BC18" s="16" t="s">
        <v>422</v>
      </c>
      <c r="BD18" s="15" t="s">
        <v>211</v>
      </c>
      <c r="BE18" s="13" t="s">
        <v>394</v>
      </c>
      <c r="BF18" s="16" t="s">
        <v>448</v>
      </c>
      <c r="BG18" s="15" t="s">
        <v>311</v>
      </c>
      <c r="BH18" s="2"/>
      <c r="BK18" s="2"/>
    </row>
    <row r="19" spans="7:63" x14ac:dyDescent="0.5">
      <c r="G19" s="1" t="s">
        <v>273</v>
      </c>
      <c r="H19" s="1" t="s">
        <v>300</v>
      </c>
      <c r="I19" s="1" t="s">
        <v>317</v>
      </c>
      <c r="L19" s="1" t="s">
        <v>482</v>
      </c>
      <c r="M19" s="1" t="s">
        <v>416</v>
      </c>
      <c r="N19" s="1" t="s">
        <v>411</v>
      </c>
      <c r="O19" s="1" t="s">
        <v>464</v>
      </c>
      <c r="P19" s="1" t="s">
        <v>493</v>
      </c>
      <c r="Q19" s="1" t="s">
        <v>494</v>
      </c>
      <c r="S19" s="1" t="s">
        <v>482</v>
      </c>
      <c r="T19" s="1" t="s">
        <v>416</v>
      </c>
      <c r="U19" s="1" t="s">
        <v>411</v>
      </c>
      <c r="V19" s="1" t="s">
        <v>464</v>
      </c>
      <c r="W19" s="1" t="s">
        <v>493</v>
      </c>
      <c r="X19" s="1" t="s">
        <v>494</v>
      </c>
      <c r="Y19" s="1" t="s">
        <v>495</v>
      </c>
      <c r="Z19" s="1" t="s">
        <v>482</v>
      </c>
      <c r="AA19" s="1" t="s">
        <v>496</v>
      </c>
      <c r="AB19" s="1" t="s">
        <v>497</v>
      </c>
      <c r="AC19" s="1" t="s">
        <v>412</v>
      </c>
      <c r="AD19" s="1" t="s">
        <v>498</v>
      </c>
      <c r="AE19" s="1" t="s">
        <v>499</v>
      </c>
      <c r="AF19" s="1" t="s">
        <v>500</v>
      </c>
      <c r="AG19" s="1" t="s">
        <v>227</v>
      </c>
      <c r="AL19" s="2" t="s">
        <v>501</v>
      </c>
      <c r="AM19" s="2" t="s">
        <v>489</v>
      </c>
      <c r="AN19" s="2" t="s">
        <v>487</v>
      </c>
      <c r="AO19" s="2" t="s">
        <v>502</v>
      </c>
      <c r="AP19" s="2" t="s">
        <v>472</v>
      </c>
      <c r="AQ19" s="2" t="s">
        <v>503</v>
      </c>
      <c r="AR19" s="1" t="s">
        <v>485</v>
      </c>
      <c r="AS19" s="1" t="s">
        <v>383</v>
      </c>
      <c r="AT19" s="1" t="s">
        <v>371</v>
      </c>
      <c r="AU19" s="1" t="s">
        <v>336</v>
      </c>
      <c r="AV19" s="1" t="s">
        <v>430</v>
      </c>
      <c r="AW19" s="1" t="s">
        <v>350</v>
      </c>
      <c r="AX19" s="1" t="s">
        <v>486</v>
      </c>
      <c r="AY19" s="1" t="s">
        <v>487</v>
      </c>
      <c r="AZ19" s="1" t="s">
        <v>488</v>
      </c>
      <c r="BA19" s="2"/>
      <c r="BB19" s="13" t="s">
        <v>501</v>
      </c>
      <c r="BC19" s="15" t="s">
        <v>354</v>
      </c>
      <c r="BD19" s="16" t="s">
        <v>366</v>
      </c>
      <c r="BE19" s="13" t="s">
        <v>354</v>
      </c>
      <c r="BF19" s="15" t="s">
        <v>443</v>
      </c>
      <c r="BG19" s="15" t="s">
        <v>359</v>
      </c>
      <c r="BH19" s="2"/>
      <c r="BK19" s="2"/>
    </row>
    <row r="20" spans="7:63" x14ac:dyDescent="0.5">
      <c r="G20" s="1" t="s">
        <v>292</v>
      </c>
      <c r="H20" s="1" t="s">
        <v>292</v>
      </c>
      <c r="I20" s="1" t="s">
        <v>292</v>
      </c>
      <c r="L20" s="1" t="s">
        <v>504</v>
      </c>
      <c r="M20" s="1" t="s">
        <v>505</v>
      </c>
      <c r="N20" s="1" t="s">
        <v>402</v>
      </c>
      <c r="O20" s="1" t="s">
        <v>423</v>
      </c>
      <c r="P20" s="1" t="s">
        <v>215</v>
      </c>
      <c r="Q20" s="1" t="s">
        <v>506</v>
      </c>
      <c r="S20" s="1" t="s">
        <v>504</v>
      </c>
      <c r="T20" s="1" t="s">
        <v>505</v>
      </c>
      <c r="U20" s="1" t="s">
        <v>402</v>
      </c>
      <c r="V20" s="1" t="s">
        <v>423</v>
      </c>
      <c r="W20" s="1" t="s">
        <v>215</v>
      </c>
      <c r="X20" s="1" t="s">
        <v>506</v>
      </c>
      <c r="Y20" s="1" t="s">
        <v>507</v>
      </c>
      <c r="Z20" s="1" t="s">
        <v>508</v>
      </c>
      <c r="AA20" s="1" t="s">
        <v>509</v>
      </c>
      <c r="AB20" s="1" t="s">
        <v>481</v>
      </c>
      <c r="AC20" s="1" t="s">
        <v>510</v>
      </c>
      <c r="AD20" s="1" t="s">
        <v>511</v>
      </c>
      <c r="AE20" s="1" t="s">
        <v>468</v>
      </c>
      <c r="AF20" s="1" t="s">
        <v>221</v>
      </c>
      <c r="AG20" s="1" t="s">
        <v>468</v>
      </c>
      <c r="AL20" s="2" t="s">
        <v>512</v>
      </c>
      <c r="AM20" s="2" t="s">
        <v>512</v>
      </c>
      <c r="AN20" s="2" t="s">
        <v>490</v>
      </c>
      <c r="AO20" s="2" t="s">
        <v>219</v>
      </c>
      <c r="AP20" s="2" t="s">
        <v>436</v>
      </c>
      <c r="AQ20" s="2" t="s">
        <v>234</v>
      </c>
      <c r="AR20" s="1" t="s">
        <v>495</v>
      </c>
      <c r="AS20" s="1" t="s">
        <v>482</v>
      </c>
      <c r="AT20" s="1" t="s">
        <v>496</v>
      </c>
      <c r="AU20" s="1" t="s">
        <v>497</v>
      </c>
      <c r="AV20" s="1" t="s">
        <v>412</v>
      </c>
      <c r="AW20" s="1" t="s">
        <v>498</v>
      </c>
      <c r="AX20" s="1" t="s">
        <v>499</v>
      </c>
      <c r="AY20" s="1" t="s">
        <v>500</v>
      </c>
      <c r="AZ20" s="1" t="s">
        <v>227</v>
      </c>
      <c r="BA20" s="2"/>
      <c r="BB20" s="14" t="s">
        <v>512</v>
      </c>
      <c r="BC20" s="13" t="s">
        <v>374</v>
      </c>
      <c r="BD20" s="16" t="s">
        <v>365</v>
      </c>
      <c r="BE20" s="13" t="s">
        <v>423</v>
      </c>
      <c r="BF20" s="15" t="s">
        <v>468</v>
      </c>
      <c r="BG20" s="15" t="s">
        <v>384</v>
      </c>
      <c r="BH20" s="2"/>
      <c r="BK20" s="2"/>
    </row>
    <row r="21" spans="7:63" x14ac:dyDescent="0.5">
      <c r="G21" s="1" t="s">
        <v>293</v>
      </c>
      <c r="H21" s="1" t="s">
        <v>293</v>
      </c>
      <c r="I21" s="1" t="s">
        <v>293</v>
      </c>
      <c r="L21" s="1" t="s">
        <v>224</v>
      </c>
      <c r="M21" s="1" t="s">
        <v>432</v>
      </c>
      <c r="N21" s="1" t="s">
        <v>412</v>
      </c>
      <c r="O21" s="1" t="s">
        <v>454</v>
      </c>
      <c r="P21" s="1" t="s">
        <v>405</v>
      </c>
      <c r="Q21" s="1" t="s">
        <v>513</v>
      </c>
      <c r="S21" s="1" t="s">
        <v>224</v>
      </c>
      <c r="T21" s="1" t="s">
        <v>432</v>
      </c>
      <c r="U21" s="1" t="s">
        <v>412</v>
      </c>
      <c r="V21" s="1" t="s">
        <v>454</v>
      </c>
      <c r="W21" s="1" t="s">
        <v>405</v>
      </c>
      <c r="X21" s="1" t="s">
        <v>513</v>
      </c>
      <c r="Y21" s="1" t="s">
        <v>365</v>
      </c>
      <c r="Z21" s="1" t="s">
        <v>514</v>
      </c>
      <c r="AA21" s="1" t="s">
        <v>515</v>
      </c>
      <c r="AB21" s="1" t="s">
        <v>516</v>
      </c>
      <c r="AC21" s="1" t="s">
        <v>517</v>
      </c>
      <c r="AD21" s="1" t="s">
        <v>518</v>
      </c>
      <c r="AE21" s="1" t="s">
        <v>448</v>
      </c>
      <c r="AF21" s="1" t="s">
        <v>322</v>
      </c>
      <c r="AG21" s="1" t="s">
        <v>519</v>
      </c>
      <c r="AL21" s="2" t="s">
        <v>520</v>
      </c>
      <c r="AM21" s="2" t="s">
        <v>521</v>
      </c>
      <c r="AN21" s="2" t="s">
        <v>473</v>
      </c>
      <c r="AO21" s="2" t="s">
        <v>482</v>
      </c>
      <c r="AP21" s="2" t="s">
        <v>399</v>
      </c>
      <c r="AQ21" s="2" t="s">
        <v>522</v>
      </c>
      <c r="AR21" s="1" t="s">
        <v>507</v>
      </c>
      <c r="AS21" s="1" t="s">
        <v>508</v>
      </c>
      <c r="AT21" s="1" t="s">
        <v>509</v>
      </c>
      <c r="AU21" s="1" t="s">
        <v>481</v>
      </c>
      <c r="AV21" s="1" t="s">
        <v>510</v>
      </c>
      <c r="AW21" s="1" t="s">
        <v>511</v>
      </c>
      <c r="AX21" s="1" t="s">
        <v>468</v>
      </c>
      <c r="AY21" s="1" t="s">
        <v>221</v>
      </c>
      <c r="AZ21" s="1" t="s">
        <v>468</v>
      </c>
      <c r="BA21" s="2"/>
      <c r="BB21" s="13" t="s">
        <v>520</v>
      </c>
      <c r="BC21" s="15" t="s">
        <v>217</v>
      </c>
      <c r="BD21" s="15" t="s">
        <v>345</v>
      </c>
      <c r="BE21" s="13" t="s">
        <v>217</v>
      </c>
      <c r="BF21" s="16" t="s">
        <v>523</v>
      </c>
      <c r="BG21" s="15" t="s">
        <v>211</v>
      </c>
      <c r="BH21" s="2"/>
      <c r="BK21" s="2"/>
    </row>
    <row r="22" spans="7:63" x14ac:dyDescent="0.5">
      <c r="G22" s="1" t="s">
        <v>294</v>
      </c>
      <c r="H22" s="1" t="s">
        <v>294</v>
      </c>
      <c r="I22" s="1" t="s">
        <v>294</v>
      </c>
      <c r="L22" s="1" t="s">
        <v>487</v>
      </c>
      <c r="M22" s="1" t="s">
        <v>284</v>
      </c>
      <c r="N22" s="1" t="s">
        <v>524</v>
      </c>
      <c r="O22" s="1" t="s">
        <v>524</v>
      </c>
      <c r="P22" s="1" t="s">
        <v>525</v>
      </c>
      <c r="Q22" s="1" t="s">
        <v>526</v>
      </c>
      <c r="S22" s="1" t="s">
        <v>487</v>
      </c>
      <c r="T22" s="1" t="s">
        <v>284</v>
      </c>
      <c r="U22" s="1" t="s">
        <v>524</v>
      </c>
      <c r="V22" s="1" t="s">
        <v>524</v>
      </c>
      <c r="W22" s="1" t="s">
        <v>525</v>
      </c>
      <c r="X22" s="1" t="s">
        <v>526</v>
      </c>
      <c r="Y22" s="1" t="s">
        <v>527</v>
      </c>
      <c r="Z22" s="1" t="s">
        <v>432</v>
      </c>
      <c r="AA22" s="1" t="s">
        <v>466</v>
      </c>
      <c r="AB22" s="1" t="s">
        <v>409</v>
      </c>
      <c r="AC22" s="1" t="s">
        <v>528</v>
      </c>
      <c r="AD22" s="1" t="s">
        <v>231</v>
      </c>
      <c r="AE22" s="1" t="s">
        <v>529</v>
      </c>
      <c r="AF22" s="1" t="s">
        <v>510</v>
      </c>
      <c r="AG22" s="1" t="s">
        <v>530</v>
      </c>
      <c r="AL22" s="2" t="s">
        <v>531</v>
      </c>
      <c r="AM22" s="2" t="s">
        <v>532</v>
      </c>
      <c r="AN22" s="2" t="s">
        <v>426</v>
      </c>
      <c r="AO22" s="2" t="s">
        <v>465</v>
      </c>
      <c r="AP22" s="2" t="s">
        <v>328</v>
      </c>
      <c r="AR22" s="1" t="s">
        <v>365</v>
      </c>
      <c r="AS22" s="1" t="s">
        <v>514</v>
      </c>
      <c r="AT22" s="1" t="s">
        <v>515</v>
      </c>
      <c r="AU22" s="1" t="s">
        <v>516</v>
      </c>
      <c r="AV22" s="1" t="s">
        <v>517</v>
      </c>
      <c r="AW22" s="1" t="s">
        <v>518</v>
      </c>
      <c r="AX22" s="1" t="s">
        <v>448</v>
      </c>
      <c r="AY22" s="1" t="s">
        <v>322</v>
      </c>
      <c r="AZ22" s="1" t="s">
        <v>519</v>
      </c>
      <c r="BB22" s="13" t="s">
        <v>521</v>
      </c>
      <c r="BC22" s="15" t="s">
        <v>387</v>
      </c>
      <c r="BD22" s="16" t="s">
        <v>417</v>
      </c>
      <c r="BE22" s="13" t="s">
        <v>325</v>
      </c>
      <c r="BF22" s="16" t="s">
        <v>337</v>
      </c>
      <c r="BG22" s="15" t="s">
        <v>375</v>
      </c>
    </row>
    <row r="23" spans="7:63" x14ac:dyDescent="0.5">
      <c r="G23" s="1" t="s">
        <v>295</v>
      </c>
      <c r="H23" s="1" t="s">
        <v>295</v>
      </c>
      <c r="I23" s="1" t="s">
        <v>295</v>
      </c>
      <c r="L23" s="1" t="s">
        <v>453</v>
      </c>
      <c r="M23" s="1" t="s">
        <v>445</v>
      </c>
      <c r="N23" s="1" t="s">
        <v>524</v>
      </c>
      <c r="O23" s="1" t="s">
        <v>482</v>
      </c>
      <c r="P23" s="1" t="s">
        <v>216</v>
      </c>
      <c r="Q23" s="1" t="s">
        <v>364</v>
      </c>
      <c r="S23" s="1" t="s">
        <v>453</v>
      </c>
      <c r="T23" s="1" t="s">
        <v>445</v>
      </c>
      <c r="U23" s="1" t="s">
        <v>524</v>
      </c>
      <c r="V23" s="1" t="s">
        <v>482</v>
      </c>
      <c r="W23" s="1" t="s">
        <v>216</v>
      </c>
      <c r="X23" s="1" t="s">
        <v>364</v>
      </c>
      <c r="Y23" s="1" t="s">
        <v>224</v>
      </c>
      <c r="Z23" s="1" t="s">
        <v>533</v>
      </c>
      <c r="AA23" s="1" t="s">
        <v>534</v>
      </c>
      <c r="AB23" s="1" t="s">
        <v>381</v>
      </c>
      <c r="AC23" s="1" t="s">
        <v>535</v>
      </c>
      <c r="AD23" s="1" t="s">
        <v>461</v>
      </c>
      <c r="AE23" s="1" t="s">
        <v>415</v>
      </c>
      <c r="AF23" s="1" t="s">
        <v>406</v>
      </c>
      <c r="AG23" s="1" t="s">
        <v>536</v>
      </c>
      <c r="AL23" s="2" t="s">
        <v>475</v>
      </c>
      <c r="AM23" s="2" t="s">
        <v>510</v>
      </c>
      <c r="AN23" s="2" t="s">
        <v>228</v>
      </c>
      <c r="AO23" s="2" t="s">
        <v>537</v>
      </c>
      <c r="AP23" s="2" t="s">
        <v>538</v>
      </c>
      <c r="AR23" s="1" t="s">
        <v>527</v>
      </c>
      <c r="AS23" s="1" t="s">
        <v>432</v>
      </c>
      <c r="AT23" s="1" t="s">
        <v>466</v>
      </c>
      <c r="AU23" s="1" t="s">
        <v>409</v>
      </c>
      <c r="AV23" s="1" t="s">
        <v>528</v>
      </c>
      <c r="AW23" s="1" t="s">
        <v>231</v>
      </c>
      <c r="AX23" s="1" t="s">
        <v>529</v>
      </c>
      <c r="AY23" s="1" t="s">
        <v>510</v>
      </c>
      <c r="AZ23" s="1" t="s">
        <v>530</v>
      </c>
      <c r="BB23" s="14" t="s">
        <v>531</v>
      </c>
      <c r="BC23" s="15" t="s">
        <v>402</v>
      </c>
      <c r="BD23" s="16" t="s">
        <v>364</v>
      </c>
      <c r="BE23" s="15" t="s">
        <v>458</v>
      </c>
      <c r="BF23" s="15" t="s">
        <v>311</v>
      </c>
      <c r="BG23" s="15" t="s">
        <v>366</v>
      </c>
    </row>
    <row r="24" spans="7:63" x14ac:dyDescent="0.5">
      <c r="G24" s="1" t="s">
        <v>296</v>
      </c>
      <c r="H24" s="1" t="s">
        <v>296</v>
      </c>
      <c r="I24" s="1" t="s">
        <v>296</v>
      </c>
      <c r="L24" s="1" t="s">
        <v>452</v>
      </c>
      <c r="M24" s="1" t="s">
        <v>224</v>
      </c>
      <c r="N24" s="1" t="s">
        <v>52</v>
      </c>
      <c r="O24" s="1" t="s">
        <v>539</v>
      </c>
      <c r="P24" s="1" t="s">
        <v>217</v>
      </c>
      <c r="Q24" s="1" t="s">
        <v>406</v>
      </c>
      <c r="S24" s="1" t="s">
        <v>452</v>
      </c>
      <c r="T24" s="1" t="s">
        <v>224</v>
      </c>
      <c r="U24" s="1" t="s">
        <v>52</v>
      </c>
      <c r="V24" s="1" t="s">
        <v>539</v>
      </c>
      <c r="W24" s="1" t="s">
        <v>217</v>
      </c>
      <c r="X24" s="1" t="s">
        <v>406</v>
      </c>
      <c r="Y24" s="1" t="s">
        <v>368</v>
      </c>
      <c r="Z24" s="1" t="s">
        <v>278</v>
      </c>
      <c r="AA24" s="1" t="s">
        <v>540</v>
      </c>
      <c r="AB24" s="1" t="s">
        <v>508</v>
      </c>
      <c r="AC24" s="1" t="s">
        <v>468</v>
      </c>
      <c r="AD24" s="1" t="s">
        <v>541</v>
      </c>
      <c r="AE24" s="1" t="s">
        <v>541</v>
      </c>
      <c r="AF24" s="1" t="s">
        <v>542</v>
      </c>
      <c r="AG24" s="1" t="s">
        <v>440</v>
      </c>
      <c r="AL24" s="2" t="s">
        <v>500</v>
      </c>
      <c r="AM24" s="2" t="s">
        <v>542</v>
      </c>
      <c r="AN24" s="2" t="s">
        <v>543</v>
      </c>
      <c r="AO24" s="2" t="s">
        <v>544</v>
      </c>
      <c r="AP24" s="2" t="s">
        <v>217</v>
      </c>
      <c r="AR24" s="1" t="s">
        <v>224</v>
      </c>
      <c r="AS24" s="1" t="s">
        <v>533</v>
      </c>
      <c r="AT24" s="1" t="s">
        <v>534</v>
      </c>
      <c r="AU24" s="1" t="s">
        <v>381</v>
      </c>
      <c r="AV24" s="1" t="s">
        <v>535</v>
      </c>
      <c r="AW24" s="1" t="s">
        <v>461</v>
      </c>
      <c r="AX24" s="1" t="s">
        <v>415</v>
      </c>
      <c r="AY24" s="1" t="s">
        <v>406</v>
      </c>
      <c r="AZ24" s="1" t="s">
        <v>536</v>
      </c>
      <c r="BB24" s="13" t="s">
        <v>475</v>
      </c>
      <c r="BC24" s="15" t="s">
        <v>219</v>
      </c>
      <c r="BD24" s="15" t="s">
        <v>406</v>
      </c>
      <c r="BE24" s="14" t="s">
        <v>415</v>
      </c>
      <c r="BF24" s="15" t="s">
        <v>442</v>
      </c>
      <c r="BG24" s="15" t="s">
        <v>545</v>
      </c>
    </row>
    <row r="25" spans="7:63" x14ac:dyDescent="0.5">
      <c r="G25" s="1" t="s">
        <v>297</v>
      </c>
      <c r="H25" s="1" t="s">
        <v>297</v>
      </c>
      <c r="I25" s="1" t="s">
        <v>297</v>
      </c>
      <c r="L25" s="1" t="s">
        <v>546</v>
      </c>
      <c r="M25" s="1" t="s">
        <v>487</v>
      </c>
      <c r="N25" s="1" t="s">
        <v>539</v>
      </c>
      <c r="O25" s="1" t="s">
        <v>537</v>
      </c>
      <c r="P25" s="1" t="s">
        <v>536</v>
      </c>
      <c r="Q25" s="1" t="s">
        <v>547</v>
      </c>
      <c r="S25" s="1" t="s">
        <v>546</v>
      </c>
      <c r="T25" s="1" t="s">
        <v>487</v>
      </c>
      <c r="U25" s="1" t="s">
        <v>539</v>
      </c>
      <c r="V25" s="1" t="s">
        <v>537</v>
      </c>
      <c r="W25" s="1" t="s">
        <v>536</v>
      </c>
      <c r="X25" s="1" t="s">
        <v>547</v>
      </c>
      <c r="Y25" s="1" t="s">
        <v>548</v>
      </c>
      <c r="Z25" s="1" t="s">
        <v>549</v>
      </c>
      <c r="AA25" s="1" t="s">
        <v>550</v>
      </c>
      <c r="AB25" s="1" t="s">
        <v>551</v>
      </c>
      <c r="AC25" s="1" t="s">
        <v>519</v>
      </c>
      <c r="AD25" s="1" t="s">
        <v>415</v>
      </c>
      <c r="AE25" s="1" t="s">
        <v>552</v>
      </c>
      <c r="AF25" s="1" t="s">
        <v>375</v>
      </c>
      <c r="AG25" s="1" t="s">
        <v>347</v>
      </c>
      <c r="AL25" s="2" t="s">
        <v>542</v>
      </c>
      <c r="AM25" s="2" t="s">
        <v>308</v>
      </c>
      <c r="AN25" s="2" t="s">
        <v>231</v>
      </c>
      <c r="AO25" s="2" t="s">
        <v>553</v>
      </c>
      <c r="AP25" s="2" t="s">
        <v>412</v>
      </c>
      <c r="AR25" s="1" t="s">
        <v>368</v>
      </c>
      <c r="AS25" s="1" t="s">
        <v>278</v>
      </c>
      <c r="AT25" s="1" t="s">
        <v>540</v>
      </c>
      <c r="AU25" s="1" t="s">
        <v>508</v>
      </c>
      <c r="AV25" s="1" t="s">
        <v>468</v>
      </c>
      <c r="AW25" s="1" t="s">
        <v>541</v>
      </c>
      <c r="AX25" s="1" t="s">
        <v>541</v>
      </c>
      <c r="AY25" s="1" t="s">
        <v>542</v>
      </c>
      <c r="AZ25" s="1" t="s">
        <v>440</v>
      </c>
      <c r="BB25" s="14" t="s">
        <v>500</v>
      </c>
      <c r="BC25" s="15" t="s">
        <v>482</v>
      </c>
      <c r="BD25" s="16" t="s">
        <v>393</v>
      </c>
      <c r="BE25" s="15" t="s">
        <v>483</v>
      </c>
      <c r="BF25" s="15" t="s">
        <v>554</v>
      </c>
      <c r="BG25" s="15" t="s">
        <v>414</v>
      </c>
    </row>
    <row r="26" spans="7:63" x14ac:dyDescent="0.5">
      <c r="L26" s="1" t="s">
        <v>501</v>
      </c>
      <c r="M26" s="1" t="s">
        <v>555</v>
      </c>
      <c r="N26" s="1" t="s">
        <v>453</v>
      </c>
      <c r="O26" s="1" t="s">
        <v>556</v>
      </c>
      <c r="P26" s="1" t="s">
        <v>495</v>
      </c>
      <c r="Q26" s="1" t="s">
        <v>393</v>
      </c>
      <c r="S26" s="1" t="s">
        <v>501</v>
      </c>
      <c r="T26" s="1" t="s">
        <v>555</v>
      </c>
      <c r="U26" s="1" t="s">
        <v>453</v>
      </c>
      <c r="V26" s="1" t="s">
        <v>556</v>
      </c>
      <c r="W26" s="1" t="s">
        <v>495</v>
      </c>
      <c r="X26" s="1" t="s">
        <v>393</v>
      </c>
      <c r="Y26" s="1" t="s">
        <v>376</v>
      </c>
      <c r="Z26" s="1" t="s">
        <v>322</v>
      </c>
      <c r="AA26" s="1" t="s">
        <v>324</v>
      </c>
      <c r="AB26" s="1" t="s">
        <v>557</v>
      </c>
      <c r="AC26" s="1" t="s">
        <v>558</v>
      </c>
      <c r="AD26" s="1" t="s">
        <v>552</v>
      </c>
      <c r="AE26" s="1" t="s">
        <v>311</v>
      </c>
      <c r="AF26" s="1" t="s">
        <v>559</v>
      </c>
      <c r="AG26" s="1" t="s">
        <v>560</v>
      </c>
      <c r="AL26" s="2" t="s">
        <v>542</v>
      </c>
      <c r="AM26" s="2" t="s">
        <v>561</v>
      </c>
      <c r="AN26" s="2" t="s">
        <v>308</v>
      </c>
      <c r="AO26" s="2" t="s">
        <v>512</v>
      </c>
      <c r="AP26" s="2" t="s">
        <v>52</v>
      </c>
      <c r="AR26" s="1" t="s">
        <v>548</v>
      </c>
      <c r="AS26" s="1" t="s">
        <v>549</v>
      </c>
      <c r="AT26" s="1" t="s">
        <v>550</v>
      </c>
      <c r="AU26" s="1" t="s">
        <v>551</v>
      </c>
      <c r="AV26" s="1" t="s">
        <v>519</v>
      </c>
      <c r="AW26" s="1" t="s">
        <v>415</v>
      </c>
      <c r="AX26" s="1" t="s">
        <v>552</v>
      </c>
      <c r="AY26" s="1" t="s">
        <v>375</v>
      </c>
      <c r="AZ26" s="1" t="s">
        <v>347</v>
      </c>
      <c r="BB26" s="13" t="s">
        <v>542</v>
      </c>
      <c r="BC26" s="15" t="s">
        <v>416</v>
      </c>
      <c r="BD26" s="15" t="s">
        <v>436</v>
      </c>
      <c r="BE26" s="16" t="s">
        <v>411</v>
      </c>
      <c r="BF26" s="15" t="s">
        <v>359</v>
      </c>
      <c r="BG26" s="15" t="s">
        <v>406</v>
      </c>
    </row>
    <row r="27" spans="7:63" x14ac:dyDescent="0.5">
      <c r="L27" s="1" t="s">
        <v>562</v>
      </c>
      <c r="M27" s="1" t="s">
        <v>465</v>
      </c>
      <c r="N27" s="1" t="s">
        <v>555</v>
      </c>
      <c r="O27" s="1" t="s">
        <v>544</v>
      </c>
      <c r="P27" s="1" t="s">
        <v>431</v>
      </c>
      <c r="Q27" s="1" t="s">
        <v>472</v>
      </c>
      <c r="S27" s="1" t="s">
        <v>562</v>
      </c>
      <c r="T27" s="1" t="s">
        <v>465</v>
      </c>
      <c r="U27" s="1" t="s">
        <v>555</v>
      </c>
      <c r="V27" s="1" t="s">
        <v>544</v>
      </c>
      <c r="W27" s="1" t="s">
        <v>431</v>
      </c>
      <c r="X27" s="1" t="s">
        <v>472</v>
      </c>
      <c r="Y27" s="1" t="s">
        <v>324</v>
      </c>
      <c r="Z27" s="1" t="s">
        <v>362</v>
      </c>
      <c r="AA27" s="1" t="s">
        <v>278</v>
      </c>
      <c r="AB27" s="1" t="s">
        <v>371</v>
      </c>
      <c r="AC27" s="1" t="s">
        <v>415</v>
      </c>
      <c r="AD27" s="1" t="s">
        <v>311</v>
      </c>
      <c r="AE27" s="1" t="s">
        <v>563</v>
      </c>
      <c r="AF27" s="1" t="s">
        <v>564</v>
      </c>
      <c r="AG27" s="1" t="s">
        <v>237</v>
      </c>
      <c r="AL27" s="2" t="s">
        <v>565</v>
      </c>
      <c r="AM27" s="2" t="s">
        <v>428</v>
      </c>
      <c r="AN27" s="2" t="s">
        <v>541</v>
      </c>
      <c r="AO27" s="2" t="s">
        <v>438</v>
      </c>
      <c r="AP27" s="2" t="s">
        <v>539</v>
      </c>
      <c r="AR27" s="1" t="s">
        <v>376</v>
      </c>
      <c r="AS27" s="1" t="s">
        <v>322</v>
      </c>
      <c r="AT27" s="1" t="s">
        <v>324</v>
      </c>
      <c r="AU27" s="1" t="s">
        <v>557</v>
      </c>
      <c r="AV27" s="1" t="s">
        <v>558</v>
      </c>
      <c r="AW27" s="1" t="s">
        <v>552</v>
      </c>
      <c r="AX27" s="1" t="s">
        <v>311</v>
      </c>
      <c r="AY27" s="1" t="s">
        <v>559</v>
      </c>
      <c r="AZ27" s="1" t="s">
        <v>560</v>
      </c>
      <c r="BB27" s="18" t="s">
        <v>565</v>
      </c>
      <c r="BC27" s="15" t="s">
        <v>505</v>
      </c>
      <c r="BD27" s="15" t="s">
        <v>328</v>
      </c>
      <c r="BE27" s="14" t="s">
        <v>435</v>
      </c>
      <c r="BF27" s="16" t="s">
        <v>343</v>
      </c>
      <c r="BG27" s="15" t="s">
        <v>499</v>
      </c>
    </row>
    <row r="28" spans="7:63" x14ac:dyDescent="0.5">
      <c r="L28" s="1" t="s">
        <v>512</v>
      </c>
      <c r="M28" s="1" t="s">
        <v>490</v>
      </c>
      <c r="N28" s="1" t="s">
        <v>490</v>
      </c>
      <c r="O28" s="1" t="s">
        <v>452</v>
      </c>
      <c r="P28" s="1" t="s">
        <v>219</v>
      </c>
      <c r="Q28" s="1" t="s">
        <v>436</v>
      </c>
      <c r="S28" s="1" t="s">
        <v>512</v>
      </c>
      <c r="T28" s="1" t="s">
        <v>490</v>
      </c>
      <c r="U28" s="1" t="s">
        <v>490</v>
      </c>
      <c r="V28" s="1" t="s">
        <v>452</v>
      </c>
      <c r="W28" s="1" t="s">
        <v>219</v>
      </c>
      <c r="X28" s="1" t="s">
        <v>436</v>
      </c>
      <c r="Y28" s="1" t="s">
        <v>234</v>
      </c>
      <c r="Z28" s="1" t="s">
        <v>473</v>
      </c>
      <c r="AA28" s="1" t="s">
        <v>566</v>
      </c>
      <c r="AB28" s="1" t="s">
        <v>567</v>
      </c>
      <c r="AC28" s="1" t="s">
        <v>552</v>
      </c>
      <c r="AD28" s="1" t="s">
        <v>568</v>
      </c>
      <c r="AE28" s="1" t="s">
        <v>569</v>
      </c>
      <c r="AF28" s="1" t="s">
        <v>570</v>
      </c>
      <c r="AG28" s="1" t="s">
        <v>545</v>
      </c>
      <c r="AL28" s="2"/>
      <c r="AM28" s="2"/>
      <c r="AN28" s="2" t="s">
        <v>571</v>
      </c>
      <c r="AO28" s="2" t="s">
        <v>510</v>
      </c>
      <c r="AP28" s="2" t="s">
        <v>416</v>
      </c>
      <c r="AR28" s="1" t="s">
        <v>324</v>
      </c>
      <c r="AS28" s="1" t="s">
        <v>362</v>
      </c>
      <c r="AT28" s="1" t="s">
        <v>278</v>
      </c>
      <c r="AU28" s="1" t="s">
        <v>371</v>
      </c>
      <c r="AV28" s="1" t="s">
        <v>415</v>
      </c>
      <c r="AW28" s="1" t="s">
        <v>311</v>
      </c>
      <c r="AX28" s="1" t="s">
        <v>563</v>
      </c>
      <c r="AY28" s="1" t="s">
        <v>564</v>
      </c>
      <c r="AZ28" s="1" t="s">
        <v>237</v>
      </c>
      <c r="BB28" s="18"/>
      <c r="BC28" s="15" t="s">
        <v>432</v>
      </c>
      <c r="BD28" s="16" t="s">
        <v>215</v>
      </c>
      <c r="BE28" s="13" t="s">
        <v>480</v>
      </c>
      <c r="BF28" s="15" t="s">
        <v>384</v>
      </c>
      <c r="BG28" s="15" t="s">
        <v>530</v>
      </c>
    </row>
    <row r="29" spans="7:63" x14ac:dyDescent="0.5">
      <c r="L29" s="1" t="s">
        <v>572</v>
      </c>
      <c r="M29" s="1" t="s">
        <v>556</v>
      </c>
      <c r="N29" s="1" t="s">
        <v>544</v>
      </c>
      <c r="O29" s="1" t="s">
        <v>496</v>
      </c>
      <c r="P29" s="1" t="s">
        <v>573</v>
      </c>
      <c r="Q29" s="1" t="s">
        <v>399</v>
      </c>
      <c r="S29" s="1" t="s">
        <v>572</v>
      </c>
      <c r="T29" s="1" t="s">
        <v>556</v>
      </c>
      <c r="U29" s="1" t="s">
        <v>544</v>
      </c>
      <c r="V29" s="1" t="s">
        <v>496</v>
      </c>
      <c r="W29" s="1" t="s">
        <v>573</v>
      </c>
      <c r="X29" s="1" t="s">
        <v>399</v>
      </c>
      <c r="Y29" s="1" t="s">
        <v>574</v>
      </c>
      <c r="Z29" s="1" t="s">
        <v>575</v>
      </c>
      <c r="AA29" s="1" t="s">
        <v>575</v>
      </c>
      <c r="AB29" s="1" t="s">
        <v>576</v>
      </c>
      <c r="AC29" s="1" t="s">
        <v>541</v>
      </c>
      <c r="AD29" s="1" t="s">
        <v>577</v>
      </c>
      <c r="AE29" s="1" t="s">
        <v>495</v>
      </c>
      <c r="AF29" s="1" t="s">
        <v>422</v>
      </c>
      <c r="AG29" s="1" t="s">
        <v>513</v>
      </c>
      <c r="AL29" s="2"/>
      <c r="AN29" s="2" t="s">
        <v>578</v>
      </c>
      <c r="AO29" s="2" t="s">
        <v>579</v>
      </c>
      <c r="AP29" s="2" t="s">
        <v>580</v>
      </c>
      <c r="AR29" s="1" t="s">
        <v>234</v>
      </c>
      <c r="AS29" s="1" t="s">
        <v>473</v>
      </c>
      <c r="AT29" s="1" t="s">
        <v>566</v>
      </c>
      <c r="AU29" s="1" t="s">
        <v>567</v>
      </c>
      <c r="AV29" s="1" t="s">
        <v>552</v>
      </c>
      <c r="AW29" s="1" t="s">
        <v>568</v>
      </c>
      <c r="AX29" s="1" t="s">
        <v>569</v>
      </c>
      <c r="AY29" s="1" t="s">
        <v>570</v>
      </c>
      <c r="AZ29" s="1" t="s">
        <v>545</v>
      </c>
      <c r="BC29" s="15" t="s">
        <v>284</v>
      </c>
      <c r="BD29" s="15" t="s">
        <v>433</v>
      </c>
      <c r="BE29" s="15" t="s">
        <v>402</v>
      </c>
      <c r="BF29" s="15" t="s">
        <v>211</v>
      </c>
      <c r="BG29" s="15" t="s">
        <v>399</v>
      </c>
    </row>
    <row r="30" spans="7:63" x14ac:dyDescent="0.5">
      <c r="L30" s="1" t="s">
        <v>438</v>
      </c>
      <c r="M30" s="1" t="s">
        <v>369</v>
      </c>
      <c r="N30" s="1" t="s">
        <v>452</v>
      </c>
      <c r="O30" s="1" t="s">
        <v>228</v>
      </c>
      <c r="P30" s="1" t="s">
        <v>581</v>
      </c>
      <c r="Q30" s="1" t="s">
        <v>399</v>
      </c>
      <c r="S30" s="1" t="s">
        <v>438</v>
      </c>
      <c r="T30" s="1" t="s">
        <v>369</v>
      </c>
      <c r="U30" s="1" t="s">
        <v>452</v>
      </c>
      <c r="V30" s="1" t="s">
        <v>228</v>
      </c>
      <c r="W30" s="1" t="s">
        <v>581</v>
      </c>
      <c r="X30" s="1" t="s">
        <v>399</v>
      </c>
      <c r="Y30" s="1" t="s">
        <v>237</v>
      </c>
      <c r="Z30" s="1" t="s">
        <v>487</v>
      </c>
      <c r="AA30" s="1" t="s">
        <v>223</v>
      </c>
      <c r="AB30" s="1" t="s">
        <v>54</v>
      </c>
      <c r="AC30" s="1" t="s">
        <v>582</v>
      </c>
      <c r="AD30" s="1" t="s">
        <v>555</v>
      </c>
      <c r="AE30" s="1" t="s">
        <v>227</v>
      </c>
      <c r="AL30" s="2"/>
      <c r="AN30" s="2" t="s">
        <v>569</v>
      </c>
      <c r="AO30" s="2" t="s">
        <v>583</v>
      </c>
      <c r="AP30" s="2" t="s">
        <v>221</v>
      </c>
      <c r="AR30" s="1" t="s">
        <v>574</v>
      </c>
      <c r="AS30" s="1" t="s">
        <v>575</v>
      </c>
      <c r="AT30" s="1" t="s">
        <v>575</v>
      </c>
      <c r="AU30" s="1" t="s">
        <v>576</v>
      </c>
      <c r="AV30" s="1" t="s">
        <v>541</v>
      </c>
      <c r="AW30" s="1" t="s">
        <v>577</v>
      </c>
      <c r="AX30" s="1" t="s">
        <v>495</v>
      </c>
      <c r="AY30" s="1" t="s">
        <v>422</v>
      </c>
      <c r="AZ30" s="1" t="s">
        <v>513</v>
      </c>
      <c r="BC30" s="15" t="s">
        <v>445</v>
      </c>
      <c r="BD30" s="15" t="s">
        <v>459</v>
      </c>
      <c r="BE30" s="16" t="s">
        <v>412</v>
      </c>
      <c r="BF30" s="16" t="s">
        <v>375</v>
      </c>
      <c r="BG30" s="15" t="s">
        <v>394</v>
      </c>
    </row>
    <row r="31" spans="7:63" x14ac:dyDescent="0.5">
      <c r="L31" s="1" t="s">
        <v>426</v>
      </c>
      <c r="M31" s="1" t="s">
        <v>511</v>
      </c>
      <c r="N31" s="1" t="s">
        <v>473</v>
      </c>
      <c r="O31" s="1" t="s">
        <v>510</v>
      </c>
      <c r="P31" s="1" t="s">
        <v>221</v>
      </c>
      <c r="Q31" s="1" t="s">
        <v>394</v>
      </c>
      <c r="S31" s="1" t="s">
        <v>426</v>
      </c>
      <c r="T31" s="1" t="s">
        <v>511</v>
      </c>
      <c r="U31" s="1" t="s">
        <v>473</v>
      </c>
      <c r="V31" s="1" t="s">
        <v>510</v>
      </c>
      <c r="W31" s="1" t="s">
        <v>221</v>
      </c>
      <c r="X31" s="1" t="s">
        <v>394</v>
      </c>
      <c r="Y31" s="1" t="s">
        <v>513</v>
      </c>
      <c r="Z31" s="1" t="s">
        <v>537</v>
      </c>
      <c r="AA31" s="1" t="s">
        <v>285</v>
      </c>
      <c r="AB31" s="1" t="s">
        <v>584</v>
      </c>
      <c r="AC31" s="1" t="s">
        <v>585</v>
      </c>
      <c r="AD31" s="1" t="s">
        <v>454</v>
      </c>
      <c r="AE31" s="1" t="s">
        <v>523</v>
      </c>
      <c r="AL31" s="2"/>
      <c r="AN31" s="2" t="s">
        <v>586</v>
      </c>
      <c r="AO31" s="2" t="s">
        <v>587</v>
      </c>
      <c r="AP31" s="2" t="s">
        <v>588</v>
      </c>
      <c r="AR31" s="1" t="s">
        <v>237</v>
      </c>
      <c r="AS31" s="1" t="s">
        <v>487</v>
      </c>
      <c r="AT31" s="1" t="s">
        <v>223</v>
      </c>
      <c r="AU31" s="1" t="s">
        <v>54</v>
      </c>
      <c r="AV31" s="1" t="s">
        <v>582</v>
      </c>
      <c r="AW31" s="1" t="s">
        <v>555</v>
      </c>
      <c r="AX31" s="1" t="s">
        <v>227</v>
      </c>
      <c r="BC31" s="15" t="s">
        <v>224</v>
      </c>
      <c r="BD31" s="16" t="s">
        <v>394</v>
      </c>
      <c r="BE31" s="15" t="s">
        <v>524</v>
      </c>
      <c r="BF31" s="16" t="s">
        <v>366</v>
      </c>
      <c r="BG31" s="15" t="s">
        <v>464</v>
      </c>
    </row>
    <row r="32" spans="7:63" x14ac:dyDescent="0.5">
      <c r="L32" s="1" t="s">
        <v>510</v>
      </c>
      <c r="M32" s="1" t="s">
        <v>521</v>
      </c>
      <c r="N32" s="1" t="s">
        <v>226</v>
      </c>
      <c r="O32" s="1" t="s">
        <v>583</v>
      </c>
      <c r="P32" s="1" t="s">
        <v>222</v>
      </c>
      <c r="Q32" s="1" t="s">
        <v>374</v>
      </c>
      <c r="S32" s="1" t="s">
        <v>510</v>
      </c>
      <c r="T32" s="1" t="s">
        <v>521</v>
      </c>
      <c r="U32" s="1" t="s">
        <v>226</v>
      </c>
      <c r="V32" s="1" t="s">
        <v>583</v>
      </c>
      <c r="W32" s="1" t="s">
        <v>222</v>
      </c>
      <c r="X32" s="1" t="s">
        <v>374</v>
      </c>
      <c r="Y32" s="1" t="s">
        <v>345</v>
      </c>
      <c r="Z32" s="1" t="s">
        <v>561</v>
      </c>
      <c r="AA32" s="1" t="s">
        <v>589</v>
      </c>
      <c r="AB32" s="1" t="s">
        <v>590</v>
      </c>
      <c r="AC32" s="1" t="s">
        <v>512</v>
      </c>
      <c r="AD32" s="1" t="s">
        <v>559</v>
      </c>
      <c r="AE32" s="1" t="s">
        <v>591</v>
      </c>
      <c r="AL32" s="2"/>
      <c r="AO32" s="2" t="s">
        <v>592</v>
      </c>
      <c r="AP32" s="2" t="s">
        <v>593</v>
      </c>
      <c r="AR32" s="1" t="s">
        <v>513</v>
      </c>
      <c r="AS32" s="1" t="s">
        <v>537</v>
      </c>
      <c r="AT32" s="1" t="s">
        <v>285</v>
      </c>
      <c r="AU32" s="1" t="s">
        <v>584</v>
      </c>
      <c r="AV32" s="1" t="s">
        <v>585</v>
      </c>
      <c r="AW32" s="1" t="s">
        <v>454</v>
      </c>
      <c r="AX32" s="1" t="s">
        <v>523</v>
      </c>
      <c r="BC32" s="15" t="s">
        <v>487</v>
      </c>
      <c r="BD32" s="16" t="s">
        <v>471</v>
      </c>
      <c r="BE32" s="15" t="s">
        <v>52</v>
      </c>
      <c r="BF32" s="15" t="s">
        <v>545</v>
      </c>
      <c r="BG32" s="15" t="s">
        <v>423</v>
      </c>
    </row>
    <row r="33" spans="12:59" x14ac:dyDescent="0.5">
      <c r="L33" s="1" t="s">
        <v>594</v>
      </c>
      <c r="M33" s="1" t="s">
        <v>594</v>
      </c>
      <c r="N33" s="1" t="s">
        <v>595</v>
      </c>
      <c r="O33" s="1" t="s">
        <v>500</v>
      </c>
      <c r="P33" s="1" t="s">
        <v>223</v>
      </c>
      <c r="Q33" s="1" t="s">
        <v>415</v>
      </c>
      <c r="S33" s="1" t="s">
        <v>594</v>
      </c>
      <c r="T33" s="1" t="s">
        <v>594</v>
      </c>
      <c r="U33" s="1" t="s">
        <v>595</v>
      </c>
      <c r="V33" s="1" t="s">
        <v>500</v>
      </c>
      <c r="W33" s="1" t="s">
        <v>223</v>
      </c>
      <c r="X33" s="1" t="s">
        <v>415</v>
      </c>
      <c r="Y33" s="1" t="s">
        <v>568</v>
      </c>
      <c r="Z33" s="1" t="s">
        <v>596</v>
      </c>
      <c r="AA33" s="1" t="s">
        <v>597</v>
      </c>
      <c r="AB33" s="1" t="s">
        <v>519</v>
      </c>
      <c r="AC33" s="1" t="s">
        <v>530</v>
      </c>
      <c r="AD33" s="1" t="s">
        <v>212</v>
      </c>
      <c r="AE33" s="1" t="s">
        <v>355</v>
      </c>
      <c r="AO33" s="2" t="s">
        <v>598</v>
      </c>
      <c r="AP33" s="2" t="s">
        <v>599</v>
      </c>
      <c r="AR33" s="1" t="s">
        <v>345</v>
      </c>
      <c r="AS33" s="1" t="s">
        <v>561</v>
      </c>
      <c r="AT33" s="1" t="s">
        <v>589</v>
      </c>
      <c r="AU33" s="1" t="s">
        <v>590</v>
      </c>
      <c r="AV33" s="1" t="s">
        <v>512</v>
      </c>
      <c r="AW33" s="1" t="s">
        <v>559</v>
      </c>
      <c r="AX33" s="1" t="s">
        <v>591</v>
      </c>
      <c r="BC33" s="15" t="s">
        <v>453</v>
      </c>
      <c r="BD33" s="15" t="s">
        <v>354</v>
      </c>
      <c r="BE33" s="16" t="s">
        <v>539</v>
      </c>
      <c r="BF33" s="15" t="s">
        <v>414</v>
      </c>
      <c r="BG33" s="15" t="s">
        <v>454</v>
      </c>
    </row>
    <row r="34" spans="12:59" x14ac:dyDescent="0.5">
      <c r="L34" s="1" t="s">
        <v>583</v>
      </c>
      <c r="M34" s="1" t="s">
        <v>559</v>
      </c>
      <c r="N34" s="1" t="s">
        <v>426</v>
      </c>
      <c r="O34" s="1" t="s">
        <v>542</v>
      </c>
      <c r="P34" s="1" t="s">
        <v>224</v>
      </c>
      <c r="Q34" s="1" t="s">
        <v>495</v>
      </c>
      <c r="S34" s="1" t="s">
        <v>583</v>
      </c>
      <c r="T34" s="1" t="s">
        <v>559</v>
      </c>
      <c r="U34" s="1" t="s">
        <v>426</v>
      </c>
      <c r="V34" s="1" t="s">
        <v>542</v>
      </c>
      <c r="W34" s="1" t="s">
        <v>224</v>
      </c>
      <c r="X34" s="1" t="s">
        <v>495</v>
      </c>
      <c r="Y34" s="1" t="s">
        <v>600</v>
      </c>
      <c r="Z34" s="1" t="s">
        <v>500</v>
      </c>
      <c r="AA34" s="1" t="s">
        <v>601</v>
      </c>
      <c r="AB34" s="1" t="s">
        <v>602</v>
      </c>
      <c r="AC34" s="1" t="s">
        <v>482</v>
      </c>
      <c r="AE34" s="1" t="s">
        <v>603</v>
      </c>
      <c r="AO34" s="2" t="s">
        <v>604</v>
      </c>
      <c r="AP34" s="2" t="s">
        <v>605</v>
      </c>
      <c r="AR34" s="1" t="s">
        <v>568</v>
      </c>
      <c r="AS34" s="1" t="s">
        <v>596</v>
      </c>
      <c r="AT34" s="1" t="s">
        <v>597</v>
      </c>
      <c r="AU34" s="1" t="s">
        <v>519</v>
      </c>
      <c r="AV34" s="1" t="s">
        <v>530</v>
      </c>
      <c r="AW34" s="1" t="s">
        <v>212</v>
      </c>
      <c r="AX34" s="1" t="s">
        <v>355</v>
      </c>
      <c r="BC34" s="15" t="s">
        <v>555</v>
      </c>
      <c r="BD34" s="15" t="s">
        <v>446</v>
      </c>
      <c r="BE34" s="14" t="s">
        <v>491</v>
      </c>
      <c r="BF34" s="15" t="s">
        <v>603</v>
      </c>
      <c r="BG34" s="15" t="s">
        <v>536</v>
      </c>
    </row>
    <row r="35" spans="12:59" x14ac:dyDescent="0.5">
      <c r="L35" s="1" t="s">
        <v>397</v>
      </c>
      <c r="M35" s="1" t="s">
        <v>606</v>
      </c>
      <c r="N35" s="1" t="s">
        <v>607</v>
      </c>
      <c r="O35" s="1" t="s">
        <v>604</v>
      </c>
      <c r="P35" s="1" t="s">
        <v>465</v>
      </c>
      <c r="Q35" s="1" t="s">
        <v>552</v>
      </c>
      <c r="S35" s="1" t="s">
        <v>397</v>
      </c>
      <c r="T35" s="1" t="s">
        <v>606</v>
      </c>
      <c r="U35" s="1" t="s">
        <v>607</v>
      </c>
      <c r="V35" s="1" t="s">
        <v>604</v>
      </c>
      <c r="W35" s="1" t="s">
        <v>465</v>
      </c>
      <c r="X35" s="1" t="s">
        <v>552</v>
      </c>
      <c r="Y35" s="1" t="s">
        <v>608</v>
      </c>
      <c r="Z35" s="1" t="s">
        <v>609</v>
      </c>
      <c r="AA35" s="1" t="s">
        <v>610</v>
      </c>
      <c r="AB35" s="1" t="s">
        <v>611</v>
      </c>
      <c r="AC35" s="1" t="s">
        <v>586</v>
      </c>
      <c r="AE35" s="1" t="s">
        <v>612</v>
      </c>
      <c r="AO35" s="2" t="s">
        <v>456</v>
      </c>
      <c r="AP35" s="2" t="s">
        <v>488</v>
      </c>
      <c r="AR35" s="1" t="s">
        <v>600</v>
      </c>
      <c r="AS35" s="1" t="s">
        <v>500</v>
      </c>
      <c r="AT35" s="1" t="s">
        <v>601</v>
      </c>
      <c r="AU35" s="1" t="s">
        <v>602</v>
      </c>
      <c r="AV35" s="1" t="s">
        <v>482</v>
      </c>
      <c r="AX35" s="1" t="s">
        <v>603</v>
      </c>
      <c r="BC35" s="15" t="s">
        <v>465</v>
      </c>
      <c r="BD35" s="16" t="s">
        <v>464</v>
      </c>
      <c r="BE35" s="13" t="s">
        <v>487</v>
      </c>
      <c r="BF35" s="16" t="s">
        <v>513</v>
      </c>
      <c r="BG35" s="15" t="s">
        <v>415</v>
      </c>
    </row>
    <row r="36" spans="12:59" x14ac:dyDescent="0.5">
      <c r="L36" s="1" t="s">
        <v>500</v>
      </c>
      <c r="M36" s="1" t="s">
        <v>308</v>
      </c>
      <c r="N36" s="1" t="s">
        <v>543</v>
      </c>
      <c r="O36" s="1" t="s">
        <v>613</v>
      </c>
      <c r="P36" s="1" t="s">
        <v>609</v>
      </c>
      <c r="Q36" s="1" t="s">
        <v>219</v>
      </c>
      <c r="S36" s="1" t="s">
        <v>500</v>
      </c>
      <c r="T36" s="1" t="s">
        <v>308</v>
      </c>
      <c r="U36" s="1" t="s">
        <v>543</v>
      </c>
      <c r="V36" s="1" t="s">
        <v>613</v>
      </c>
      <c r="W36" s="1" t="s">
        <v>609</v>
      </c>
      <c r="X36" s="1" t="s">
        <v>219</v>
      </c>
      <c r="Y36" s="1" t="s">
        <v>552</v>
      </c>
      <c r="Z36" s="1" t="s">
        <v>614</v>
      </c>
      <c r="AA36" s="1" t="s">
        <v>595</v>
      </c>
      <c r="AB36" s="1" t="s">
        <v>311</v>
      </c>
      <c r="AC36" s="1" t="s">
        <v>350</v>
      </c>
      <c r="AE36" s="1" t="s">
        <v>554</v>
      </c>
      <c r="AP36" s="2" t="s">
        <v>496</v>
      </c>
      <c r="AR36" s="1" t="s">
        <v>608</v>
      </c>
      <c r="AS36" s="1" t="s">
        <v>609</v>
      </c>
      <c r="AT36" s="1" t="s">
        <v>610</v>
      </c>
      <c r="AU36" s="1" t="s">
        <v>611</v>
      </c>
      <c r="AV36" s="1" t="s">
        <v>586</v>
      </c>
      <c r="AX36" s="1" t="s">
        <v>612</v>
      </c>
      <c r="BC36" s="15" t="s">
        <v>479</v>
      </c>
      <c r="BD36" s="15" t="s">
        <v>423</v>
      </c>
      <c r="BE36" s="15" t="s">
        <v>453</v>
      </c>
      <c r="BF36" s="16" t="s">
        <v>563</v>
      </c>
      <c r="BG36" s="15" t="s">
        <v>552</v>
      </c>
    </row>
    <row r="37" spans="12:59" x14ac:dyDescent="0.5">
      <c r="L37" s="1" t="s">
        <v>615</v>
      </c>
      <c r="M37" s="1" t="s">
        <v>561</v>
      </c>
      <c r="N37" s="1" t="s">
        <v>616</v>
      </c>
      <c r="P37" s="1" t="s">
        <v>490</v>
      </c>
      <c r="Q37" s="1" t="s">
        <v>412</v>
      </c>
      <c r="S37" s="1" t="s">
        <v>615</v>
      </c>
      <c r="T37" s="1" t="s">
        <v>561</v>
      </c>
      <c r="U37" s="1" t="s">
        <v>616</v>
      </c>
      <c r="W37" s="1" t="s">
        <v>490</v>
      </c>
      <c r="X37" s="1" t="s">
        <v>412</v>
      </c>
      <c r="Y37" s="1" t="s">
        <v>616</v>
      </c>
      <c r="Z37" s="1" t="s">
        <v>409</v>
      </c>
      <c r="AA37" s="1" t="s">
        <v>216</v>
      </c>
      <c r="AB37" s="1" t="s">
        <v>438</v>
      </c>
      <c r="AC37" s="1" t="s">
        <v>372</v>
      </c>
      <c r="AE37" s="1" t="s">
        <v>347</v>
      </c>
      <c r="AP37" s="2" t="s">
        <v>617</v>
      </c>
      <c r="AR37" s="1" t="s">
        <v>552</v>
      </c>
      <c r="AS37" s="1" t="s">
        <v>614</v>
      </c>
      <c r="AT37" s="1" t="s">
        <v>595</v>
      </c>
      <c r="AU37" s="1" t="s">
        <v>311</v>
      </c>
      <c r="AV37" s="1" t="s">
        <v>350</v>
      </c>
      <c r="AX37" s="1" t="s">
        <v>554</v>
      </c>
      <c r="BC37" s="15" t="s">
        <v>490</v>
      </c>
      <c r="BD37" s="15" t="s">
        <v>217</v>
      </c>
      <c r="BE37" s="16" t="s">
        <v>555</v>
      </c>
      <c r="BF37" s="16" t="s">
        <v>429</v>
      </c>
      <c r="BG37" s="15" t="s">
        <v>412</v>
      </c>
    </row>
    <row r="38" spans="12:59" x14ac:dyDescent="0.5">
      <c r="L38" s="1" t="s">
        <v>596</v>
      </c>
      <c r="M38" s="1" t="s">
        <v>541</v>
      </c>
      <c r="N38" s="1" t="s">
        <v>542</v>
      </c>
      <c r="P38" s="1" t="s">
        <v>618</v>
      </c>
      <c r="Q38" s="1" t="s">
        <v>52</v>
      </c>
      <c r="S38" s="1" t="s">
        <v>596</v>
      </c>
      <c r="T38" s="1" t="s">
        <v>541</v>
      </c>
      <c r="U38" s="1" t="s">
        <v>542</v>
      </c>
      <c r="W38" s="1" t="s">
        <v>618</v>
      </c>
      <c r="X38" s="1" t="s">
        <v>52</v>
      </c>
      <c r="Y38" s="1" t="s">
        <v>619</v>
      </c>
      <c r="Z38" s="1" t="s">
        <v>556</v>
      </c>
      <c r="AA38" s="1" t="s">
        <v>620</v>
      </c>
      <c r="AB38" s="1" t="s">
        <v>322</v>
      </c>
      <c r="AC38" s="1" t="s">
        <v>454</v>
      </c>
      <c r="AE38" s="1" t="s">
        <v>560</v>
      </c>
      <c r="AP38" s="2" t="s">
        <v>621</v>
      </c>
      <c r="AR38" s="1" t="s">
        <v>616</v>
      </c>
      <c r="AS38" s="1" t="s">
        <v>409</v>
      </c>
      <c r="AT38" s="1" t="s">
        <v>216</v>
      </c>
      <c r="AU38" s="1" t="s">
        <v>438</v>
      </c>
      <c r="AV38" s="1" t="s">
        <v>372</v>
      </c>
      <c r="AX38" s="1" t="s">
        <v>347</v>
      </c>
      <c r="BC38" s="15" t="s">
        <v>556</v>
      </c>
      <c r="BD38" s="13" t="s">
        <v>454</v>
      </c>
      <c r="BE38" s="13" t="s">
        <v>490</v>
      </c>
      <c r="BF38" s="16" t="s">
        <v>476</v>
      </c>
      <c r="BG38" s="15" t="s">
        <v>355</v>
      </c>
    </row>
    <row r="39" spans="12:59" x14ac:dyDescent="0.5">
      <c r="L39" s="1" t="s">
        <v>542</v>
      </c>
      <c r="M39" s="1" t="s">
        <v>604</v>
      </c>
      <c r="N39" s="1" t="s">
        <v>606</v>
      </c>
      <c r="P39" s="1" t="s">
        <v>622</v>
      </c>
      <c r="Q39" s="1" t="s">
        <v>52</v>
      </c>
      <c r="S39" s="1" t="s">
        <v>542</v>
      </c>
      <c r="T39" s="1" t="s">
        <v>604</v>
      </c>
      <c r="U39" s="1" t="s">
        <v>606</v>
      </c>
      <c r="W39" s="1" t="s">
        <v>622</v>
      </c>
      <c r="X39" s="1" t="s">
        <v>52</v>
      </c>
      <c r="Y39" s="1" t="s">
        <v>623</v>
      </c>
      <c r="Z39" s="1" t="s">
        <v>275</v>
      </c>
      <c r="AA39" s="1" t="s">
        <v>426</v>
      </c>
      <c r="AB39" s="1" t="s">
        <v>580</v>
      </c>
      <c r="AC39" s="1" t="s">
        <v>459</v>
      </c>
      <c r="AP39" s="2" t="s">
        <v>477</v>
      </c>
      <c r="AR39" s="1" t="s">
        <v>619</v>
      </c>
      <c r="AS39" s="1" t="s">
        <v>556</v>
      </c>
      <c r="AT39" s="1" t="s">
        <v>620</v>
      </c>
      <c r="AU39" s="1" t="s">
        <v>322</v>
      </c>
      <c r="AV39" s="1" t="s">
        <v>454</v>
      </c>
      <c r="AX39" s="1" t="s">
        <v>560</v>
      </c>
      <c r="BC39" s="15" t="s">
        <v>369</v>
      </c>
      <c r="BD39" s="14" t="s">
        <v>466</v>
      </c>
      <c r="BE39" s="16" t="s">
        <v>544</v>
      </c>
      <c r="BF39" s="16" t="s">
        <v>406</v>
      </c>
      <c r="BG39" s="15" t="s">
        <v>570</v>
      </c>
    </row>
    <row r="40" spans="12:59" x14ac:dyDescent="0.5">
      <c r="L40" s="1" t="s">
        <v>559</v>
      </c>
      <c r="M40" s="1" t="s">
        <v>428</v>
      </c>
      <c r="N40" s="1" t="s">
        <v>231</v>
      </c>
      <c r="P40" s="1" t="s">
        <v>623</v>
      </c>
      <c r="Q40" s="1" t="s">
        <v>624</v>
      </c>
      <c r="S40" s="1" t="s">
        <v>559</v>
      </c>
      <c r="T40" s="1" t="s">
        <v>428</v>
      </c>
      <c r="U40" s="1" t="s">
        <v>231</v>
      </c>
      <c r="W40" s="1" t="s">
        <v>623</v>
      </c>
      <c r="X40" s="1" t="s">
        <v>624</v>
      </c>
      <c r="Y40" s="1" t="s">
        <v>330</v>
      </c>
      <c r="Z40" s="1" t="s">
        <v>625</v>
      </c>
      <c r="AA40" s="1" t="s">
        <v>438</v>
      </c>
      <c r="AB40" s="1" t="s">
        <v>626</v>
      </c>
      <c r="AC40" s="1" t="s">
        <v>311</v>
      </c>
      <c r="AP40" s="2" t="s">
        <v>627</v>
      </c>
      <c r="AR40" s="1" t="s">
        <v>623</v>
      </c>
      <c r="AS40" s="1" t="s">
        <v>275</v>
      </c>
      <c r="AT40" s="1" t="s">
        <v>426</v>
      </c>
      <c r="AU40" s="1" t="s">
        <v>580</v>
      </c>
      <c r="AV40" s="1" t="s">
        <v>459</v>
      </c>
      <c r="BC40" s="15" t="s">
        <v>489</v>
      </c>
      <c r="BD40" s="16" t="s">
        <v>325</v>
      </c>
      <c r="BE40" s="15" t="s">
        <v>452</v>
      </c>
      <c r="BF40" s="16" t="s">
        <v>499</v>
      </c>
      <c r="BG40" s="15" t="s">
        <v>284</v>
      </c>
    </row>
    <row r="41" spans="12:59" x14ac:dyDescent="0.5">
      <c r="L41" s="1" t="s">
        <v>410</v>
      </c>
      <c r="M41" s="1" t="s">
        <v>234</v>
      </c>
      <c r="N41" s="1" t="s">
        <v>578</v>
      </c>
      <c r="P41" s="1" t="s">
        <v>473</v>
      </c>
      <c r="Q41" s="1" t="s">
        <v>628</v>
      </c>
      <c r="S41" s="1" t="s">
        <v>410</v>
      </c>
      <c r="T41" s="1" t="s">
        <v>234</v>
      </c>
      <c r="U41" s="1" t="s">
        <v>578</v>
      </c>
      <c r="W41" s="1" t="s">
        <v>473</v>
      </c>
      <c r="X41" s="1" t="s">
        <v>628</v>
      </c>
      <c r="Y41" s="1" t="s">
        <v>629</v>
      </c>
      <c r="AA41" s="1" t="s">
        <v>561</v>
      </c>
      <c r="AB41" s="1" t="s">
        <v>510</v>
      </c>
      <c r="AP41" s="2" t="s">
        <v>630</v>
      </c>
      <c r="AR41" s="1" t="s">
        <v>330</v>
      </c>
      <c r="AS41" s="1" t="s">
        <v>625</v>
      </c>
      <c r="AT41" s="1" t="s">
        <v>438</v>
      </c>
      <c r="AU41" s="1" t="s">
        <v>626</v>
      </c>
      <c r="AV41" s="1" t="s">
        <v>311</v>
      </c>
      <c r="BC41" s="15" t="s">
        <v>511</v>
      </c>
      <c r="BD41" s="15" t="s">
        <v>458</v>
      </c>
      <c r="BE41" s="16" t="s">
        <v>473</v>
      </c>
      <c r="BF41" s="15" t="s">
        <v>530</v>
      </c>
      <c r="BG41" s="15" t="s">
        <v>221</v>
      </c>
    </row>
    <row r="42" spans="12:59" x14ac:dyDescent="0.5">
      <c r="L42" s="1" t="s">
        <v>561</v>
      </c>
      <c r="M42" s="1" t="s">
        <v>381</v>
      </c>
      <c r="N42" s="1" t="s">
        <v>586</v>
      </c>
      <c r="P42" s="1" t="s">
        <v>362</v>
      </c>
      <c r="Q42" s="1" t="s">
        <v>605</v>
      </c>
      <c r="S42" s="1" t="s">
        <v>561</v>
      </c>
      <c r="T42" s="1" t="s">
        <v>381</v>
      </c>
      <c r="U42" s="1" t="s">
        <v>586</v>
      </c>
      <c r="W42" s="1" t="s">
        <v>362</v>
      </c>
      <c r="X42" s="1" t="s">
        <v>605</v>
      </c>
      <c r="Y42" s="1" t="s">
        <v>211</v>
      </c>
      <c r="AA42" s="1" t="s">
        <v>631</v>
      </c>
      <c r="AB42" s="1" t="s">
        <v>566</v>
      </c>
      <c r="AP42" s="2" t="s">
        <v>583</v>
      </c>
      <c r="AR42" s="1" t="s">
        <v>629</v>
      </c>
      <c r="AT42" s="1" t="s">
        <v>561</v>
      </c>
      <c r="AU42" s="1" t="s">
        <v>510</v>
      </c>
      <c r="BC42" s="15" t="s">
        <v>512</v>
      </c>
      <c r="BD42" s="13" t="s">
        <v>415</v>
      </c>
      <c r="BE42" s="15" t="s">
        <v>226</v>
      </c>
      <c r="BF42" s="16" t="s">
        <v>399</v>
      </c>
      <c r="BG42" s="15" t="s">
        <v>487</v>
      </c>
    </row>
    <row r="43" spans="12:59" x14ac:dyDescent="0.5">
      <c r="L43" s="1" t="s">
        <v>632</v>
      </c>
      <c r="N43" s="1" t="s">
        <v>236</v>
      </c>
      <c r="P43" s="1" t="s">
        <v>324</v>
      </c>
      <c r="Q43" s="1" t="s">
        <v>488</v>
      </c>
      <c r="S43" s="1" t="s">
        <v>632</v>
      </c>
      <c r="U43" s="1" t="s">
        <v>236</v>
      </c>
      <c r="W43" s="1" t="s">
        <v>324</v>
      </c>
      <c r="X43" s="1" t="s">
        <v>488</v>
      </c>
      <c r="Y43" s="1" t="s">
        <v>279</v>
      </c>
      <c r="AA43" s="1" t="s">
        <v>633</v>
      </c>
      <c r="AB43" s="1" t="s">
        <v>634</v>
      </c>
      <c r="AP43" s="2" t="s">
        <v>635</v>
      </c>
      <c r="AR43" s="1" t="s">
        <v>211</v>
      </c>
      <c r="AT43" s="1" t="s">
        <v>631</v>
      </c>
      <c r="AU43" s="1" t="s">
        <v>566</v>
      </c>
      <c r="BC43" s="15" t="s">
        <v>532</v>
      </c>
      <c r="BD43" s="15" t="s">
        <v>483</v>
      </c>
      <c r="BE43" s="16" t="s">
        <v>595</v>
      </c>
      <c r="BF43" s="16" t="s">
        <v>214</v>
      </c>
      <c r="BG43" s="15" t="s">
        <v>488</v>
      </c>
    </row>
    <row r="44" spans="12:59" x14ac:dyDescent="0.5">
      <c r="L44" s="1" t="s">
        <v>541</v>
      </c>
      <c r="P44" s="1" t="s">
        <v>562</v>
      </c>
      <c r="Q44" s="1" t="s">
        <v>636</v>
      </c>
      <c r="S44" s="1" t="s">
        <v>541</v>
      </c>
      <c r="W44" s="1" t="s">
        <v>562</v>
      </c>
      <c r="X44" s="1" t="s">
        <v>636</v>
      </c>
      <c r="Y44" s="1" t="s">
        <v>537</v>
      </c>
      <c r="AA44" s="1" t="s">
        <v>637</v>
      </c>
      <c r="AB44" s="1" t="s">
        <v>500</v>
      </c>
      <c r="AP44" s="2" t="s">
        <v>541</v>
      </c>
      <c r="AR44" s="1" t="s">
        <v>279</v>
      </c>
      <c r="AT44" s="1" t="s">
        <v>633</v>
      </c>
      <c r="AU44" s="1" t="s">
        <v>634</v>
      </c>
      <c r="BC44" s="15" t="s">
        <v>510</v>
      </c>
      <c r="BD44" s="16" t="s">
        <v>411</v>
      </c>
      <c r="BE44" s="15" t="s">
        <v>426</v>
      </c>
      <c r="BF44" s="16" t="s">
        <v>422</v>
      </c>
      <c r="BG44" s="15" t="s">
        <v>285</v>
      </c>
    </row>
    <row r="45" spans="12:59" x14ac:dyDescent="0.5">
      <c r="L45" s="1" t="s">
        <v>638</v>
      </c>
      <c r="P45" s="1" t="s">
        <v>572</v>
      </c>
      <c r="Q45" s="1" t="s">
        <v>636</v>
      </c>
      <c r="S45" s="1" t="s">
        <v>638</v>
      </c>
      <c r="W45" s="1" t="s">
        <v>572</v>
      </c>
      <c r="X45" s="1" t="s">
        <v>636</v>
      </c>
      <c r="Y45" s="1" t="s">
        <v>213</v>
      </c>
      <c r="AA45" s="1" t="s">
        <v>639</v>
      </c>
      <c r="AB45" s="1" t="s">
        <v>537</v>
      </c>
      <c r="AP45" s="2" t="s">
        <v>503</v>
      </c>
      <c r="AR45" s="1" t="s">
        <v>537</v>
      </c>
      <c r="AT45" s="1" t="s">
        <v>637</v>
      </c>
      <c r="AU45" s="1" t="s">
        <v>500</v>
      </c>
      <c r="BC45" s="15" t="s">
        <v>594</v>
      </c>
      <c r="BD45" s="14" t="s">
        <v>396</v>
      </c>
      <c r="BE45" s="16" t="s">
        <v>607</v>
      </c>
      <c r="BF45" s="15" t="s">
        <v>394</v>
      </c>
      <c r="BG45" s="15" t="s">
        <v>309</v>
      </c>
    </row>
    <row r="46" spans="12:59" x14ac:dyDescent="0.5">
      <c r="P46" s="1" t="s">
        <v>438</v>
      </c>
      <c r="Q46" s="1" t="s">
        <v>496</v>
      </c>
      <c r="W46" s="1" t="s">
        <v>438</v>
      </c>
      <c r="X46" s="1" t="s">
        <v>496</v>
      </c>
      <c r="Y46" s="1" t="s">
        <v>640</v>
      </c>
      <c r="AA46" s="1" t="s">
        <v>397</v>
      </c>
      <c r="AB46" s="1" t="s">
        <v>217</v>
      </c>
      <c r="AP46" s="2" t="s">
        <v>236</v>
      </c>
      <c r="AR46" s="1" t="s">
        <v>213</v>
      </c>
      <c r="AT46" s="1" t="s">
        <v>639</v>
      </c>
      <c r="AU46" s="1" t="s">
        <v>537</v>
      </c>
      <c r="BC46" s="15" t="s">
        <v>542</v>
      </c>
      <c r="BD46" s="13" t="s">
        <v>502</v>
      </c>
      <c r="BE46" s="13" t="s">
        <v>228</v>
      </c>
      <c r="BF46" s="15" t="s">
        <v>464</v>
      </c>
      <c r="BG46" s="15" t="s">
        <v>227</v>
      </c>
    </row>
    <row r="47" spans="12:59" x14ac:dyDescent="0.5">
      <c r="P47" s="1" t="s">
        <v>426</v>
      </c>
      <c r="Q47" s="1" t="s">
        <v>324</v>
      </c>
      <c r="W47" s="1" t="s">
        <v>426</v>
      </c>
      <c r="X47" s="1" t="s">
        <v>324</v>
      </c>
      <c r="Y47" s="1" t="s">
        <v>641</v>
      </c>
      <c r="AA47" s="1" t="s">
        <v>224</v>
      </c>
      <c r="AB47" s="1" t="s">
        <v>642</v>
      </c>
      <c r="AP47" s="2"/>
      <c r="AR47" s="1" t="s">
        <v>640</v>
      </c>
      <c r="AT47" s="1" t="s">
        <v>397</v>
      </c>
      <c r="AU47" s="1" t="s">
        <v>217</v>
      </c>
      <c r="BC47" s="15" t="s">
        <v>559</v>
      </c>
      <c r="BD47" s="15" t="s">
        <v>402</v>
      </c>
      <c r="BE47" s="15" t="s">
        <v>543</v>
      </c>
      <c r="BF47" s="16" t="s">
        <v>423</v>
      </c>
      <c r="BG47" s="15" t="s">
        <v>477</v>
      </c>
    </row>
    <row r="48" spans="12:59" x14ac:dyDescent="0.5">
      <c r="P48" s="1" t="s">
        <v>426</v>
      </c>
      <c r="Q48" s="1" t="s">
        <v>562</v>
      </c>
      <c r="W48" s="1" t="s">
        <v>426</v>
      </c>
      <c r="X48" s="1" t="s">
        <v>562</v>
      </c>
      <c r="Y48" s="1" t="s">
        <v>643</v>
      </c>
      <c r="AA48" s="1" t="s">
        <v>508</v>
      </c>
      <c r="AB48" s="1" t="s">
        <v>237</v>
      </c>
      <c r="AR48" s="1" t="s">
        <v>641</v>
      </c>
      <c r="AT48" s="1" t="s">
        <v>224</v>
      </c>
      <c r="AU48" s="1" t="s">
        <v>642</v>
      </c>
      <c r="BC48" s="15" t="s">
        <v>606</v>
      </c>
      <c r="BD48" s="14" t="s">
        <v>219</v>
      </c>
      <c r="BE48" s="16" t="s">
        <v>616</v>
      </c>
      <c r="BF48" s="15" t="s">
        <v>454</v>
      </c>
      <c r="BG48" s="15" t="s">
        <v>510</v>
      </c>
    </row>
    <row r="49" spans="16:59" x14ac:dyDescent="0.5">
      <c r="P49" s="1" t="s">
        <v>644</v>
      </c>
      <c r="Q49" s="1" t="s">
        <v>645</v>
      </c>
      <c r="W49" s="1" t="s">
        <v>644</v>
      </c>
      <c r="X49" s="1" t="s">
        <v>645</v>
      </c>
      <c r="Y49" s="1" t="s">
        <v>328</v>
      </c>
      <c r="AA49" s="1" t="s">
        <v>530</v>
      </c>
      <c r="AB49" s="1" t="s">
        <v>235</v>
      </c>
      <c r="AR49" s="1" t="s">
        <v>643</v>
      </c>
      <c r="AT49" s="1" t="s">
        <v>508</v>
      </c>
      <c r="AU49" s="1" t="s">
        <v>237</v>
      </c>
      <c r="BC49" s="15" t="s">
        <v>308</v>
      </c>
      <c r="BD49" s="16" t="s">
        <v>412</v>
      </c>
      <c r="BE49" s="15" t="s">
        <v>542</v>
      </c>
      <c r="BF49" s="16" t="s">
        <v>536</v>
      </c>
      <c r="BG49" s="15" t="s">
        <v>329</v>
      </c>
    </row>
    <row r="50" spans="16:59" x14ac:dyDescent="0.5">
      <c r="P50" s="1" t="s">
        <v>228</v>
      </c>
      <c r="Q50" s="1" t="s">
        <v>532</v>
      </c>
      <c r="W50" s="1" t="s">
        <v>228</v>
      </c>
      <c r="X50" s="1" t="s">
        <v>532</v>
      </c>
      <c r="Y50" s="1" t="s">
        <v>459</v>
      </c>
      <c r="AA50" s="1" t="s">
        <v>312</v>
      </c>
      <c r="AB50" s="1" t="s">
        <v>561</v>
      </c>
      <c r="AR50" s="1" t="s">
        <v>328</v>
      </c>
      <c r="AT50" s="1" t="s">
        <v>530</v>
      </c>
      <c r="AU50" s="1" t="s">
        <v>235</v>
      </c>
      <c r="BC50" s="15" t="s">
        <v>561</v>
      </c>
      <c r="BD50" s="15" t="s">
        <v>524</v>
      </c>
      <c r="BE50" s="16" t="s">
        <v>606</v>
      </c>
      <c r="BF50" s="16" t="s">
        <v>415</v>
      </c>
      <c r="BG50" s="15" t="s">
        <v>385</v>
      </c>
    </row>
    <row r="51" spans="16:59" x14ac:dyDescent="0.5">
      <c r="P51" s="1" t="s">
        <v>646</v>
      </c>
      <c r="Q51" s="1" t="s">
        <v>647</v>
      </c>
      <c r="W51" s="1" t="s">
        <v>646</v>
      </c>
      <c r="X51" s="1" t="s">
        <v>647</v>
      </c>
      <c r="Y51" s="1" t="s">
        <v>648</v>
      </c>
      <c r="AA51" s="1" t="s">
        <v>536</v>
      </c>
      <c r="AB51" s="1" t="s">
        <v>583</v>
      </c>
      <c r="AR51" s="1" t="s">
        <v>459</v>
      </c>
      <c r="AT51" s="1" t="s">
        <v>312</v>
      </c>
      <c r="AU51" s="1" t="s">
        <v>561</v>
      </c>
      <c r="BC51" s="15" t="s">
        <v>541</v>
      </c>
      <c r="BD51" s="15" t="s">
        <v>52</v>
      </c>
      <c r="BE51" s="15" t="s">
        <v>231</v>
      </c>
      <c r="BF51" s="16" t="s">
        <v>495</v>
      </c>
      <c r="BG51" s="15" t="s">
        <v>591</v>
      </c>
    </row>
    <row r="52" spans="16:59" x14ac:dyDescent="0.5">
      <c r="P52" s="1" t="s">
        <v>614</v>
      </c>
      <c r="Q52" s="1" t="s">
        <v>635</v>
      </c>
      <c r="W52" s="1" t="s">
        <v>614</v>
      </c>
      <c r="X52" s="1" t="s">
        <v>635</v>
      </c>
      <c r="Y52" s="1" t="s">
        <v>583</v>
      </c>
      <c r="AA52" s="1" t="s">
        <v>490</v>
      </c>
      <c r="AB52" s="1" t="s">
        <v>649</v>
      </c>
      <c r="AR52" s="1" t="s">
        <v>648</v>
      </c>
      <c r="AT52" s="1" t="s">
        <v>536</v>
      </c>
      <c r="AU52" s="1" t="s">
        <v>583</v>
      </c>
      <c r="BC52" s="15" t="s">
        <v>604</v>
      </c>
      <c r="BD52" s="13" t="s">
        <v>482</v>
      </c>
      <c r="BE52" s="14" t="s">
        <v>308</v>
      </c>
      <c r="BF52" s="15" t="s">
        <v>440</v>
      </c>
      <c r="BG52" s="15" t="s">
        <v>612</v>
      </c>
    </row>
    <row r="53" spans="16:59" x14ac:dyDescent="0.5">
      <c r="P53" s="1" t="s">
        <v>532</v>
      </c>
      <c r="Q53" s="1" t="s">
        <v>534</v>
      </c>
      <c r="W53" s="1" t="s">
        <v>532</v>
      </c>
      <c r="X53" s="1" t="s">
        <v>534</v>
      </c>
      <c r="AA53" s="1" t="s">
        <v>650</v>
      </c>
      <c r="AB53" s="1" t="s">
        <v>651</v>
      </c>
      <c r="AR53" s="1" t="s">
        <v>583</v>
      </c>
      <c r="AT53" s="1" t="s">
        <v>490</v>
      </c>
      <c r="AU53" s="1" t="s">
        <v>649</v>
      </c>
      <c r="BC53" s="15" t="s">
        <v>428</v>
      </c>
      <c r="BD53" s="15" t="s">
        <v>539</v>
      </c>
      <c r="BE53" s="13" t="s">
        <v>541</v>
      </c>
      <c r="BF53" s="16" t="s">
        <v>552</v>
      </c>
      <c r="BG53" s="15" t="s">
        <v>500</v>
      </c>
    </row>
    <row r="54" spans="16:59" x14ac:dyDescent="0.5">
      <c r="P54" s="1" t="s">
        <v>548</v>
      </c>
      <c r="Q54" s="1" t="s">
        <v>231</v>
      </c>
      <c r="W54" s="1" t="s">
        <v>548</v>
      </c>
      <c r="X54" s="1" t="s">
        <v>231</v>
      </c>
      <c r="AA54" s="1" t="s">
        <v>652</v>
      </c>
      <c r="AB54" s="1" t="s">
        <v>231</v>
      </c>
      <c r="AT54" s="1" t="s">
        <v>650</v>
      </c>
      <c r="AU54" s="1" t="s">
        <v>651</v>
      </c>
      <c r="BC54" s="15" t="s">
        <v>234</v>
      </c>
      <c r="BD54" s="15" t="s">
        <v>453</v>
      </c>
      <c r="BE54" s="14" t="s">
        <v>571</v>
      </c>
      <c r="BF54" s="15" t="s">
        <v>412</v>
      </c>
      <c r="BG54" s="15" t="s">
        <v>542</v>
      </c>
    </row>
    <row r="55" spans="16:59" x14ac:dyDescent="0.5">
      <c r="P55" s="1" t="s">
        <v>230</v>
      </c>
      <c r="Q55" s="1" t="s">
        <v>507</v>
      </c>
      <c r="W55" s="1" t="s">
        <v>230</v>
      </c>
      <c r="X55" s="1" t="s">
        <v>507</v>
      </c>
      <c r="AA55" s="1" t="s">
        <v>543</v>
      </c>
      <c r="AB55" s="1" t="s">
        <v>653</v>
      </c>
      <c r="AT55" s="1" t="s">
        <v>652</v>
      </c>
      <c r="AU55" s="1" t="s">
        <v>231</v>
      </c>
      <c r="BC55" s="15" t="s">
        <v>381</v>
      </c>
      <c r="BD55" s="16" t="s">
        <v>555</v>
      </c>
      <c r="BE55" s="16" t="s">
        <v>578</v>
      </c>
      <c r="BF55" s="16" t="s">
        <v>355</v>
      </c>
      <c r="BG55" s="15" t="s">
        <v>308</v>
      </c>
    </row>
    <row r="56" spans="16:59" x14ac:dyDescent="0.5">
      <c r="P56" s="1" t="s">
        <v>385</v>
      </c>
      <c r="Q56" s="1" t="s">
        <v>561</v>
      </c>
      <c r="W56" s="1" t="s">
        <v>385</v>
      </c>
      <c r="X56" s="1" t="s">
        <v>561</v>
      </c>
      <c r="AA56" s="1" t="s">
        <v>654</v>
      </c>
      <c r="AB56" s="1" t="s">
        <v>586</v>
      </c>
      <c r="AT56" s="1" t="s">
        <v>543</v>
      </c>
      <c r="AU56" s="1" t="s">
        <v>653</v>
      </c>
      <c r="BC56" s="17"/>
      <c r="BD56" s="14" t="s">
        <v>465</v>
      </c>
      <c r="BE56" s="14" t="s">
        <v>569</v>
      </c>
      <c r="BF56" s="15" t="s">
        <v>570</v>
      </c>
      <c r="BG56" s="15" t="s">
        <v>541</v>
      </c>
    </row>
    <row r="57" spans="16:59" x14ac:dyDescent="0.5">
      <c r="P57" s="1" t="s">
        <v>655</v>
      </c>
      <c r="Q57" s="1" t="s">
        <v>541</v>
      </c>
      <c r="W57" s="1" t="s">
        <v>655</v>
      </c>
      <c r="X57" s="1" t="s">
        <v>541</v>
      </c>
      <c r="AA57" s="1" t="s">
        <v>504</v>
      </c>
      <c r="AB57" s="1" t="s">
        <v>411</v>
      </c>
      <c r="AT57" s="1" t="s">
        <v>654</v>
      </c>
      <c r="AU57" s="1" t="s">
        <v>586</v>
      </c>
      <c r="BD57" s="16" t="s">
        <v>537</v>
      </c>
      <c r="BE57" s="15" t="s">
        <v>586</v>
      </c>
      <c r="BF57" s="15" t="s">
        <v>284</v>
      </c>
      <c r="BG57" s="15" t="s">
        <v>486</v>
      </c>
    </row>
    <row r="58" spans="16:59" x14ac:dyDescent="0.5">
      <c r="P58" s="1" t="s">
        <v>231</v>
      </c>
      <c r="Q58" s="1" t="s">
        <v>232</v>
      </c>
      <c r="W58" s="1" t="s">
        <v>231</v>
      </c>
      <c r="X58" s="1" t="s">
        <v>232</v>
      </c>
      <c r="AA58" s="1" t="s">
        <v>656</v>
      </c>
      <c r="AB58" s="1" t="s">
        <v>657</v>
      </c>
      <c r="AT58" s="1" t="s">
        <v>504</v>
      </c>
      <c r="AU58" s="1" t="s">
        <v>411</v>
      </c>
      <c r="BD58" s="15" t="s">
        <v>490</v>
      </c>
      <c r="BE58" s="13"/>
      <c r="BF58" s="15" t="s">
        <v>358</v>
      </c>
      <c r="BG58" s="15" t="s">
        <v>569</v>
      </c>
    </row>
    <row r="59" spans="16:59" x14ac:dyDescent="0.5">
      <c r="P59" s="1" t="s">
        <v>507</v>
      </c>
      <c r="Q59" s="1" t="s">
        <v>658</v>
      </c>
      <c r="W59" s="1" t="s">
        <v>507</v>
      </c>
      <c r="X59" s="1" t="s">
        <v>658</v>
      </c>
      <c r="AA59" s="1" t="s">
        <v>659</v>
      </c>
      <c r="AB59" s="1" t="s">
        <v>660</v>
      </c>
      <c r="AT59" s="1" t="s">
        <v>656</v>
      </c>
      <c r="AU59" s="1" t="s">
        <v>657</v>
      </c>
      <c r="BC59" s="2"/>
      <c r="BD59" s="15" t="s">
        <v>556</v>
      </c>
      <c r="BE59" s="13"/>
      <c r="BF59" s="15" t="s">
        <v>221</v>
      </c>
      <c r="BG59" s="15" t="s">
        <v>236</v>
      </c>
    </row>
    <row r="60" spans="16:59" x14ac:dyDescent="0.5">
      <c r="P60" s="1" t="s">
        <v>648</v>
      </c>
      <c r="Q60" s="1" t="s">
        <v>430</v>
      </c>
      <c r="W60" s="1" t="s">
        <v>648</v>
      </c>
      <c r="X60" s="1" t="s">
        <v>430</v>
      </c>
      <c r="AA60" s="1" t="s">
        <v>661</v>
      </c>
      <c r="AB60" s="1" t="s">
        <v>662</v>
      </c>
      <c r="AT60" s="1" t="s">
        <v>659</v>
      </c>
      <c r="AU60" s="1" t="s">
        <v>660</v>
      </c>
      <c r="BD60" s="16" t="s">
        <v>544</v>
      </c>
      <c r="BE60" s="13"/>
      <c r="BF60" s="15" t="s">
        <v>487</v>
      </c>
      <c r="BG60" s="15"/>
    </row>
    <row r="61" spans="16:59" x14ac:dyDescent="0.5">
      <c r="P61" s="1" t="s">
        <v>456</v>
      </c>
      <c r="Q61" s="1" t="s">
        <v>400</v>
      </c>
      <c r="W61" s="1" t="s">
        <v>456</v>
      </c>
      <c r="X61" s="1" t="s">
        <v>400</v>
      </c>
      <c r="AA61" s="1" t="s">
        <v>284</v>
      </c>
      <c r="AB61" s="1" t="s">
        <v>663</v>
      </c>
      <c r="AT61" s="1" t="s">
        <v>661</v>
      </c>
      <c r="AU61" s="1" t="s">
        <v>662</v>
      </c>
      <c r="BD61" s="15" t="s">
        <v>452</v>
      </c>
      <c r="BE61" s="13"/>
      <c r="BF61" s="15" t="s">
        <v>488</v>
      </c>
      <c r="BG61" s="15"/>
    </row>
    <row r="62" spans="16:59" x14ac:dyDescent="0.5">
      <c r="P62" s="1" t="s">
        <v>613</v>
      </c>
      <c r="Q62" s="1" t="s">
        <v>569</v>
      </c>
      <c r="W62" s="1" t="s">
        <v>613</v>
      </c>
      <c r="X62" s="1" t="s">
        <v>569</v>
      </c>
      <c r="AA62" s="1" t="s">
        <v>230</v>
      </c>
      <c r="AB62" s="1" t="s">
        <v>664</v>
      </c>
      <c r="AT62" s="1" t="s">
        <v>284</v>
      </c>
      <c r="AU62" s="1" t="s">
        <v>663</v>
      </c>
      <c r="BD62" s="16" t="s">
        <v>473</v>
      </c>
      <c r="BE62" s="13"/>
      <c r="BF62" s="15" t="s">
        <v>285</v>
      </c>
      <c r="BG62" s="15"/>
    </row>
    <row r="63" spans="16:59" x14ac:dyDescent="0.5">
      <c r="P63" s="1" t="s">
        <v>467</v>
      </c>
      <c r="Q63" s="1" t="s">
        <v>235</v>
      </c>
      <c r="W63" s="1" t="s">
        <v>467</v>
      </c>
      <c r="X63" s="1" t="s">
        <v>235</v>
      </c>
      <c r="AA63" s="1" t="s">
        <v>665</v>
      </c>
      <c r="AT63" s="1" t="s">
        <v>230</v>
      </c>
      <c r="AU63" s="1" t="s">
        <v>664</v>
      </c>
      <c r="BC63" s="2"/>
      <c r="BD63" s="16" t="s">
        <v>496</v>
      </c>
      <c r="BE63" s="13"/>
      <c r="BF63" s="16" t="s">
        <v>309</v>
      </c>
      <c r="BG63" s="15"/>
    </row>
    <row r="64" spans="16:59" x14ac:dyDescent="0.5">
      <c r="Q64" s="1" t="s">
        <v>236</v>
      </c>
      <c r="X64" s="1" t="s">
        <v>236</v>
      </c>
      <c r="AA64" s="1" t="s">
        <v>594</v>
      </c>
      <c r="AT64" s="1" t="s">
        <v>665</v>
      </c>
      <c r="BD64" s="15" t="s">
        <v>226</v>
      </c>
      <c r="BE64" s="13"/>
      <c r="BF64" s="15" t="s">
        <v>227</v>
      </c>
      <c r="BG64" s="15"/>
    </row>
    <row r="65" spans="17:59" x14ac:dyDescent="0.5">
      <c r="Q65" s="1" t="s">
        <v>237</v>
      </c>
      <c r="X65" s="1" t="s">
        <v>237</v>
      </c>
      <c r="AA65" s="1" t="s">
        <v>640</v>
      </c>
      <c r="AT65" s="1" t="s">
        <v>594</v>
      </c>
      <c r="BD65" s="13" t="s">
        <v>553</v>
      </c>
      <c r="BE65" s="13"/>
      <c r="BF65" s="16" t="s">
        <v>477</v>
      </c>
      <c r="BG65" s="15"/>
    </row>
    <row r="66" spans="17:59" x14ac:dyDescent="0.5">
      <c r="Q66" s="1" t="s">
        <v>666</v>
      </c>
      <c r="X66" s="1" t="s">
        <v>666</v>
      </c>
      <c r="AA66" s="1" t="s">
        <v>667</v>
      </c>
      <c r="AT66" s="1" t="s">
        <v>640</v>
      </c>
      <c r="BD66" s="14" t="s">
        <v>512</v>
      </c>
      <c r="BE66" s="13"/>
      <c r="BF66" s="15" t="s">
        <v>510</v>
      </c>
      <c r="BG66" s="15"/>
    </row>
    <row r="67" spans="17:59" x14ac:dyDescent="0.5">
      <c r="AA67" s="1" t="s">
        <v>668</v>
      </c>
      <c r="AT67" s="1" t="s">
        <v>667</v>
      </c>
      <c r="BD67" s="16" t="s">
        <v>595</v>
      </c>
      <c r="BE67" s="13"/>
      <c r="BF67" s="15" t="s">
        <v>529</v>
      </c>
      <c r="BG67" s="15"/>
    </row>
    <row r="68" spans="17:59" x14ac:dyDescent="0.5">
      <c r="AA68" s="1" t="s">
        <v>589</v>
      </c>
      <c r="AT68" s="1" t="s">
        <v>668</v>
      </c>
      <c r="BD68" s="13" t="s">
        <v>438</v>
      </c>
      <c r="BE68" s="13"/>
      <c r="BF68" s="15" t="s">
        <v>329</v>
      </c>
      <c r="BG68" s="15"/>
    </row>
    <row r="69" spans="17:59" x14ac:dyDescent="0.5">
      <c r="AT69" s="1" t="s">
        <v>589</v>
      </c>
      <c r="BD69" s="15" t="s">
        <v>426</v>
      </c>
      <c r="BE69" s="13"/>
      <c r="BF69" s="15" t="s">
        <v>385</v>
      </c>
      <c r="BG69" s="15"/>
    </row>
    <row r="70" spans="17:59" x14ac:dyDescent="0.5">
      <c r="BD70" s="16" t="s">
        <v>607</v>
      </c>
      <c r="BE70" s="18"/>
      <c r="BF70" s="15" t="s">
        <v>591</v>
      </c>
      <c r="BG70" s="15"/>
    </row>
    <row r="71" spans="17:59" x14ac:dyDescent="0.5">
      <c r="BD71" s="15" t="s">
        <v>228</v>
      </c>
      <c r="BF71" s="15" t="s">
        <v>413</v>
      </c>
      <c r="BG71" s="15"/>
    </row>
    <row r="72" spans="17:59" x14ac:dyDescent="0.5">
      <c r="BD72" s="15" t="s">
        <v>543</v>
      </c>
      <c r="BF72" s="16" t="s">
        <v>612</v>
      </c>
      <c r="BG72" s="15"/>
    </row>
    <row r="73" spans="17:59" x14ac:dyDescent="0.5">
      <c r="BD73" s="16" t="s">
        <v>510</v>
      </c>
      <c r="BF73" s="15" t="s">
        <v>357</v>
      </c>
      <c r="BG73" s="15"/>
    </row>
    <row r="74" spans="17:59" x14ac:dyDescent="0.5">
      <c r="BD74" s="13" t="s">
        <v>579</v>
      </c>
      <c r="BF74" s="16" t="s">
        <v>500</v>
      </c>
      <c r="BG74" s="15"/>
    </row>
    <row r="75" spans="17:59" x14ac:dyDescent="0.5">
      <c r="BD75" s="14" t="s">
        <v>583</v>
      </c>
      <c r="BF75" s="15" t="s">
        <v>542</v>
      </c>
      <c r="BG75" s="15"/>
    </row>
    <row r="76" spans="17:59" x14ac:dyDescent="0.5">
      <c r="BD76" s="13" t="s">
        <v>587</v>
      </c>
      <c r="BF76" s="15" t="s">
        <v>559</v>
      </c>
      <c r="BG76" s="15"/>
    </row>
    <row r="77" spans="17:59" x14ac:dyDescent="0.5">
      <c r="BD77" s="16" t="s">
        <v>616</v>
      </c>
      <c r="BF77" s="16" t="s">
        <v>308</v>
      </c>
      <c r="BG77" s="15"/>
    </row>
    <row r="78" spans="17:59" x14ac:dyDescent="0.5">
      <c r="BD78" s="16" t="s">
        <v>500</v>
      </c>
      <c r="BF78" s="16" t="s">
        <v>564</v>
      </c>
      <c r="BG78" s="15"/>
    </row>
    <row r="79" spans="17:59" x14ac:dyDescent="0.5">
      <c r="BD79" s="15" t="s">
        <v>542</v>
      </c>
      <c r="BF79" s="15" t="s">
        <v>541</v>
      </c>
      <c r="BG79" s="15"/>
    </row>
    <row r="80" spans="17:59" x14ac:dyDescent="0.5">
      <c r="BD80" s="14" t="s">
        <v>592</v>
      </c>
      <c r="BF80" s="15" t="s">
        <v>486</v>
      </c>
      <c r="BG80" s="15"/>
    </row>
    <row r="81" spans="56:59" x14ac:dyDescent="0.5">
      <c r="BD81" s="16" t="s">
        <v>606</v>
      </c>
      <c r="BF81" s="16" t="s">
        <v>519</v>
      </c>
      <c r="BG81" s="16"/>
    </row>
    <row r="82" spans="56:59" x14ac:dyDescent="0.5">
      <c r="BD82" s="13" t="s">
        <v>598</v>
      </c>
      <c r="BF82" s="15" t="s">
        <v>560</v>
      </c>
      <c r="BG82" s="15"/>
    </row>
    <row r="83" spans="56:59" x14ac:dyDescent="0.5">
      <c r="BD83" s="15" t="s">
        <v>231</v>
      </c>
      <c r="BF83" s="16" t="s">
        <v>430</v>
      </c>
      <c r="BG83" s="16"/>
    </row>
    <row r="84" spans="56:59" x14ac:dyDescent="0.5">
      <c r="BD84" s="16" t="s">
        <v>604</v>
      </c>
      <c r="BF84" s="16" t="s">
        <v>400</v>
      </c>
      <c r="BG84" s="15"/>
    </row>
    <row r="85" spans="56:59" x14ac:dyDescent="0.5">
      <c r="BD85" s="13" t="s">
        <v>456</v>
      </c>
      <c r="BF85" s="15" t="s">
        <v>569</v>
      </c>
      <c r="BG85" s="15"/>
    </row>
    <row r="86" spans="56:59" x14ac:dyDescent="0.5">
      <c r="BD86" s="15" t="s">
        <v>613</v>
      </c>
      <c r="BF86" s="19" t="s">
        <v>236</v>
      </c>
      <c r="BG86" s="15"/>
    </row>
    <row r="87" spans="56:59" x14ac:dyDescent="0.5">
      <c r="BD87" s="16" t="s">
        <v>578</v>
      </c>
      <c r="BF87" s="16" t="s">
        <v>237</v>
      </c>
      <c r="BG87" s="19"/>
    </row>
    <row r="88" spans="56:59" x14ac:dyDescent="0.5">
      <c r="BD88" s="15" t="s">
        <v>586</v>
      </c>
      <c r="BF88" s="16" t="s">
        <v>219</v>
      </c>
    </row>
    <row r="89" spans="56:59" x14ac:dyDescent="0.5">
      <c r="BD89" s="16"/>
      <c r="BF89" s="16" t="s">
        <v>490</v>
      </c>
    </row>
    <row r="90" spans="56:59" x14ac:dyDescent="0.5">
      <c r="BD90" s="16"/>
      <c r="BF90" s="16"/>
    </row>
    <row r="91" spans="56:59" x14ac:dyDescent="0.5">
      <c r="BD91" s="15"/>
      <c r="BF91" s="16"/>
    </row>
    <row r="92" spans="56:59" x14ac:dyDescent="0.5">
      <c r="BD92" s="16"/>
      <c r="BF92" s="19"/>
    </row>
    <row r="93" spans="56:59" x14ac:dyDescent="0.5">
      <c r="BD93" s="16"/>
    </row>
    <row r="94" spans="56:59" x14ac:dyDescent="0.5">
      <c r="BD94" s="16"/>
    </row>
    <row r="95" spans="56:59" x14ac:dyDescent="0.5">
      <c r="BD95" s="16"/>
    </row>
    <row r="96" spans="56:59" x14ac:dyDescent="0.5">
      <c r="BD96" s="16"/>
    </row>
    <row r="97" spans="56:56" x14ac:dyDescent="0.5">
      <c r="BD97" s="15"/>
    </row>
    <row r="98" spans="56:56" x14ac:dyDescent="0.5">
      <c r="BD98" s="16"/>
    </row>
    <row r="99" spans="56:56" x14ac:dyDescent="0.5">
      <c r="BD99" s="16"/>
    </row>
    <row r="100" spans="56:56" x14ac:dyDescent="0.5">
      <c r="BD100" s="16"/>
    </row>
    <row r="101" spans="56:56" x14ac:dyDescent="0.5">
      <c r="BD101" s="16"/>
    </row>
    <row r="102" spans="56:56" x14ac:dyDescent="0.5">
      <c r="BD102" s="16"/>
    </row>
    <row r="103" spans="56:56" x14ac:dyDescent="0.5">
      <c r="BD103" s="14"/>
    </row>
    <row r="104" spans="56:56" x14ac:dyDescent="0.5">
      <c r="BD104" s="16"/>
    </row>
    <row r="105" spans="56:56" x14ac:dyDescent="0.5">
      <c r="BD105" s="16"/>
    </row>
    <row r="106" spans="56:56" x14ac:dyDescent="0.5">
      <c r="BD106" s="16"/>
    </row>
    <row r="107" spans="56:56" x14ac:dyDescent="0.5">
      <c r="BD107" s="16"/>
    </row>
    <row r="108" spans="56:56" x14ac:dyDescent="0.5">
      <c r="BD108" s="19"/>
    </row>
  </sheetData>
  <sortState xmlns:xlrd2="http://schemas.microsoft.com/office/spreadsheetml/2017/richdata2" ref="BC6:BC66">
    <sortCondition ref="BC5:BC66"/>
  </sortState>
  <mergeCells count="12">
    <mergeCell ref="AV3:AZ3"/>
    <mergeCell ref="AR3:AU3"/>
    <mergeCell ref="AL3:AN3"/>
    <mergeCell ref="AO3:AQ3"/>
    <mergeCell ref="BB1:BG1"/>
    <mergeCell ref="AL2:AQ2"/>
    <mergeCell ref="AL1:AZ1"/>
    <mergeCell ref="S1:AG1"/>
    <mergeCell ref="L2:Q2"/>
    <mergeCell ref="S2:X2"/>
    <mergeCell ref="Y2:AB2"/>
    <mergeCell ref="AC2:AG2"/>
  </mergeCells>
  <pageMargins left="0.7" right="0.7" top="0.75" bottom="0.75" header="0.3" footer="0.3"/>
  <legacyDrawing r:id="rId1"/>
  <tableParts count="56">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 r:id="rId55"/>
    <tablePart r:id="rId56"/>
    <tablePart r:id="rId57"/>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9AC520CAB569B54B8400FCA196E34CBB" ma:contentTypeVersion="11" ma:contentTypeDescription="Crear nuevo documento." ma:contentTypeScope="" ma:versionID="0d3609084ddb063b5cee30209fffb50e">
  <xsd:schema xmlns:xsd="http://www.w3.org/2001/XMLSchema" xmlns:xs="http://www.w3.org/2001/XMLSchema" xmlns:p="http://schemas.microsoft.com/office/2006/metadata/properties" xmlns:ns2="5fb26c54-8ae7-4c35-a8dd-e5095fbe886d" xmlns:ns3="91d06b0e-e43f-423b-9ab9-9a6b45a2a239" targetNamespace="http://schemas.microsoft.com/office/2006/metadata/properties" ma:root="true" ma:fieldsID="9a35c40912acb536c870627743568d9d" ns2:_="" ns3:_="">
    <xsd:import namespace="5fb26c54-8ae7-4c35-a8dd-e5095fbe886d"/>
    <xsd:import namespace="91d06b0e-e43f-423b-9ab9-9a6b45a2a239"/>
    <xsd:element name="properties">
      <xsd:complexType>
        <xsd:sequence>
          <xsd:element name="documentManagement">
            <xsd:complexType>
              <xsd:all>
                <xsd:element ref="ns2:lcf76f155ced4ddcb4097134ff3c332f" minOccurs="0"/>
                <xsd:element ref="ns3:TaxCatchAll" minOccurs="0"/>
                <xsd:element ref="ns2:MediaServiceMetadata" minOccurs="0"/>
                <xsd:element ref="ns2:MediaServiceFastMetadata" minOccurs="0"/>
                <xsd:element ref="ns2:MediaServiceSearchProperties" minOccurs="0"/>
                <xsd:element ref="ns2:MediaServiceDateTaken" minOccurs="0"/>
                <xsd:element ref="ns2:MediaServiceObjectDetectorVersions"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fb26c54-8ae7-4c35-a8dd-e5095fbe886d" elementFormDefault="qualified">
    <xsd:import namespace="http://schemas.microsoft.com/office/2006/documentManagement/types"/>
    <xsd:import namespace="http://schemas.microsoft.com/office/infopath/2007/PartnerControls"/>
    <xsd:element name="lcf76f155ced4ddcb4097134ff3c332f" ma:index="9" nillable="true" ma:taxonomy="true" ma:internalName="lcf76f155ced4ddcb4097134ff3c332f" ma:taxonomyFieldName="MediaServiceImageTags" ma:displayName="Etiquetas de imagen" ma:readOnly="false" ma:fieldId="{5cf76f15-5ced-4ddc-b409-7134ff3c332f}" ma:taxonomyMulti="true" ma:sspId="255b28e8-f6d8-41f4-8dfa-69b184ca5cdf" ma:termSetId="09814cd3-568e-fe90-9814-8d621ff8fb84" ma:anchorId="fba54fb3-c3e1-fe81-a776-ca4b69148c4d" ma:open="true" ma:isKeyword="false">
      <xsd:complexType>
        <xsd:sequence>
          <xsd:element ref="pc:Terms" minOccurs="0" maxOccurs="1"/>
        </xsd:sequence>
      </xsd:complex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bjectDetectorVersions" ma:index="15" nillable="true" ma:displayName="MediaServiceObjectDetectorVersions" ma:hidden="true" ma:indexed="true" ma:internalName="MediaServiceObjectDetectorVersions"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1d06b0e-e43f-423b-9ab9-9a6b45a2a239" elementFormDefault="qualified">
    <xsd:import namespace="http://schemas.microsoft.com/office/2006/documentManagement/types"/>
    <xsd:import namespace="http://schemas.microsoft.com/office/infopath/2007/PartnerControls"/>
    <xsd:element name="TaxCatchAll" ma:index="10" nillable="true" ma:displayName="Taxonomy Catch All Column" ma:hidden="true" ma:list="{44157a17-750b-4d05-808c-f0ef143c7511}" ma:internalName="TaxCatchAll" ma:showField="CatchAllData" ma:web="91d06b0e-e43f-423b-9ab9-9a6b45a2a23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5fb26c54-8ae7-4c35-a8dd-e5095fbe886d">
      <Terms xmlns="http://schemas.microsoft.com/office/infopath/2007/PartnerControls"/>
    </lcf76f155ced4ddcb4097134ff3c332f>
    <TaxCatchAll xmlns="91d06b0e-e43f-423b-9ab9-9a6b45a2a239" xsi:nil="true"/>
  </documentManagement>
</p:properties>
</file>

<file path=customXml/itemProps1.xml><?xml version="1.0" encoding="utf-8"?>
<ds:datastoreItem xmlns:ds="http://schemas.openxmlformats.org/officeDocument/2006/customXml" ds:itemID="{9493F5F7-D611-49DF-808E-AFE6C09CB65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fb26c54-8ae7-4c35-a8dd-e5095fbe886d"/>
    <ds:schemaRef ds:uri="91d06b0e-e43f-423b-9ab9-9a6b45a2a23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E715072-900F-43EC-BD52-E1C5E784E778}">
  <ds:schemaRefs>
    <ds:schemaRef ds:uri="http://schemas.microsoft.com/sharepoint/v3/contenttype/forms"/>
  </ds:schemaRefs>
</ds:datastoreItem>
</file>

<file path=customXml/itemProps3.xml><?xml version="1.0" encoding="utf-8"?>
<ds:datastoreItem xmlns:ds="http://schemas.openxmlformats.org/officeDocument/2006/customXml" ds:itemID="{E9F25991-7111-4C83-98CC-569D7D2F527C}">
  <ds:schemaRefs>
    <ds:schemaRef ds:uri="http://schemas.microsoft.com/office/2006/metadata/properties"/>
    <ds:schemaRef ds:uri="http://schemas.microsoft.com/office/infopath/2007/PartnerControls"/>
    <ds:schemaRef ds:uri="5fb26c54-8ae7-4c35-a8dd-e5095fbe886d"/>
    <ds:schemaRef ds:uri="91d06b0e-e43f-423b-9ab9-9a6b45a2a239"/>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7</vt:i4>
      </vt:variant>
      <vt:variant>
        <vt:lpstr>Rangos con nombre</vt:lpstr>
      </vt:variant>
      <vt:variant>
        <vt:i4>60</vt:i4>
      </vt:variant>
    </vt:vector>
  </HeadingPairs>
  <TitlesOfParts>
    <vt:vector size="67" baseType="lpstr">
      <vt:lpstr>Paso1 Analisis perfil egreso</vt:lpstr>
      <vt:lpstr>Paso 2 Redacción competen</vt:lpstr>
      <vt:lpstr>Paso 3 Redacción RA </vt:lpstr>
      <vt:lpstr>Paso 4 Estrategias mesocurricu</vt:lpstr>
      <vt:lpstr>Paso 5 Estrategias micro</vt:lpstr>
      <vt:lpstr>Taxonomía para competencias</vt:lpstr>
      <vt:lpstr>Taxonomias para RA</vt:lpstr>
      <vt:lpstr>actitudinalB</vt:lpstr>
      <vt:lpstr>ActitudinalBAK</vt:lpstr>
      <vt:lpstr>AK</vt:lpstr>
      <vt:lpstr>AnálisisB</vt:lpstr>
      <vt:lpstr>AnálisisBAK</vt:lpstr>
      <vt:lpstr>AnálisisMK</vt:lpstr>
      <vt:lpstr>AnalizarLK</vt:lpstr>
      <vt:lpstr>AplicaciónB</vt:lpstr>
      <vt:lpstr>AplicaciónBAK</vt:lpstr>
      <vt:lpstr>AplicarLK</vt:lpstr>
      <vt:lpstr>BAK</vt:lpstr>
      <vt:lpstr>Bloom</vt:lpstr>
      <vt:lpstr>CaracterizarBAK</vt:lpstr>
      <vt:lpstr>Cognitivo</vt:lpstr>
      <vt:lpstr>CognitivoAK</vt:lpstr>
      <vt:lpstr>cognitivoB</vt:lpstr>
      <vt:lpstr>CognitivoBAK</vt:lpstr>
      <vt:lpstr>competencias</vt:lpstr>
      <vt:lpstr>ComprenderLK</vt:lpstr>
      <vt:lpstr>ComprensionB</vt:lpstr>
      <vt:lpstr>ComprensiónBAK</vt:lpstr>
      <vt:lpstr>ComprensiónMK</vt:lpstr>
      <vt:lpstr>ConceptosLK</vt:lpstr>
      <vt:lpstr>ConocimientoB</vt:lpstr>
      <vt:lpstr>ConocimientoBAK</vt:lpstr>
      <vt:lpstr>Conocimientos</vt:lpstr>
      <vt:lpstr>ControlBAK</vt:lpstr>
      <vt:lpstr>CrearLK</vt:lpstr>
      <vt:lpstr>dominios</vt:lpstr>
      <vt:lpstr>EvaluaciónB</vt:lpstr>
      <vt:lpstr>EvaluaciónBAK</vt:lpstr>
      <vt:lpstr>EvaluarLK</vt:lpstr>
      <vt:lpstr>HechosLK</vt:lpstr>
      <vt:lpstr>ImitaciónBAK</vt:lpstr>
      <vt:lpstr>ManipulaciónBAK</vt:lpstr>
      <vt:lpstr>MetacogniciónLK</vt:lpstr>
      <vt:lpstr>MetacogniciónMK</vt:lpstr>
      <vt:lpstr>MetocogniciónAK</vt:lpstr>
      <vt:lpstr>MK</vt:lpstr>
      <vt:lpstr>OrganizarBAK</vt:lpstr>
      <vt:lpstr>PercepciónBAK</vt:lpstr>
      <vt:lpstr>PrecisiónBAK</vt:lpstr>
      <vt:lpstr>procedimentalB</vt:lpstr>
      <vt:lpstr>ProcedimentalBAK</vt:lpstr>
      <vt:lpstr>ProcedimientosMK</vt:lpstr>
      <vt:lpstr>ProcesosAK</vt:lpstr>
      <vt:lpstr>PsicomotorMK</vt:lpstr>
      <vt:lpstr>RecordarLK</vt:lpstr>
      <vt:lpstr>RecuperaciónMK</vt:lpstr>
      <vt:lpstr>ResponderBAK</vt:lpstr>
      <vt:lpstr>resultadoaprendizaje</vt:lpstr>
      <vt:lpstr>Saberhacer</vt:lpstr>
      <vt:lpstr>saberser</vt:lpstr>
      <vt:lpstr>SíntesisB</vt:lpstr>
      <vt:lpstr>SíntesisBAK</vt:lpstr>
      <vt:lpstr>SistemadelYoMK</vt:lpstr>
      <vt:lpstr>taxonomiasra</vt:lpstr>
      <vt:lpstr>UsoConocimientoMK</vt:lpstr>
      <vt:lpstr>ValorarBAK</vt:lpstr>
      <vt:lpstr>Verboscompetencias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Diana Shirley Velasquez Rojas</dc:creator>
  <cp:keywords/>
  <dc:description/>
  <cp:lastModifiedBy>Maria Isabel Cortes Cortes</cp:lastModifiedBy>
  <cp:revision/>
  <dcterms:created xsi:type="dcterms:W3CDTF">2021-03-03T13:22:18Z</dcterms:created>
  <dcterms:modified xsi:type="dcterms:W3CDTF">2026-04-21T20:13:42Z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0x0101009AC520CAB569B54B8400FCA196E34CBB</vt:lpwstr>
  </property>
</Properties>
</file>