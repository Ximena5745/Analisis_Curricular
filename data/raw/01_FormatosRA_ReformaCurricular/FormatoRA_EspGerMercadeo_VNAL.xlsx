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comments6.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d.docs.live.net/5f15395a9ed9a48f/Proyectos_DS/Analisis_Curricular/data/raw/01_FormatosRA_ReformaCurricular/"/>
    </mc:Choice>
  </mc:AlternateContent>
  <xr:revisionPtr revIDLastSave="6" documentId="13_ncr:1_{4A644C99-43BB-4A2D-A390-707205923635}" xr6:coauthVersionLast="47" xr6:coauthVersionMax="47" xr10:uidLastSave="{F30B1EEA-2673-4C7B-B103-BB91BE5DBC39}"/>
  <bookViews>
    <workbookView xWindow="-108" yWindow="-108" windowWidth="23256" windowHeight="12456" firstSheet="3" activeTab="4" xr2:uid="{BD68381A-4EB3-42BA-ADD5-D7B5B6C7E498}"/>
  </bookViews>
  <sheets>
    <sheet name="Paso1 Analisis perfil egreso" sheetId="1" r:id="rId1"/>
    <sheet name="Paso 2 Redacción competen" sheetId="6" r:id="rId2"/>
    <sheet name="Paso 3 Redacción RA " sheetId="5" r:id="rId3"/>
    <sheet name="Paso 4 Estrategias mesocurricu" sheetId="8" r:id="rId4"/>
    <sheet name="Paso 5 Estrategias micro" sheetId="7" r:id="rId5"/>
    <sheet name="Taxonomía para competencias" sheetId="10" r:id="rId6"/>
    <sheet name="Taxonomias para RA" sheetId="9" r:id="rId7"/>
  </sheets>
  <definedNames>
    <definedName name="_xlnm._FilterDatabase" localSheetId="4" hidden="1">'Paso 5 Estrategias micro'!$B$1:$Q$30</definedName>
    <definedName name="actitudinalB">Tabla5785[ActitudinalB]</definedName>
    <definedName name="ActitudinalBAK">'Taxonomias para RA'!$AC$3:$AG$3</definedName>
    <definedName name="AK">Tabla5987[AK]</definedName>
    <definedName name="AnálisisB">Tabla385280[AnálisisB]</definedName>
    <definedName name="AnálisisBAK">Tabla3865[AnálisisBAK]</definedName>
    <definedName name="AnálisisMK">Tabla99[AnálisisMK]</definedName>
    <definedName name="AnalizarLK">Tabla2129[AnalizarLK]</definedName>
    <definedName name="AplicaciónB">Tabla375179[AplicaciónB]</definedName>
    <definedName name="AplicaciónBAK">Tabla3764[AplicaciónBAK]</definedName>
    <definedName name="AplicarLK">Tabla2028[AplicarLK]</definedName>
    <definedName name="áreasprofesionales">#REF!</definedName>
    <definedName name="BAK">Tabla5886[BAK]</definedName>
    <definedName name="Bloom">'Taxonomias para RA'!$G$3:$I$3</definedName>
    <definedName name="CaracterizarBAK">Tabla4776[CaracterizarBAK]</definedName>
    <definedName name="Cognitivo">'Paso1 Analisis perfil egreso'!$E$3:$E$16</definedName>
    <definedName name="CognitivoAK">'Taxonomias para RA'!$AL$4:$AQ$4</definedName>
    <definedName name="cognitivoB">Tabla5583[CognitivoB]</definedName>
    <definedName name="CognitivoBAK">'Taxonomias para RA'!$S$3:$X$3</definedName>
    <definedName name="competencias">'Paso 2 Redacción competen'!$F$4:$F$8</definedName>
    <definedName name="ComprenderLK">'Taxonomias para RA'!$AM$5:$AM$27</definedName>
    <definedName name="ComprensionB">Tabla365078[ComprensiónB]</definedName>
    <definedName name="ComprensiónBAK">Tabla3663[ComprensiónBAK]</definedName>
    <definedName name="ComprensiónMK">Tabla98[ComprensiónMK]</definedName>
    <definedName name="ConceptosLK">Tabla91[ConceptosAK]</definedName>
    <definedName name="ConocimientoB">Tabla354977[ConocimientoB]</definedName>
    <definedName name="ConocimientoBAK">Tabla3555[ConocimientoBAK]</definedName>
    <definedName name="Conocimientos">'Paso1 Analisis perfil egreso'!$E$3:$E$16</definedName>
    <definedName name="ControlBAK">Tabla4271[ControlBAK]</definedName>
    <definedName name="CrearLK">Tabla2333[CrearLK]</definedName>
    <definedName name="dominios">'Paso1 Analisis perfil egreso'!$E$2:$G$2</definedName>
    <definedName name="EvaluaciónB">Tabla405482[EvaluaciónB]</definedName>
    <definedName name="EvaluaciónBAK">Tabla4067[EvaluaciónBAK]</definedName>
    <definedName name="EvaluarLK">'Taxonomias para RA'!$AP$5:$AP$46</definedName>
    <definedName name="HechosLK">Tabla90[CognitivoAK]</definedName>
    <definedName name="ImitaciónBAK">Tabla1168[ImitaciónBAK]</definedName>
    <definedName name="ManipulaciónBAK">Tabla3069[ManipulaciónBAK]</definedName>
    <definedName name="MetacogniciónLK">Tabla93[MetacogniciónAK]</definedName>
    <definedName name="MetacogniciónMK">Tabla101[MetacogniciónMK]</definedName>
    <definedName name="MetocogniciónAK">Tabla101[MetacogniciónMK]</definedName>
    <definedName name="MK">Tabla6088[MK]</definedName>
    <definedName name="ocupacional">'Paso1 Analisis perfil egreso'!#REF!</definedName>
    <definedName name="OrganizarBAK">Tabla4675[OrganizarBAK]</definedName>
    <definedName name="PercepciónBAK">'Taxonomias para RA'!$AC$4:$AC$40</definedName>
    <definedName name="poblacionactuacion">#REF!</definedName>
    <definedName name="poblaciones">#REF!</definedName>
    <definedName name="poblacionesactuación">#REF!</definedName>
    <definedName name="PrecisiónBAK">Tabla4170[PrecisiónBAK]</definedName>
    <definedName name="procedimentalB">Tabla5684[ProcedimentalB]</definedName>
    <definedName name="ProcedimentalBAK">'Taxonomias para RA'!$Y$3:$AB$3</definedName>
    <definedName name="ProcedimientosMK">Tabla92[ProcedimientosAK]</definedName>
    <definedName name="ProcesosAK">ProcesosMentalesMK[ProcesosMentalesMK]</definedName>
    <definedName name="PsicomotorMK">Tabla96[PsicomotorMK]</definedName>
    <definedName name="RecordarLK">'Taxonomias para RA'!$AL$5:$AL$27</definedName>
    <definedName name="RecuperaciónMK">'Taxonomias para RA'!$BB$5:$BB$27</definedName>
    <definedName name="ResponderBAK">Tabla4473[ResponderBAK]</definedName>
    <definedName name="resultadoaprendizaje">'Paso 3 Redacción RA '!$I$3:$I$11</definedName>
    <definedName name="Saberhacer">'Paso1 Analisis perfil egreso'!$F$3:$F$15</definedName>
    <definedName name="saberser">'Paso1 Analisis perfil egreso'!$G$3:$G$15</definedName>
    <definedName name="SíntesisB">Tabla395381[SíntesisB]</definedName>
    <definedName name="SíntesisBAK">Tabla3966[SíntesisBAK]</definedName>
    <definedName name="SistemadelYoMK">Tabla11[SistemadelYoMK]</definedName>
    <definedName name="tareas">#REF!</definedName>
    <definedName name="tareasprofesionales">#REF!</definedName>
    <definedName name="taxonomiasra">Tabla1715[Taxonomías]</definedName>
    <definedName name="UsoConocimientoMK">'Taxonomias para RA'!$BE$5:$BE$70</definedName>
    <definedName name="Valoragregado">#REF!</definedName>
    <definedName name="ValorarBAK">Tabla4574[ValorarBAK]</definedName>
    <definedName name="Verboscompetencias">Tabla33103[Verbos Competencias]</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3" i="7" l="1"/>
  <c r="I32" i="7"/>
  <c r="K11" i="7" l="1"/>
  <c r="J11" i="7"/>
  <c r="D31" i="7"/>
  <c r="I31" i="7" l="1"/>
  <c r="K3" i="7" l="1"/>
  <c r="J3" i="7"/>
  <c r="L3" i="7" s="1"/>
  <c r="A30" i="7"/>
  <c r="A29" i="7"/>
  <c r="A28" i="7"/>
  <c r="K28" i="7"/>
  <c r="J28" i="7"/>
  <c r="L28" i="7" s="1"/>
  <c r="A23" i="7"/>
  <c r="A17" i="7"/>
  <c r="A4" i="7"/>
  <c r="A9" i="7"/>
  <c r="A5" i="7"/>
  <c r="A6" i="7"/>
  <c r="A7" i="7"/>
  <c r="A8" i="7"/>
  <c r="A10" i="7"/>
  <c r="A11" i="7"/>
  <c r="A12" i="7"/>
  <c r="A13" i="7"/>
  <c r="A14" i="7"/>
  <c r="A15" i="7"/>
  <c r="A16" i="7"/>
  <c r="A18" i="7"/>
  <c r="A19" i="7"/>
  <c r="A20" i="7"/>
  <c r="A21" i="7"/>
  <c r="A22" i="7"/>
  <c r="A24" i="7"/>
  <c r="A25" i="7"/>
  <c r="A26" i="7"/>
  <c r="A27" i="7"/>
  <c r="A3" i="7"/>
  <c r="J25" i="7" l="1"/>
  <c r="K25" i="7"/>
  <c r="J22" i="7"/>
  <c r="K22" i="7"/>
  <c r="J19" i="7"/>
  <c r="K19" i="7"/>
  <c r="J16" i="7"/>
  <c r="K16" i="7"/>
  <c r="J13" i="7"/>
  <c r="K13" i="7"/>
  <c r="J8" i="7"/>
  <c r="K8" i="7"/>
  <c r="K6" i="7"/>
  <c r="J6" i="7"/>
  <c r="L16" i="7" l="1"/>
  <c r="L8" i="7"/>
  <c r="L6" i="7"/>
  <c r="L19" i="7"/>
  <c r="L22" i="7"/>
  <c r="L25" i="7"/>
  <c r="L13" i="7"/>
  <c r="L11"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21A47D5A-E4D2-4053-8BA4-C9D3E99BBD14}">
      <text>
        <r>
          <rPr>
            <sz val="11"/>
            <color theme="1"/>
            <rFont val="Calibri"/>
            <family val="2"/>
            <scheme val="minor"/>
          </rPr>
          <t>Diana Shirley Velásquez Rojas:
Escriba el perfil del egresado que tiene el programa en su documento maestro o el que se haya ajustado de acuerdo con las tendencias o necesidades del entorno que lo hayan generado.</t>
        </r>
      </text>
    </comment>
    <comment ref="E2" authorId="0" shapeId="0" xr:uid="{BF098D7A-8AA7-497C-8346-25E8CAD9D8A7}">
      <text>
        <r>
          <rPr>
            <b/>
            <sz val="9"/>
            <color indexed="81"/>
            <rFont val="Tahoma"/>
            <family val="2"/>
          </rPr>
          <t>Dir. Currículo:</t>
        </r>
        <r>
          <rPr>
            <sz val="9"/>
            <color indexed="81"/>
            <rFont val="Tahoma"/>
            <family val="2"/>
          </rPr>
          <t xml:space="preserve">
Son los conocimientos generales que caracterizan el saber del egresado.</t>
        </r>
      </text>
    </comment>
    <comment ref="F2" authorId="0" shapeId="0" xr:uid="{13665253-EBD5-4ACA-8ADD-D123250A215D}">
      <text>
        <r>
          <rPr>
            <b/>
            <sz val="9"/>
            <color indexed="81"/>
            <rFont val="Tahoma"/>
            <family val="2"/>
          </rPr>
          <t>Dir. Currículo:</t>
        </r>
        <r>
          <rPr>
            <sz val="9"/>
            <color indexed="81"/>
            <rFont val="Tahoma"/>
            <family val="2"/>
          </rPr>
          <t xml:space="preserve">
Es el conocimiento referente a la ejecución de estrategias, técnicas, habilidades, métodos y procedimientos; implican fuerza, rapidez y precisión; hacen referencia a saber cómo hacer y saber hacer.</t>
        </r>
      </text>
    </comment>
    <comment ref="G2" authorId="0" shapeId="0" xr:uid="{A454A21F-5AEC-47FA-AD63-B279B078678D}">
      <text>
        <r>
          <rPr>
            <b/>
            <sz val="9"/>
            <color indexed="81"/>
            <rFont val="Tahoma"/>
            <family val="2"/>
          </rPr>
          <t>Dir. Currículo:</t>
        </r>
        <r>
          <rPr>
            <sz val="9"/>
            <color indexed="81"/>
            <rFont val="Tahoma"/>
            <family val="2"/>
          </rPr>
          <t xml:space="preserve">
Se refiere a cómo debe ser el egresado en el contexto profesional, abarca los principios, normas, condiciones de contexto y reglas, entre otros.</t>
        </r>
      </text>
    </comment>
    <comment ref="H2" authorId="0" shapeId="0" xr:uid="{79591661-65A2-44C3-9322-8C788EAA9143}">
      <text>
        <r>
          <rPr>
            <b/>
            <sz val="9"/>
            <color indexed="81"/>
            <rFont val="Tahoma"/>
            <family val="2"/>
          </rPr>
          <t>Dir. Currículo:</t>
        </r>
        <r>
          <rPr>
            <sz val="9"/>
            <color indexed="81"/>
            <rFont val="Tahoma"/>
            <family val="2"/>
          </rPr>
          <t xml:space="preserve">
Áreas en las que podrá laborar el profesional.</t>
        </r>
      </text>
    </comment>
    <comment ref="I2" authorId="0" shapeId="0" xr:uid="{6219E277-D93F-4144-BB76-E78325F46F14}">
      <text>
        <r>
          <rPr>
            <b/>
            <sz val="9"/>
            <color indexed="81"/>
            <rFont val="Tahoma"/>
            <family val="2"/>
          </rPr>
          <t>Dir. Currículo:</t>
        </r>
        <r>
          <rPr>
            <sz val="9"/>
            <color indexed="81"/>
            <rFont val="Tahoma"/>
            <family val="2"/>
          </rPr>
          <t xml:space="preserve">
Tareas potenciales que hará el profesional.</t>
        </r>
      </text>
    </comment>
    <comment ref="J2" authorId="0" shapeId="0" xr:uid="{82B61287-1E52-4966-9F38-40276C610773}">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1F50E33F-F17E-46CE-A6F2-470B7CCC159C}">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3" authorId="0" shapeId="0" xr:uid="{AE119CD1-D0D7-4F88-8CD5-00081530DC87}">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3" authorId="0" shapeId="0" xr:uid="{A8E80D42-94C0-4781-8FCE-3D3530E25D52}">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3" authorId="0" shapeId="0" xr:uid="{F4110995-1467-4D20-B839-29023BFAEBFF}">
      <text>
        <r>
          <rPr>
            <b/>
            <sz val="9"/>
            <color indexed="81"/>
            <rFont val="Tahoma"/>
            <family val="2"/>
          </rPr>
          <t>Dir. Currículo:</t>
        </r>
        <r>
          <rPr>
            <sz val="9"/>
            <color indexed="81"/>
            <rFont val="Tahoma"/>
            <family val="2"/>
          </rPr>
          <t xml:space="preserve">
Recuerde que el objeto conceptual hace referencia a qué debe saber (conocimientos, hechos, teorías) el egresado cuando termine su formación profesional.</t>
        </r>
      </text>
    </comment>
    <comment ref="D3" authorId="0" shapeId="0" xr:uid="{4E14A77D-E3A8-4B7B-B617-3C89D59C2DC3}">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elementos del componente ocupacional pueden ayudar a declarar la finalidad. Se listaron en la hoja Paso 1.</t>
        </r>
      </text>
    </comment>
    <comment ref="E3" authorId="0" shapeId="0" xr:uid="{60DC37CE-D668-474D-8A19-C4AF0EAA5C5A}">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establecido en el perfil, en el contexto donde se desenvolverá el egresado? </t>
        </r>
      </text>
    </comment>
    <comment ref="F3" authorId="0" shapeId="0" xr:uid="{8003939F-4001-4AFA-B7C4-32352928747B}">
      <text>
        <r>
          <rPr>
            <b/>
            <sz val="9"/>
            <color indexed="81"/>
            <rFont val="Tahoma"/>
            <family val="2"/>
          </rPr>
          <t>Dir. Currículo:</t>
        </r>
        <r>
          <rPr>
            <sz val="9"/>
            <color indexed="81"/>
            <rFont val="Tahoma"/>
            <family val="2"/>
          </rPr>
          <t xml:space="preserve">
Tenga en cuenta que la competencia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219B5E11-E7C0-4E8B-97AE-EB82360ED972}">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553B5C01-9AE8-4770-9B69-3C41D7587F56}">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D8131627-F196-496E-83A7-0A723B34AEBB}">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029DF8E8-3C72-4699-A1B1-3A2203C057D4}">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28C52E8D-E4CF-48B1-9635-51A173F0E866}">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BE1AFAE3-AC58-487A-A8AB-89E11F1CCDEA}">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AAF1445F-E39C-4312-90A1-14054AF028A2}">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7B4A460E-9649-40C7-BFD8-BE954B68C7F3}">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C38B22A1-7462-4A8F-A7C7-9F21D3E7B042}">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4FBBD2D6-DC36-4648-89F1-F7D40D2A345D}">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 ref="D2" authorId="0" shapeId="0" xr:uid="{00DDF55F-44AF-4AB9-97DA-8E74A4D2B530}">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E1" authorId="0" shapeId="0" xr:uid="{5E224E08-24C9-4DAF-AAB9-1B5F114C4BB2}">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G4" authorId="0" shapeId="0" xr:uid="{9607C37A-C8B3-44AC-90C2-DDC4836F9013}">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sharedStrings.xml><?xml version="1.0" encoding="utf-8"?>
<sst xmlns="http://schemas.openxmlformats.org/spreadsheetml/2006/main" count="2374" uniqueCount="671">
  <si>
    <t>[Escribir el nombre del programa]</t>
  </si>
  <si>
    <t>[Escribir la modalidad: presencial o virtual]</t>
  </si>
  <si>
    <t>[Escribir el perfil profesional del egresado.]</t>
  </si>
  <si>
    <t>[Escribir el perfil ocupacional del egresado.]</t>
  </si>
  <si>
    <r>
      <rPr>
        <b/>
        <sz val="11"/>
        <color theme="0"/>
        <rFont val="Gill Sans MT"/>
        <family val="2"/>
      </rPr>
      <t>Componentes fundamentales para definir competencias</t>
    </r>
    <r>
      <rPr>
        <b/>
        <sz val="8"/>
        <color theme="0"/>
        <rFont val="Gill Sans MT"/>
        <family val="2"/>
      </rPr>
      <t xml:space="preserve">
</t>
    </r>
    <r>
      <rPr>
        <sz val="8"/>
        <color theme="0"/>
        <rFont val="Gill Sans MT"/>
        <family val="2"/>
      </rPr>
      <t>[Listar las palabras clave, no armar oraciones, respecto qué debe saber el egresado en las categorías de Saber -conocimientos, hechos, teorías-, Saber hacer -técnicas, procedimientos, metodologías-, y Saber ser -valores, condiciones. Esta información se estructura a partir del perfil profesional y cada saber hacer depende del saber ubicado a su izquierda, lo mismo ocurre con el saber ser.]</t>
    </r>
  </si>
  <si>
    <r>
      <rPr>
        <b/>
        <sz val="11"/>
        <color theme="0"/>
        <rFont val="Gill Sans MT"/>
        <family val="2"/>
      </rPr>
      <t>Componentes fundamentales de la ocupación laboral del profesional</t>
    </r>
    <r>
      <rPr>
        <b/>
        <sz val="8"/>
        <color theme="0"/>
        <rFont val="Gill Sans MT"/>
        <family val="2"/>
      </rPr>
      <t xml:space="preserve">
</t>
    </r>
    <r>
      <rPr>
        <sz val="8"/>
        <color theme="0"/>
        <rFont val="Gill Sans MT"/>
        <family val="2"/>
      </rPr>
      <t>[Listar, según lo escrito en el perfil ocupacional, en qué áreas, qué tareas potenciales y en qué poblaciones o contextos podrá laborar el profesional. Esta información es un listado general no requiere dependencia horizontal]</t>
    </r>
  </si>
  <si>
    <r>
      <rPr>
        <b/>
        <sz val="11"/>
        <color theme="0"/>
        <rFont val="Gill Sans MT"/>
        <family val="2"/>
      </rPr>
      <t>Diferencial (valor agregado) del profesional</t>
    </r>
    <r>
      <rPr>
        <b/>
        <sz val="8"/>
        <color theme="0"/>
        <rFont val="Gill Sans MT"/>
        <family val="2"/>
      </rPr>
      <t xml:space="preserve">
</t>
    </r>
    <r>
      <rPr>
        <sz val="8"/>
        <color theme="0"/>
        <rFont val="Gill Sans MT"/>
        <family val="2"/>
      </rPr>
      <t>[Listar, según lo escrito en los perfiles, los elementos que son diferenciales y generan un valor agregado al egresado. Debe ser disciplinar, asociado al perfil, ¿qué es lo que lo hace diferente a otros perfiles similares.]</t>
    </r>
  </si>
  <si>
    <t>Programa</t>
  </si>
  <si>
    <t>Modalidad</t>
  </si>
  <si>
    <t>Perfil profesional</t>
  </si>
  <si>
    <t>Perfil ocupacional</t>
  </si>
  <si>
    <t>Saber</t>
  </si>
  <si>
    <t>Saberhacer</t>
  </si>
  <si>
    <t>Saberser</t>
  </si>
  <si>
    <t>ÁreasProfesionales</t>
  </si>
  <si>
    <t>TareasProfesionales</t>
  </si>
  <si>
    <t>PoblacionesActuacion</t>
  </si>
  <si>
    <t>ValorAgregado</t>
  </si>
  <si>
    <t>Especialización en Gerencia de Mercadeo</t>
  </si>
  <si>
    <t>Virtual</t>
  </si>
  <si>
    <t>El egresado de la Especialización en Gerencia de Mercadeo profundiza en enfoques estratégicos del mercadeo, el comportamiento del consumidor, la investigación e inteligencia de mercados y la gestión comercial, integrando estos conocimientos para evaluar escenarios competitivos y analizar información que respalda la toma de decisiones de mercadeo en las organizaciones. Aplica métodos y herramientas de mercadeo digital, omnicanalidad y experiencia del cliente para proponer, ajustar y operacionalizar estrategias orientadas al fortalecimiento de la marca y al desarrollo comercial. Asimismo, gestiona proyectos y coordina actividades en procesos de planeación comercial y comunicación estratégica, participando en espacios de articulación técnica e interdisciplinaria, con orientación a la generación de valor en contextos organizacionales dinámicos.</t>
  </si>
  <si>
    <t>El egresado de la Especialización en Gerencia de Mercadeo se desempeña en funciones de análisis aplicado y gestión especializada en áreas de mercadeo, comportamiento del consumidor, investigación de mercados, gestión comercial, comunicación y experiencia del cliente en organizaciones de diversos sectores. Participa en la ejecución, seguimiento y ajuste de iniciativas de mercadeo, comerciales, digitales y de marca, y desarrolla acciones de comunicación, posicionamiento y experiencia del cliente que contribuyen a la toma de decisiones organizacionales a partir del análisis del entorno y del desempeño comercial.</t>
  </si>
  <si>
    <t>escenarios competitivos, información del mercado y estudios del comportamiento del consumidor</t>
  </si>
  <si>
    <t>orientar la toma de decisiones de mercadeo</t>
  </si>
  <si>
    <t>con criterio analítico y conceptual,  a partir del uso de datos y evidencias del entorno organizacional</t>
  </si>
  <si>
    <t>Coordinador(a) de Mercadeo/Profesional de Apoyo en Gerencia de Mercadeo/Analista de Mercadeo Estratégico/Gestor(a) de Proyectos de Mercadeo/Consultor(a) Junior en Mercadeo/Analista de Investigación de Mercados/Analista de Inteligencia de Mercados/Profesional de Estudios de Mercado/Analista de Información Comercial/Asistente de Inteligencia de Negocios (Marketing)/Coordinador(a) Comercial/Analista de Gestión Comercial/Profesional de Apoyo a Ventas/Ejecutivo(a) de Desarrollo Comercial/Analista de Indicadores de Ventas/Coordinador(a) de Mercadeo Digital/Analista de Mercadeo Digital/Gestor(a) de Contenidos Digitales/Coordinador(a) de E-commerce/Analista de Canales Digitales y Omnicanalidad/Coordinador(a) de Marca/Analista de Comunicación Estratégica/Profesional de Comunicaciones de Mercadeo/Gestor(a) de Marca y Posicionamiento/Coordinador(a) de Comunicaciones Integradas de Mercadeo/Coordinador(a) de Experiencia del Cliente (CX)/Analista de CRM/Gestor(a) de Relacionamiento con Clientes/Profesional de Fidelización y Retención/Analista de Servicio y Experiencia del Cliente/Coordinador(a) de Planeación de Mercadeo/Analista de Planeación Comercial/Gestor(a) de Proyectos de Mercadeo/Profesional de Apoyo Estratégico en Mercadeo/Analista de Proyectos Comerciales.</t>
  </si>
  <si>
    <t>Analizar información del mercado, la competencia y el consumidor para apoyar la toma de decisiones mercadológicas/Evaluar escenarios competitivos y tendencias del entorno económico y sectorial/Interpretar datos provenientes de estudios de mercado y fuentes secundarias/Participar en la formulación, ajuste y seguimiento de planes estratégicos de mercadeo/Apoyar la definición de objetivos, estrategias y tácticas de mercadeo alineadas con los objetivos organizacionales/Coordinar actividades relacionadas con la ejecución del plan de mercadeo/Aplicar métodos de investigación cualitativa y cuantitativa para el análisis del mercado y del consumidor/Procesar y analizar información para generar insumos que orienten decisiones de mercadeo/Elaborar informes de investigación y análisis de inteligencia de mercados/Apoyar el diseño, implementación y seguimiento de estrategias de mercadeo digital/Analizar el desempeño de canales digitales, e-commerce y puntos de contacto omnicanal/Proponer ajustes a estrategias digitales a partir de métricas y analítica/Implementar tácticas de comunicación y posicionamiento de marca/Coordinar acciones de comunicaciones integradas de mercadeo/Apoyar el desarrollo y seguimiento de planes de comunicación estratégica/Diseñar y dar seguimiento a iniciativas de experiencia del cliente y CRM/Analizar métricas de satisfacción, fidelización y valor del cliente/Proponer acciones de mejora en los puntos de contacto con el cliente/Analizar indicadores de gestión comercial y desempeño de ventas/Apoyar la planeación y seguimiento de estrategias comerciales/Coordinar acciones entre las áreas de mercadeo y ventas/Gestionar y hacer seguimiento a proyectos de mercadeo/Coordinar recursos, cronogramas y actividades de proyectos comerciales y de mercadeo/Elaborar informes de avance y resultados de proyectos/Realizar seguimiento a indicadores de desempeño de mercadeo y comerciales/Evaluar resultados de campañas, estrategias y proyectos de mercadeo/Proponer acciones de mejora basadas en análisis de desempeño/Participar en equipos de trabajo interdisciplinarios/Articular acciones de mercadeo con áreas como ventas, comunicación, finanzas y operaciones/Apoyar procesos de toma de decisiones organizacionales desde el ámbito del mercadeo.</t>
  </si>
  <si>
    <t>Empresas privadas de bienes y servicios en sectores tradicionales y emergentes/Empresas y proyectos de base digital y tecnológica, incluyendo startups y plataformas digitales/Agencias y firmas especializadas en marketing, comunicación estratégica, publicidad, medios, investigación de mercados, mercadeo digital y experiencia del cliente/Consultoras en estrategia, innovación, analítica y desarrollo de negocios/Entidades públicas, mixtas y organizaciones sociales que requieren gestión estratégica de mercados y comunicación/Centros de investigación aplicada y unidades de análisis de datos/Emprendimientos y unidades de negocio propias en etapas de creación, crecimiento o consolidación.</t>
  </si>
  <si>
    <t>La Especialización en Gerencia de Mercadeo se distingue por su enfoque integral, aplicado y orientado a la toma de decisiones estratégicas, que articula el análisis del mercado y del consumidor, la investigación e inteligencia de mercados, la gestión comercial y la integración de estrategias digitales, omnicanales y de experiencia del cliente. El programa incorpora la gestión de relaciones con clientes (CRM) y la experiencia del cliente (CX) como factores de desarrollo para la generación de valor y la sostenibilidad comercial, y adopta una visión sistémica del mercadeo que conecta el análisis, la evaluación y la aplicación de estrategias, fortaleciendo la capacidad del egresado para generar valor, coordinar proyectos y apoyar la competitividad de las organizaciones en contextos empresariales dinámicos y altamente competitivos.</t>
  </si>
  <si>
    <t>estrategias de mercadeo, comunicación, marca y experiencia del cliente</t>
  </si>
  <si>
    <t>proponer ajustes orientados al fortalecimiento de la marca, el desarrollo comercial y el crecimiento organizacional</t>
  </si>
  <si>
    <t>en coherencia con los objetivos estratégicos y las dinámicas del mercado.</t>
  </si>
  <si>
    <t>métodos y herramientas de mercadeo digital, omnicanalidad y experiencia del cliente</t>
  </si>
  <si>
    <t>ejecutar acciones de mercadeo derivadas de estrategias definidas</t>
  </si>
  <si>
    <t>con orientación a la generación de valor en función de las dinámicas del mercado</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</si>
  <si>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</si>
  <si>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</si>
  <si>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</si>
  <si>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</si>
  <si>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</si>
  <si>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</si>
  <si>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</si>
  <si>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</si>
  <si>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</si>
  <si>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</si>
  <si>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</si>
  <si>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</si>
  <si>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</si>
  <si>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competencia</t>
  </si>
  <si>
    <t>Diagnosticar</t>
  </si>
  <si>
    <t>Diagnosticar escenarios competitivos, información del mercado y estudios del comportamiento del consumidor, para orientar la toma de decisiones de mercadeo con criterio analítico y conceptual.</t>
  </si>
  <si>
    <t>Específica</t>
  </si>
  <si>
    <t>Evaluar</t>
  </si>
  <si>
    <t>Evaluar estrategias de mercadeo, comunicación, marca y experiencia del cliente, para proponer ajustes orientados al fortalecimiento de la marca, el desarrollo comercial y el crecimiento organizacional, en coherencia con los objetivos estratégicos y las dinámicas del mercado.</t>
  </si>
  <si>
    <t>Implementar</t>
  </si>
  <si>
    <t>Implementar métodos y herramientas de mercadeo digital, omnicanalidad y experiencia del cliente, para ejecutar acciones de mercadeo derivadas de estrategias definidas, con orientación a la generación de valor en función de las dinámicas del mercado.</t>
  </si>
  <si>
    <t xml:space="preserve"> </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</si>
  <si>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</si>
  <si>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</si>
  <si>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</si>
  <si>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</si>
  <si>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</si>
  <si>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</si>
  <si>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</si>
  <si>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</si>
  <si>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</si>
  <si>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</si>
  <si>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</si>
  <si>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</si>
  <si>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</si>
  <si>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</si>
  <si>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</si>
  <si>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</si>
  <si>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</si>
  <si>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</si>
  <si>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Bloom</t>
  </si>
  <si>
    <t>CognitivoB</t>
  </si>
  <si>
    <t>AnálisisB</t>
  </si>
  <si>
    <t>Analizar</t>
  </si>
  <si>
    <t>Analiza escenarios competitivos, información del mercado y estudios del comportamiento del consumidor para establecer criterios estratégicos que orienten la toma de decisiones de mercadeo.</t>
  </si>
  <si>
    <t>ProcedimentalB</t>
  </si>
  <si>
    <t>AplicaciónB</t>
  </si>
  <si>
    <t>Aplicar</t>
  </si>
  <si>
    <t>Aplica métodos y herramientas de mercadeo estratégico, digital, omnicanal y de experiencia del cliente para diseñar acciones de mercadeo derivadas de estrategias definidas.</t>
  </si>
  <si>
    <t>ActitudinalB</t>
  </si>
  <si>
    <t>EvaluaciónB</t>
  </si>
  <si>
    <t>Evalúa decisiones y acciones de mercadeo para determinar su alineación con los objetivos estratégicos y su aporte a la generación de valor en contextos dinámicos de mercado.</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</si>
  <si>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</si>
  <si>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</si>
  <si>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</si>
  <si>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</si>
  <si>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</si>
  <si>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</si>
  <si>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</si>
  <si>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</si>
  <si>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</si>
  <si>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</si>
  <si>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</si>
  <si>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</si>
  <si>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Incorporate: Ejecutivos Destacados</t>
  </si>
  <si>
    <t>Espacio académico en el que ejecutivos de empresas reconocidas comparten con los estudiantes casos empresariales de éxito y experiencias de su ejercicio profesional, fortaleciendo el vínculo entre la teoría y la práctica profesional.</t>
  </si>
  <si>
    <t>Número de estudiantes que participan en la estrategia anualmente.</t>
  </si>
  <si>
    <t>Formar a los estudiantes mediante el aprendizaje logrado a partir de los casos de éxito compartidos por profesionales del sector, promoviendo la conexión entre la teoría y la práctica.</t>
  </si>
  <si>
    <t>Listados de participación</t>
  </si>
  <si>
    <t>Número de empresas que participan en la actividad de aprendizaje por anualidad.</t>
  </si>
  <si>
    <t>Número de veces que se realiza la estrategia anualmente.</t>
  </si>
  <si>
    <t>Informe o Reporte</t>
  </si>
  <si>
    <t>Valoración del nivel de aporte de la estrategia a los resultados de aprendizaje del programa.</t>
  </si>
  <si>
    <t>Encuesta de valoración</t>
  </si>
  <si>
    <t>Feedback: Experiencias Educativas</t>
  </si>
  <si>
    <t>Encuentro entre egresados y estudiantes actuales del programa, para socializar la experiencia educativa en el POLI y su impacto en el desarrollo profesional y personal, promoviendo el sentido de pertenencia institucional.</t>
  </si>
  <si>
    <t>Número de estudiantes y egresados que participan en la estrategia anualmente.</t>
  </si>
  <si>
    <t>Informar y ayudar a decidir a los estudiantes mediante el intercambio con egresados, para que reconozcan las oportunidades, desafíos y proyecciones del campo profesional, orientando sus decisiones académicas y laborales.</t>
  </si>
  <si>
    <t>Working Together: Retos</t>
  </si>
  <si>
    <t>Estrategia de aula invertida y trabajo colaborativo entre academia y empresa, en la que los estudiantes enfrentan situaciones reales del entorno organizacional para diseñar soluciones de mercadeo y comunicación.</t>
  </si>
  <si>
    <t>Formar al propiciar experiencias de aprendizaje basadas en retos colaborativos con empresas, que fortalecen la resolución de problemas reales y preparan al estudiante para enfrentar escenarios laborales complejos.</t>
  </si>
  <si>
    <t>Marketing Boulevard</t>
  </si>
  <si>
    <t>Estrategia de comunicación, relacionamiento y divulgación académica que fomenta el trabajo en red con instituciones nacionales e internacionales, para promover el intercambio de conocimiento e investigación en mercadeo y comunicación.</t>
  </si>
  <si>
    <t>Informar y formar sobre las tendencias, investigaciones y buenas prácticas del sector, promoviendo el pensamiento crítico y el aprendizaje continuo a través del intercambio académico con expertos nacionales e internacionales.</t>
  </si>
  <si>
    <t>Listas de participación</t>
  </si>
  <si>
    <t>Poli Digital Day</t>
  </si>
  <si>
    <t>Evento académico que aborda temáticas especializadas en mercadeo y publicidad digital, con la participación de invitados expertos del sector que comparten tendencias, herramientas y casos de éxito.</t>
  </si>
  <si>
    <t>Formar e informar a los estudiantes sobre las tendencias del mercadeo y la publicidad digital, fortaleciendo competencias tecnológicas y estratégicas orientadas al entorno digital.</t>
  </si>
  <si>
    <t>Seminario Internacional</t>
  </si>
  <si>
    <t>Espacio académico en el que expertos presentan y desarrollan un tema específico de la disciplina. En este escenario, los estudiantes elaboran y exponen trabajos de aplicación relacionados con los conceptos abordados, lo que permite profundizar en su comprensión y favorecer la discusión académica.</t>
  </si>
  <si>
    <t>Informar y formar a los estudiantes en temas de gerencia, estrategia, investigación, mercadeo y publicidad, que permitan fortalecer las teorías, los conceptos y las buenas prácticas de la Gerencia de Mercadeo en el sector empresarial.</t>
  </si>
  <si>
    <t>Número de trabajos desarrollados que apliquen las temáticas vistas en el seminario.</t>
  </si>
  <si>
    <t>Misión Académica</t>
  </si>
  <si>
    <t xml:space="preserve">Viajes académicos grupales de corta duración (entre una y dos semanas) en las que se desarrollan actividades con componentes académicos, empresariales o culturales. </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</si>
  <si>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</si>
  <si>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</si>
  <si>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</si>
  <si>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</si>
  <si>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</si>
  <si>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</si>
  <si>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</si>
  <si>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</si>
  <si>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</si>
  <si>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</si>
  <si>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</si>
  <si>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</si>
  <si>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</si>
  <si>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</si>
  <si>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</si>
  <si>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</si>
  <si>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</si>
  <si>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asignatura o módulo</t>
  </si>
  <si>
    <t>Indicadores de logro asignatura o módulo</t>
  </si>
  <si>
    <t>Tipología</t>
  </si>
  <si>
    <t>C.Profundización</t>
  </si>
  <si>
    <t>Créditos</t>
  </si>
  <si>
    <t>Número de horas trabajo directo</t>
  </si>
  <si>
    <t>Número de horas trabajo independiente</t>
  </si>
  <si>
    <t>Total de horas</t>
  </si>
  <si>
    <t>Núcleos temáticos</t>
  </si>
  <si>
    <t>Actividades de aprendizaje</t>
  </si>
  <si>
    <t>Actividades de evaluación</t>
  </si>
  <si>
    <t>Acciones de retroalimentación</t>
  </si>
  <si>
    <t>Gerencia Estratégica de Mercadeo</t>
  </si>
  <si>
    <t>Analiza los fundamentos y las variables estratégicas del mercadeo para establecer lineamientos orientados a la gerencia estratégica del mercadeo desde una perspectiva de liderazgo.</t>
  </si>
  <si>
    <t>TP</t>
  </si>
  <si>
    <t>X</t>
  </si>
  <si>
    <t>1. Fundamentos y rol estratégico del mercadeo.
2. Identificación y análisis estratégico de las variables de mercadeo.
3. Dirección, control y evaluación estratégica del mercadeo.
4. Gestión del cambio, innovación y liderazgo estratégico.</t>
  </si>
  <si>
    <t>Trabajo directo:
Encuentros sincrónicos, mensajería interna, foros generales, anuncios.  
Trabajo independiente: 
Lecturas Fundamentales y complementarias
Anuncios
Foros
Actividades de refuerzo y recursos del modulo</t>
  </si>
  <si>
    <t>Evaluación diagnóstica (semana 1 - Cuestionario inicial de, mínimo, cinco preguntas, que recopila información sobre el conocimiento previo o las habilidades del estudiante).
Actividad formativa (semana 2 - Foro individual o grupal, creado para que el estudiante participe activamente en la construcción de su conocimiento y desarrollo de habilidades. Varía entre una actividad entregable y la participación en un foro).
Actividad de entrega 1 (semana 4 - Actividad individual o grupal, diseñada para evaluar de manera integral el nivel de conocimiento, comprensión y el desempeño de los indicadores de logro. Varía entre entregas independientes o secuenciales).
Actividad formativa (semana 6 - Foro individual o grupal, creado para que el estudiante participe activamente en la construcción de su conocimiento y desarrollo de habilidades. Varía entre una actividad entregable y la participación en un foro).
Actividad de entrega 2 (semana 7 - Actividad individual o grupal, diseñada para evaluar de manera integral el nivel de conocimiento, comprensión y el desempeño de los indicadores de logro. Varía entre entregas independientes o secuenciales).
Autoevaluación (semana 8 - Cuestionario final de, mínimo, cinco preguntas, en el cual el estudiante reflexiona sobre su propio desempeño, habilidades y resultados en un contexto específico).</t>
  </si>
  <si>
    <t xml:space="preserve">Las acciones retroalimentación varían entre las siguientes, según las condiciones que identifique el tutor.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 </t>
  </si>
  <si>
    <t>Comportamiento del Consumidor</t>
  </si>
  <si>
    <t>Analiza los patrones y procesos de decisión del consumidor para determinar criterios estratégicos que orienten acciones de mercadeo que generen valor.</t>
  </si>
  <si>
    <t>1. Fundamentos del comportamiento del consumidor y su rol estratégico en el mercadeo.
2. Procesos psicológicos y de decisión del consumidor.
3. Influencias sociales y culturales en el comportamiento del consumidor.
4. Aplicación estratégica e investigación del comportamiento del consumidor.</t>
  </si>
  <si>
    <t>Actividad de puntos evaluables (semana 2 – Cuestionario de 5 preguntas).
Entrega previa 1 (semana 3 - Laboratorio, taller, ejercicios, resolución de casos o de problemas, desarrollo de procesos o ejecución de propuestas. Entrega de forma individual o grupal, según indicaciones del profesor).
Parcial (semana 4 - Cuestionarios de entre 15 y 20 preguntas).
Entrega previa 2 (semana 5 - Laboratorio, taller, ejercicios, resolución de casos o de problemas, desarrollo de procesos o ejecución de propuestas. Entrega de forma individual o grupal, según indicaciones dadas por el profesor).
Entrega final (semana 7 - Laboratorio, taller, ejercicios, resolución de casos o de problemas, desarrollo de procesos o ejecución de propuestas. Entrega de forma individual o grupal, según indicaciones dadas por el profesor).
Evaluación final (semana 8 - Cuestionario de entre 15 y 20 preguntas).</t>
  </si>
  <si>
    <t xml:space="preserve">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 </t>
  </si>
  <si>
    <t>Comunicación Estratégica</t>
  </si>
  <si>
    <t>Identifica los procesos de comunicación y las herramientas de las comunicaciones integradas de mercadeo, para estructurar un Plan Estratégico de Comunicación (PEC) orientado a la creación de valor.</t>
  </si>
  <si>
    <t>1. Conceptualización de la Comunicación Estratégica y las Comunicaciones Integradas de Mercadeo (CIM).
2. Herramientas de las Comunicaciones Integradas de Mercadeo (CIM).
3. Análisis y diseño del Plan Estratégico de Comunicación (PEC) y definición de la mezcla de comunicación.
4. Implementación, evaluación y control del Plan Estratégico de Comunicación (PEC).</t>
  </si>
  <si>
    <t xml:space="preserve">Trabajo directo 
Sincrónico
Clases magistrales activas
Estudios de caso
Lectura de artículos científicos
Cuadernillo de ejercicios prácticos
Asincrónico
Mensajería a través de Teams, Drive o Correo electrónico
Trabajo independiente
Lecturas complementarias (en segunda lengua)
Talleres
Uso de recursos audiovisuales y tecnológicos
</t>
  </si>
  <si>
    <t>Habilidades Gerenciales</t>
  </si>
  <si>
    <t>Desarrolla estrategias para la productividad a través de propuestas  que evidencian la gestión del tiempo basado los propósitos laborales, personales, familiares y sociales para la generación de valor.
Propone acciones estratégicas reconociendo los diferentes enfoques de liderazgo para la solución de problemáticas organizaciones en diversos contextos
Diseña  modelos para desarrollar habilidades de negociación a través de acciones  que le permitan lograr los propósitos laborales, personales, familiares y sociales.</t>
  </si>
  <si>
    <t>Evaluación formativa:
Preguntas intercalas en la sesiones sincrónicas.
Respuesta a los foros de dudas y a la mensajería interna. 
Realimentación de entregables: ensayo, artículo, cuadro comparativo, revisión y foro analítico o argumentativo documental.
Evaluación sumativa:
Entrega proyecto #01.
Entrega proyecto #02.
Entrega final y sustentación del proyecto.</t>
  </si>
  <si>
    <t>Investigación e Inteligencia de Mercados</t>
  </si>
  <si>
    <t>Aplica métodos de investigación y sistemas de inteligencia de mercados para determinar criterios que orienten decisiones estratégicas de mercadeo en situaciones de estudio.</t>
  </si>
  <si>
    <t>1.  Fundamentos y formulación de proyectos de investigación de mercados.
2. Diseño metodológico: investigaciones exploratorias y concluyentes.
3. Muestreo, análisis de datos y comunicación de resultados.
4. Sistemas de información e inteligencia de mercados.</t>
  </si>
  <si>
    <t>Estrategias de CRM y CX</t>
  </si>
  <si>
    <t>Aplica datos y procesos automatizados de CRM y CX para diseñar estrategias de relacionamiento y experiencia del cliente.</t>
  </si>
  <si>
    <t>1. Fundamentos de CRM y CX.
2. Diseño de estrategias de CX.
3. Automatización, tecnología y datos.
4. Fidelización y relacionamiento.</t>
  </si>
  <si>
    <t>Mercadeo Digital y Social Media</t>
  </si>
  <si>
    <t>Aplica fundamentos de mercadeo digital y social media para diseñar propuestas estratégicas sustentadas en información de analítica digital.</t>
  </si>
  <si>
    <t>1. Fundamentos del mercadeo digital y ecosistemas transmedia.
2. Social Media Marketing, gestión de contenidos y comunidad.
3. Publicidad y analítica digital, Paid Media, performance marketing  y optimización de campañas.
4. Estrategia digital integrada, automatización y analítica avanzada.</t>
  </si>
  <si>
    <t>Distribución, E-commerce y Omnicanalidad</t>
  </si>
  <si>
    <t>Analiza alternativas de distribución, e-commerce y omnicanalidad para proponer procesos comerciales en entornos físicos o digitales.</t>
  </si>
  <si>
    <t xml:space="preserve">1. Fundamentos de distribución y canales comerciales.
2. E-commerce: modelos, operación y logística.
3. Omnicanalidad y ecosistemas integrados.
4. Tecnologías, analítica y optimización.
</t>
  </si>
  <si>
    <t xml:space="preserve">Trabajo directo 
Sincrónico
Clases magistrales activas
Estudios de caso
Lectura de artículos científicos
Cuadernillo de ejercicios prácticos
Asincrónico
Mensajería a través de Teams, Drive o Correo electrónico
Trabajo independiente
Lecturas complementarias (en segunda lengua)
Talleres
Uso de recursos audiovisuales y tecnológicos"
</t>
  </si>
  <si>
    <t>Gerencia Comercial</t>
  </si>
  <si>
    <t>Aplica indicadores y métricas de gestión comercial para formular estrategias de ventas y relaciones comerciales.</t>
  </si>
  <si>
    <t>1. Fundamentos y dirección de la gestión comercial.
2. Estrategias de ventas y relaciones comerciales.
3. Indicadores, métricas y gestión del desempeño comercial.
4. Liderazgo, talento comercial y transformación comercial.</t>
  </si>
  <si>
    <t>Planeación Estratégica de Mercadeo</t>
  </si>
  <si>
    <t>Formula estrategias de mercadeo a partir del diagnóstico del mercado y la organización, para integrar criterios de innovación, sostenibilidad y ética en un plan estratégico.</t>
  </si>
  <si>
    <t>1. Fundamentos de la planeación estratégica de mercadeo y análisis del entorno.
2. Formulación de estrategias de mercadeo.
3. Implementación, control y evaluación estratégica.
4. Innovación, sostenibilidad y ética en la estrategia de mercadeo.</t>
  </si>
  <si>
    <t>II</t>
  </si>
  <si>
    <t>Total módulos del programa</t>
  </si>
  <si>
    <t>Total créditos programa</t>
  </si>
  <si>
    <t>Total créditos fundamentación</t>
  </si>
  <si>
    <t>Total créditos profundización</t>
  </si>
  <si>
    <t>Verbos Competencias</t>
  </si>
  <si>
    <r>
      <rPr>
        <b/>
        <sz val="11"/>
        <color theme="0"/>
        <rFont val="Calibri"/>
        <family val="2"/>
        <scheme val="minor"/>
      </rPr>
      <t>Observación:</t>
    </r>
    <r>
      <rPr>
        <sz val="11"/>
        <color theme="0"/>
        <rFont val="Calibri"/>
        <family val="2"/>
        <scheme val="minor"/>
      </rPr>
      <t xml:space="preserve"> estos verbos son solo algunos y se pueden agregar tantos como se requieran; solo hay que tener en cuenta que debe estar al nivel de un perfil profesional.</t>
    </r>
  </si>
  <si>
    <t>Actualizar</t>
  </si>
  <si>
    <t>Administrar</t>
  </si>
  <si>
    <t>Asegurar</t>
  </si>
  <si>
    <t>Asesorar</t>
  </si>
  <si>
    <t>Auditar</t>
  </si>
  <si>
    <t>Comunicar</t>
  </si>
  <si>
    <t>Conducir</t>
  </si>
  <si>
    <t>Conocer</t>
  </si>
  <si>
    <t>Coordinar</t>
  </si>
  <si>
    <t>Definir</t>
  </si>
  <si>
    <t>Desarrollar</t>
  </si>
  <si>
    <t>Dirigir</t>
  </si>
  <si>
    <t>Diseñar</t>
  </si>
  <si>
    <t>Dominar</t>
  </si>
  <si>
    <t>Establecer</t>
  </si>
  <si>
    <t>Fiscalizar</t>
  </si>
  <si>
    <t>Formular</t>
  </si>
  <si>
    <t>Generar</t>
  </si>
  <si>
    <t>Gestionar</t>
  </si>
  <si>
    <t>Hacer</t>
  </si>
  <si>
    <t>Liderar</t>
  </si>
  <si>
    <t>Modelar</t>
  </si>
  <si>
    <t>Participar</t>
  </si>
  <si>
    <t>Planear</t>
  </si>
  <si>
    <t>Presidir</t>
  </si>
  <si>
    <t>Producir</t>
  </si>
  <si>
    <t>Resolver</t>
  </si>
  <si>
    <t>Sistematizar</t>
  </si>
  <si>
    <t>Supervisar</t>
  </si>
  <si>
    <t>Transformar</t>
  </si>
  <si>
    <t>Validar</t>
  </si>
  <si>
    <t>Valorar</t>
  </si>
  <si>
    <t>Verificar</t>
  </si>
  <si>
    <t>Taxonomía de Bloom Adaptada con las propuestas de Anderson y Krathwohl</t>
  </si>
  <si>
    <t>Taxonomía de Anderson y Krathwohl (AK)</t>
  </si>
  <si>
    <t>Taxonomía de Marzano y Kendal (MK)</t>
  </si>
  <si>
    <t>Taxonomía de Bloom</t>
  </si>
  <si>
    <t>Cognitivo(BAK)</t>
  </si>
  <si>
    <t>Procedimental(BAK)</t>
  </si>
  <si>
    <t>Actitudinal(BAK)</t>
  </si>
  <si>
    <t>Taxonomías</t>
  </si>
  <si>
    <t>BAK</t>
  </si>
  <si>
    <t>AK</t>
  </si>
  <si>
    <t>MK</t>
  </si>
  <si>
    <t>ConocimientoB</t>
  </si>
  <si>
    <t>ComprensiónB</t>
  </si>
  <si>
    <t>SíntesisB</t>
  </si>
  <si>
    <t>ConocimientoBAK</t>
  </si>
  <si>
    <t>ComprensiónBAK</t>
  </si>
  <si>
    <t>AplicaciónBAK</t>
  </si>
  <si>
    <t>AnálisisBAK</t>
  </si>
  <si>
    <t>SíntesisBAK</t>
  </si>
  <si>
    <t>EvaluaciónBAK</t>
  </si>
  <si>
    <t>ImitaciónBAK</t>
  </si>
  <si>
    <t>ManipulaciónBAK</t>
  </si>
  <si>
    <t>PrecisiónBAK</t>
  </si>
  <si>
    <t>ControlBAK</t>
  </si>
  <si>
    <t>PercepciónBAK</t>
  </si>
  <si>
    <t>ResponderBAK</t>
  </si>
  <si>
    <t>ValorarBAK</t>
  </si>
  <si>
    <t>OrganizarBAK</t>
  </si>
  <si>
    <t>CaracterizarBAK</t>
  </si>
  <si>
    <t>CognitivoInf(AK)</t>
  </si>
  <si>
    <t>CognitivoSup(AK)</t>
  </si>
  <si>
    <t>Procedimental(AK)</t>
  </si>
  <si>
    <t>Actitudinal(AK)</t>
  </si>
  <si>
    <t>CognitivoBAK</t>
  </si>
  <si>
    <t>HechosAK</t>
  </si>
  <si>
    <t>InformaciónMK</t>
  </si>
  <si>
    <t>Adquirir</t>
  </si>
  <si>
    <t>Aislar</t>
  </si>
  <si>
    <t>Adaptar</t>
  </si>
  <si>
    <t>Aconsejar</t>
  </si>
  <si>
    <t>Ajustar</t>
  </si>
  <si>
    <t>Direccionar</t>
  </si>
  <si>
    <t>Disponer</t>
  </si>
  <si>
    <t>Remover</t>
  </si>
  <si>
    <t>Aprobar</t>
  </si>
  <si>
    <t>Adoptar</t>
  </si>
  <si>
    <t>Extraer</t>
  </si>
  <si>
    <t>Negociar</t>
  </si>
  <si>
    <t>RecordarLK</t>
  </si>
  <si>
    <t>ComprenderLK</t>
  </si>
  <si>
    <t>AplicarLK</t>
  </si>
  <si>
    <t>AnalizarLK</t>
  </si>
  <si>
    <t>EvaluarLK</t>
  </si>
  <si>
    <t>CrearLK</t>
  </si>
  <si>
    <t>RecuperaciónMK</t>
  </si>
  <si>
    <t>ComprensiónMK</t>
  </si>
  <si>
    <t>AnálisisMK</t>
  </si>
  <si>
    <t>UsoConocimientoMK</t>
  </si>
  <si>
    <t>MetacogniciónMK</t>
  </si>
  <si>
    <t>SistemadelYoMK</t>
  </si>
  <si>
    <t>ProcedimentalBAK</t>
  </si>
  <si>
    <t>ConceptosAK</t>
  </si>
  <si>
    <t>ProcesosMentalesMK</t>
  </si>
  <si>
    <t>Buscar</t>
  </si>
  <si>
    <t>Bosquejar</t>
  </si>
  <si>
    <t>Calisificar</t>
  </si>
  <si>
    <t>Adjuntar</t>
  </si>
  <si>
    <t>Desmontar</t>
  </si>
  <si>
    <t>Quitar</t>
  </si>
  <si>
    <t>Autorizar</t>
  </si>
  <si>
    <t>Resumir</t>
  </si>
  <si>
    <t>Ofrecer</t>
  </si>
  <si>
    <t>Afirmar</t>
  </si>
  <si>
    <t>Clasificar</t>
  </si>
  <si>
    <t>Actuar</t>
  </si>
  <si>
    <t>Agrupar</t>
  </si>
  <si>
    <t>Aceptar</t>
  </si>
  <si>
    <t>ActitudinalBAK</t>
  </si>
  <si>
    <t>ProcedimientoslAK</t>
  </si>
  <si>
    <t>PsicomotorMK</t>
  </si>
  <si>
    <t>Citar</t>
  </si>
  <si>
    <t>Comentar</t>
  </si>
  <si>
    <t>Combinar</t>
  </si>
  <si>
    <t>Calcular</t>
  </si>
  <si>
    <t>Arreglar</t>
  </si>
  <si>
    <t>Agregar</t>
  </si>
  <si>
    <t>Modificar</t>
  </si>
  <si>
    <t>Dramatizar</t>
  </si>
  <si>
    <t>Apalancar</t>
  </si>
  <si>
    <t>Suprimir</t>
  </si>
  <si>
    <t>Demostrar</t>
  </si>
  <si>
    <t>Promover</t>
  </si>
  <si>
    <t>Comparar</t>
  </si>
  <si>
    <t>Añadir</t>
  </si>
  <si>
    <t>Elaborar</t>
  </si>
  <si>
    <t>Adelantar</t>
  </si>
  <si>
    <t>MetacogniciónAK</t>
  </si>
  <si>
    <t>Consignar</t>
  </si>
  <si>
    <t>Componer</t>
  </si>
  <si>
    <t>Categorizar</t>
  </si>
  <si>
    <t>Alinear</t>
  </si>
  <si>
    <t>Concretar</t>
  </si>
  <si>
    <t>Docificar</t>
  </si>
  <si>
    <t>Levantar</t>
  </si>
  <si>
    <t>Eliminar</t>
  </si>
  <si>
    <t>Comportarse bajo condiciones</t>
  </si>
  <si>
    <t>Copiar</t>
  </si>
  <si>
    <t>Contrastar</t>
  </si>
  <si>
    <t>Asumir</t>
  </si>
  <si>
    <t>Apoyar</t>
  </si>
  <si>
    <t>Maximizar</t>
  </si>
  <si>
    <t>Afinar</t>
  </si>
  <si>
    <t>Decir</t>
  </si>
  <si>
    <t>Convertir</t>
  </si>
  <si>
    <t>Articular</t>
  </si>
  <si>
    <t>Arbitrar</t>
  </si>
  <si>
    <t>Dibujar</t>
  </si>
  <si>
    <t>Estimular</t>
  </si>
  <si>
    <t>Retirar</t>
  </si>
  <si>
    <t>Ratificar</t>
  </si>
  <si>
    <t>Fomentar</t>
  </si>
  <si>
    <t>Completar</t>
  </si>
  <si>
    <t>Buscar similitudes</t>
  </si>
  <si>
    <t>Argumentar</t>
  </si>
  <si>
    <t>Mejorar</t>
  </si>
  <si>
    <t>Agradecer</t>
  </si>
  <si>
    <t>Criticar</t>
  </si>
  <si>
    <t>Construir</t>
  </si>
  <si>
    <t>Considerar</t>
  </si>
  <si>
    <t>Aumentar</t>
  </si>
  <si>
    <t>Trazar</t>
  </si>
  <si>
    <t>Localizar</t>
  </si>
  <si>
    <t>Extirpar</t>
  </si>
  <si>
    <t>Manejar</t>
  </si>
  <si>
    <t>Apreciar</t>
  </si>
  <si>
    <t>Anticipar</t>
  </si>
  <si>
    <t>Discutir</t>
  </si>
  <si>
    <t>Conectar</t>
  </si>
  <si>
    <t>Cambiar</t>
  </si>
  <si>
    <t>Minimizar</t>
  </si>
  <si>
    <t>Ambicionar</t>
  </si>
  <si>
    <t>Deletrear</t>
  </si>
  <si>
    <t>Dar ejemplos</t>
  </si>
  <si>
    <t>Ubicar</t>
  </si>
  <si>
    <t>Disipar</t>
  </si>
  <si>
    <t>Guiar</t>
  </si>
  <si>
    <t>Comprender</t>
  </si>
  <si>
    <t>Proponer</t>
  </si>
  <si>
    <t>Acabar</t>
  </si>
  <si>
    <t>Ejemplificar</t>
  </si>
  <si>
    <t xml:space="preserve">Construir </t>
  </si>
  <si>
    <t>Centrarse</t>
  </si>
  <si>
    <t>Anhelar</t>
  </si>
  <si>
    <t>CognitivoAK</t>
  </si>
  <si>
    <t>ProcedimientosAK</t>
  </si>
  <si>
    <t>Debatir</t>
  </si>
  <si>
    <t>Determinar</t>
  </si>
  <si>
    <t>Atar</t>
  </si>
  <si>
    <t>Encontrar</t>
  </si>
  <si>
    <t>Realizar</t>
  </si>
  <si>
    <t>Hablar</t>
  </si>
  <si>
    <t>Defender</t>
  </si>
  <si>
    <t>Terminar</t>
  </si>
  <si>
    <t xml:space="preserve">Duplicar </t>
  </si>
  <si>
    <t>Esquematizar</t>
  </si>
  <si>
    <t>Pensar</t>
  </si>
  <si>
    <t>RecordarAK</t>
  </si>
  <si>
    <t>Describir</t>
  </si>
  <si>
    <t>Cuestionar</t>
  </si>
  <si>
    <t>Computar</t>
  </si>
  <si>
    <t>Perforar</t>
  </si>
  <si>
    <t>Colocar</t>
  </si>
  <si>
    <t>Reproducir</t>
  </si>
  <si>
    <t>Emplear</t>
  </si>
  <si>
    <t>Estimar</t>
  </si>
  <si>
    <t>Proteger</t>
  </si>
  <si>
    <t>Contextualizar</t>
  </si>
  <si>
    <t>Elegir</t>
  </si>
  <si>
    <t>Explicar</t>
  </si>
  <si>
    <t>Correlacionar</t>
  </si>
  <si>
    <t>Compilar</t>
  </si>
  <si>
    <t xml:space="preserve">Planear </t>
  </si>
  <si>
    <t>ComprenderAK</t>
  </si>
  <si>
    <t>ComprendeAK</t>
  </si>
  <si>
    <t>Desplegar</t>
  </si>
  <si>
    <t>Discriminar</t>
  </si>
  <si>
    <t>Concluir</t>
  </si>
  <si>
    <t>Calificar</t>
  </si>
  <si>
    <t>Organizar</t>
  </si>
  <si>
    <t>Ejercitar</t>
  </si>
  <si>
    <t>Traducir</t>
  </si>
  <si>
    <t>Cooperar</t>
  </si>
  <si>
    <t>Tasar</t>
  </si>
  <si>
    <t>Escribir</t>
  </si>
  <si>
    <t>Expresar</t>
  </si>
  <si>
    <t>Descomponer</t>
  </si>
  <si>
    <t>AplicarAK</t>
  </si>
  <si>
    <t>Enseñar</t>
  </si>
  <si>
    <t>Deducir</t>
  </si>
  <si>
    <t>Censurar</t>
  </si>
  <si>
    <t>Ordenar</t>
  </si>
  <si>
    <t>Hallar</t>
  </si>
  <si>
    <t>Entregar</t>
  </si>
  <si>
    <t>Admitir</t>
  </si>
  <si>
    <t>Colaborar</t>
  </si>
  <si>
    <t>Aspirar</t>
  </si>
  <si>
    <t>Leer</t>
  </si>
  <si>
    <t>Generalizar</t>
  </si>
  <si>
    <t>Diferenciar</t>
  </si>
  <si>
    <t>Reescribir</t>
  </si>
  <si>
    <t>Asistir</t>
  </si>
  <si>
    <t>AnalizarAK</t>
  </si>
  <si>
    <t>Situar</t>
  </si>
  <si>
    <t>Actuar recíprocamente</t>
  </si>
  <si>
    <t>Listar</t>
  </si>
  <si>
    <t>Ilustrar</t>
  </si>
  <si>
    <t>Distinguir</t>
  </si>
  <si>
    <t>Convencer</t>
  </si>
  <si>
    <t>Simplificar</t>
  </si>
  <si>
    <t>EvaluarAK</t>
  </si>
  <si>
    <t>Duplicar</t>
  </si>
  <si>
    <t>Detectar</t>
  </si>
  <si>
    <t>Crear</t>
  </si>
  <si>
    <t>Acordar</t>
  </si>
  <si>
    <t>Bajar</t>
  </si>
  <si>
    <t>Obrar recíprocamente</t>
  </si>
  <si>
    <t>Discernir</t>
  </si>
  <si>
    <t>Inferir</t>
  </si>
  <si>
    <t>Dividir</t>
  </si>
  <si>
    <t>Suponer</t>
  </si>
  <si>
    <t>Atender</t>
  </si>
  <si>
    <t>CrearAK</t>
  </si>
  <si>
    <t>Etiquetar</t>
  </si>
  <si>
    <t>Diagramar</t>
  </si>
  <si>
    <t>Decidir</t>
  </si>
  <si>
    <t>Manipular</t>
  </si>
  <si>
    <t>Reparar</t>
  </si>
  <si>
    <t>Recitar</t>
  </si>
  <si>
    <t>Creer</t>
  </si>
  <si>
    <t>Percibir</t>
  </si>
  <si>
    <t>Memorizar</t>
  </si>
  <si>
    <t xml:space="preserve">Informar </t>
  </si>
  <si>
    <t>Entrevistar</t>
  </si>
  <si>
    <t>Sustituir</t>
  </si>
  <si>
    <t>Examinar</t>
  </si>
  <si>
    <t>Emparejar</t>
  </si>
  <si>
    <t>Conformar</t>
  </si>
  <si>
    <t>Armar</t>
  </si>
  <si>
    <t>Ser partidario de</t>
  </si>
  <si>
    <t>Identificar</t>
  </si>
  <si>
    <t>Juzgar</t>
  </si>
  <si>
    <t>Mostrar</t>
  </si>
  <si>
    <t>Interpretar</t>
  </si>
  <si>
    <t>Hacer uso</t>
  </si>
  <si>
    <t>Teorizar</t>
  </si>
  <si>
    <t>Derivar</t>
  </si>
  <si>
    <t>Constrastar</t>
  </si>
  <si>
    <t>Ensamblar</t>
  </si>
  <si>
    <t>Medir</t>
  </si>
  <si>
    <t>Reemplazar</t>
  </si>
  <si>
    <t>Enumerar</t>
  </si>
  <si>
    <t>Cuidar</t>
  </si>
  <si>
    <t>Reconocer</t>
  </si>
  <si>
    <t>Nombrar</t>
  </si>
  <si>
    <t>Encuestar</t>
  </si>
  <si>
    <t>Testar</t>
  </si>
  <si>
    <t>Grabar</t>
  </si>
  <si>
    <t>Exponer</t>
  </si>
  <si>
    <t>Contabilizar</t>
  </si>
  <si>
    <t>Reunir</t>
  </si>
  <si>
    <t>Ejecutar</t>
  </si>
  <si>
    <t>Racionar</t>
  </si>
  <si>
    <t>Preguntar</t>
  </si>
  <si>
    <t>Narrar</t>
  </si>
  <si>
    <t>Observar</t>
  </si>
  <si>
    <t>Controlar</t>
  </si>
  <si>
    <t>Explorar</t>
  </si>
  <si>
    <t>Separer</t>
  </si>
  <si>
    <t>Reponer</t>
  </si>
  <si>
    <t>Interrogar</t>
  </si>
  <si>
    <t>Referir</t>
  </si>
  <si>
    <t>Servir</t>
  </si>
  <si>
    <t>Omitir</t>
  </si>
  <si>
    <t>Parafrasear</t>
  </si>
  <si>
    <t>Visualizar</t>
  </si>
  <si>
    <t>Aunar</t>
  </si>
  <si>
    <t>Estructurar</t>
  </si>
  <si>
    <t>Desempeñar</t>
  </si>
  <si>
    <t>Corregir</t>
  </si>
  <si>
    <t>Edificar</t>
  </si>
  <si>
    <t>Publicar</t>
  </si>
  <si>
    <t>Preocuparse de o por</t>
  </si>
  <si>
    <t>Cumplir</t>
  </si>
  <si>
    <t>Rastrear</t>
  </si>
  <si>
    <t>Predecir</t>
  </si>
  <si>
    <t>Encajar</t>
  </si>
  <si>
    <t>Repartir</t>
  </si>
  <si>
    <t>Asisitir</t>
  </si>
  <si>
    <t>Ejercer</t>
  </si>
  <si>
    <t>Inspeccionar</t>
  </si>
  <si>
    <t>Descubrir</t>
  </si>
  <si>
    <t>Experimentar</t>
  </si>
  <si>
    <t>Mezclar</t>
  </si>
  <si>
    <t>Seleccionar</t>
  </si>
  <si>
    <t>Relacionar</t>
  </si>
  <si>
    <t>Practicar</t>
  </si>
  <si>
    <t>Investigar</t>
  </si>
  <si>
    <t>Constatar</t>
  </si>
  <si>
    <t>Mostar</t>
  </si>
  <si>
    <t>Culminar</t>
  </si>
  <si>
    <t>Preparar</t>
  </si>
  <si>
    <t>Acceder</t>
  </si>
  <si>
    <t>Porcionar</t>
  </si>
  <si>
    <t>Correr</t>
  </si>
  <si>
    <t>Escoger</t>
  </si>
  <si>
    <t>Motivar</t>
  </si>
  <si>
    <t>Compartir</t>
  </si>
  <si>
    <t>Indicar</t>
  </si>
  <si>
    <t>Inventariar</t>
  </si>
  <si>
    <t>Llevar</t>
  </si>
  <si>
    <t>Ocupar</t>
  </si>
  <si>
    <t>Relatar</t>
  </si>
  <si>
    <t>Soportar</t>
  </si>
  <si>
    <t>Revisar</t>
  </si>
  <si>
    <t>Numerar</t>
  </si>
  <si>
    <t>Convocar</t>
  </si>
  <si>
    <t>Revelar</t>
  </si>
  <si>
    <t>Repetir</t>
  </si>
  <si>
    <t>Mover</t>
  </si>
  <si>
    <t>Seguir</t>
  </si>
  <si>
    <t>Contar</t>
  </si>
  <si>
    <t>Unir</t>
  </si>
  <si>
    <t>Exteriorizar</t>
  </si>
  <si>
    <t>Simular</t>
  </si>
  <si>
    <t>Obtener</t>
  </si>
  <si>
    <t>Estudiar</t>
  </si>
  <si>
    <t>Comprobar</t>
  </si>
  <si>
    <t>Maniobrar</t>
  </si>
  <si>
    <t>Trasladar</t>
  </si>
  <si>
    <t>Informar</t>
  </si>
  <si>
    <t>Transferir</t>
  </si>
  <si>
    <t>Priorizar</t>
  </si>
  <si>
    <t>Extender</t>
  </si>
  <si>
    <t>Figurar</t>
  </si>
  <si>
    <t>Escuchar</t>
  </si>
  <si>
    <t>Probar</t>
  </si>
  <si>
    <t>Esculpir</t>
  </si>
  <si>
    <t>Anotar</t>
  </si>
  <si>
    <t>Usar</t>
  </si>
  <si>
    <t>Razonar</t>
  </si>
  <si>
    <t>Hipotetizar</t>
  </si>
  <si>
    <t>Emitir</t>
  </si>
  <si>
    <t>Entallar</t>
  </si>
  <si>
    <t>Proporcionar</t>
  </si>
  <si>
    <t>Reorganizar</t>
  </si>
  <si>
    <t>Influir</t>
  </si>
  <si>
    <t>Presentar</t>
  </si>
  <si>
    <t>Operar</t>
  </si>
  <si>
    <t>Registrar</t>
  </si>
  <si>
    <t>Abrir</t>
  </si>
  <si>
    <t>Resaltar</t>
  </si>
  <si>
    <t>Innovar</t>
  </si>
  <si>
    <t>Limpiar</t>
  </si>
  <si>
    <t>Destapar</t>
  </si>
  <si>
    <t>Coser</t>
  </si>
  <si>
    <t>Contribuir</t>
  </si>
  <si>
    <t>Separar</t>
  </si>
  <si>
    <t>Justificar</t>
  </si>
  <si>
    <t>Reportar</t>
  </si>
  <si>
    <t>Patronar</t>
  </si>
  <si>
    <t>Filtrar</t>
  </si>
  <si>
    <t>Instalar</t>
  </si>
  <si>
    <t>Comenzar</t>
  </si>
  <si>
    <t>Soldar</t>
  </si>
  <si>
    <t>Provocar</t>
  </si>
  <si>
    <t>Subdividir</t>
  </si>
  <si>
    <t>Poner</t>
  </si>
  <si>
    <t>Recordar</t>
  </si>
  <si>
    <t>Recoger</t>
  </si>
  <si>
    <t>Opinar</t>
  </si>
  <si>
    <t>Introducir</t>
  </si>
  <si>
    <t>Recaudar</t>
  </si>
  <si>
    <t>Impulsar</t>
  </si>
  <si>
    <t>Originar</t>
  </si>
  <si>
    <t>Inventar</t>
  </si>
  <si>
    <t>Juntar</t>
  </si>
  <si>
    <t>Finalizar</t>
  </si>
  <si>
    <t>Ampliar</t>
  </si>
  <si>
    <t>Ensanchar</t>
  </si>
  <si>
    <t>Persuadir</t>
  </si>
  <si>
    <t>Formar</t>
  </si>
  <si>
    <t>Cotejar</t>
  </si>
  <si>
    <t>Premiar</t>
  </si>
  <si>
    <t>Repasar</t>
  </si>
  <si>
    <t>Rotular</t>
  </si>
  <si>
    <t>Empaquetar</t>
  </si>
  <si>
    <t>Balancear</t>
  </si>
  <si>
    <t>Recomendar</t>
  </si>
  <si>
    <t>Marcar</t>
  </si>
  <si>
    <t>Envasar</t>
  </si>
  <si>
    <t>Subrayar</t>
  </si>
  <si>
    <t>Pintar</t>
  </si>
  <si>
    <t>Cortar</t>
  </si>
  <si>
    <t>Recortar</t>
  </si>
  <si>
    <t>Sincronizar</t>
  </si>
  <si>
    <t>Bailar</t>
  </si>
  <si>
    <t>Perfeccionar</t>
  </si>
  <si>
    <t>Peritar</t>
  </si>
  <si>
    <t>Planificar</t>
  </si>
  <si>
    <t>Pronosticar</t>
  </si>
  <si>
    <t>Señalar</t>
  </si>
  <si>
    <t>Difundir</t>
  </si>
  <si>
    <t>Tocar</t>
  </si>
  <si>
    <t>Transmitir</t>
  </si>
  <si>
    <t>Representar</t>
  </si>
  <si>
    <t>Tapizar</t>
  </si>
  <si>
    <t>Entrenar</t>
  </si>
  <si>
    <t>Proyectar</t>
  </si>
  <si>
    <t>Sacar</t>
  </si>
  <si>
    <t>Utilizar</t>
  </si>
  <si>
    <t>Sugerir</t>
  </si>
  <si>
    <t>Imprimir</t>
  </si>
  <si>
    <t>Ponderar</t>
  </si>
  <si>
    <t>Estampar</t>
  </si>
  <si>
    <t>Mecanizar</t>
  </si>
  <si>
    <t>Industrializar</t>
  </si>
  <si>
    <t>Codificar</t>
  </si>
  <si>
    <t>Fabricar</t>
  </si>
  <si>
    <t>Vincular</t>
  </si>
  <si>
    <t>Reducir</t>
  </si>
  <si>
    <t>Mitigar</t>
  </si>
  <si>
    <t>1. Gestión del tiempo.
2. Liderazgo. 
3. Técnicas de negociación. 
4. Trabajo en equipo.</t>
  </si>
  <si>
    <t>Elementos para redactar las competencias que desarrollará el programa</t>
  </si>
  <si>
    <t>C.Fundamentación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</si>
</sst>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0"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sz val="11"/>
      <color rgb="FF000000"/>
      <name val="Gill Sans MT"/>
      <family val="2"/>
    </font>
    <font>
      <b/>
      <sz val="11"/>
      <color theme="0"/>
      <name val="Gill Sans MT"/>
      <family val="2"/>
    </font>
    <font>
      <sz val="11"/>
      <color theme="0"/>
      <name val="Gill Sans MT"/>
      <family val="2"/>
    </font>
    <font>
      <b/>
      <sz val="11"/>
      <name val="Gill Sans MT"/>
      <family val="2"/>
    </font>
    <font>
      <b/>
      <sz val="9"/>
      <color theme="0"/>
      <name val="Gill Sans MT"/>
      <family val="2"/>
    </font>
    <font>
      <sz val="11"/>
      <name val="Gill Sans MT"/>
      <family val="2"/>
    </font>
    <font>
      <sz val="8"/>
      <color theme="0"/>
      <name val="Gill Sans MT"/>
      <family val="2"/>
    </font>
    <font>
      <b/>
      <sz val="11"/>
      <color theme="0"/>
      <name val="Calibri"/>
      <family val="2"/>
      <scheme val="minor"/>
    </font>
    <font>
      <sz val="11"/>
      <color theme="0"/>
      <name val="Calibri"/>
      <family val="2"/>
      <scheme val="minor"/>
    </font>
    <font>
      <b/>
      <sz val="11"/>
      <color rgb="FFFFFFFF"/>
      <name val="Gill Sans MT"/>
      <family val="2"/>
    </font>
    <font>
      <sz val="8"/>
      <color rgb="FFFFFFFF"/>
      <name val="Gill Sans MT"/>
      <family val="2"/>
    </font>
    <font>
      <b/>
      <sz val="8"/>
      <color theme="0"/>
      <name val="Gill Sans MT"/>
      <family val="2"/>
    </font>
    <font>
      <sz val="8"/>
      <color rgb="FF000000"/>
      <name val="Gill Sans MT"/>
      <family val="2"/>
    </font>
    <font>
      <sz val="8"/>
      <name val="Gill Sans MT"/>
      <family val="2"/>
    </font>
    <font>
      <b/>
      <sz val="11"/>
      <color rgb="FF000000"/>
      <name val="Gill Sans MT"/>
      <family val="2"/>
    </font>
    <font>
      <b/>
      <sz val="11"/>
      <color theme="1"/>
      <name val="Gill Sans MT"/>
      <family val="2"/>
    </font>
  </fonts>
  <fills count="10">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rgb="FF0F385A"/>
        <bgColor rgb="FF000000"/>
      </patternFill>
    </fill>
    <fill>
      <patternFill patternType="solid">
        <fgColor rgb="FF1FB2DE"/>
        <bgColor rgb="FF000000"/>
      </patternFill>
    </fill>
    <fill>
      <patternFill patternType="solid">
        <fgColor rgb="FFDDEBF7"/>
        <bgColor rgb="FF000000"/>
      </patternFill>
    </fill>
    <fill>
      <patternFill patternType="solid">
        <fgColor theme="2"/>
        <bgColor indexed="64"/>
      </patternFill>
    </fill>
  </fills>
  <borders count="20">
    <border>
      <left/>
      <right/>
      <top/>
      <bottom/>
      <diagonal/>
    </border>
    <border>
      <left style="thin">
        <color auto="1"/>
      </left>
      <right style="thin">
        <color auto="1"/>
      </right>
      <top style="thin">
        <color auto="1"/>
      </top>
      <bottom style="thin">
        <color auto="1"/>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medium">
        <color indexed="64"/>
      </top>
      <bottom/>
      <diagonal/>
    </border>
    <border>
      <left/>
      <right/>
      <top/>
      <bottom style="medium">
        <color indexed="64"/>
      </bottom>
      <diagonal/>
    </border>
    <border>
      <left/>
      <right/>
      <top/>
      <bottom style="medium">
        <color rgb="FF000000"/>
      </bottom>
      <diagonal/>
    </border>
    <border>
      <left/>
      <right/>
      <top style="thin">
        <color rgb="FF0F385A"/>
      </top>
      <bottom/>
      <diagonal/>
    </border>
    <border>
      <left style="thin">
        <color auto="1"/>
      </left>
      <right style="thin">
        <color auto="1"/>
      </right>
      <top style="thin">
        <color auto="1"/>
      </top>
      <bottom/>
      <diagonal/>
    </border>
    <border>
      <left/>
      <right/>
      <top style="thin">
        <color auto="1"/>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medium">
        <color indexed="64"/>
      </top>
      <bottom style="hair">
        <color theme="1" tint="0.499984740745262"/>
      </bottom>
      <diagonal/>
    </border>
    <border>
      <left/>
      <right/>
      <top style="hair">
        <color theme="1" tint="0.499984740745262"/>
      </top>
      <bottom style="hair">
        <color theme="1" tint="0.499984740745262"/>
      </bottom>
      <diagonal/>
    </border>
    <border>
      <left/>
      <right/>
      <top style="medium">
        <color rgb="FF000000"/>
      </top>
      <bottom/>
      <diagonal/>
    </border>
    <border>
      <left style="thin">
        <color rgb="FF1FB2DE"/>
      </left>
      <right/>
      <top/>
      <bottom style="thin">
        <color indexed="64"/>
      </bottom>
      <diagonal/>
    </border>
    <border>
      <left/>
      <right/>
      <top/>
      <bottom style="thin">
        <color indexed="64"/>
      </bottom>
      <diagonal/>
    </border>
  </borders>
  <cellStyleXfs count="1">
    <xf numFmtId="0" fontId="0" fillId="0" borderId="0"/>
  </cellStyleXfs>
  <cellXfs count="113">
    <xf numFmtId="0" fontId="0" fillId="0" borderId="0" xfId="0"/>
    <xf numFmtId="0" fontId="3" fillId="0" borderId="0" xfId="0" applyFont="1"/>
    <xf numFmtId="0" fontId="4" fillId="0" borderId="0" xfId="0" applyFont="1" applyAlignment="1">
      <alignment vertical="center"/>
    </xf>
    <xf numFmtId="0" fontId="3" fillId="0" borderId="0" xfId="0" applyFont="1" applyAlignment="1">
      <alignment wrapText="1"/>
    </xf>
    <xf numFmtId="0" fontId="3" fillId="0" borderId="0" xfId="0" applyFont="1" applyAlignment="1">
      <alignment horizontal="left" wrapText="1"/>
    </xf>
    <xf numFmtId="0" fontId="3" fillId="0" borderId="0" xfId="0" applyFont="1" applyAlignment="1">
      <alignmen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xf>
    <xf numFmtId="0" fontId="4" fillId="0" borderId="0" xfId="0" applyFont="1" applyAlignment="1">
      <alignment horizontal="center" vertical="center"/>
    </xf>
    <xf numFmtId="0" fontId="6" fillId="0" borderId="0" xfId="0" applyFont="1" applyAlignment="1">
      <alignment horizontal="center" vertical="center"/>
    </xf>
    <xf numFmtId="0" fontId="6" fillId="0" borderId="0" xfId="0" applyFont="1" applyAlignment="1">
      <alignment vertical="center"/>
    </xf>
    <xf numFmtId="0" fontId="4" fillId="5" borderId="2" xfId="0" applyFont="1" applyFill="1" applyBorder="1" applyAlignment="1">
      <alignment vertical="center"/>
    </xf>
    <xf numFmtId="0" fontId="4" fillId="0" borderId="2" xfId="0" applyFont="1" applyBorder="1" applyAlignment="1">
      <alignment vertical="center"/>
    </xf>
    <xf numFmtId="0" fontId="3" fillId="5" borderId="2" xfId="0" applyFont="1" applyFill="1" applyBorder="1"/>
    <xf numFmtId="0" fontId="3" fillId="0" borderId="2" xfId="0" applyFont="1" applyBorder="1"/>
    <xf numFmtId="0" fontId="3" fillId="5" borderId="3" xfId="0" applyFont="1" applyFill="1" applyBorder="1"/>
    <xf numFmtId="0" fontId="4" fillId="5" borderId="3" xfId="0" applyFont="1" applyFill="1" applyBorder="1" applyAlignment="1">
      <alignment vertical="center"/>
    </xf>
    <xf numFmtId="0" fontId="3" fillId="0" borderId="3" xfId="0" applyFont="1" applyBorder="1"/>
    <xf numFmtId="0" fontId="3" fillId="0" borderId="7" xfId="0" applyFont="1" applyBorder="1" applyAlignment="1">
      <alignment horizontal="left" vertical="center" wrapText="1"/>
    </xf>
    <xf numFmtId="0" fontId="3" fillId="0" borderId="8" xfId="0" applyFont="1" applyBorder="1" applyAlignment="1">
      <alignment horizontal="left" vertical="center" wrapText="1"/>
    </xf>
    <xf numFmtId="0" fontId="12" fillId="2" borderId="0" xfId="0" applyFont="1" applyFill="1" applyAlignment="1">
      <alignment wrapText="1"/>
    </xf>
    <xf numFmtId="0" fontId="4" fillId="0" borderId="0" xfId="0" applyFont="1" applyAlignment="1">
      <alignment vertical="center" wrapText="1"/>
    </xf>
    <xf numFmtId="0" fontId="3" fillId="0" borderId="0" xfId="0" applyFont="1" applyAlignment="1">
      <alignment vertical="center"/>
    </xf>
    <xf numFmtId="0" fontId="9" fillId="0" borderId="0" xfId="0" applyFont="1" applyAlignment="1">
      <alignment horizontal="left" vertical="center" wrapText="1"/>
    </xf>
    <xf numFmtId="0" fontId="3" fillId="0" borderId="8" xfId="0" applyFont="1" applyBorder="1" applyAlignment="1">
      <alignment vertical="center" wrapText="1"/>
    </xf>
    <xf numFmtId="0" fontId="3" fillId="0" borderId="7" xfId="0" applyFont="1" applyBorder="1" applyAlignment="1">
      <alignment vertical="center" wrapText="1"/>
    </xf>
    <xf numFmtId="0" fontId="3" fillId="0" borderId="7" xfId="0" applyFont="1" applyBorder="1" applyAlignment="1">
      <alignment wrapText="1"/>
    </xf>
    <xf numFmtId="0" fontId="4" fillId="0" borderId="7" xfId="0" applyFont="1" applyBorder="1" applyAlignment="1">
      <alignment vertical="center" wrapText="1"/>
    </xf>
    <xf numFmtId="0" fontId="3" fillId="0" borderId="8" xfId="0" applyFont="1" applyBorder="1" applyAlignment="1">
      <alignment wrapText="1"/>
    </xf>
    <xf numFmtId="0" fontId="3" fillId="0" borderId="7" xfId="0" applyFont="1" applyBorder="1" applyAlignment="1">
      <alignment vertical="center"/>
    </xf>
    <xf numFmtId="0" fontId="3" fillId="0" borderId="8" xfId="0" applyFont="1" applyBorder="1" applyAlignment="1">
      <alignment vertical="center"/>
    </xf>
    <xf numFmtId="0" fontId="5" fillId="2" borderId="1" xfId="0" applyFont="1" applyFill="1" applyBorder="1" applyAlignment="1">
      <alignment horizontal="center" vertical="center" wrapText="1"/>
    </xf>
    <xf numFmtId="0" fontId="7" fillId="3" borderId="11" xfId="0" applyFont="1" applyFill="1" applyBorder="1" applyAlignment="1">
      <alignment horizontal="center" vertical="center" wrapText="1"/>
    </xf>
    <xf numFmtId="0" fontId="14" fillId="6" borderId="1" xfId="0" applyFont="1" applyFill="1" applyBorder="1" applyAlignment="1">
      <alignment horizontal="center" vertical="center" wrapText="1"/>
    </xf>
    <xf numFmtId="0" fontId="15" fillId="2"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13" fillId="6" borderId="1" xfId="0" applyFont="1" applyFill="1" applyBorder="1" applyAlignment="1">
      <alignment horizontal="center" vertical="center" wrapText="1"/>
    </xf>
    <xf numFmtId="0" fontId="16" fillId="7" borderId="1" xfId="0" applyFont="1" applyFill="1" applyBorder="1" applyAlignment="1">
      <alignment horizontal="center" vertical="center" wrapText="1"/>
    </xf>
    <xf numFmtId="0" fontId="17" fillId="7" borderId="1" xfId="0" applyFont="1" applyFill="1" applyBorder="1" applyAlignment="1">
      <alignment horizontal="center" vertical="center" wrapText="1"/>
    </xf>
    <xf numFmtId="0" fontId="18" fillId="7"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16" fillId="8" borderId="1" xfId="0" applyFont="1" applyFill="1" applyBorder="1" applyAlignment="1">
      <alignment horizontal="center" vertical="center" wrapText="1"/>
    </xf>
    <xf numFmtId="0" fontId="16" fillId="7" borderId="6" xfId="0" applyFont="1" applyFill="1" applyBorder="1" applyAlignment="1">
      <alignment horizontal="center" vertical="center" wrapText="1"/>
    </xf>
    <xf numFmtId="0" fontId="14" fillId="6" borderId="6" xfId="0" applyFont="1" applyFill="1" applyBorder="1" applyAlignment="1">
      <alignment horizontal="center" vertical="center" wrapText="1"/>
    </xf>
    <xf numFmtId="0" fontId="18" fillId="8" borderId="13" xfId="0" applyFont="1" applyFill="1" applyBorder="1" applyAlignment="1">
      <alignment horizontal="center" vertical="center" wrapText="1"/>
    </xf>
    <xf numFmtId="0" fontId="18" fillId="7" borderId="14" xfId="0" applyFont="1" applyFill="1" applyBorder="1" applyAlignment="1">
      <alignment horizontal="center" vertical="center" wrapText="1"/>
    </xf>
    <xf numFmtId="0" fontId="13" fillId="6" borderId="14" xfId="0" applyFont="1" applyFill="1" applyBorder="1" applyAlignment="1">
      <alignment horizontal="center" vertical="center" wrapText="1"/>
    </xf>
    <xf numFmtId="0" fontId="4" fillId="0" borderId="0" xfId="0" applyFont="1" applyAlignment="1">
      <alignment horizontal="left"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4" fillId="0" borderId="8" xfId="0" applyFont="1" applyBorder="1" applyAlignment="1">
      <alignment vertical="center" wrapText="1"/>
    </xf>
    <xf numFmtId="0" fontId="4" fillId="0" borderId="8"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5" fillId="2" borderId="7" xfId="0" applyFont="1" applyFill="1" applyBorder="1" applyAlignment="1">
      <alignment horizontal="center" vertical="center" wrapText="1"/>
    </xf>
    <xf numFmtId="0" fontId="19" fillId="9" borderId="0" xfId="0" applyFont="1" applyFill="1" applyAlignment="1">
      <alignment horizontal="center" vertical="center" wrapText="1"/>
    </xf>
    <xf numFmtId="0" fontId="5" fillId="2" borderId="15" xfId="0" applyFont="1" applyFill="1" applyBorder="1" applyAlignment="1">
      <alignment horizontal="center" vertical="center" wrapText="1"/>
    </xf>
    <xf numFmtId="0" fontId="19" fillId="9" borderId="15" xfId="0" applyFont="1" applyFill="1" applyBorder="1" applyAlignment="1">
      <alignment horizontal="center" vertical="center" wrapText="1"/>
    </xf>
    <xf numFmtId="0" fontId="13" fillId="6" borderId="16" xfId="0" applyFont="1" applyFill="1" applyBorder="1" applyAlignment="1">
      <alignment horizontal="center" vertical="center" wrapText="1"/>
    </xf>
    <xf numFmtId="0" fontId="19" fillId="9" borderId="16" xfId="0" applyFont="1" applyFill="1" applyBorder="1" applyAlignment="1">
      <alignment horizontal="center" vertical="center" wrapText="1"/>
    </xf>
    <xf numFmtId="0" fontId="9" fillId="0" borderId="0" xfId="0" applyFont="1" applyAlignment="1">
      <alignment vertical="center" wrapText="1"/>
    </xf>
    <xf numFmtId="0" fontId="4" fillId="0" borderId="9" xfId="0" applyFont="1" applyBorder="1" applyAlignment="1">
      <alignment vertical="center" wrapText="1"/>
    </xf>
    <xf numFmtId="0" fontId="9" fillId="0" borderId="0" xfId="0" applyFont="1" applyAlignment="1">
      <alignment horizontal="center" vertical="center" wrapText="1"/>
    </xf>
    <xf numFmtId="0" fontId="9" fillId="0" borderId="12" xfId="0" applyFont="1" applyBorder="1" applyAlignment="1">
      <alignment vertical="center" wrapText="1"/>
    </xf>
    <xf numFmtId="0" fontId="9" fillId="0" borderId="10" xfId="0" applyFont="1" applyBorder="1" applyAlignment="1">
      <alignment vertical="center"/>
    </xf>
    <xf numFmtId="0" fontId="9" fillId="0" borderId="10" xfId="0" applyFont="1" applyBorder="1" applyAlignment="1">
      <alignment vertical="center" wrapText="1"/>
    </xf>
    <xf numFmtId="0" fontId="9" fillId="0" borderId="0" xfId="0" applyFont="1" applyAlignment="1">
      <alignment vertical="center"/>
    </xf>
    <xf numFmtId="0" fontId="9" fillId="0" borderId="0" xfId="0" applyFont="1" applyAlignment="1">
      <alignment wrapText="1"/>
    </xf>
    <xf numFmtId="0" fontId="3" fillId="0" borderId="9" xfId="0" applyFont="1" applyBorder="1" applyAlignment="1">
      <alignment vertical="center"/>
    </xf>
    <xf numFmtId="0" fontId="3" fillId="0" borderId="7" xfId="0" applyFont="1" applyBorder="1" applyAlignment="1">
      <alignment horizontal="center" vertical="center" wrapText="1"/>
    </xf>
    <xf numFmtId="0" fontId="3" fillId="0" borderId="0" xfId="0" applyFont="1" applyAlignment="1">
      <alignment horizontal="center" vertical="center" wrapText="1"/>
    </xf>
    <xf numFmtId="0" fontId="3" fillId="0" borderId="8" xfId="0" applyFont="1" applyBorder="1" applyAlignment="1">
      <alignment horizontal="center" vertical="center" wrapText="1"/>
    </xf>
    <xf numFmtId="0" fontId="3" fillId="0" borderId="7" xfId="0" applyFont="1" applyBorder="1" applyAlignment="1">
      <alignment horizontal="left" vertical="center" wrapText="1"/>
    </xf>
    <xf numFmtId="0" fontId="3" fillId="0" borderId="0" xfId="0" applyFont="1" applyAlignment="1">
      <alignment horizontal="left" vertical="center" wrapText="1"/>
    </xf>
    <xf numFmtId="0" fontId="3" fillId="0" borderId="8" xfId="0" applyFont="1" applyBorder="1" applyAlignment="1">
      <alignment horizontal="left" vertical="center" wrapText="1"/>
    </xf>
    <xf numFmtId="0" fontId="4" fillId="0" borderId="7" xfId="0" applyFont="1" applyBorder="1" applyAlignment="1">
      <alignment horizontal="center" vertical="center" wrapText="1"/>
    </xf>
    <xf numFmtId="0" fontId="4" fillId="0" borderId="0" xfId="0" applyFont="1" applyAlignment="1">
      <alignment horizontal="center" vertical="center" wrapText="1"/>
    </xf>
    <xf numFmtId="0" fontId="4" fillId="0" borderId="8" xfId="0" applyFont="1" applyBorder="1" applyAlignment="1">
      <alignment horizontal="center" vertical="center" wrapText="1"/>
    </xf>
    <xf numFmtId="0" fontId="4" fillId="0" borderId="7" xfId="0" applyFont="1" applyBorder="1" applyAlignment="1">
      <alignment vertical="center" wrapText="1"/>
    </xf>
    <xf numFmtId="0" fontId="4" fillId="0" borderId="0" xfId="0" applyFont="1" applyAlignment="1">
      <alignment vertical="center" wrapText="1"/>
    </xf>
    <xf numFmtId="0" fontId="4" fillId="0" borderId="8" xfId="0" applyFont="1" applyBorder="1" applyAlignment="1">
      <alignment vertical="center" wrapText="1"/>
    </xf>
    <xf numFmtId="0" fontId="4" fillId="0" borderId="7" xfId="0" applyFont="1" applyBorder="1" applyAlignment="1">
      <alignment horizontal="left" vertical="center" wrapText="1"/>
    </xf>
    <xf numFmtId="0" fontId="4" fillId="0" borderId="8" xfId="0" applyFont="1" applyBorder="1" applyAlignment="1">
      <alignment horizontal="left" vertical="center" wrapText="1"/>
    </xf>
    <xf numFmtId="0" fontId="4" fillId="0" borderId="0" xfId="0" applyFont="1" applyAlignment="1">
      <alignment horizontal="left" vertical="center" wrapText="1"/>
    </xf>
    <xf numFmtId="0" fontId="14" fillId="6" borderId="4" xfId="0" applyFont="1" applyFill="1" applyBorder="1" applyAlignment="1">
      <alignment horizontal="center" vertical="center" wrapText="1"/>
    </xf>
    <xf numFmtId="0" fontId="14" fillId="6" borderId="6" xfId="0" applyFont="1" applyFill="1" applyBorder="1" applyAlignment="1">
      <alignment horizontal="center"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9" fillId="0" borderId="7" xfId="0" applyFont="1" applyBorder="1" applyAlignment="1">
      <alignment horizontal="left" vertical="center" wrapText="1"/>
    </xf>
    <xf numFmtId="0" fontId="9" fillId="0" borderId="0" xfId="0" applyFont="1" applyAlignment="1">
      <alignment horizontal="left" vertical="center" wrapText="1"/>
    </xf>
    <xf numFmtId="0" fontId="9" fillId="0" borderId="8" xfId="0" applyFont="1" applyBorder="1" applyAlignment="1">
      <alignment horizontal="left" vertical="center" wrapText="1"/>
    </xf>
    <xf numFmtId="0" fontId="4" fillId="0" borderId="7" xfId="0" applyFont="1" applyBorder="1" applyAlignment="1">
      <alignment horizontal="center" vertical="center"/>
    </xf>
    <xf numFmtId="0" fontId="4" fillId="0" borderId="0" xfId="0" applyFont="1" applyAlignment="1">
      <alignment horizontal="center" vertical="center"/>
    </xf>
    <xf numFmtId="0" fontId="4" fillId="0" borderId="8" xfId="0" applyFont="1" applyBorder="1" applyAlignment="1">
      <alignment horizontal="center" vertical="center"/>
    </xf>
    <xf numFmtId="0" fontId="3" fillId="0" borderId="12" xfId="0" applyFont="1" applyBorder="1" applyAlignment="1">
      <alignment horizontal="left" vertical="center" wrapText="1"/>
    </xf>
    <xf numFmtId="0" fontId="15" fillId="2" borderId="1" xfId="0" applyFont="1" applyFill="1" applyBorder="1" applyAlignment="1">
      <alignment horizontal="center" vertical="center" wrapText="1"/>
    </xf>
    <xf numFmtId="0" fontId="13" fillId="6" borderId="18" xfId="0" applyFont="1" applyFill="1" applyBorder="1" applyAlignment="1">
      <alignment horizontal="center" vertical="center" wrapText="1"/>
    </xf>
    <xf numFmtId="0" fontId="13" fillId="6" borderId="19" xfId="0" applyFont="1" applyFill="1" applyBorder="1" applyAlignment="1">
      <alignment horizontal="center" vertical="center" wrapText="1"/>
    </xf>
    <xf numFmtId="0" fontId="9" fillId="0" borderId="7" xfId="0" applyFont="1" applyBorder="1" applyAlignment="1">
      <alignment horizontal="center" vertical="center" wrapText="1"/>
    </xf>
    <xf numFmtId="0" fontId="9" fillId="0" borderId="0" xfId="0" applyFont="1" applyAlignment="1">
      <alignment horizontal="center" vertical="center" wrapText="1"/>
    </xf>
    <xf numFmtId="0" fontId="9" fillId="0" borderId="8" xfId="0" applyFont="1" applyBorder="1" applyAlignment="1">
      <alignment horizontal="center" vertical="center" wrapText="1"/>
    </xf>
    <xf numFmtId="0" fontId="9" fillId="0" borderId="9" xfId="0" applyFont="1" applyBorder="1" applyAlignment="1">
      <alignment horizontal="center" vertical="center" wrapText="1"/>
    </xf>
    <xf numFmtId="0" fontId="4" fillId="0" borderId="9" xfId="0" applyFont="1" applyBorder="1" applyAlignment="1">
      <alignment horizontal="center" vertical="center" wrapText="1"/>
    </xf>
    <xf numFmtId="0" fontId="9" fillId="0" borderId="9" xfId="0" applyFont="1" applyBorder="1" applyAlignment="1">
      <alignment horizontal="left" vertical="center" wrapText="1"/>
    </xf>
    <xf numFmtId="0" fontId="9" fillId="0" borderId="17" xfId="0" applyFont="1" applyBorder="1" applyAlignment="1">
      <alignment horizontal="center" vertical="center" wrapText="1"/>
    </xf>
    <xf numFmtId="0" fontId="3" fillId="0" borderId="0" xfId="0" applyFont="1" applyAlignment="1">
      <alignment horizontal="center"/>
    </xf>
    <xf numFmtId="0" fontId="5" fillId="4" borderId="1" xfId="0" applyFont="1" applyFill="1" applyBorder="1" applyAlignment="1">
      <alignment horizontal="center"/>
    </xf>
    <xf numFmtId="0" fontId="5" fillId="4" borderId="4" xfId="0" applyFont="1" applyFill="1" applyBorder="1" applyAlignment="1">
      <alignment horizontal="center"/>
    </xf>
    <xf numFmtId="0" fontId="5" fillId="4" borderId="5" xfId="0" applyFont="1" applyFill="1" applyBorder="1" applyAlignment="1">
      <alignment horizontal="center"/>
    </xf>
    <xf numFmtId="0" fontId="5" fillId="4" borderId="6" xfId="0" applyFont="1" applyFill="1" applyBorder="1" applyAlignment="1">
      <alignment horizontal="center"/>
    </xf>
  </cellXfs>
  <cellStyles count="1">
    <cellStyle name="Normal" xfId="0" builtinId="0"/>
  </cellStyles>
  <dxfs count="179">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178"/>
    </tableStyle>
    <tableStyle name="Estilo de tabla 2" pivot="0" count="1" xr9:uid="{C6F8D6C6-DD7E-42E8-8328-19C722F9F97F}">
      <tableStyleElement type="wholeTable" dxfId="177"/>
    </tableStyle>
    <tableStyle name="Estilo de tabla 3" pivot="0" count="1" xr9:uid="{BD8219D8-F95E-4ADD-BD98-5883EDA7E91C}">
      <tableStyleElement type="headerRow" dxfId="176"/>
    </tableStyle>
  </tableStyles>
  <colors>
    <mruColors>
      <color rgb="FF0F385A"/>
      <color rgb="FF1FB2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B2A92B26-EF0C-4878-B50A-6837C8B938F9}" name="Tabla33103" displayName="Tabla33103" ref="B1:B39" totalsRowShown="0" headerRowDxfId="175" dataDxfId="174">
  <autoFilter ref="B1:B39" xr:uid="{B2A92B26-EF0C-4878-B50A-6837C8B938F9}"/>
  <sortState xmlns:xlrd2="http://schemas.microsoft.com/office/spreadsheetml/2017/richdata2" ref="B2:B37">
    <sortCondition ref="B1:B37"/>
  </sortState>
  <tableColumns count="1">
    <tableColumn id="1" xr3:uid="{29152045-E0EB-4BF0-98F0-61C280340B30}" name="Verbos Competencias" dataDxfId="17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8FC5A9A-4920-4623-A07A-3CF9371DCF4A}" name="Tabla1715" displayName="Tabla1715" ref="A3:A7" totalsRowShown="0" headerRowDxfId="172" dataDxfId="171">
  <autoFilter ref="A3:A7" xr:uid="{48FC5A9A-4920-4623-A07A-3CF9371DCF4A}"/>
  <tableColumns count="1">
    <tableColumn id="1" xr3:uid="{63D540FA-82EB-4145-8DC7-B519D8CD7CC0}" name="Taxonomías" dataDxfId="170"/>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9BF92EC-A277-4656-A963-5B1EAB7D46D6}" name="Tabla1816" displayName="Tabla1816" ref="AL4:AL32" totalsRowShown="0" headerRowDxfId="169" dataDxfId="168">
  <autoFilter ref="AL4:AL32" xr:uid="{59BF92EC-A277-4656-A963-5B1EAB7D46D6}"/>
  <sortState xmlns:xlrd2="http://schemas.microsoft.com/office/spreadsheetml/2017/richdata2" ref="AL5:AL32">
    <sortCondition ref="AL5:AL32"/>
  </sortState>
  <tableColumns count="1">
    <tableColumn id="1" xr3:uid="{F4C3BEC3-A8BA-43A6-AF00-06D2C8E04D5E}" name="RecordarLK" dataDxfId="16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3A057E8-BC14-4481-9B47-B7A94BC9D97A}" name="Tabla1926" displayName="Tabla1926" ref="AM4:AM28" totalsRowShown="0" headerRowDxfId="166" dataDxfId="165">
  <autoFilter ref="AM4:AM28" xr:uid="{B3A057E8-BC14-4481-9B47-B7A94BC9D97A}"/>
  <sortState xmlns:xlrd2="http://schemas.microsoft.com/office/spreadsheetml/2017/richdata2" ref="AM5:AM28">
    <sortCondition ref="AM5:AM28"/>
  </sortState>
  <tableColumns count="1">
    <tableColumn id="1" xr3:uid="{22C36FE7-AAEE-4B9D-8345-61BDDF16672A}" name="ComprenderLK" dataDxfId="16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D6709B3-878C-4665-A64F-6617D841DAF8}" name="Tabla2028" displayName="Tabla2028" ref="AN4:AN31" totalsRowShown="0" headerRowDxfId="163" dataDxfId="162">
  <autoFilter ref="AN4:AN31" xr:uid="{CD6709B3-878C-4665-A64F-6617D841DAF8}"/>
  <sortState xmlns:xlrd2="http://schemas.microsoft.com/office/spreadsheetml/2017/richdata2" ref="AN5:AN31">
    <sortCondition ref="AN5:AN31"/>
  </sortState>
  <tableColumns count="1">
    <tableColumn id="1" xr3:uid="{E0748E34-505E-4B6C-88AD-69D1650A1458}" name="AplicarLK" dataDxfId="16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6F0B0E8-A8D0-4F61-A40D-B1423DE7B813}" name="Tabla2129" displayName="Tabla2129" ref="AO4:AO35" totalsRowShown="0" headerRowDxfId="160" dataDxfId="159">
  <autoFilter ref="AO4:AO35" xr:uid="{C6F0B0E8-A8D0-4F61-A40D-B1423DE7B813}"/>
  <sortState xmlns:xlrd2="http://schemas.microsoft.com/office/spreadsheetml/2017/richdata2" ref="AO5:AO35">
    <sortCondition ref="AO5:AO35"/>
  </sortState>
  <tableColumns count="1">
    <tableColumn id="1" xr3:uid="{4EC3AE28-DA86-4BC0-BF7B-BF5699537101}" name="AnalizarLK" dataDxfId="15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847CBB9-9D6E-4D0E-8127-07F853DB7AC6}" name="Tabla2230" displayName="Tabla2230" ref="AP4:AP47" totalsRowShown="0" headerRowDxfId="157" dataDxfId="156">
  <autoFilter ref="AP4:AP47" xr:uid="{7847CBB9-9D6E-4D0E-8127-07F853DB7AC6}"/>
  <sortState xmlns:xlrd2="http://schemas.microsoft.com/office/spreadsheetml/2017/richdata2" ref="AP5:AP47">
    <sortCondition ref="AP5:AP47"/>
  </sortState>
  <tableColumns count="1">
    <tableColumn id="1" xr3:uid="{47FDF88B-30DA-4104-BC28-92F05B1464DC}" name="EvaluarLK" dataDxfId="15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D29FBDA-C4C7-4802-9945-B1136AA1A5B6}" name="Tabla2333" displayName="Tabla2333" ref="AQ4:AQ21" totalsRowShown="0" headerRowDxfId="154" dataDxfId="153">
  <autoFilter ref="AQ4:AQ21" xr:uid="{1D29FBDA-C4C7-4802-9945-B1136AA1A5B6}"/>
  <sortState xmlns:xlrd2="http://schemas.microsoft.com/office/spreadsheetml/2017/richdata2" ref="AQ5:AQ21">
    <sortCondition ref="AQ5:AQ21"/>
  </sortState>
  <tableColumns count="1">
    <tableColumn id="1" xr3:uid="{695E3FF0-9053-4D06-82E6-12950FD1BCA1}" name="CrearLK" dataDxfId="15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8CECA1C-3082-403C-A916-A3F7860E419B}" name="Tabla3555" displayName="Tabla3555" ref="S3:S45" totalsRowShown="0" headerRowDxfId="151" dataDxfId="150">
  <autoFilter ref="S3:S45" xr:uid="{F8CECA1C-3082-403C-A916-A3F7860E419B}"/>
  <sortState xmlns:xlrd2="http://schemas.microsoft.com/office/spreadsheetml/2017/richdata2" ref="S4:S45">
    <sortCondition ref="S4:S45"/>
  </sortState>
  <tableColumns count="1">
    <tableColumn id="1" xr3:uid="{E8288FDF-6DC1-467B-8083-3BB5E5966D23}" name="ConocimientoBAK" dataDxfId="149"/>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1DAFDAE-F212-4BAF-BC19-DDD22FBAA62D}" name="Tabla3663" displayName="Tabla3663" ref="T3:T42" totalsRowShown="0" headerRowDxfId="148" dataDxfId="147">
  <autoFilter ref="T3:T42" xr:uid="{91DAFDAE-F212-4BAF-BC19-DDD22FBAA62D}"/>
  <sortState xmlns:xlrd2="http://schemas.microsoft.com/office/spreadsheetml/2017/richdata2" ref="T4:T42">
    <sortCondition ref="T4:T42"/>
  </sortState>
  <tableColumns count="1">
    <tableColumn id="1" xr3:uid="{BE0B8AE9-98EE-44F6-8C48-260F8C2558A0}" name="ComprensiónBAK" dataDxfId="14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1A040A9-8CFD-4596-8FBC-27FD56392945}" name="Tabla3764" displayName="Tabla3764" ref="U3:U43" totalsRowShown="0" headerRowDxfId="145" dataDxfId="144">
  <autoFilter ref="U3:U43" xr:uid="{B1A040A9-8CFD-4596-8FBC-27FD56392945}"/>
  <sortState xmlns:xlrd2="http://schemas.microsoft.com/office/spreadsheetml/2017/richdata2" ref="U4:U43">
    <sortCondition ref="U4:U43"/>
  </sortState>
  <tableColumns count="1">
    <tableColumn id="1" xr3:uid="{37523E1E-21F0-4AD5-AE5F-B4C6B322C81C}" name="AplicaciónBAK" dataDxfId="14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2AA761F5-FCA1-4A0B-90D8-1C642DDF1D1A}" name="Tabla3865" displayName="Tabla3865" ref="V3:V36" totalsRowShown="0" headerRowDxfId="142" dataDxfId="141">
  <autoFilter ref="V3:V36" xr:uid="{2AA761F5-FCA1-4A0B-90D8-1C642DDF1D1A}"/>
  <sortState xmlns:xlrd2="http://schemas.microsoft.com/office/spreadsheetml/2017/richdata2" ref="V4:V36">
    <sortCondition ref="V4:V36"/>
  </sortState>
  <tableColumns count="1">
    <tableColumn id="1" xr3:uid="{AF14FE7A-A899-43F9-A3C0-8119863088B1}" name="AnálisisBAK" dataDxfId="14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6A45780-86A0-4428-88DB-1A555C4970E6}" name="Tabla3966" displayName="Tabla3966" ref="W3:W63" totalsRowShown="0" headerRowDxfId="139" dataDxfId="138">
  <autoFilter ref="W3:W63" xr:uid="{F6A45780-86A0-4428-88DB-1A555C4970E6}"/>
  <sortState xmlns:xlrd2="http://schemas.microsoft.com/office/spreadsheetml/2017/richdata2" ref="W4:W63">
    <sortCondition ref="W4:W63"/>
  </sortState>
  <tableColumns count="1">
    <tableColumn id="1" xr3:uid="{8D1F3CAA-A929-411E-B3AB-90C77CB5BC14}" name="SíntesisBAK" dataDxfId="137"/>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245156A-EE8E-4F9F-B3E3-F1F013A29E6E}" name="Tabla4067" displayName="Tabla4067" ref="X3:X66" totalsRowShown="0" headerRowDxfId="136" dataDxfId="135">
  <autoFilter ref="X3:X66" xr:uid="{3245156A-EE8E-4F9F-B3E3-F1F013A29E6E}"/>
  <sortState xmlns:xlrd2="http://schemas.microsoft.com/office/spreadsheetml/2017/richdata2" ref="X4:X66">
    <sortCondition ref="X4:X66"/>
  </sortState>
  <tableColumns count="1">
    <tableColumn id="1" xr3:uid="{D08EDAAB-166E-48F7-9B09-46F65D2F2270}" name="EvaluaciónBAK" dataDxfId="134"/>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C46EE9B-0911-4522-BB5D-1931406AB4AB}" name="Tabla1168" displayName="Tabla1168" ref="Y3:Y52" totalsRowShown="0" headerRowDxfId="133" dataDxfId="132">
  <autoFilter ref="Y3:Y52" xr:uid="{0C46EE9B-0911-4522-BB5D-1931406AB4AB}"/>
  <tableColumns count="1">
    <tableColumn id="1" xr3:uid="{CDE7758F-9A83-44EB-B2E4-CC670F5593B8}" name="ImitaciónBAK" dataDxfId="131"/>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00A78DD-9219-4A2F-A2DA-93669B9B6AF3}" name="Tabla3069" displayName="Tabla3069" ref="Z3:Z40" totalsRowShown="0" headerRowDxfId="130" dataDxfId="129">
  <autoFilter ref="Z3:Z40" xr:uid="{300A78DD-9219-4A2F-A2DA-93669B9B6AF3}"/>
  <tableColumns count="1">
    <tableColumn id="1" xr3:uid="{3C407CCE-B486-4656-BA81-116BE1090143}" name="ManipulaciónBAK" dataDxfId="128"/>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6877FA86-1F49-4E2D-9448-AFF0346B8BB8}" name="Tabla4170" displayName="Tabla4170" ref="AA3:AA68" totalsRowShown="0" headerRowDxfId="127" dataDxfId="126">
  <autoFilter ref="AA3:AA68" xr:uid="{6877FA86-1F49-4E2D-9448-AFF0346B8BB8}"/>
  <tableColumns count="1">
    <tableColumn id="1" xr3:uid="{D21AF291-1BAF-43EA-AFD3-DAFB2D955E09}" name="PrecisiónBAK" dataDxfId="125"/>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38FA61-1361-4EA5-A764-8E58B96581E9}" name="Tabla4271" displayName="Tabla4271" ref="AB3:AB62" totalsRowShown="0" headerRowDxfId="124" dataDxfId="123">
  <autoFilter ref="AB3:AB62" xr:uid="{FD38FA61-1361-4EA5-A764-8E58B96581E9}"/>
  <tableColumns count="1">
    <tableColumn id="1" xr3:uid="{982D722A-3D7A-4AAD-A2DF-5EE8DF5E4D9D}" name="ControlBAK" dataDxfId="122"/>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03448E5-D0D5-4B82-B461-0CD544CE9D23}" name="Tabla4372" displayName="Tabla4372" ref="AC3:AC43" totalsRowShown="0" headerRowDxfId="121" dataDxfId="120">
  <autoFilter ref="AC3:AC43" xr:uid="{503448E5-D0D5-4B82-B461-0CD544CE9D23}"/>
  <tableColumns count="1">
    <tableColumn id="1" xr3:uid="{03441D59-E383-407F-99E2-74596636CEF0}" name="PercepciónBAK" dataDxfId="11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8B46976-D2F4-4AEA-B0BA-6ECF06521BA8}" name="Tabla4473" displayName="Tabla4473" ref="AD3:AD33" totalsRowShown="0" headerRowDxfId="118" dataDxfId="117">
  <autoFilter ref="AD3:AD33" xr:uid="{08B46976-D2F4-4AEA-B0BA-6ECF06521BA8}"/>
  <tableColumns count="1">
    <tableColumn id="1" xr3:uid="{0C49A45E-6C59-4AAB-BD6C-F53324766649}" name="ResponderBAK" dataDxfId="116"/>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9448539-0C4F-43C9-9924-5A219B16757C}" name="Tabla4574" displayName="Tabla4574" ref="AE3:AE38" totalsRowShown="0" headerRowDxfId="115" dataDxfId="114">
  <autoFilter ref="AE3:AE38" xr:uid="{49448539-0C4F-43C9-9924-5A219B16757C}"/>
  <tableColumns count="1">
    <tableColumn id="1" xr3:uid="{E2890547-6570-4474-811E-70109D5F5465}" name="ValorarBAK" dataDxfId="113"/>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1E76DB2-0E8B-466D-A413-2ABD524DDEEA}" name="Tabla4675" displayName="Tabla4675" ref="AF3:AF29" totalsRowShown="0" headerRowDxfId="112" dataDxfId="111">
  <autoFilter ref="AF3:AF29" xr:uid="{21E76DB2-0E8B-466D-A413-2ABD524DDEEA}"/>
  <tableColumns count="1">
    <tableColumn id="1" xr3:uid="{674DA899-A4D0-4618-B839-C8613BA61338}" name="OrganizarBAK" dataDxfId="110"/>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835318B2-CEAD-4A84-8E6B-21115489F3F9}" name="Tabla4776" displayName="Tabla4776" ref="AG3:AG29" totalsRowShown="0" headerRowDxfId="109" dataDxfId="108">
  <autoFilter ref="AG3:AG29" xr:uid="{835318B2-CEAD-4A84-8E6B-21115489F3F9}"/>
  <tableColumns count="1">
    <tableColumn id="1" xr3:uid="{C98AB4FD-C9CE-4966-B509-E36C390C09C7}" name="CaracterizarBAK" dataDxfId="107"/>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E4643CC-87B6-4485-9E83-A8ED35E11905}" name="Tabla354977" displayName="Tabla354977" ref="L3:L45" totalsRowShown="0" headerRowDxfId="106" dataDxfId="105">
  <autoFilter ref="L3:L45" xr:uid="{9E4643CC-87B6-4485-9E83-A8ED35E11905}"/>
  <sortState xmlns:xlrd2="http://schemas.microsoft.com/office/spreadsheetml/2017/richdata2" ref="L4:L45">
    <sortCondition ref="L4:L45"/>
  </sortState>
  <tableColumns count="1">
    <tableColumn id="1" xr3:uid="{29725637-71B1-4F7E-96A8-CB90D5C646B2}" name="ConocimientoB" dataDxfId="104"/>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726BD4C-A167-44A9-8F1B-6936952A7A59}" name="Tabla365078" displayName="Tabla365078" ref="M3:M42" totalsRowShown="0" headerRowDxfId="103" dataDxfId="102">
  <autoFilter ref="M3:M42" xr:uid="{C726BD4C-A167-44A9-8F1B-6936952A7A59}"/>
  <sortState xmlns:xlrd2="http://schemas.microsoft.com/office/spreadsheetml/2017/richdata2" ref="M4:M42">
    <sortCondition ref="M4:M42"/>
  </sortState>
  <tableColumns count="1">
    <tableColumn id="1" xr3:uid="{302CEF3F-D9B7-44E2-B341-CAA4B0E1BEB1}" name="ComprensiónB" dataDxfId="10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85965F80-D722-4217-9624-BAE055366227}" name="Tabla375179" displayName="Tabla375179" ref="N3:N43" totalsRowShown="0" headerRowDxfId="100" dataDxfId="99">
  <autoFilter ref="N3:N43" xr:uid="{85965F80-D722-4217-9624-BAE055366227}"/>
  <sortState xmlns:xlrd2="http://schemas.microsoft.com/office/spreadsheetml/2017/richdata2" ref="N4:N43">
    <sortCondition ref="N4:N43"/>
  </sortState>
  <tableColumns count="1">
    <tableColumn id="1" xr3:uid="{8CDFD0B2-187A-490F-B898-52C789C626A8}" name="AplicaciónB" dataDxfId="98"/>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F44782F-9CE2-445E-8EAA-F5D6BC4CE9FF}" name="Tabla385280" displayName="Tabla385280" ref="O3:O36" totalsRowShown="0" headerRowDxfId="97" dataDxfId="96">
  <autoFilter ref="O3:O36" xr:uid="{4F44782F-9CE2-445E-8EAA-F5D6BC4CE9FF}"/>
  <sortState xmlns:xlrd2="http://schemas.microsoft.com/office/spreadsheetml/2017/richdata2" ref="O4:O36">
    <sortCondition ref="O4:O36"/>
  </sortState>
  <tableColumns count="1">
    <tableColumn id="1" xr3:uid="{7941CE9F-DC23-4AFF-A5EC-374F0F21BBEB}" name="AnálisisB" dataDxfId="95"/>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8357A631-F2AC-40DB-8ACA-80F00DED06A3}" name="Tabla395381" displayName="Tabla395381" ref="P3:P63" totalsRowShown="0" headerRowDxfId="94" dataDxfId="93">
  <autoFilter ref="P3:P63" xr:uid="{8357A631-F2AC-40DB-8ACA-80F00DED06A3}"/>
  <sortState xmlns:xlrd2="http://schemas.microsoft.com/office/spreadsheetml/2017/richdata2" ref="P4:P63">
    <sortCondition ref="P4:P63"/>
  </sortState>
  <tableColumns count="1">
    <tableColumn id="1" xr3:uid="{E9C49887-DB96-4751-9494-F1CFAE7E02AD}" name="SíntesisB" dataDxfId="92"/>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41F631B-4F40-430C-9880-8A1F264F50D0}" name="Tabla405482" displayName="Tabla405482" ref="Q3:Q66" totalsRowShown="0" headerRowDxfId="91" dataDxfId="90">
  <autoFilter ref="Q3:Q66" xr:uid="{141F631B-4F40-430C-9880-8A1F264F50D0}"/>
  <sortState xmlns:xlrd2="http://schemas.microsoft.com/office/spreadsheetml/2017/richdata2" ref="Q4:Q66">
    <sortCondition ref="Q4:Q66"/>
  </sortState>
  <tableColumns count="1">
    <tableColumn id="1" xr3:uid="{42FB5979-4CFB-474A-948A-4C9E2A15A2FA}" name="EvaluaciónB" dataDxfId="89"/>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84779C2-7F70-4C90-85C0-9E3404733D87}" name="Tabla6088" displayName="Tabla6088" ref="E3:E6" totalsRowShown="0" headerRowDxfId="88" dataDxfId="87">
  <autoFilter ref="E3:E6" xr:uid="{284779C2-7F70-4C90-85C0-9E3404733D87}"/>
  <tableColumns count="1">
    <tableColumn id="1" xr3:uid="{CE47A420-A4CC-4416-8E2B-4A40C2078194}" name="MK" dataDxfId="86"/>
  </tableColumns>
  <tableStyleInfo name="Estilo de tabla 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359C141-9677-47C3-845D-242D3C20A7BD}" name="Tabla5987" displayName="Tabla5987" ref="D3:D7" totalsRowShown="0" headerRowDxfId="85" dataDxfId="84">
  <autoFilter ref="D3:D7" xr:uid="{0359C141-9677-47C3-845D-242D3C20A7BD}"/>
  <tableColumns count="1">
    <tableColumn id="1" xr3:uid="{027F3234-EBF7-434A-A95C-3D90248F7600}" name="AK" dataDxfId="83"/>
  </tableColumns>
  <tableStyleInfo name="Estilo de tabla 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0F5C8CF-3F5B-45A8-90A3-91960BC0CC3F}" name="Tabla5886" displayName="Tabla5886" ref="C3:C6" totalsRowShown="0" headerRowDxfId="82" dataDxfId="81">
  <autoFilter ref="C3:C6" xr:uid="{60F5C8CF-3F5B-45A8-90A3-91960BC0CC3F}"/>
  <tableColumns count="1">
    <tableColumn id="1" xr3:uid="{7261A279-5B41-48E2-A232-E66D4B2C997C}" name="BAK" dataDxfId="80"/>
  </tableColumns>
  <tableStyleInfo name="Estilo de tabla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6409B6B-E133-4AC9-A20A-4A73C6DBD813}" name="Tabla5785" displayName="Tabla5785" ref="I3:I9" totalsRowShown="0" headerRowDxfId="79" dataDxfId="78">
  <autoFilter ref="I3:I9" xr:uid="{46409B6B-E133-4AC9-A20A-4A73C6DBD813}"/>
  <tableColumns count="1">
    <tableColumn id="1" xr3:uid="{12B3014A-6B1D-4C6D-9FA4-0161E9656EA6}" name="ActitudinalB" dataDxfId="77"/>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FBECC47-261F-41D0-B554-ADEA02FBDD3E}" name="Tabla5684" displayName="Tabla5684" ref="H3:H9" totalsRowShown="0" headerRowDxfId="76" dataDxfId="75">
  <autoFilter ref="H3:H9" xr:uid="{4FBECC47-261F-41D0-B554-ADEA02FBDD3E}"/>
  <tableColumns count="1">
    <tableColumn id="1" xr3:uid="{D263AD73-E936-424B-80A9-E791CCE4D60C}" name="ProcedimentalB" dataDxfId="74"/>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7A59938-F7EA-457A-87F1-AA0873A8FDA8}" name="Tabla5583" displayName="Tabla5583" ref="G3:G9" totalsRowShown="0" headerRowDxfId="73" dataDxfId="72">
  <autoFilter ref="G3:G9" xr:uid="{E7A59938-F7EA-457A-87F1-AA0873A8FDA8}"/>
  <tableColumns count="1">
    <tableColumn id="1" xr3:uid="{9BE87125-AAAE-4780-B69A-FA583B2B341A}" name="CognitivoB" dataDxfId="71"/>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B5563E9-3423-496B-A7C6-740A8638246F}" name="Tabla90" displayName="Tabla90" ref="G11:G17" totalsRowShown="0" headerRowDxfId="70" dataDxfId="69">
  <autoFilter ref="G11:G17" xr:uid="{FB5563E9-3423-496B-A7C6-740A8638246F}"/>
  <tableColumns count="1">
    <tableColumn id="1" xr3:uid="{D2F8054E-C594-43A9-96F5-5294D078E620}" name="CognitivoAK" dataDxfId="68"/>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235961D-4B2F-4CB8-AC75-46CF8A859099}" name="Tabla91" displayName="Tabla91" ref="H11:H17" totalsRowShown="0" headerRowDxfId="67" dataDxfId="66">
  <autoFilter ref="H11:H17" xr:uid="{5235961D-4B2F-4CB8-AC75-46CF8A859099}"/>
  <tableColumns count="1">
    <tableColumn id="1" xr3:uid="{DF3A0232-2B49-4FF7-B62E-7F56B2A16095}" name="ConceptosAK" dataDxfId="65"/>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4EFBE03-70FE-4E61-AF1A-7CAE74394FB0}" name="Tabla92" displayName="Tabla92" ref="I11:I17" totalsRowShown="0" headerRowDxfId="64" dataDxfId="63">
  <autoFilter ref="I11:I17" xr:uid="{74EFBE03-70FE-4E61-AF1A-7CAE74394FB0}"/>
  <tableColumns count="1">
    <tableColumn id="1" xr3:uid="{02D20833-4DB8-415C-A919-A0178DA3CC95}" name="ProcedimientosAK" dataDxfId="62"/>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1D445B2-006B-45B1-9326-AB65B144ABD8}" name="Tabla93" displayName="Tabla93" ref="J11:J17" totalsRowShown="0" headerRowDxfId="61" dataDxfId="60">
  <autoFilter ref="J11:J17" xr:uid="{01D445B2-006B-45B1-9326-AB65B144ABD8}"/>
  <tableColumns count="1">
    <tableColumn id="1" xr3:uid="{B548BB39-2B40-4E98-AE24-D564B24A0831}" name="MetacogniciónAK" dataDxfId="59"/>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F99EDF7-BECB-4CB8-94CB-15DEF8DBE8E0}" name="InformaciónMK" displayName="InformaciónMK" ref="G19:G25" totalsRowShown="0" headerRowDxfId="58" dataDxfId="57">
  <autoFilter ref="G19:G25" xr:uid="{8F99EDF7-BECB-4CB8-94CB-15DEF8DBE8E0}"/>
  <tableColumns count="1">
    <tableColumn id="1" xr3:uid="{995D4B7F-2557-48EF-AE97-D4FE09E63D59}" name="InformaciónMK" dataDxfId="56"/>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FB0C1EA-F7F7-4443-9626-BCD7D06ACAA7}" name="ProcesosMentalesMK" displayName="ProcesosMentalesMK" ref="H19:H25" totalsRowShown="0" headerRowDxfId="55" dataDxfId="54">
  <autoFilter ref="H19:H25" xr:uid="{DFB0C1EA-F7F7-4443-9626-BCD7D06ACAA7}"/>
  <tableColumns count="1">
    <tableColumn id="1" xr3:uid="{977268A2-A618-4E2F-BE67-44E018AA2B3D}" name="ProcesosMentalesMK" dataDxfId="53"/>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AC2042AB-A078-4FDF-91CA-322668C40EBE}" name="Tabla96" displayName="Tabla96" ref="I19:I25" totalsRowShown="0" headerRowDxfId="52" dataDxfId="51">
  <autoFilter ref="I19:I25" xr:uid="{AC2042AB-A078-4FDF-91CA-322668C40EBE}"/>
  <tableColumns count="1">
    <tableColumn id="1" xr3:uid="{AAE35896-9168-4715-8D56-25997B0AB9C8}" name="PsicomotorMK" dataDxfId="50"/>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538ED7E5-6B58-402B-94DF-D07C13DE2D9E}" name="Tabla97" displayName="Tabla97" ref="BB4:BB28" totalsRowShown="0" headerRowDxfId="49" dataDxfId="48" tableBorderDxfId="47">
  <autoFilter ref="BB4:BB28" xr:uid="{538ED7E5-6B58-402B-94DF-D07C13DE2D9E}"/>
  <sortState xmlns:xlrd2="http://schemas.microsoft.com/office/spreadsheetml/2017/richdata2" ref="BB5:BB28">
    <sortCondition ref="BB5:BB28"/>
  </sortState>
  <tableColumns count="1">
    <tableColumn id="1" xr3:uid="{BBBA71C3-D37D-42D2-B57F-3792E560AED8}" name="RecuperaciónMK" dataDxfId="46"/>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217E0C4-2DD9-4417-BE26-3FF0FF3F395D}" name="Tabla98" displayName="Tabla98" ref="BC4:BC56" totalsRowShown="0" headerRowDxfId="45" dataDxfId="44">
  <autoFilter ref="BC4:BC56" xr:uid="{0217E0C4-2DD9-4417-BE26-3FF0FF3F395D}"/>
  <sortState xmlns:xlrd2="http://schemas.microsoft.com/office/spreadsheetml/2017/richdata2" ref="BC5:BC56">
    <sortCondition ref="BC5:BC56"/>
  </sortState>
  <tableColumns count="1">
    <tableColumn id="1" xr3:uid="{EEF7A2C9-904A-475E-B946-D75F88E5CF1A}" name="ComprensiónMK" dataDxfId="43"/>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22023D2-447B-4863-8827-33272C577B77}" name="Tabla99" displayName="Tabla99" ref="BD4:BD108" totalsRowShown="0" headerRowDxfId="42" dataDxfId="41" tableBorderDxfId="40">
  <autoFilter ref="BD4:BD108" xr:uid="{522023D2-447B-4863-8827-33272C577B77}"/>
  <sortState xmlns:xlrd2="http://schemas.microsoft.com/office/spreadsheetml/2017/richdata2" ref="BD5:BD108">
    <sortCondition ref="BD5:BD108"/>
  </sortState>
  <tableColumns count="1">
    <tableColumn id="1" xr3:uid="{9344A526-D889-455B-8393-6E992E4F8707}" name="AnálisisMK" dataDxfId="39"/>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6AB46F11-6BD0-4EBD-B99F-F1D1FC283558}" name="Tabla100" displayName="Tabla100" ref="BE4:BE70" totalsRowShown="0" headerRowDxfId="38" dataDxfId="37" tableBorderDxfId="36">
  <autoFilter ref="BE4:BE70" xr:uid="{6AB46F11-6BD0-4EBD-B99F-F1D1FC283558}"/>
  <sortState xmlns:xlrd2="http://schemas.microsoft.com/office/spreadsheetml/2017/richdata2" ref="BE5:BE70">
    <sortCondition ref="BE5:BE70"/>
  </sortState>
  <tableColumns count="1">
    <tableColumn id="1" xr3:uid="{9B864D54-9851-4B93-B3C8-06FA6FD5E1D3}" name="UsoConocimientoMK" dataDxfId="35"/>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5C094C7C-8551-4EC0-B36D-BC7DA6369C48}" name="Tabla101" displayName="Tabla101" ref="BF4:BF92" totalsRowShown="0" headerRowDxfId="34" dataDxfId="33" tableBorderDxfId="32">
  <autoFilter ref="BF4:BF92" xr:uid="{5C094C7C-8551-4EC0-B36D-BC7DA6369C48}"/>
  <sortState xmlns:xlrd2="http://schemas.microsoft.com/office/spreadsheetml/2017/richdata2" ref="BF5:BF92">
    <sortCondition ref="BF5:BF92"/>
  </sortState>
  <tableColumns count="1">
    <tableColumn id="1" xr3:uid="{02A922E1-8BFE-426F-8C44-897F7B4F7498}" name="MetacogniciónMK" dataDxfId="31"/>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028CBBA-0913-46A4-9A7A-1484F73BB293}" name="Tabla11" displayName="Tabla11" ref="BG4:BG87" totalsRowShown="0" headerRowDxfId="30" dataDxfId="29" tableBorderDxfId="28">
  <autoFilter ref="BG4:BG87" xr:uid="{E028CBBA-0913-46A4-9A7A-1484F73BB293}"/>
  <tableColumns count="1">
    <tableColumn id="1" xr3:uid="{0478638C-EFB5-452E-960C-8B4E2E4D8F5A}" name="SistemadelYoMK" dataDxfId="27"/>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3AEC37-2B83-41E3-AA53-B1C4C9AAFED6}" name="Tabla11682" displayName="Tabla11682" ref="AR4:AR53" totalsRowShown="0" headerRowDxfId="26" dataDxfId="25">
  <autoFilter ref="AR4:AR53" xr:uid="{A93AEC37-2B83-41E3-AA53-B1C4C9AAFED6}"/>
  <tableColumns count="1">
    <tableColumn id="1" xr3:uid="{BC599931-18FB-493B-998F-5EBFDA26F99A}" name="ImitaciónBAK" dataDxfId="24"/>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F6786D6-3072-4AED-9E96-46E6FBDF3D96}" name="Tabla30694" displayName="Tabla30694" ref="AS4:AS41" totalsRowShown="0" headerRowDxfId="23" dataDxfId="22">
  <autoFilter ref="AS4:AS41" xr:uid="{5F6786D6-3072-4AED-9E96-46E6FBDF3D96}"/>
  <tableColumns count="1">
    <tableColumn id="1" xr3:uid="{7541B21B-5B3A-458E-99AA-6AC7DBF28BEC}" name="ManipulaciónBAK" dataDxfId="21"/>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A139879-F39C-4F39-932E-1A47FC0092F6}" name="Tabla41706" displayName="Tabla41706" ref="AT4:AT69" totalsRowShown="0" headerRowDxfId="20" dataDxfId="19">
  <autoFilter ref="AT4:AT69" xr:uid="{BA139879-F39C-4F39-932E-1A47FC0092F6}"/>
  <tableColumns count="1">
    <tableColumn id="1" xr3:uid="{CEE9D729-59A2-41C0-AF9F-CCA72DF4F138}" name="PrecisiónBAK" dataDxfId="18"/>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D6BCE83-DCD0-4239-95CE-6A6A7A146442}" name="Tabla42717" displayName="Tabla42717" ref="AU4:AU63" totalsRowShown="0" headerRowDxfId="17" dataDxfId="16">
  <autoFilter ref="AU4:AU63" xr:uid="{9D6BCE83-DCD0-4239-95CE-6A6A7A146442}"/>
  <tableColumns count="1">
    <tableColumn id="1" xr3:uid="{A6259F30-12C1-4C84-9ECA-D290C3094A76}" name="ControlBAK" dataDxfId="15"/>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3318784-679D-484B-A0F4-4662B63A05DE}" name="Tabla437218" displayName="Tabla437218" ref="AV4:AV44" totalsRowShown="0" headerRowDxfId="14" dataDxfId="13">
  <autoFilter ref="AV4:AV44" xr:uid="{13318784-679D-484B-A0F4-4662B63A05DE}"/>
  <tableColumns count="1">
    <tableColumn id="1" xr3:uid="{30F45F34-6591-419F-827C-BF81F08B96E2}" name="PercepciónBAK" dataDxfId="12"/>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21176BB-02DC-4671-9FA9-797A042C6481}" name="Tabla447319" displayName="Tabla447319" ref="AW4:AW34" totalsRowShown="0" headerRowDxfId="11" dataDxfId="10">
  <autoFilter ref="AW4:AW34" xr:uid="{721176BB-02DC-4671-9FA9-797A042C6481}"/>
  <tableColumns count="1">
    <tableColumn id="1" xr3:uid="{F605F378-67F2-4F23-8E79-B8A90607E39A}" name="ResponderBAK" dataDxfId="9"/>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6EE921D-2080-42C6-AD5D-D4AB16D41154}" name="Tabla457420" displayName="Tabla457420" ref="AX4:AX39" totalsRowShown="0" headerRowDxfId="8" dataDxfId="7">
  <autoFilter ref="AX4:AX39" xr:uid="{26EE921D-2080-42C6-AD5D-D4AB16D41154}"/>
  <tableColumns count="1">
    <tableColumn id="1" xr3:uid="{686D7ECA-9035-4891-94AC-7D1EEE0CA2FF}" name="ValorarBAK" dataDxfId="6"/>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2FD5F7B-4A17-40C0-AA00-7F903470FD5C}" name="Tabla467521" displayName="Tabla467521" ref="AY4:AY30" totalsRowShown="0" headerRowDxfId="5" dataDxfId="4">
  <autoFilter ref="AY4:AY30" xr:uid="{C2FD5F7B-4A17-40C0-AA00-7F903470FD5C}"/>
  <tableColumns count="1">
    <tableColumn id="1" xr3:uid="{D6CB45EB-499A-4E4F-AC0E-DC20DF7271A5}" name="OrganizarBAK" dataDxfId="3"/>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6D5E08D-ACF9-4A74-B1D2-CD9F4DF55DB1}" name="Tabla477622" displayName="Tabla477622" ref="AZ4:AZ30" totalsRowShown="0" headerRowDxfId="2" dataDxfId="1">
  <autoFilter ref="AZ4:AZ30" xr:uid="{F6D5E08D-ACF9-4A74-B1D2-CD9F4DF55DB1}"/>
  <tableColumns count="1">
    <tableColumn id="1" xr3:uid="{016529B9-A15E-4EE4-B1CE-6BB660F0619F}" name="CaracterizarB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50" Type="http://schemas.openxmlformats.org/officeDocument/2006/relationships/table" Target="../tables/table50.xml"/><Relationship Id="rId55" Type="http://schemas.openxmlformats.org/officeDocument/2006/relationships/table" Target="../tables/table55.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3" Type="http://schemas.openxmlformats.org/officeDocument/2006/relationships/table" Target="../tables/table53.xml"/><Relationship Id="rId58" Type="http://schemas.openxmlformats.org/officeDocument/2006/relationships/comments" Target="../comments6.xml"/><Relationship Id="rId5" Type="http://schemas.openxmlformats.org/officeDocument/2006/relationships/table" Target="../tables/table5.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56" Type="http://schemas.openxmlformats.org/officeDocument/2006/relationships/table" Target="../tables/table56.xml"/><Relationship Id="rId8" Type="http://schemas.openxmlformats.org/officeDocument/2006/relationships/table" Target="../tables/table8.xml"/><Relationship Id="rId51" Type="http://schemas.openxmlformats.org/officeDocument/2006/relationships/table" Target="../tables/table51.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20" Type="http://schemas.openxmlformats.org/officeDocument/2006/relationships/table" Target="../tables/table20.xml"/><Relationship Id="rId41" Type="http://schemas.openxmlformats.org/officeDocument/2006/relationships/table" Target="../tables/table41.xml"/><Relationship Id="rId54" Type="http://schemas.openxmlformats.org/officeDocument/2006/relationships/table" Target="../tables/table54.xml"/><Relationship Id="rId1" Type="http://schemas.openxmlformats.org/officeDocument/2006/relationships/vmlDrawing" Target="../drawings/vmlDrawing6.vml"/><Relationship Id="rId6" Type="http://schemas.openxmlformats.org/officeDocument/2006/relationships/table" Target="../tables/table6.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table" Target="../tables/table49.xml"/><Relationship Id="rId57" Type="http://schemas.openxmlformats.org/officeDocument/2006/relationships/table" Target="../tables/table57.xml"/><Relationship Id="rId10" Type="http://schemas.openxmlformats.org/officeDocument/2006/relationships/table" Target="../tables/table10.xml"/><Relationship Id="rId31" Type="http://schemas.openxmlformats.org/officeDocument/2006/relationships/table" Target="../tables/table31.xml"/><Relationship Id="rId44" Type="http://schemas.openxmlformats.org/officeDocument/2006/relationships/table" Target="../tables/table44.xml"/><Relationship Id="rId52" Type="http://schemas.openxmlformats.org/officeDocument/2006/relationships/table" Target="../tables/table5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28"/>
  <sheetViews>
    <sheetView zoomScaleNormal="100" workbookViewId="0">
      <selection activeCell="A3" sqref="A3:A5"/>
    </sheetView>
  </sheetViews>
  <sheetFormatPr baseColWidth="10" defaultColWidth="76.21875" defaultRowHeight="18" x14ac:dyDescent="0.5"/>
  <cols>
    <col min="1" max="1" width="19.77734375" style="3" customWidth="1"/>
    <col min="2" max="2" width="16.77734375" style="3" customWidth="1"/>
    <col min="3" max="4" width="69.21875" style="3" customWidth="1"/>
    <col min="5" max="5" width="34.21875" style="3" customWidth="1"/>
    <col min="6" max="7" width="34.21875" style="1" customWidth="1"/>
    <col min="8" max="8" width="87" style="3" customWidth="1"/>
    <col min="9" max="9" width="95.21875" style="3" customWidth="1"/>
    <col min="10" max="10" width="67.21875" style="3" customWidth="1"/>
    <col min="11" max="11" width="76.77734375" style="3" customWidth="1"/>
    <col min="12" max="16384" width="76.21875" style="3"/>
  </cols>
  <sheetData>
    <row r="1" spans="1:11" ht="42" x14ac:dyDescent="0.5">
      <c r="A1" s="35" t="s">
        <v>0</v>
      </c>
      <c r="B1" s="35" t="s">
        <v>1</v>
      </c>
      <c r="C1" s="35" t="s">
        <v>2</v>
      </c>
      <c r="D1" s="35" t="s">
        <v>3</v>
      </c>
      <c r="E1" s="98" t="s">
        <v>4</v>
      </c>
      <c r="F1" s="98"/>
      <c r="G1" s="98"/>
      <c r="H1" s="98" t="s">
        <v>5</v>
      </c>
      <c r="I1" s="98"/>
      <c r="J1" s="98"/>
      <c r="K1" s="36" t="s">
        <v>6</v>
      </c>
    </row>
    <row r="2" spans="1:11" s="4" customFormat="1" x14ac:dyDescent="0.5">
      <c r="A2" s="33" t="s">
        <v>7</v>
      </c>
      <c r="B2" s="33" t="s">
        <v>8</v>
      </c>
      <c r="C2" s="33" t="s">
        <v>9</v>
      </c>
      <c r="D2" s="33" t="s">
        <v>10</v>
      </c>
      <c r="E2" s="34" t="s">
        <v>11</v>
      </c>
      <c r="F2" s="34" t="s">
        <v>12</v>
      </c>
      <c r="G2" s="34" t="s">
        <v>13</v>
      </c>
      <c r="H2" s="37" t="s">
        <v>14</v>
      </c>
      <c r="I2" s="37" t="s">
        <v>15</v>
      </c>
      <c r="J2" s="37" t="s">
        <v>16</v>
      </c>
      <c r="K2" s="37" t="s">
        <v>17</v>
      </c>
    </row>
    <row r="3" spans="1:11" s="6" customFormat="1" ht="77.099999999999994" customHeight="1" x14ac:dyDescent="0.3">
      <c r="A3" s="73" t="s">
        <v>18</v>
      </c>
      <c r="B3" s="73" t="s">
        <v>19</v>
      </c>
      <c r="C3" s="76" t="s">
        <v>20</v>
      </c>
      <c r="D3" s="76" t="s">
        <v>21</v>
      </c>
      <c r="E3" s="66" t="s">
        <v>22</v>
      </c>
      <c r="F3" s="66" t="s">
        <v>23</v>
      </c>
      <c r="G3" s="66" t="s">
        <v>24</v>
      </c>
      <c r="H3" s="97" t="s">
        <v>25</v>
      </c>
      <c r="I3" s="97" t="s">
        <v>26</v>
      </c>
      <c r="J3" s="97" t="s">
        <v>27</v>
      </c>
      <c r="K3" s="97" t="s">
        <v>28</v>
      </c>
    </row>
    <row r="4" spans="1:11" s="6" customFormat="1" ht="77.099999999999994" customHeight="1" x14ac:dyDescent="0.3">
      <c r="A4" s="73"/>
      <c r="B4" s="73"/>
      <c r="C4" s="76"/>
      <c r="D4" s="76"/>
      <c r="E4" s="25" t="s">
        <v>29</v>
      </c>
      <c r="F4" s="63" t="s">
        <v>30</v>
      </c>
      <c r="G4" s="63" t="s">
        <v>31</v>
      </c>
      <c r="H4" s="76"/>
      <c r="I4" s="76"/>
      <c r="J4" s="76"/>
      <c r="K4" s="76"/>
    </row>
    <row r="5" spans="1:11" s="5" customFormat="1" ht="113.55" customHeight="1" x14ac:dyDescent="0.3">
      <c r="A5" s="73"/>
      <c r="B5" s="73"/>
      <c r="C5" s="76"/>
      <c r="D5" s="76"/>
      <c r="E5" s="63" t="s">
        <v>32</v>
      </c>
      <c r="F5" s="63" t="s">
        <v>33</v>
      </c>
      <c r="G5" s="63" t="s">
        <v>34</v>
      </c>
      <c r="H5" s="76"/>
      <c r="I5" s="76"/>
      <c r="J5" s="76"/>
      <c r="K5" s="76"/>
    </row>
    <row r="6" spans="1:11" x14ac:dyDescent="0.5">
      <c r="A6" s="5"/>
      <c r="B6" s="5"/>
      <c r="C6" s="65"/>
      <c r="D6" s="65"/>
      <c r="E6" s="5"/>
      <c r="F6" s="4"/>
      <c r="H6" s="4"/>
    </row>
    <row r="7" spans="1:11" x14ac:dyDescent="0.5">
      <c r="A7" s="5"/>
      <c r="B7" s="5"/>
      <c r="C7" s="65"/>
      <c r="D7" s="65"/>
      <c r="E7" s="5"/>
      <c r="F7" s="4"/>
      <c r="H7" s="4"/>
    </row>
    <row r="8" spans="1:11" x14ac:dyDescent="0.5">
      <c r="A8" s="5"/>
      <c r="B8" s="5"/>
      <c r="C8" s="65"/>
      <c r="D8" s="65"/>
      <c r="E8" s="5"/>
      <c r="F8" s="4"/>
    </row>
    <row r="9" spans="1:11" x14ac:dyDescent="0.5">
      <c r="A9" s="5"/>
      <c r="B9" s="5"/>
      <c r="C9" s="65"/>
      <c r="D9" s="65"/>
      <c r="E9" s="4"/>
      <c r="F9" s="4"/>
    </row>
    <row r="10" spans="1:11" x14ac:dyDescent="0.5">
      <c r="A10" s="5"/>
      <c r="B10" s="5"/>
      <c r="C10" s="65"/>
      <c r="D10" s="65"/>
      <c r="E10" s="4"/>
      <c r="F10" s="4"/>
    </row>
    <row r="11" spans="1:11" x14ac:dyDescent="0.5">
      <c r="A11" s="5"/>
      <c r="B11" s="5"/>
      <c r="C11" s="65"/>
      <c r="D11" s="65"/>
      <c r="E11" s="4"/>
      <c r="F11" s="4"/>
    </row>
    <row r="12" spans="1:11" x14ac:dyDescent="0.5">
      <c r="A12" s="5"/>
      <c r="B12" s="5"/>
      <c r="C12" s="65"/>
      <c r="D12" s="65"/>
      <c r="E12" s="4"/>
      <c r="F12" s="4"/>
    </row>
    <row r="13" spans="1:11" x14ac:dyDescent="0.5">
      <c r="A13" s="5"/>
      <c r="B13" s="5"/>
      <c r="C13" s="63"/>
      <c r="D13" s="70"/>
      <c r="E13" s="4"/>
      <c r="F13" s="4"/>
    </row>
    <row r="14" spans="1:11" x14ac:dyDescent="0.5">
      <c r="A14" s="5"/>
      <c r="B14" s="5"/>
      <c r="C14" s="63"/>
      <c r="D14" s="70"/>
      <c r="E14" s="4"/>
      <c r="F14" s="4"/>
    </row>
    <row r="15" spans="1:11" x14ac:dyDescent="0.5">
      <c r="A15" s="5"/>
      <c r="B15" s="5"/>
      <c r="C15" s="63"/>
      <c r="D15" s="70"/>
      <c r="E15" s="4"/>
      <c r="F15" s="4"/>
    </row>
    <row r="16" spans="1:11" x14ac:dyDescent="0.5">
      <c r="A16" s="5"/>
      <c r="B16" s="5"/>
      <c r="C16" s="63"/>
      <c r="D16" s="70"/>
      <c r="E16" s="4"/>
    </row>
    <row r="17" spans="1:4" x14ac:dyDescent="0.5">
      <c r="A17" s="5"/>
      <c r="B17" s="5"/>
      <c r="C17" s="63"/>
      <c r="D17" s="70"/>
    </row>
    <row r="18" spans="1:4" x14ac:dyDescent="0.5">
      <c r="A18" s="5"/>
      <c r="B18" s="5"/>
      <c r="C18" s="5"/>
      <c r="D18" s="70"/>
    </row>
    <row r="19" spans="1:4" x14ac:dyDescent="0.5">
      <c r="A19" s="5"/>
      <c r="B19" s="5"/>
      <c r="C19" s="5"/>
      <c r="D19" s="70"/>
    </row>
    <row r="20" spans="1:4" x14ac:dyDescent="0.5">
      <c r="A20" s="5"/>
      <c r="B20" s="5"/>
      <c r="C20" s="5"/>
      <c r="D20" s="70"/>
    </row>
    <row r="21" spans="1:4" x14ac:dyDescent="0.5">
      <c r="A21" s="5"/>
      <c r="B21" s="5"/>
      <c r="C21" s="5"/>
      <c r="D21" s="70"/>
    </row>
    <row r="22" spans="1:4" x14ac:dyDescent="0.5">
      <c r="D22" s="70"/>
    </row>
    <row r="23" spans="1:4" x14ac:dyDescent="0.5">
      <c r="D23" s="70"/>
    </row>
    <row r="24" spans="1:4" x14ac:dyDescent="0.5">
      <c r="D24" s="70"/>
    </row>
    <row r="25" spans="1:4" x14ac:dyDescent="0.5">
      <c r="D25" s="70"/>
    </row>
    <row r="26" spans="1:4" x14ac:dyDescent="0.5">
      <c r="D26" s="70"/>
    </row>
    <row r="27" spans="1:4" x14ac:dyDescent="0.5">
      <c r="D27" s="70"/>
    </row>
    <row r="28" spans="1:4" x14ac:dyDescent="0.5">
      <c r="D28" s="70"/>
    </row>
  </sheetData>
  <mergeCells count="10">
    <mergeCell ref="K3:K5"/>
    <mergeCell ref="C3:C5"/>
    <mergeCell ref="D3:D5"/>
    <mergeCell ref="H1:J1"/>
    <mergeCell ref="E1:G1"/>
    <mergeCell ref="A3:A5"/>
    <mergeCell ref="B3:B5"/>
    <mergeCell ref="H3:H5"/>
    <mergeCell ref="I3:I5"/>
    <mergeCell ref="J3:J5"/>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13"/>
  <sheetViews>
    <sheetView zoomScaleNormal="100" workbookViewId="0">
      <selection sqref="A1:G1"/>
    </sheetView>
  </sheetViews>
  <sheetFormatPr baseColWidth="10" defaultColWidth="11.44140625" defaultRowHeight="18" x14ac:dyDescent="0.5"/>
  <cols>
    <col min="1" max="1" width="19" style="3" customWidth="1"/>
    <col min="2" max="2" width="24" style="3" customWidth="1"/>
    <col min="3" max="3" width="32.21875" style="3" customWidth="1"/>
    <col min="4" max="4" width="36.77734375" style="3" customWidth="1"/>
    <col min="5" max="5" width="41.5546875" style="3" customWidth="1"/>
    <col min="6" max="6" width="96.77734375" style="3" customWidth="1"/>
    <col min="7" max="7" width="27.77734375" style="3" customWidth="1"/>
    <col min="8" max="16384" width="11.44140625" style="3"/>
  </cols>
  <sheetData>
    <row r="1" spans="1:7" ht="17.25" customHeight="1" x14ac:dyDescent="0.5">
      <c r="A1" s="99" t="s">
        <v>669</v>
      </c>
      <c r="B1" s="100"/>
      <c r="C1" s="100"/>
      <c r="D1" s="100"/>
      <c r="E1" s="100"/>
      <c r="F1" s="100"/>
      <c r="G1" s="100"/>
    </row>
    <row r="2" spans="1:7" ht="60" x14ac:dyDescent="0.5">
      <c r="A2" s="44" t="s">
        <v>35</v>
      </c>
      <c r="B2" s="45" t="s">
        <v>36</v>
      </c>
      <c r="C2" s="45" t="s">
        <v>37</v>
      </c>
      <c r="D2" s="45" t="s">
        <v>38</v>
      </c>
      <c r="E2" s="45" t="s">
        <v>39</v>
      </c>
      <c r="F2" s="46" t="s">
        <v>40</v>
      </c>
      <c r="G2" s="46" t="s">
        <v>41</v>
      </c>
    </row>
    <row r="3" spans="1:7" x14ac:dyDescent="0.5">
      <c r="A3" s="47" t="s">
        <v>42</v>
      </c>
      <c r="B3" s="48" t="s">
        <v>43</v>
      </c>
      <c r="C3" s="48" t="s">
        <v>44</v>
      </c>
      <c r="D3" s="48" t="s">
        <v>45</v>
      </c>
      <c r="E3" s="48" t="s">
        <v>46</v>
      </c>
      <c r="F3" s="49" t="s">
        <v>47</v>
      </c>
      <c r="G3" s="49" t="s">
        <v>48</v>
      </c>
    </row>
    <row r="4" spans="1:7" s="5" customFormat="1" ht="54" x14ac:dyDescent="0.3">
      <c r="A4" s="7">
        <v>1</v>
      </c>
      <c r="B4" s="67" t="s">
        <v>49</v>
      </c>
      <c r="C4" s="68" t="s">
        <v>22</v>
      </c>
      <c r="D4" s="68" t="s">
        <v>23</v>
      </c>
      <c r="E4" s="68" t="s">
        <v>24</v>
      </c>
      <c r="F4" s="25" t="s">
        <v>50</v>
      </c>
      <c r="G4" s="5" t="s">
        <v>51</v>
      </c>
    </row>
    <row r="5" spans="1:7" s="5" customFormat="1" ht="54" x14ac:dyDescent="0.3">
      <c r="A5" s="7">
        <v>2</v>
      </c>
      <c r="B5" s="69" t="s">
        <v>52</v>
      </c>
      <c r="C5" s="63" t="s">
        <v>29</v>
      </c>
      <c r="D5" s="63" t="s">
        <v>30</v>
      </c>
      <c r="E5" s="63" t="s">
        <v>31</v>
      </c>
      <c r="F5" s="25" t="s">
        <v>53</v>
      </c>
      <c r="G5" s="5" t="s">
        <v>51</v>
      </c>
    </row>
    <row r="6" spans="1:7" s="5" customFormat="1" ht="54" x14ac:dyDescent="0.3">
      <c r="A6" s="7">
        <v>3</v>
      </c>
      <c r="B6" s="69" t="s">
        <v>54</v>
      </c>
      <c r="C6" s="63" t="s">
        <v>32</v>
      </c>
      <c r="D6" s="63" t="s">
        <v>33</v>
      </c>
      <c r="E6" s="63" t="s">
        <v>34</v>
      </c>
      <c r="F6" s="25" t="s">
        <v>55</v>
      </c>
      <c r="G6" s="5" t="s">
        <v>51</v>
      </c>
    </row>
    <row r="7" spans="1:7" x14ac:dyDescent="0.5">
      <c r="B7" s="1"/>
      <c r="D7" s="4"/>
      <c r="E7" s="1"/>
    </row>
    <row r="8" spans="1:7" x14ac:dyDescent="0.5">
      <c r="B8" s="1"/>
    </row>
    <row r="13" spans="1:7" x14ac:dyDescent="0.5">
      <c r="E13" s="3" t="s">
        <v>56</v>
      </c>
    </row>
  </sheetData>
  <mergeCells count="1">
    <mergeCell ref="A1:G1"/>
  </mergeCells>
  <dataValidations count="2">
    <dataValidation type="list" allowBlank="1" showInputMessage="1" showErrorMessage="1" sqref="C4:C8" xr:uid="{296160A6-FB03-49EA-93B2-DD1CAF2E1EB2}">
      <formula1>Conocimientos</formula1>
    </dataValidation>
    <dataValidation type="list" allowBlank="1" showInputMessage="1" showErrorMessage="1" sqref="B4:B8" xr:uid="{7FF6EE86-2F70-4AF5-821E-634C08680A10}">
      <formula1>Verboscompetencias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9A7500A7-F309-4DDD-8A6F-4233C463F17F}">
          <x14:formula1>
            <xm:f>'Paso1 Analisis perfil egreso'!$F$3:$F$5</xm:f>
          </x14:formula1>
          <xm:sqref>D4:D6</xm:sqref>
        </x14:dataValidation>
        <x14:dataValidation type="list" allowBlank="1" showInputMessage="1" showErrorMessage="1" xr:uid="{62707FCF-7FEF-4F5A-BD9D-627BBFA45324}">
          <x14:formula1>
            <xm:f>'Paso1 Analisis perfil egreso'!$G$3:$G$5</xm:f>
          </x14:formula1>
          <xm:sqref>E4:E6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dimension ref="A1:I11"/>
  <sheetViews>
    <sheetView zoomScaleNormal="100" workbookViewId="0"/>
  </sheetViews>
  <sheetFormatPr baseColWidth="10" defaultColWidth="11.44140625" defaultRowHeight="18" x14ac:dyDescent="0.5"/>
  <cols>
    <col min="1" max="1" width="81.21875" style="6" customWidth="1"/>
    <col min="2" max="2" width="16.77734375" style="7" customWidth="1"/>
    <col min="3" max="3" width="19.21875" style="6" customWidth="1"/>
    <col min="4" max="4" width="28.21875" style="6" customWidth="1"/>
    <col min="5" max="5" width="17.5546875" style="6" customWidth="1"/>
    <col min="6" max="6" width="17.77734375" style="6" customWidth="1"/>
    <col min="7" max="7" width="20.21875" style="8" customWidth="1"/>
    <col min="8" max="8" width="18.21875" style="1" customWidth="1"/>
    <col min="9" max="9" width="72" style="1" customWidth="1"/>
    <col min="10" max="10" width="43.21875" style="6" customWidth="1"/>
    <col min="11" max="16384" width="11.44140625" style="6"/>
  </cols>
  <sheetData>
    <row r="1" spans="1:9" ht="84" x14ac:dyDescent="0.3">
      <c r="A1" s="35" t="s">
        <v>57</v>
      </c>
      <c r="B1" s="35" t="s">
        <v>58</v>
      </c>
      <c r="C1" s="39" t="s">
        <v>59</v>
      </c>
      <c r="D1" s="40" t="s">
        <v>60</v>
      </c>
      <c r="E1" s="40" t="s">
        <v>61</v>
      </c>
      <c r="F1" s="39" t="s">
        <v>62</v>
      </c>
      <c r="G1" s="39" t="s">
        <v>63</v>
      </c>
      <c r="H1" s="39" t="s">
        <v>64</v>
      </c>
      <c r="I1" s="35" t="s">
        <v>65</v>
      </c>
    </row>
    <row r="2" spans="1:9" ht="36.6" thickBot="1" x14ac:dyDescent="0.35">
      <c r="A2" s="38" t="s">
        <v>66</v>
      </c>
      <c r="B2" s="38" t="s">
        <v>67</v>
      </c>
      <c r="C2" s="41" t="s">
        <v>68</v>
      </c>
      <c r="D2" s="42" t="s">
        <v>69</v>
      </c>
      <c r="E2" s="42" t="s">
        <v>70</v>
      </c>
      <c r="F2" s="41" t="s">
        <v>71</v>
      </c>
      <c r="G2" s="41" t="s">
        <v>72</v>
      </c>
      <c r="H2" s="41" t="s">
        <v>73</v>
      </c>
      <c r="I2" s="38" t="s">
        <v>74</v>
      </c>
    </row>
    <row r="3" spans="1:9" ht="72" x14ac:dyDescent="0.3">
      <c r="A3" s="27" t="s">
        <v>50</v>
      </c>
      <c r="B3" s="51">
        <v>1</v>
      </c>
      <c r="C3" s="20" t="s">
        <v>11</v>
      </c>
      <c r="D3" s="20" t="s">
        <v>22</v>
      </c>
      <c r="E3" s="20" t="s">
        <v>75</v>
      </c>
      <c r="F3" s="27" t="s">
        <v>76</v>
      </c>
      <c r="G3" s="31" t="s">
        <v>77</v>
      </c>
      <c r="H3" s="31" t="s">
        <v>78</v>
      </c>
      <c r="I3" s="20" t="s">
        <v>79</v>
      </c>
    </row>
    <row r="4" spans="1:9" ht="54" x14ac:dyDescent="0.3">
      <c r="A4" s="5" t="s">
        <v>50</v>
      </c>
      <c r="B4" s="7">
        <v>2</v>
      </c>
      <c r="C4" s="6" t="s">
        <v>12</v>
      </c>
      <c r="D4" s="6" t="s">
        <v>23</v>
      </c>
      <c r="E4" s="6" t="s">
        <v>75</v>
      </c>
      <c r="F4" s="5" t="s">
        <v>80</v>
      </c>
      <c r="G4" s="24" t="s">
        <v>81</v>
      </c>
      <c r="H4" s="24" t="s">
        <v>82</v>
      </c>
      <c r="I4" s="50" t="s">
        <v>83</v>
      </c>
    </row>
    <row r="5" spans="1:9" ht="54" x14ac:dyDescent="0.3">
      <c r="A5" s="5" t="s">
        <v>50</v>
      </c>
      <c r="B5" s="52">
        <v>3</v>
      </c>
      <c r="C5" s="6" t="s">
        <v>13</v>
      </c>
      <c r="D5" s="6" t="s">
        <v>34</v>
      </c>
      <c r="E5" s="6" t="s">
        <v>75</v>
      </c>
      <c r="F5" s="5" t="s">
        <v>84</v>
      </c>
      <c r="G5" s="24" t="s">
        <v>85</v>
      </c>
      <c r="H5" s="24" t="s">
        <v>52</v>
      </c>
      <c r="I5" s="54" t="s">
        <v>86</v>
      </c>
    </row>
    <row r="6" spans="1:9" ht="54" x14ac:dyDescent="0.3">
      <c r="A6" s="27" t="s">
        <v>53</v>
      </c>
      <c r="B6" s="51">
        <v>1</v>
      </c>
      <c r="C6" s="20" t="s">
        <v>11</v>
      </c>
      <c r="D6" s="20" t="s">
        <v>29</v>
      </c>
      <c r="E6" s="20" t="s">
        <v>75</v>
      </c>
      <c r="F6" s="27" t="s">
        <v>76</v>
      </c>
      <c r="G6" s="31" t="s">
        <v>77</v>
      </c>
      <c r="H6" s="31" t="s">
        <v>78</v>
      </c>
      <c r="I6" s="20" t="s">
        <v>79</v>
      </c>
    </row>
    <row r="7" spans="1:9" ht="72" x14ac:dyDescent="0.3">
      <c r="A7" s="5" t="s">
        <v>53</v>
      </c>
      <c r="B7" s="7">
        <v>2</v>
      </c>
      <c r="C7" s="6" t="s">
        <v>12</v>
      </c>
      <c r="D7" s="6" t="s">
        <v>30</v>
      </c>
      <c r="E7" s="6" t="s">
        <v>75</v>
      </c>
      <c r="F7" s="5" t="s">
        <v>80</v>
      </c>
      <c r="G7" s="24" t="s">
        <v>81</v>
      </c>
      <c r="H7" s="24" t="s">
        <v>82</v>
      </c>
      <c r="I7" s="50" t="s">
        <v>83</v>
      </c>
    </row>
    <row r="8" spans="1:9" ht="54" x14ac:dyDescent="0.3">
      <c r="A8" s="5" t="s">
        <v>53</v>
      </c>
      <c r="B8" s="52">
        <v>3</v>
      </c>
      <c r="C8" s="6" t="s">
        <v>13</v>
      </c>
      <c r="D8" s="6" t="s">
        <v>34</v>
      </c>
      <c r="E8" s="6" t="s">
        <v>75</v>
      </c>
      <c r="F8" s="5" t="s">
        <v>84</v>
      </c>
      <c r="G8" s="24" t="s">
        <v>85</v>
      </c>
      <c r="H8" s="24" t="s">
        <v>52</v>
      </c>
      <c r="I8" s="54" t="s">
        <v>86</v>
      </c>
    </row>
    <row r="9" spans="1:9" ht="54" x14ac:dyDescent="0.3">
      <c r="A9" s="27" t="s">
        <v>55</v>
      </c>
      <c r="B9" s="51">
        <v>1</v>
      </c>
      <c r="C9" s="20" t="s">
        <v>11</v>
      </c>
      <c r="D9" s="20" t="s">
        <v>32</v>
      </c>
      <c r="E9" s="20" t="s">
        <v>75</v>
      </c>
      <c r="F9" s="27" t="s">
        <v>76</v>
      </c>
      <c r="G9" s="31" t="s">
        <v>77</v>
      </c>
      <c r="H9" s="31" t="s">
        <v>78</v>
      </c>
      <c r="I9" s="20" t="s">
        <v>79</v>
      </c>
    </row>
    <row r="10" spans="1:9" ht="54" x14ac:dyDescent="0.3">
      <c r="A10" s="5" t="s">
        <v>55</v>
      </c>
      <c r="B10" s="7">
        <v>2</v>
      </c>
      <c r="C10" s="6" t="s">
        <v>12</v>
      </c>
      <c r="D10" s="6" t="s">
        <v>33</v>
      </c>
      <c r="E10" s="6" t="s">
        <v>75</v>
      </c>
      <c r="F10" s="5" t="s">
        <v>80</v>
      </c>
      <c r="G10" s="24" t="s">
        <v>81</v>
      </c>
      <c r="H10" s="24" t="s">
        <v>82</v>
      </c>
      <c r="I10" s="50" t="s">
        <v>83</v>
      </c>
    </row>
    <row r="11" spans="1:9" ht="54" x14ac:dyDescent="0.3">
      <c r="A11" s="26" t="s">
        <v>55</v>
      </c>
      <c r="B11" s="52">
        <v>3</v>
      </c>
      <c r="C11" s="21" t="s">
        <v>13</v>
      </c>
      <c r="D11" s="21" t="s">
        <v>34</v>
      </c>
      <c r="E11" s="21" t="s">
        <v>75</v>
      </c>
      <c r="F11" s="26" t="s">
        <v>84</v>
      </c>
      <c r="G11" s="71" t="s">
        <v>85</v>
      </c>
      <c r="H11" s="71" t="s">
        <v>52</v>
      </c>
      <c r="I11" s="54" t="s">
        <v>86</v>
      </c>
    </row>
  </sheetData>
  <dataValidations count="8">
    <dataValidation type="list" allowBlank="1" showInputMessage="1" showErrorMessage="1" sqref="C3:C11" xr:uid="{3EEE3B63-C572-46CF-960D-B5C131832E7C}">
      <formula1>dominios</formula1>
    </dataValidation>
    <dataValidation type="list" allowBlank="1" showInputMessage="1" showErrorMessage="1" sqref="A3:A11" xr:uid="{C75ACEBC-F466-42F9-8994-B0B52F0BD49B}">
      <formula1>competencias</formula1>
    </dataValidation>
    <dataValidation type="list" allowBlank="1" showInputMessage="1" showErrorMessage="1" sqref="G12" xr:uid="{0672F913-2951-4A69-81CA-17D84AE0F8F1}">
      <formula1>INDIRECT($E8)</formula1>
    </dataValidation>
    <dataValidation type="list" allowBlank="1" showInputMessage="1" showErrorMessage="1" promptTitle="Taxonomías" prompt="De la lista elija la taxonomía que considere pertinente para establecer los verbos de los resultados de aprendizaje._x000a_B: Tax. de Bloom_x000a_BAK: Tax. Bloom según Anderson y Krathwohl_x000a_AK: Tax. según Anderson y Krathwohl_x000a_MK: Tax. según Marzano y Kendal" sqref="E3:E11" xr:uid="{EFFF541A-9FA7-4D87-BD80-7B4D10675962}">
      <formula1>taxonomiasra</formula1>
    </dataValidation>
    <dataValidation type="list" allowBlank="1" showInputMessage="1" showErrorMessage="1" sqref="F3:F11" xr:uid="{A67273FC-D6BC-4601-A146-88AA40CB5471}">
      <formula1>INDIRECT($E3)</formula1>
    </dataValidation>
    <dataValidation type="list" allowBlank="1" showInputMessage="1" showErrorMessage="1" sqref="H3:H11" xr:uid="{BD1A6CDA-7283-4262-9F88-FE80565918E8}">
      <formula1>INDIRECT($G3)</formula1>
    </dataValidation>
    <dataValidation type="list" allowBlank="1" showInputMessage="1" showErrorMessage="1" sqref="G3:G11" xr:uid="{5A5167AA-8E05-4C2B-AB93-AFCCFC818F7C}">
      <formula1>INDIRECT($F3)</formula1>
    </dataValidation>
    <dataValidation type="list" allowBlank="1" showInputMessage="1" showErrorMessage="1" sqref="D4:D5 D7:D8 D10:D11" xr:uid="{8B694A6C-2F9D-4256-9525-279EF56F94F5}">
      <formula1>INDIRECT($C4)</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2131109-056B-4726-8C6F-55EA011C247B}">
          <x14:formula1>
            <xm:f>'Paso1 Analisis perfil egreso'!$E$3:$E$5</xm:f>
          </x14:formula1>
          <xm:sqref>D3 D6 D9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26B80-E6B4-4ED4-A764-E59AF4E18393}">
  <dimension ref="A1:F25"/>
  <sheetViews>
    <sheetView zoomScaleNormal="100" workbookViewId="0"/>
  </sheetViews>
  <sheetFormatPr baseColWidth="10" defaultColWidth="11.44140625" defaultRowHeight="18" x14ac:dyDescent="0.3"/>
  <cols>
    <col min="1" max="1" width="57.21875" style="24" customWidth="1"/>
    <col min="2" max="2" width="43.77734375" style="24" customWidth="1"/>
    <col min="3" max="3" width="48" style="24" customWidth="1"/>
    <col min="4" max="4" width="45.77734375" style="24" customWidth="1"/>
    <col min="5" max="5" width="39.21875" style="24" customWidth="1"/>
    <col min="6" max="6" width="33.44140625" style="24" customWidth="1"/>
    <col min="7" max="16384" width="11.44140625" style="24"/>
  </cols>
  <sheetData>
    <row r="1" spans="1:6" ht="60" x14ac:dyDescent="0.3">
      <c r="A1" s="35" t="s">
        <v>87</v>
      </c>
      <c r="B1" s="35" t="s">
        <v>88</v>
      </c>
      <c r="C1" s="35" t="s">
        <v>89</v>
      </c>
      <c r="D1" s="35" t="s">
        <v>90</v>
      </c>
      <c r="E1" s="35" t="s">
        <v>91</v>
      </c>
      <c r="F1" s="35" t="s">
        <v>92</v>
      </c>
    </row>
    <row r="2" spans="1:6" ht="36.6" thickBot="1" x14ac:dyDescent="0.35">
      <c r="A2" s="38" t="s">
        <v>93</v>
      </c>
      <c r="B2" s="38" t="s">
        <v>94</v>
      </c>
      <c r="C2" s="38" t="s">
        <v>95</v>
      </c>
      <c r="D2" s="38" t="s">
        <v>96</v>
      </c>
      <c r="E2" s="38" t="s">
        <v>97</v>
      </c>
      <c r="F2" s="38" t="s">
        <v>98</v>
      </c>
    </row>
    <row r="3" spans="1:6" ht="72" x14ac:dyDescent="0.3">
      <c r="A3" s="5" t="s">
        <v>79</v>
      </c>
      <c r="B3" s="78" t="s">
        <v>99</v>
      </c>
      <c r="C3" s="91" t="s">
        <v>100</v>
      </c>
      <c r="D3" s="55" t="s">
        <v>101</v>
      </c>
      <c r="E3" s="101" t="s">
        <v>102</v>
      </c>
      <c r="F3" s="29" t="s">
        <v>103</v>
      </c>
    </row>
    <row r="4" spans="1:6" ht="54" x14ac:dyDescent="0.3">
      <c r="A4" s="5" t="s">
        <v>86</v>
      </c>
      <c r="B4" s="79"/>
      <c r="C4" s="92"/>
      <c r="D4" s="25" t="s">
        <v>104</v>
      </c>
      <c r="E4" s="102"/>
      <c r="F4" s="23" t="s">
        <v>103</v>
      </c>
    </row>
    <row r="5" spans="1:6" ht="36" x14ac:dyDescent="0.3">
      <c r="A5" s="5"/>
      <c r="B5" s="79"/>
      <c r="C5" s="92"/>
      <c r="D5" s="50" t="s">
        <v>105</v>
      </c>
      <c r="E5" s="102"/>
      <c r="F5" s="5" t="s">
        <v>106</v>
      </c>
    </row>
    <row r="6" spans="1:6" ht="36.6" thickBot="1" x14ac:dyDescent="0.35">
      <c r="A6" s="26"/>
      <c r="B6" s="80"/>
      <c r="C6" s="93"/>
      <c r="D6" s="56" t="s">
        <v>107</v>
      </c>
      <c r="E6" s="103"/>
      <c r="F6" s="53" t="s">
        <v>108</v>
      </c>
    </row>
    <row r="7" spans="1:6" ht="72" x14ac:dyDescent="0.3">
      <c r="A7" s="5" t="s">
        <v>79</v>
      </c>
      <c r="B7" s="78" t="s">
        <v>109</v>
      </c>
      <c r="C7" s="91" t="s">
        <v>110</v>
      </c>
      <c r="D7" s="55" t="s">
        <v>111</v>
      </c>
      <c r="E7" s="101" t="s">
        <v>112</v>
      </c>
      <c r="F7" s="50" t="s">
        <v>103</v>
      </c>
    </row>
    <row r="8" spans="1:6" ht="54" x14ac:dyDescent="0.3">
      <c r="A8" s="5" t="s">
        <v>86</v>
      </c>
      <c r="B8" s="79"/>
      <c r="C8" s="92"/>
      <c r="D8" s="50" t="s">
        <v>105</v>
      </c>
      <c r="E8" s="102"/>
      <c r="F8" s="50" t="s">
        <v>106</v>
      </c>
    </row>
    <row r="9" spans="1:6" ht="36.6" thickBot="1" x14ac:dyDescent="0.35">
      <c r="A9" s="26"/>
      <c r="B9" s="80"/>
      <c r="C9" s="93"/>
      <c r="D9" s="25" t="s">
        <v>107</v>
      </c>
      <c r="E9" s="103"/>
      <c r="F9" s="50" t="s">
        <v>108</v>
      </c>
    </row>
    <row r="10" spans="1:6" ht="72" x14ac:dyDescent="0.3">
      <c r="A10" s="5" t="s">
        <v>79</v>
      </c>
      <c r="B10" s="78" t="s">
        <v>113</v>
      </c>
      <c r="C10" s="91" t="s">
        <v>114</v>
      </c>
      <c r="D10" s="55" t="s">
        <v>101</v>
      </c>
      <c r="E10" s="101" t="s">
        <v>115</v>
      </c>
      <c r="F10" s="29" t="s">
        <v>103</v>
      </c>
    </row>
    <row r="11" spans="1:6" ht="54" x14ac:dyDescent="0.3">
      <c r="A11" s="5" t="s">
        <v>83</v>
      </c>
      <c r="B11" s="79"/>
      <c r="C11" s="92"/>
      <c r="D11" s="50" t="s">
        <v>105</v>
      </c>
      <c r="E11" s="102"/>
      <c r="F11" s="63" t="s">
        <v>106</v>
      </c>
    </row>
    <row r="12" spans="1:6" ht="36.6" thickBot="1" x14ac:dyDescent="0.35">
      <c r="A12" s="26"/>
      <c r="B12" s="80"/>
      <c r="C12" s="93"/>
      <c r="D12" s="25" t="s">
        <v>107</v>
      </c>
      <c r="E12" s="103"/>
      <c r="F12" s="53" t="s">
        <v>108</v>
      </c>
    </row>
    <row r="13" spans="1:6" ht="72" x14ac:dyDescent="0.3">
      <c r="A13" s="5" t="s">
        <v>79</v>
      </c>
      <c r="B13" s="78" t="s">
        <v>116</v>
      </c>
      <c r="C13" s="91" t="s">
        <v>117</v>
      </c>
      <c r="D13" s="55" t="s">
        <v>101</v>
      </c>
      <c r="E13" s="101" t="s">
        <v>118</v>
      </c>
      <c r="F13" s="23" t="s">
        <v>119</v>
      </c>
    </row>
    <row r="14" spans="1:6" ht="54" x14ac:dyDescent="0.3">
      <c r="A14" s="5" t="s">
        <v>86</v>
      </c>
      <c r="B14" s="79"/>
      <c r="C14" s="92"/>
      <c r="D14" s="50" t="s">
        <v>105</v>
      </c>
      <c r="E14" s="102"/>
      <c r="F14" s="25" t="s">
        <v>106</v>
      </c>
    </row>
    <row r="15" spans="1:6" ht="36.6" thickBot="1" x14ac:dyDescent="0.35">
      <c r="A15" s="26"/>
      <c r="B15" s="80"/>
      <c r="C15" s="93"/>
      <c r="D15" s="56" t="s">
        <v>107</v>
      </c>
      <c r="E15" s="104"/>
      <c r="F15" s="64" t="s">
        <v>108</v>
      </c>
    </row>
    <row r="16" spans="1:6" ht="72" x14ac:dyDescent="0.3">
      <c r="A16" s="5" t="s">
        <v>79</v>
      </c>
      <c r="B16" s="78" t="s">
        <v>120</v>
      </c>
      <c r="C16" s="91" t="s">
        <v>121</v>
      </c>
      <c r="D16" s="55" t="s">
        <v>101</v>
      </c>
      <c r="E16" s="107" t="s">
        <v>122</v>
      </c>
      <c r="F16" s="23" t="s">
        <v>119</v>
      </c>
    </row>
    <row r="17" spans="1:6" ht="54" x14ac:dyDescent="0.3">
      <c r="A17" s="5" t="s">
        <v>86</v>
      </c>
      <c r="B17" s="79"/>
      <c r="C17" s="92"/>
      <c r="D17" s="50" t="s">
        <v>105</v>
      </c>
      <c r="E17" s="102"/>
      <c r="F17" s="23" t="s">
        <v>106</v>
      </c>
    </row>
    <row r="18" spans="1:6" ht="36.6" thickBot="1" x14ac:dyDescent="0.35">
      <c r="A18" s="26"/>
      <c r="B18" s="105"/>
      <c r="C18" s="106"/>
      <c r="D18" s="56" t="s">
        <v>107</v>
      </c>
      <c r="E18" s="104"/>
      <c r="F18" s="64" t="s">
        <v>108</v>
      </c>
    </row>
    <row r="19" spans="1:6" ht="72" x14ac:dyDescent="0.3">
      <c r="A19" s="5" t="s">
        <v>79</v>
      </c>
      <c r="B19" s="78" t="s">
        <v>123</v>
      </c>
      <c r="C19" s="91" t="s">
        <v>124</v>
      </c>
      <c r="D19" s="25" t="s">
        <v>101</v>
      </c>
      <c r="E19" s="101" t="s">
        <v>125</v>
      </c>
      <c r="F19" s="23" t="s">
        <v>119</v>
      </c>
    </row>
    <row r="20" spans="1:6" ht="54" x14ac:dyDescent="0.3">
      <c r="A20" s="5" t="s">
        <v>86</v>
      </c>
      <c r="B20" s="79"/>
      <c r="C20" s="92"/>
      <c r="D20" s="25" t="s">
        <v>105</v>
      </c>
      <c r="E20" s="102"/>
      <c r="F20" s="23" t="s">
        <v>106</v>
      </c>
    </row>
    <row r="21" spans="1:6" ht="36" x14ac:dyDescent="0.3">
      <c r="A21" s="5"/>
      <c r="B21" s="79"/>
      <c r="C21" s="92"/>
      <c r="D21" s="25" t="s">
        <v>126</v>
      </c>
      <c r="E21" s="102"/>
      <c r="F21" s="23" t="s">
        <v>106</v>
      </c>
    </row>
    <row r="22" spans="1:6" ht="36.6" thickBot="1" x14ac:dyDescent="0.35">
      <c r="A22" s="32"/>
      <c r="B22" s="80"/>
      <c r="C22" s="93"/>
      <c r="D22" s="56" t="s">
        <v>107</v>
      </c>
      <c r="E22" s="103"/>
      <c r="F22" s="53" t="s">
        <v>108</v>
      </c>
    </row>
    <row r="23" spans="1:6" ht="72" x14ac:dyDescent="0.3">
      <c r="A23" s="5" t="s">
        <v>79</v>
      </c>
      <c r="B23" s="78" t="s">
        <v>127</v>
      </c>
      <c r="C23" s="91" t="s">
        <v>128</v>
      </c>
      <c r="D23" s="25" t="s">
        <v>101</v>
      </c>
      <c r="E23" s="101" t="s">
        <v>125</v>
      </c>
      <c r="F23" s="23" t="s">
        <v>119</v>
      </c>
    </row>
    <row r="24" spans="1:6" ht="54" x14ac:dyDescent="0.3">
      <c r="A24" s="5" t="s">
        <v>86</v>
      </c>
      <c r="B24" s="79"/>
      <c r="C24" s="92"/>
      <c r="D24" s="25" t="s">
        <v>105</v>
      </c>
      <c r="E24" s="102"/>
      <c r="F24" s="23" t="s">
        <v>106</v>
      </c>
    </row>
    <row r="25" spans="1:6" ht="36.6" thickBot="1" x14ac:dyDescent="0.35">
      <c r="A25" s="26"/>
      <c r="B25" s="80"/>
      <c r="C25" s="93"/>
      <c r="D25" s="56" t="s">
        <v>107</v>
      </c>
      <c r="E25" s="103"/>
      <c r="F25" s="53" t="s">
        <v>108</v>
      </c>
    </row>
  </sheetData>
  <mergeCells count="21">
    <mergeCell ref="E3:E6"/>
    <mergeCell ref="B7:B9"/>
    <mergeCell ref="C7:C9"/>
    <mergeCell ref="E7:E9"/>
    <mergeCell ref="B10:B12"/>
    <mergeCell ref="C10:C12"/>
    <mergeCell ref="E10:E12"/>
    <mergeCell ref="B3:B6"/>
    <mergeCell ref="C3:C6"/>
    <mergeCell ref="E13:E15"/>
    <mergeCell ref="B16:B18"/>
    <mergeCell ref="C16:C18"/>
    <mergeCell ref="E16:E18"/>
    <mergeCell ref="B13:B15"/>
    <mergeCell ref="C13:C15"/>
    <mergeCell ref="E19:E22"/>
    <mergeCell ref="B23:B25"/>
    <mergeCell ref="C23:C25"/>
    <mergeCell ref="E23:E25"/>
    <mergeCell ref="B19:B22"/>
    <mergeCell ref="C19:C22"/>
  </mergeCells>
  <dataValidations count="1">
    <dataValidation type="list" allowBlank="1" showInputMessage="1" showErrorMessage="1" sqref="A23:A25 A3:A21" xr:uid="{3809FD9E-C184-4096-95E4-A87EBEFB4EA5}">
      <formula1>resultadoaprendizaje</formula1>
    </dataValidation>
  </dataValidation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48250-C92C-4D02-A0C3-2CB27C341894}">
  <dimension ref="A1:Q33"/>
  <sheetViews>
    <sheetView tabSelected="1" topLeftCell="D1" zoomScaleNormal="100" workbookViewId="0">
      <selection activeCell="G2" sqref="G2"/>
    </sheetView>
  </sheetViews>
  <sheetFormatPr baseColWidth="10" defaultColWidth="11.44140625" defaultRowHeight="18" x14ac:dyDescent="0.3"/>
  <cols>
    <col min="1" max="1" width="11.21875" style="5" customWidth="1"/>
    <col min="2" max="2" width="57" style="5" customWidth="1"/>
    <col min="3" max="3" width="17.21875" style="5" customWidth="1"/>
    <col min="4" max="4" width="26.5546875" style="5" customWidth="1"/>
    <col min="5" max="5" width="57" style="6" customWidth="1"/>
    <col min="6" max="6" width="27.21875" style="7" customWidth="1"/>
    <col min="7" max="7" width="16.77734375" style="7" customWidth="1"/>
    <col min="8" max="8" width="18.21875" style="7" customWidth="1"/>
    <col min="9" max="9" width="13.5546875" style="7" customWidth="1"/>
    <col min="10" max="10" width="20.44140625" style="7" customWidth="1"/>
    <col min="11" max="11" width="24.44140625" style="7" customWidth="1"/>
    <col min="12" max="12" width="11.21875" style="7" customWidth="1"/>
    <col min="13" max="14" width="40.77734375" style="6" customWidth="1"/>
    <col min="15" max="15" width="50.21875" style="6" customWidth="1"/>
    <col min="16" max="16" width="69.21875" style="6" customWidth="1"/>
    <col min="17" max="16384" width="11.44140625" style="5"/>
  </cols>
  <sheetData>
    <row r="1" spans="1:17" s="7" customFormat="1" ht="60" x14ac:dyDescent="0.3">
      <c r="A1" s="35" t="s">
        <v>129</v>
      </c>
      <c r="B1" s="35" t="s">
        <v>130</v>
      </c>
      <c r="C1" s="35" t="s">
        <v>131</v>
      </c>
      <c r="D1" s="35" t="s">
        <v>132</v>
      </c>
      <c r="E1" s="35" t="s">
        <v>133</v>
      </c>
      <c r="F1" s="35" t="s">
        <v>134</v>
      </c>
      <c r="G1" s="87" t="s">
        <v>135</v>
      </c>
      <c r="H1" s="88"/>
      <c r="I1" s="35" t="s">
        <v>136</v>
      </c>
      <c r="J1" s="35" t="s">
        <v>137</v>
      </c>
      <c r="K1" s="35" t="s">
        <v>138</v>
      </c>
      <c r="L1" s="35" t="s">
        <v>139</v>
      </c>
      <c r="M1" s="35" t="s">
        <v>140</v>
      </c>
      <c r="N1" s="35" t="s">
        <v>141</v>
      </c>
      <c r="O1" s="35" t="s">
        <v>142</v>
      </c>
      <c r="P1" s="35" t="s">
        <v>143</v>
      </c>
    </row>
    <row r="2" spans="1:17" s="7" customFormat="1" ht="36" x14ac:dyDescent="0.3">
      <c r="A2" s="38" t="s">
        <v>144</v>
      </c>
      <c r="B2" s="38" t="s">
        <v>93</v>
      </c>
      <c r="C2" s="38" t="s">
        <v>145</v>
      </c>
      <c r="D2" s="38" t="s">
        <v>146</v>
      </c>
      <c r="E2" s="38" t="s">
        <v>147</v>
      </c>
      <c r="F2" s="38" t="s">
        <v>148</v>
      </c>
      <c r="G2" s="43" t="s">
        <v>670</v>
      </c>
      <c r="H2" s="43" t="s">
        <v>149</v>
      </c>
      <c r="I2" s="38" t="s">
        <v>150</v>
      </c>
      <c r="J2" s="38" t="s">
        <v>151</v>
      </c>
      <c r="K2" s="38" t="s">
        <v>152</v>
      </c>
      <c r="L2" s="38" t="s">
        <v>153</v>
      </c>
      <c r="M2" s="38" t="s">
        <v>154</v>
      </c>
      <c r="N2" s="38" t="s">
        <v>155</v>
      </c>
      <c r="O2" s="38" t="s">
        <v>156</v>
      </c>
      <c r="P2" s="38" t="s">
        <v>157</v>
      </c>
    </row>
    <row r="3" spans="1:17" ht="72" x14ac:dyDescent="0.3">
      <c r="A3" s="5" t="str">
        <f>_xlfn.XLOOKUP(B3,'Paso 3 Redacción RA '!I$3:I$11,'Paso 3 Redacción RA '!C$3:C$11,,0,1)</f>
        <v>Saber</v>
      </c>
      <c r="B3" s="5" t="s">
        <v>79</v>
      </c>
      <c r="C3" s="73">
        <v>1</v>
      </c>
      <c r="D3" s="73" t="s">
        <v>158</v>
      </c>
      <c r="E3" s="76" t="s">
        <v>159</v>
      </c>
      <c r="F3" s="79" t="s">
        <v>160</v>
      </c>
      <c r="G3" s="79" t="s">
        <v>161</v>
      </c>
      <c r="H3" s="79"/>
      <c r="I3" s="79">
        <v>3</v>
      </c>
      <c r="J3" s="79">
        <f>12*I3</f>
        <v>36</v>
      </c>
      <c r="K3" s="79">
        <f>36*I3</f>
        <v>108</v>
      </c>
      <c r="L3" s="79">
        <f>SUM(J3:K5)</f>
        <v>144</v>
      </c>
      <c r="M3" s="86" t="s">
        <v>162</v>
      </c>
      <c r="N3" s="86" t="s">
        <v>163</v>
      </c>
      <c r="O3" s="82" t="s">
        <v>164</v>
      </c>
      <c r="P3" s="86" t="s">
        <v>165</v>
      </c>
      <c r="Q3" s="5" t="s">
        <v>56</v>
      </c>
    </row>
    <row r="4" spans="1:17" ht="54" x14ac:dyDescent="0.3">
      <c r="A4" s="5" t="str">
        <f>_xlfn.XLOOKUP(B4,'Paso 3 Redacción RA '!I$3:I$11,'Paso 3 Redacción RA '!C$3:C$11,,0,1)</f>
        <v>Saberhacer</v>
      </c>
      <c r="B4" s="5" t="s">
        <v>83</v>
      </c>
      <c r="C4" s="73"/>
      <c r="D4" s="73"/>
      <c r="E4" s="76"/>
      <c r="F4" s="79"/>
      <c r="G4" s="79"/>
      <c r="H4" s="79"/>
      <c r="I4" s="79"/>
      <c r="J4" s="79"/>
      <c r="K4" s="79"/>
      <c r="L4" s="79"/>
      <c r="M4" s="86"/>
      <c r="N4" s="86"/>
      <c r="O4" s="82"/>
      <c r="P4" s="86"/>
    </row>
    <row r="5" spans="1:17" ht="54" x14ac:dyDescent="0.3">
      <c r="A5" s="26" t="str">
        <f>_xlfn.XLOOKUP(B5,'Paso 3 Redacción RA '!I$3:I$11,'Paso 3 Redacción RA '!C$3:C$11,,0,1)</f>
        <v>Saberser</v>
      </c>
      <c r="B5" s="26" t="s">
        <v>86</v>
      </c>
      <c r="C5" s="74"/>
      <c r="D5" s="74"/>
      <c r="E5" s="77"/>
      <c r="F5" s="80"/>
      <c r="G5" s="80"/>
      <c r="H5" s="80"/>
      <c r="I5" s="80"/>
      <c r="J5" s="80"/>
      <c r="K5" s="80"/>
      <c r="L5" s="80"/>
      <c r="M5" s="85"/>
      <c r="N5" s="85"/>
      <c r="O5" s="83"/>
      <c r="P5" s="85"/>
    </row>
    <row r="6" spans="1:17" ht="72" x14ac:dyDescent="0.5">
      <c r="A6" s="27" t="str">
        <f>_xlfn.XLOOKUP(B6,'Paso 3 Redacción RA '!I$3:I$11,'Paso 3 Redacción RA '!C$3:C$11,,0,1)</f>
        <v>Saber</v>
      </c>
      <c r="B6" s="28" t="s">
        <v>79</v>
      </c>
      <c r="C6" s="72">
        <v>1</v>
      </c>
      <c r="D6" s="72" t="s">
        <v>166</v>
      </c>
      <c r="E6" s="89" t="s">
        <v>167</v>
      </c>
      <c r="F6" s="72" t="s">
        <v>160</v>
      </c>
      <c r="G6" s="78"/>
      <c r="H6" s="78" t="s">
        <v>161</v>
      </c>
      <c r="I6" s="78">
        <v>3</v>
      </c>
      <c r="J6" s="78">
        <f>12*I6</f>
        <v>36</v>
      </c>
      <c r="K6" s="78">
        <f>36*I6</f>
        <v>108</v>
      </c>
      <c r="L6" s="78">
        <f>SUM(J6:K7)</f>
        <v>144</v>
      </c>
      <c r="M6" s="84" t="s">
        <v>168</v>
      </c>
      <c r="N6" s="84" t="s">
        <v>163</v>
      </c>
      <c r="O6" s="81" t="s">
        <v>169</v>
      </c>
      <c r="P6" s="84" t="s">
        <v>170</v>
      </c>
    </row>
    <row r="7" spans="1:17" ht="54" x14ac:dyDescent="0.5">
      <c r="A7" s="26" t="str">
        <f>_xlfn.XLOOKUP(B7,'Paso 3 Redacción RA '!I$3:I$11,'Paso 3 Redacción RA '!C$3:C$11,,0,1)</f>
        <v>Saberser</v>
      </c>
      <c r="B7" s="30" t="s">
        <v>86</v>
      </c>
      <c r="C7" s="74"/>
      <c r="D7" s="74"/>
      <c r="E7" s="90"/>
      <c r="F7" s="74"/>
      <c r="G7" s="80"/>
      <c r="H7" s="80"/>
      <c r="I7" s="80"/>
      <c r="J7" s="80"/>
      <c r="K7" s="80"/>
      <c r="L7" s="80"/>
      <c r="M7" s="85"/>
      <c r="N7" s="85"/>
      <c r="O7" s="83"/>
      <c r="P7" s="85"/>
    </row>
    <row r="8" spans="1:17" ht="72" x14ac:dyDescent="0.3">
      <c r="A8" s="5" t="str">
        <f>_xlfn.XLOOKUP(B8,'Paso 3 Redacción RA '!I$3:I$11,'Paso 3 Redacción RA '!C$3:C$11,,0,1)</f>
        <v>Saber</v>
      </c>
      <c r="B8" s="27" t="s">
        <v>79</v>
      </c>
      <c r="C8" s="72">
        <v>1</v>
      </c>
      <c r="D8" s="72" t="s">
        <v>171</v>
      </c>
      <c r="E8" s="75" t="s">
        <v>172</v>
      </c>
      <c r="F8" s="72" t="s">
        <v>160</v>
      </c>
      <c r="G8" s="78" t="s">
        <v>161</v>
      </c>
      <c r="H8" s="78"/>
      <c r="I8" s="78">
        <v>2</v>
      </c>
      <c r="J8" s="78">
        <f>12*I8</f>
        <v>24</v>
      </c>
      <c r="K8" s="78">
        <f>36*I8</f>
        <v>72</v>
      </c>
      <c r="L8" s="78">
        <f>SUM(J8:K8)</f>
        <v>96</v>
      </c>
      <c r="M8" s="81" t="s">
        <v>173</v>
      </c>
      <c r="N8" s="84" t="s">
        <v>174</v>
      </c>
      <c r="O8" s="81" t="s">
        <v>169</v>
      </c>
      <c r="P8" s="84" t="s">
        <v>165</v>
      </c>
    </row>
    <row r="9" spans="1:17" ht="54" x14ac:dyDescent="0.3">
      <c r="A9" s="5" t="str">
        <f>_xlfn.XLOOKUP(B9,'Paso 3 Redacción RA '!I$3:I$11,'Paso 3 Redacción RA '!C$3:C$11,,0,1)</f>
        <v>Saberhacer</v>
      </c>
      <c r="B9" s="5" t="s">
        <v>83</v>
      </c>
      <c r="C9" s="73"/>
      <c r="D9" s="73"/>
      <c r="E9" s="76"/>
      <c r="F9" s="73"/>
      <c r="G9" s="79"/>
      <c r="H9" s="79"/>
      <c r="I9" s="79"/>
      <c r="J9" s="79"/>
      <c r="K9" s="79"/>
      <c r="L9" s="79"/>
      <c r="M9" s="82"/>
      <c r="N9" s="86"/>
      <c r="O9" s="82"/>
      <c r="P9" s="86"/>
    </row>
    <row r="10" spans="1:17" ht="54" x14ac:dyDescent="0.3">
      <c r="A10" s="26" t="str">
        <f>_xlfn.XLOOKUP(B10,'Paso 3 Redacción RA '!I$3:I$11,'Paso 3 Redacción RA '!C$3:C$11,,0,1)</f>
        <v>Saberser</v>
      </c>
      <c r="B10" s="26" t="s">
        <v>86</v>
      </c>
      <c r="C10" s="74"/>
      <c r="D10" s="74"/>
      <c r="E10" s="77"/>
      <c r="F10" s="74"/>
      <c r="G10" s="80"/>
      <c r="H10" s="80"/>
      <c r="I10" s="80"/>
      <c r="J10" s="80"/>
      <c r="K10" s="80"/>
      <c r="L10" s="80"/>
      <c r="M10" s="83"/>
      <c r="N10" s="85"/>
      <c r="O10" s="83"/>
      <c r="P10" s="85"/>
    </row>
    <row r="11" spans="1:17" ht="72" x14ac:dyDescent="0.3">
      <c r="A11" s="5" t="str">
        <f>_xlfn.XLOOKUP(B11,'Paso 3 Redacción RA '!I$3:I$11,'Paso 3 Redacción RA '!C$3:C$11,,0,1)</f>
        <v>Saber</v>
      </c>
      <c r="B11" s="27" t="s">
        <v>79</v>
      </c>
      <c r="C11" s="72">
        <v>1</v>
      </c>
      <c r="D11" s="72" t="s">
        <v>175</v>
      </c>
      <c r="E11" s="75" t="s">
        <v>176</v>
      </c>
      <c r="F11" s="72" t="s">
        <v>160</v>
      </c>
      <c r="G11" s="72" t="s">
        <v>161</v>
      </c>
      <c r="H11" s="72"/>
      <c r="I11" s="78">
        <v>2</v>
      </c>
      <c r="J11" s="78">
        <f>12*I11</f>
        <v>24</v>
      </c>
      <c r="K11" s="78">
        <f>36*I11</f>
        <v>72</v>
      </c>
      <c r="L11" s="78">
        <f>SUM(J11:K11)</f>
        <v>96</v>
      </c>
      <c r="M11" s="75" t="s">
        <v>668</v>
      </c>
      <c r="N11" s="75" t="s">
        <v>174</v>
      </c>
      <c r="O11" s="81" t="s">
        <v>177</v>
      </c>
      <c r="P11" s="84" t="s">
        <v>165</v>
      </c>
    </row>
    <row r="12" spans="1:17" ht="54" x14ac:dyDescent="0.3">
      <c r="A12" s="26" t="str">
        <f>_xlfn.XLOOKUP(B12,'Paso 3 Redacción RA '!I$3:I$11,'Paso 3 Redacción RA '!C$3:C$11,,0,1)</f>
        <v>Saberser</v>
      </c>
      <c r="B12" s="26" t="s">
        <v>86</v>
      </c>
      <c r="C12" s="74"/>
      <c r="D12" s="74"/>
      <c r="E12" s="77"/>
      <c r="F12" s="74"/>
      <c r="G12" s="74"/>
      <c r="H12" s="74"/>
      <c r="I12" s="80"/>
      <c r="J12" s="80"/>
      <c r="K12" s="80"/>
      <c r="L12" s="80"/>
      <c r="M12" s="77"/>
      <c r="N12" s="77"/>
      <c r="O12" s="83"/>
      <c r="P12" s="85"/>
    </row>
    <row r="13" spans="1:17" ht="72" x14ac:dyDescent="0.3">
      <c r="A13" s="27" t="str">
        <f>_xlfn.XLOOKUP(B13,'Paso 3 Redacción RA '!I$3:I$11,'Paso 3 Redacción RA '!C$3:C$11,,0,1)</f>
        <v>Saber</v>
      </c>
      <c r="B13" s="29" t="s">
        <v>79</v>
      </c>
      <c r="C13" s="72">
        <v>1</v>
      </c>
      <c r="D13" s="72" t="s">
        <v>178</v>
      </c>
      <c r="E13" s="75" t="s">
        <v>179</v>
      </c>
      <c r="F13" s="72" t="s">
        <v>160</v>
      </c>
      <c r="G13" s="72"/>
      <c r="H13" s="78" t="s">
        <v>161</v>
      </c>
      <c r="I13" s="94">
        <v>2</v>
      </c>
      <c r="J13" s="78">
        <f>12*I13</f>
        <v>24</v>
      </c>
      <c r="K13" s="78">
        <f>36*I13</f>
        <v>72</v>
      </c>
      <c r="L13" s="78">
        <f>SUM(J13:K15)</f>
        <v>96</v>
      </c>
      <c r="M13" s="91" t="s">
        <v>180</v>
      </c>
      <c r="N13" s="75" t="s">
        <v>163</v>
      </c>
      <c r="O13" s="81" t="s">
        <v>169</v>
      </c>
      <c r="P13" s="75" t="s">
        <v>165</v>
      </c>
    </row>
    <row r="14" spans="1:17" ht="54" x14ac:dyDescent="0.3">
      <c r="A14" s="5" t="str">
        <f>_xlfn.XLOOKUP(B14,'Paso 3 Redacción RA '!I$3:I$11,'Paso 3 Redacción RA '!C$3:C$11,,0,1)</f>
        <v>Saberhacer</v>
      </c>
      <c r="B14" s="5" t="s">
        <v>83</v>
      </c>
      <c r="C14" s="73"/>
      <c r="D14" s="73"/>
      <c r="E14" s="76"/>
      <c r="F14" s="73"/>
      <c r="G14" s="73"/>
      <c r="H14" s="79"/>
      <c r="I14" s="95"/>
      <c r="J14" s="79"/>
      <c r="K14" s="79"/>
      <c r="L14" s="79"/>
      <c r="M14" s="92"/>
      <c r="N14" s="76"/>
      <c r="O14" s="82"/>
      <c r="P14" s="76"/>
    </row>
    <row r="15" spans="1:17" ht="54" x14ac:dyDescent="0.3">
      <c r="A15" s="26" t="str">
        <f>_xlfn.XLOOKUP(B15,'Paso 3 Redacción RA '!I$3:I$11,'Paso 3 Redacción RA '!C$3:C$11,,0,1)</f>
        <v>Saberser</v>
      </c>
      <c r="B15" s="26" t="s">
        <v>86</v>
      </c>
      <c r="C15" s="74"/>
      <c r="D15" s="74"/>
      <c r="E15" s="77"/>
      <c r="F15" s="74"/>
      <c r="G15" s="74"/>
      <c r="H15" s="80"/>
      <c r="I15" s="96"/>
      <c r="J15" s="80"/>
      <c r="K15" s="80"/>
      <c r="L15" s="80"/>
      <c r="M15" s="93"/>
      <c r="N15" s="77"/>
      <c r="O15" s="83"/>
      <c r="P15" s="77"/>
    </row>
    <row r="16" spans="1:17" ht="72" x14ac:dyDescent="0.3">
      <c r="A16" s="5" t="str">
        <f>_xlfn.XLOOKUP(B16,'Paso 3 Redacción RA '!I$3:I$11,'Paso 3 Redacción RA '!C$3:C$11,,0,1)</f>
        <v>Saber</v>
      </c>
      <c r="B16" s="27" t="s">
        <v>79</v>
      </c>
      <c r="C16" s="72">
        <v>2</v>
      </c>
      <c r="D16" s="72" t="s">
        <v>181</v>
      </c>
      <c r="E16" s="75" t="s">
        <v>182</v>
      </c>
      <c r="F16" s="72" t="s">
        <v>160</v>
      </c>
      <c r="G16" s="72"/>
      <c r="H16" s="72" t="s">
        <v>161</v>
      </c>
      <c r="I16" s="72">
        <v>2</v>
      </c>
      <c r="J16" s="72">
        <f>12*I16</f>
        <v>24</v>
      </c>
      <c r="K16" s="72">
        <f>36*I16</f>
        <v>72</v>
      </c>
      <c r="L16" s="72">
        <f>SUM(J16:K18)</f>
        <v>96</v>
      </c>
      <c r="M16" s="75" t="s">
        <v>183</v>
      </c>
      <c r="N16" s="75" t="s">
        <v>163</v>
      </c>
      <c r="O16" s="81" t="s">
        <v>164</v>
      </c>
      <c r="P16" s="75" t="s">
        <v>165</v>
      </c>
    </row>
    <row r="17" spans="1:16" ht="54" x14ac:dyDescent="0.3">
      <c r="A17" s="5" t="str">
        <f>_xlfn.XLOOKUP(B17,'Paso 3 Redacción RA '!I$3:I$11,'Paso 3 Redacción RA '!C$3:C$11,,0,1)</f>
        <v>Saberhacer</v>
      </c>
      <c r="B17" s="5" t="s">
        <v>83</v>
      </c>
      <c r="C17" s="73"/>
      <c r="D17" s="73"/>
      <c r="E17" s="76"/>
      <c r="F17" s="73"/>
      <c r="G17" s="73"/>
      <c r="H17" s="73"/>
      <c r="I17" s="73"/>
      <c r="J17" s="73"/>
      <c r="K17" s="73"/>
      <c r="L17" s="73"/>
      <c r="M17" s="76"/>
      <c r="N17" s="76"/>
      <c r="O17" s="82"/>
      <c r="P17" s="76"/>
    </row>
    <row r="18" spans="1:16" ht="54" x14ac:dyDescent="0.3">
      <c r="A18" s="26" t="str">
        <f>_xlfn.XLOOKUP(B18,'Paso 3 Redacción RA '!I$3:I$11,'Paso 3 Redacción RA '!C$3:C$11,,0,1)</f>
        <v>Saberser</v>
      </c>
      <c r="B18" s="26" t="s">
        <v>86</v>
      </c>
      <c r="C18" s="74"/>
      <c r="D18" s="74"/>
      <c r="E18" s="77"/>
      <c r="F18" s="74"/>
      <c r="G18" s="74"/>
      <c r="H18" s="74"/>
      <c r="I18" s="74"/>
      <c r="J18" s="74"/>
      <c r="K18" s="74"/>
      <c r="L18" s="74"/>
      <c r="M18" s="77"/>
      <c r="N18" s="77"/>
      <c r="O18" s="83"/>
      <c r="P18" s="77"/>
    </row>
    <row r="19" spans="1:16" ht="72" x14ac:dyDescent="0.3">
      <c r="A19" s="27" t="str">
        <f>_xlfn.XLOOKUP(B19,'Paso 3 Redacción RA '!I$3:I$11,'Paso 3 Redacción RA '!C$3:C$11,,0,1)</f>
        <v>Saber</v>
      </c>
      <c r="B19" s="27" t="s">
        <v>79</v>
      </c>
      <c r="C19" s="72">
        <v>2</v>
      </c>
      <c r="D19" s="72" t="s">
        <v>184</v>
      </c>
      <c r="E19" s="75" t="s">
        <v>185</v>
      </c>
      <c r="F19" s="72" t="s">
        <v>160</v>
      </c>
      <c r="G19" s="72"/>
      <c r="H19" s="72" t="s">
        <v>161</v>
      </c>
      <c r="I19" s="78">
        <v>2</v>
      </c>
      <c r="J19" s="78">
        <f>I19*12</f>
        <v>24</v>
      </c>
      <c r="K19" s="78">
        <f>I19*36</f>
        <v>72</v>
      </c>
      <c r="L19" s="78">
        <f>SUM(J19:K21)</f>
        <v>96</v>
      </c>
      <c r="M19" s="75" t="s">
        <v>186</v>
      </c>
      <c r="N19" s="75" t="s">
        <v>163</v>
      </c>
      <c r="O19" s="81" t="s">
        <v>164</v>
      </c>
      <c r="P19" s="75" t="s">
        <v>165</v>
      </c>
    </row>
    <row r="20" spans="1:16" ht="54" x14ac:dyDescent="0.3">
      <c r="A20" s="5" t="str">
        <f>_xlfn.XLOOKUP(B20,'Paso 3 Redacción RA '!I$3:I$11,'Paso 3 Redacción RA '!C$3:C$11,,0,1)</f>
        <v>Saberhacer</v>
      </c>
      <c r="B20" s="5" t="s">
        <v>83</v>
      </c>
      <c r="C20" s="73"/>
      <c r="D20" s="73"/>
      <c r="E20" s="76"/>
      <c r="F20" s="73"/>
      <c r="G20" s="73"/>
      <c r="H20" s="73"/>
      <c r="I20" s="79"/>
      <c r="J20" s="79"/>
      <c r="K20" s="79"/>
      <c r="L20" s="79"/>
      <c r="M20" s="76"/>
      <c r="N20" s="76"/>
      <c r="O20" s="82"/>
      <c r="P20" s="76"/>
    </row>
    <row r="21" spans="1:16" ht="54" x14ac:dyDescent="0.3">
      <c r="A21" s="26" t="str">
        <f>_xlfn.XLOOKUP(B21,'Paso 3 Redacción RA '!I$3:I$11,'Paso 3 Redacción RA '!C$3:C$11,,0,1)</f>
        <v>Saberser</v>
      </c>
      <c r="B21" s="26" t="s">
        <v>86</v>
      </c>
      <c r="C21" s="74"/>
      <c r="D21" s="74"/>
      <c r="E21" s="77"/>
      <c r="F21" s="74"/>
      <c r="G21" s="74"/>
      <c r="H21" s="74"/>
      <c r="I21" s="80"/>
      <c r="J21" s="80"/>
      <c r="K21" s="80"/>
      <c r="L21" s="80"/>
      <c r="M21" s="77"/>
      <c r="N21" s="77"/>
      <c r="O21" s="83"/>
      <c r="P21" s="77"/>
    </row>
    <row r="22" spans="1:16" ht="72" x14ac:dyDescent="0.3">
      <c r="A22" s="5" t="str">
        <f>_xlfn.XLOOKUP(B22,'Paso 3 Redacción RA '!I$3:I$11,'Paso 3 Redacción RA '!C$3:C$11,,0,1)</f>
        <v>Saber</v>
      </c>
      <c r="B22" s="27" t="s">
        <v>79</v>
      </c>
      <c r="C22" s="72">
        <v>2</v>
      </c>
      <c r="D22" s="72" t="s">
        <v>187</v>
      </c>
      <c r="E22" s="75" t="s">
        <v>188</v>
      </c>
      <c r="F22" s="72" t="s">
        <v>160</v>
      </c>
      <c r="G22" s="72"/>
      <c r="H22" s="72" t="s">
        <v>161</v>
      </c>
      <c r="I22" s="78">
        <v>3</v>
      </c>
      <c r="J22" s="78">
        <f>I22*12</f>
        <v>36</v>
      </c>
      <c r="K22" s="78">
        <f>I22*36</f>
        <v>108</v>
      </c>
      <c r="L22" s="78">
        <f>SUM(J22:K22)</f>
        <v>144</v>
      </c>
      <c r="M22" s="75" t="s">
        <v>189</v>
      </c>
      <c r="N22" s="75" t="s">
        <v>190</v>
      </c>
      <c r="O22" s="81" t="s">
        <v>164</v>
      </c>
      <c r="P22" s="75" t="s">
        <v>165</v>
      </c>
    </row>
    <row r="23" spans="1:16" ht="54" x14ac:dyDescent="0.3">
      <c r="A23" s="5" t="str">
        <f>_xlfn.XLOOKUP(B23,'Paso 3 Redacción RA '!I$3:I$11,'Paso 3 Redacción RA '!C$3:C$11,,0,1)</f>
        <v>Saberhacer</v>
      </c>
      <c r="B23" s="5" t="s">
        <v>83</v>
      </c>
      <c r="C23" s="73"/>
      <c r="D23" s="73"/>
      <c r="E23" s="76"/>
      <c r="F23" s="73"/>
      <c r="G23" s="73"/>
      <c r="H23" s="73"/>
      <c r="I23" s="79"/>
      <c r="J23" s="79"/>
      <c r="K23" s="79"/>
      <c r="L23" s="79"/>
      <c r="M23" s="76"/>
      <c r="N23" s="76"/>
      <c r="O23" s="82"/>
      <c r="P23" s="76"/>
    </row>
    <row r="24" spans="1:16" ht="54" x14ac:dyDescent="0.3">
      <c r="A24" s="26" t="str">
        <f>_xlfn.XLOOKUP(B24,'Paso 3 Redacción RA '!I$3:I$11,'Paso 3 Redacción RA '!C$3:C$11,,0,1)</f>
        <v>Saberser</v>
      </c>
      <c r="B24" s="26" t="s">
        <v>86</v>
      </c>
      <c r="C24" s="74"/>
      <c r="D24" s="74"/>
      <c r="E24" s="77"/>
      <c r="F24" s="74"/>
      <c r="G24" s="74"/>
      <c r="H24" s="74"/>
      <c r="I24" s="80"/>
      <c r="J24" s="80"/>
      <c r="K24" s="80"/>
      <c r="L24" s="80"/>
      <c r="M24" s="77"/>
      <c r="N24" s="77"/>
      <c r="O24" s="83"/>
      <c r="P24" s="77"/>
    </row>
    <row r="25" spans="1:16" ht="72" x14ac:dyDescent="0.3">
      <c r="A25" s="27" t="str">
        <f>_xlfn.XLOOKUP(B25,'Paso 3 Redacción RA '!I$3:I$11,'Paso 3 Redacción RA '!C$3:C$11,,0,1)</f>
        <v>Saber</v>
      </c>
      <c r="B25" s="27" t="s">
        <v>79</v>
      </c>
      <c r="C25" s="72">
        <v>2</v>
      </c>
      <c r="D25" s="72" t="s">
        <v>191</v>
      </c>
      <c r="E25" s="75" t="s">
        <v>192</v>
      </c>
      <c r="F25" s="72" t="s">
        <v>160</v>
      </c>
      <c r="G25" s="72"/>
      <c r="H25" s="72" t="s">
        <v>161</v>
      </c>
      <c r="I25" s="78">
        <v>3</v>
      </c>
      <c r="J25" s="78">
        <f>I25*12</f>
        <v>36</v>
      </c>
      <c r="K25" s="78">
        <f>I25*36</f>
        <v>108</v>
      </c>
      <c r="L25" s="78">
        <f>SUM(J25:K25)</f>
        <v>144</v>
      </c>
      <c r="M25" s="75" t="s">
        <v>193</v>
      </c>
      <c r="N25" s="75" t="s">
        <v>163</v>
      </c>
      <c r="O25" s="81" t="s">
        <v>169</v>
      </c>
      <c r="P25" s="75" t="s">
        <v>165</v>
      </c>
    </row>
    <row r="26" spans="1:16" ht="54" x14ac:dyDescent="0.3">
      <c r="A26" s="5" t="str">
        <f>_xlfn.XLOOKUP(B26,'Paso 3 Redacción RA '!I$3:I$11,'Paso 3 Redacción RA '!C$3:C$11,,0,1)</f>
        <v>Saberhacer</v>
      </c>
      <c r="B26" s="5" t="s">
        <v>83</v>
      </c>
      <c r="C26" s="73"/>
      <c r="D26" s="73"/>
      <c r="E26" s="76"/>
      <c r="F26" s="73"/>
      <c r="G26" s="73"/>
      <c r="H26" s="73"/>
      <c r="I26" s="79"/>
      <c r="J26" s="79"/>
      <c r="K26" s="79"/>
      <c r="L26" s="79"/>
      <c r="M26" s="76"/>
      <c r="N26" s="76"/>
      <c r="O26" s="82"/>
      <c r="P26" s="76"/>
    </row>
    <row r="27" spans="1:16" ht="54" x14ac:dyDescent="0.3">
      <c r="A27" s="26" t="str">
        <f>_xlfn.XLOOKUP(B27,'Paso 3 Redacción RA '!I$3:I$11,'Paso 3 Redacción RA '!C$3:C$11,,0,1)</f>
        <v>Saberser</v>
      </c>
      <c r="B27" s="26" t="s">
        <v>86</v>
      </c>
      <c r="C27" s="74"/>
      <c r="D27" s="74"/>
      <c r="E27" s="77"/>
      <c r="F27" s="74"/>
      <c r="G27" s="74"/>
      <c r="H27" s="74"/>
      <c r="I27" s="80"/>
      <c r="J27" s="80"/>
      <c r="K27" s="80"/>
      <c r="L27" s="80"/>
      <c r="M27" s="77"/>
      <c r="N27" s="77"/>
      <c r="O27" s="83"/>
      <c r="P27" s="77"/>
    </row>
    <row r="28" spans="1:16" ht="72" x14ac:dyDescent="0.3">
      <c r="A28" s="27" t="str">
        <f>_xlfn.XLOOKUP(B28,'Paso 3 Redacción RA '!I$3:I$11,'Paso 3 Redacción RA '!C$3:C$11,,0,1)</f>
        <v>Saber</v>
      </c>
      <c r="B28" s="5" t="s">
        <v>79</v>
      </c>
      <c r="C28" s="72">
        <v>2</v>
      </c>
      <c r="D28" s="72" t="s">
        <v>194</v>
      </c>
      <c r="E28" s="75" t="s">
        <v>195</v>
      </c>
      <c r="F28" s="72" t="s">
        <v>160</v>
      </c>
      <c r="G28" s="72"/>
      <c r="H28" s="72" t="s">
        <v>161</v>
      </c>
      <c r="I28" s="78">
        <v>3</v>
      </c>
      <c r="J28" s="78">
        <f>I28*12</f>
        <v>36</v>
      </c>
      <c r="K28" s="78">
        <f>I28*36</f>
        <v>108</v>
      </c>
      <c r="L28" s="78">
        <f>SUM(J28:K28)</f>
        <v>144</v>
      </c>
      <c r="M28" s="75" t="s">
        <v>196</v>
      </c>
      <c r="N28" s="75" t="s">
        <v>190</v>
      </c>
      <c r="O28" s="81" t="s">
        <v>164</v>
      </c>
      <c r="P28" s="75" t="s">
        <v>165</v>
      </c>
    </row>
    <row r="29" spans="1:16" ht="54" x14ac:dyDescent="0.3">
      <c r="A29" s="5" t="str">
        <f>_xlfn.XLOOKUP(B29,'Paso 3 Redacción RA '!I$3:I$11,'Paso 3 Redacción RA '!C$3:C$11,,0,1)</f>
        <v>Saberhacer</v>
      </c>
      <c r="B29" s="5" t="s">
        <v>83</v>
      </c>
      <c r="C29" s="73"/>
      <c r="D29" s="73"/>
      <c r="E29" s="76"/>
      <c r="F29" s="73"/>
      <c r="G29" s="73"/>
      <c r="H29" s="73"/>
      <c r="I29" s="79"/>
      <c r="J29" s="79"/>
      <c r="K29" s="79"/>
      <c r="L29" s="79"/>
      <c r="M29" s="76"/>
      <c r="N29" s="76"/>
      <c r="O29" s="82"/>
      <c r="P29" s="76"/>
    </row>
    <row r="30" spans="1:16" ht="54" x14ac:dyDescent="0.3">
      <c r="A30" s="26" t="str">
        <f>_xlfn.XLOOKUP(B30,'Paso 3 Redacción RA '!I$3:I$11,'Paso 3 Redacción RA '!C$3:C$11,,0,1)</f>
        <v>Saberser</v>
      </c>
      <c r="B30" s="26" t="s">
        <v>86</v>
      </c>
      <c r="C30" s="74" t="s">
        <v>197</v>
      </c>
      <c r="D30" s="74"/>
      <c r="E30" s="77"/>
      <c r="F30" s="74"/>
      <c r="G30" s="74"/>
      <c r="H30" s="74"/>
      <c r="I30" s="80"/>
      <c r="J30" s="80"/>
      <c r="K30" s="80"/>
      <c r="L30" s="80"/>
      <c r="M30" s="77"/>
      <c r="N30" s="77"/>
      <c r="O30" s="83"/>
      <c r="P30" s="77"/>
    </row>
    <row r="31" spans="1:16" ht="36" x14ac:dyDescent="0.3">
      <c r="C31" s="57" t="s">
        <v>198</v>
      </c>
      <c r="D31" s="58">
        <f>COUNTA(D3:D30)</f>
        <v>10</v>
      </c>
      <c r="H31" s="59" t="s">
        <v>199</v>
      </c>
      <c r="I31" s="60">
        <f>SUM(I3:I30)</f>
        <v>25</v>
      </c>
    </row>
    <row r="32" spans="1:16" ht="36" x14ac:dyDescent="0.3">
      <c r="H32" s="61" t="s">
        <v>200</v>
      </c>
      <c r="I32" s="62">
        <f>SUMIF(G3:G30,"X",I3:I30)</f>
        <v>7</v>
      </c>
    </row>
    <row r="33" spans="8:9" ht="36" x14ac:dyDescent="0.3">
      <c r="H33" s="61" t="s">
        <v>201</v>
      </c>
      <c r="I33" s="62">
        <f>SUMIF(H3:H30,"X",I3:I30)</f>
        <v>18</v>
      </c>
    </row>
  </sheetData>
  <mergeCells count="141">
    <mergeCell ref="C13:C15"/>
    <mergeCell ref="D13:D15"/>
    <mergeCell ref="E13:E15"/>
    <mergeCell ref="G13:G15"/>
    <mergeCell ref="H13:H15"/>
    <mergeCell ref="I13:I15"/>
    <mergeCell ref="J13:J15"/>
    <mergeCell ref="K13:K15"/>
    <mergeCell ref="C22:C24"/>
    <mergeCell ref="D22:D24"/>
    <mergeCell ref="E22:E24"/>
    <mergeCell ref="G22:G24"/>
    <mergeCell ref="H22:H24"/>
    <mergeCell ref="I22:I24"/>
    <mergeCell ref="J22:J24"/>
    <mergeCell ref="K22:K24"/>
    <mergeCell ref="C19:C21"/>
    <mergeCell ref="D19:D21"/>
    <mergeCell ref="E19:E21"/>
    <mergeCell ref="F13:F15"/>
    <mergeCell ref="F16:F18"/>
    <mergeCell ref="F19:F21"/>
    <mergeCell ref="F22:F24"/>
    <mergeCell ref="D25:D27"/>
    <mergeCell ref="I25:I27"/>
    <mergeCell ref="P25:P27"/>
    <mergeCell ref="O25:O27"/>
    <mergeCell ref="N25:N27"/>
    <mergeCell ref="C16:C18"/>
    <mergeCell ref="D16:D18"/>
    <mergeCell ref="E16:E18"/>
    <mergeCell ref="G16:G18"/>
    <mergeCell ref="H16:H18"/>
    <mergeCell ref="I16:I18"/>
    <mergeCell ref="J16:J18"/>
    <mergeCell ref="K16:K18"/>
    <mergeCell ref="L16:L18"/>
    <mergeCell ref="M16:M18"/>
    <mergeCell ref="N16:N18"/>
    <mergeCell ref="C25:C27"/>
    <mergeCell ref="N22:N24"/>
    <mergeCell ref="O22:O24"/>
    <mergeCell ref="P22:P24"/>
    <mergeCell ref="N19:N21"/>
    <mergeCell ref="G25:G27"/>
    <mergeCell ref="H25:H27"/>
    <mergeCell ref="M25:M27"/>
    <mergeCell ref="E25:E27"/>
    <mergeCell ref="M11:M12"/>
    <mergeCell ref="L11:L12"/>
    <mergeCell ref="K11:K12"/>
    <mergeCell ref="J11:J12"/>
    <mergeCell ref="I11:I12"/>
    <mergeCell ref="H11:H12"/>
    <mergeCell ref="L13:L15"/>
    <mergeCell ref="M13:M15"/>
    <mergeCell ref="M22:M24"/>
    <mergeCell ref="K19:K21"/>
    <mergeCell ref="L19:L21"/>
    <mergeCell ref="L22:L24"/>
    <mergeCell ref="F11:F12"/>
    <mergeCell ref="F25:F27"/>
    <mergeCell ref="L25:L27"/>
    <mergeCell ref="K25:K27"/>
    <mergeCell ref="J25:J27"/>
    <mergeCell ref="G19:G21"/>
    <mergeCell ref="H19:H21"/>
    <mergeCell ref="I19:I21"/>
    <mergeCell ref="J19:J21"/>
    <mergeCell ref="M19:M21"/>
    <mergeCell ref="C11:C12"/>
    <mergeCell ref="D11:D12"/>
    <mergeCell ref="E11:E12"/>
    <mergeCell ref="G11:G12"/>
    <mergeCell ref="N8:N10"/>
    <mergeCell ref="N11:N12"/>
    <mergeCell ref="F3:F5"/>
    <mergeCell ref="G1:H1"/>
    <mergeCell ref="O11:O12"/>
    <mergeCell ref="L6:L7"/>
    <mergeCell ref="C6:C7"/>
    <mergeCell ref="D6:D7"/>
    <mergeCell ref="E6:E7"/>
    <mergeCell ref="G6:G7"/>
    <mergeCell ref="C8:C10"/>
    <mergeCell ref="D8:D10"/>
    <mergeCell ref="E8:E10"/>
    <mergeCell ref="G8:G10"/>
    <mergeCell ref="H8:H10"/>
    <mergeCell ref="I8:I10"/>
    <mergeCell ref="J8:J10"/>
    <mergeCell ref="K8:K10"/>
    <mergeCell ref="H6:H7"/>
    <mergeCell ref="I6:I7"/>
    <mergeCell ref="C3:C5"/>
    <mergeCell ref="D3:D5"/>
    <mergeCell ref="E3:E5"/>
    <mergeCell ref="G3:G5"/>
    <mergeCell ref="H3:H5"/>
    <mergeCell ref="I3:I5"/>
    <mergeCell ref="N3:N5"/>
    <mergeCell ref="M3:M5"/>
    <mergeCell ref="L8:L10"/>
    <mergeCell ref="M8:M10"/>
    <mergeCell ref="J3:J5"/>
    <mergeCell ref="K3:K5"/>
    <mergeCell ref="L3:L5"/>
    <mergeCell ref="J6:J7"/>
    <mergeCell ref="K6:K7"/>
    <mergeCell ref="F6:F7"/>
    <mergeCell ref="F8:F10"/>
    <mergeCell ref="P11:P12"/>
    <mergeCell ref="O8:O10"/>
    <mergeCell ref="P8:P10"/>
    <mergeCell ref="P6:P7"/>
    <mergeCell ref="P3:P5"/>
    <mergeCell ref="N6:N7"/>
    <mergeCell ref="M6:M7"/>
    <mergeCell ref="O6:O7"/>
    <mergeCell ref="O3:O5"/>
    <mergeCell ref="O16:O18"/>
    <mergeCell ref="P16:P18"/>
    <mergeCell ref="O13:O15"/>
    <mergeCell ref="P13:P15"/>
    <mergeCell ref="N13:N15"/>
    <mergeCell ref="O19:O21"/>
    <mergeCell ref="P19:P21"/>
    <mergeCell ref="L28:L30"/>
    <mergeCell ref="M28:M30"/>
    <mergeCell ref="N28:N30"/>
    <mergeCell ref="O28:O30"/>
    <mergeCell ref="P28:P30"/>
    <mergeCell ref="C28:C30"/>
    <mergeCell ref="D28:D30"/>
    <mergeCell ref="E28:E30"/>
    <mergeCell ref="F28:F30"/>
    <mergeCell ref="G28:G30"/>
    <mergeCell ref="H28:H30"/>
    <mergeCell ref="I28:I30"/>
    <mergeCell ref="J28:J30"/>
    <mergeCell ref="K28:K30"/>
  </mergeCells>
  <dataValidations count="1">
    <dataValidation type="list" allowBlank="1" showInputMessage="1" showErrorMessage="1" sqref="B3:B44" xr:uid="{149936BB-E9F7-467B-9B8A-466861C21273}">
      <formula1>resultadoaprendizaje</formula1>
    </dataValidation>
  </dataValidations>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4FCBD-ADC1-40F4-BFE8-98BA12AA9611}">
  <dimension ref="B1:D39"/>
  <sheetViews>
    <sheetView topLeftCell="A26" workbookViewId="0">
      <selection activeCell="D43" sqref="D43"/>
    </sheetView>
  </sheetViews>
  <sheetFormatPr baseColWidth="10" defaultColWidth="11.44140625" defaultRowHeight="14.4" x14ac:dyDescent="0.3"/>
  <cols>
    <col min="2" max="2" width="27.21875" customWidth="1"/>
    <col min="4" max="4" width="99.21875" customWidth="1"/>
  </cols>
  <sheetData>
    <row r="1" spans="2:4" ht="31.2" x14ac:dyDescent="0.5">
      <c r="B1" s="1" t="s">
        <v>202</v>
      </c>
      <c r="D1" s="22" t="s">
        <v>203</v>
      </c>
    </row>
    <row r="2" spans="2:4" ht="18" x14ac:dyDescent="0.5">
      <c r="B2" s="1" t="s">
        <v>204</v>
      </c>
    </row>
    <row r="3" spans="2:4" ht="18" x14ac:dyDescent="0.5">
      <c r="B3" s="1" t="s">
        <v>205</v>
      </c>
    </row>
    <row r="4" spans="2:4" ht="18" x14ac:dyDescent="0.5">
      <c r="B4" s="1" t="s">
        <v>82</v>
      </c>
    </row>
    <row r="5" spans="2:4" ht="18" x14ac:dyDescent="0.5">
      <c r="B5" s="1" t="s">
        <v>206</v>
      </c>
    </row>
    <row r="6" spans="2:4" ht="18" x14ac:dyDescent="0.5">
      <c r="B6" s="1" t="s">
        <v>207</v>
      </c>
    </row>
    <row r="7" spans="2:4" ht="18" x14ac:dyDescent="0.5">
      <c r="B7" s="1" t="s">
        <v>208</v>
      </c>
    </row>
    <row r="8" spans="2:4" ht="18" x14ac:dyDescent="0.5">
      <c r="B8" s="1" t="s">
        <v>209</v>
      </c>
    </row>
    <row r="9" spans="2:4" ht="18" x14ac:dyDescent="0.5">
      <c r="B9" s="1" t="s">
        <v>210</v>
      </c>
    </row>
    <row r="10" spans="2:4" ht="18" x14ac:dyDescent="0.5">
      <c r="B10" s="1" t="s">
        <v>211</v>
      </c>
    </row>
    <row r="11" spans="2:4" ht="18" x14ac:dyDescent="0.5">
      <c r="B11" s="1" t="s">
        <v>212</v>
      </c>
    </row>
    <row r="12" spans="2:4" ht="18" x14ac:dyDescent="0.5">
      <c r="B12" s="1" t="s">
        <v>213</v>
      </c>
    </row>
    <row r="13" spans="2:4" ht="18" x14ac:dyDescent="0.5">
      <c r="B13" s="1" t="s">
        <v>214</v>
      </c>
    </row>
    <row r="14" spans="2:4" ht="18" x14ac:dyDescent="0.5">
      <c r="B14" s="1" t="s">
        <v>215</v>
      </c>
    </row>
    <row r="15" spans="2:4" ht="18" x14ac:dyDescent="0.5">
      <c r="B15" s="1" t="s">
        <v>216</v>
      </c>
    </row>
    <row r="16" spans="2:4" ht="18" x14ac:dyDescent="0.5">
      <c r="B16" s="1" t="s">
        <v>217</v>
      </c>
    </row>
    <row r="17" spans="2:2" ht="18" x14ac:dyDescent="0.5">
      <c r="B17" s="1" t="s">
        <v>218</v>
      </c>
    </row>
    <row r="18" spans="2:2" ht="18" x14ac:dyDescent="0.5">
      <c r="B18" s="1" t="s">
        <v>52</v>
      </c>
    </row>
    <row r="19" spans="2:2" ht="18" x14ac:dyDescent="0.5">
      <c r="B19" s="1" t="s">
        <v>219</v>
      </c>
    </row>
    <row r="20" spans="2:2" ht="18" x14ac:dyDescent="0.5">
      <c r="B20" s="1" t="s">
        <v>220</v>
      </c>
    </row>
    <row r="21" spans="2:2" ht="18" x14ac:dyDescent="0.5">
      <c r="B21" s="1" t="s">
        <v>221</v>
      </c>
    </row>
    <row r="22" spans="2:2" ht="18" x14ac:dyDescent="0.5">
      <c r="B22" s="1" t="s">
        <v>222</v>
      </c>
    </row>
    <row r="23" spans="2:2" ht="18" x14ac:dyDescent="0.5">
      <c r="B23" s="1" t="s">
        <v>223</v>
      </c>
    </row>
    <row r="24" spans="2:2" ht="18" x14ac:dyDescent="0.5">
      <c r="B24" s="1" t="s">
        <v>54</v>
      </c>
    </row>
    <row r="25" spans="2:2" ht="18" x14ac:dyDescent="0.5">
      <c r="B25" s="1" t="s">
        <v>224</v>
      </c>
    </row>
    <row r="26" spans="2:2" ht="18" x14ac:dyDescent="0.5">
      <c r="B26" s="1" t="s">
        <v>225</v>
      </c>
    </row>
    <row r="27" spans="2:2" ht="18" x14ac:dyDescent="0.5">
      <c r="B27" s="1" t="s">
        <v>226</v>
      </c>
    </row>
    <row r="28" spans="2:2" ht="18" x14ac:dyDescent="0.5">
      <c r="B28" s="1" t="s">
        <v>227</v>
      </c>
    </row>
    <row r="29" spans="2:2" ht="18" x14ac:dyDescent="0.5">
      <c r="B29" s="1" t="s">
        <v>228</v>
      </c>
    </row>
    <row r="30" spans="2:2" ht="18" x14ac:dyDescent="0.5">
      <c r="B30" s="1" t="s">
        <v>229</v>
      </c>
    </row>
    <row r="31" spans="2:2" ht="18" x14ac:dyDescent="0.5">
      <c r="B31" s="1" t="s">
        <v>230</v>
      </c>
    </row>
    <row r="32" spans="2:2" ht="18" x14ac:dyDescent="0.5">
      <c r="B32" s="1" t="s">
        <v>231</v>
      </c>
    </row>
    <row r="33" spans="2:2" ht="18" x14ac:dyDescent="0.5">
      <c r="B33" s="1" t="s">
        <v>232</v>
      </c>
    </row>
    <row r="34" spans="2:2" ht="18" x14ac:dyDescent="0.5">
      <c r="B34" s="1" t="s">
        <v>233</v>
      </c>
    </row>
    <row r="35" spans="2:2" ht="18" x14ac:dyDescent="0.5">
      <c r="B35" s="1" t="s">
        <v>234</v>
      </c>
    </row>
    <row r="36" spans="2:2" ht="18" x14ac:dyDescent="0.5">
      <c r="B36" s="1" t="s">
        <v>235</v>
      </c>
    </row>
    <row r="37" spans="2:2" ht="18" x14ac:dyDescent="0.5">
      <c r="B37" s="1" t="s">
        <v>236</v>
      </c>
    </row>
    <row r="38" spans="2:2" ht="18" x14ac:dyDescent="0.5">
      <c r="B38" s="1" t="s">
        <v>78</v>
      </c>
    </row>
    <row r="39" spans="2:2" ht="18" x14ac:dyDescent="0.5">
      <c r="B39" s="1" t="s">
        <v>49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7597-49CE-4804-805A-84A20592BE98}">
  <dimension ref="A1:BK108"/>
  <sheetViews>
    <sheetView topLeftCell="BA59" zoomScale="66" workbookViewId="0">
      <selection activeCell="BF90" sqref="BF90"/>
    </sheetView>
  </sheetViews>
  <sheetFormatPr baseColWidth="10" defaultColWidth="11.44140625" defaultRowHeight="18" x14ac:dyDescent="0.5"/>
  <cols>
    <col min="1" max="1" width="20.44140625" style="1" customWidth="1"/>
    <col min="2" max="2" width="14.21875" style="1" customWidth="1"/>
    <col min="3" max="3" width="22.21875" style="1" customWidth="1"/>
    <col min="4" max="4" width="21.5546875" style="1" customWidth="1"/>
    <col min="5" max="5" width="22.77734375" style="1" customWidth="1"/>
    <col min="6" max="6" width="16.77734375" style="1" customWidth="1"/>
    <col min="7" max="7" width="21.77734375" style="1" customWidth="1"/>
    <col min="8" max="8" width="26.21875" style="1" customWidth="1"/>
    <col min="9" max="9" width="25.21875" style="1" customWidth="1"/>
    <col min="10" max="10" width="24.44140625" style="1" customWidth="1"/>
    <col min="11" max="11" width="15.21875" style="1" customWidth="1"/>
    <col min="12" max="17" width="17.77734375" style="1" customWidth="1"/>
    <col min="18" max="18" width="22.5546875" style="1" customWidth="1"/>
    <col min="19" max="33" width="17.44140625" style="1" customWidth="1"/>
    <col min="34" max="36" width="13.21875" style="1" customWidth="1"/>
    <col min="37" max="37" width="14.5546875" style="1" customWidth="1"/>
    <col min="38" max="38" width="23.21875" style="1" bestFit="1" customWidth="1"/>
    <col min="39" max="39" width="18" style="1" customWidth="1"/>
    <col min="40" max="40" width="20.44140625" style="1" bestFit="1" customWidth="1"/>
    <col min="41" max="41" width="21.77734375" style="1" bestFit="1" customWidth="1"/>
    <col min="42" max="42" width="17.44140625" style="1" bestFit="1" customWidth="1"/>
    <col min="43" max="43" width="18.5546875" style="1" bestFit="1" customWidth="1"/>
    <col min="44" max="44" width="16.77734375" style="1" customWidth="1"/>
    <col min="45" max="45" width="26.5546875" style="1" bestFit="1" customWidth="1"/>
    <col min="46" max="46" width="21.5546875" style="1" bestFit="1" customWidth="1"/>
    <col min="47" max="47" width="19.21875" style="1" bestFit="1" customWidth="1"/>
    <col min="48" max="48" width="24.21875" style="1" bestFit="1" customWidth="1"/>
    <col min="49" max="49" width="24.77734375" style="1" bestFit="1" customWidth="1"/>
    <col min="50" max="50" width="23.21875" style="1" bestFit="1" customWidth="1"/>
    <col min="51" max="51" width="22.21875" style="1" bestFit="1" customWidth="1"/>
    <col min="52" max="52" width="32.21875" style="1" bestFit="1" customWidth="1"/>
    <col min="53" max="53" width="13.21875" style="1" customWidth="1"/>
    <col min="54" max="54" width="23.77734375" style="1" customWidth="1"/>
    <col min="55" max="55" width="22.5546875" style="1" customWidth="1"/>
    <col min="56" max="56" width="21.44140625" style="1" customWidth="1"/>
    <col min="57" max="57" width="25" style="1" customWidth="1"/>
    <col min="58" max="58" width="24.77734375" style="1" customWidth="1"/>
    <col min="59" max="59" width="22.77734375" style="1" customWidth="1"/>
    <col min="60" max="63" width="13.21875" style="1" customWidth="1"/>
    <col min="64" max="16384" width="11.44140625" style="1"/>
  </cols>
  <sheetData>
    <row r="1" spans="1:63" x14ac:dyDescent="0.5">
      <c r="S1" s="108" t="s">
        <v>237</v>
      </c>
      <c r="T1" s="108"/>
      <c r="U1" s="108"/>
      <c r="V1" s="108"/>
      <c r="W1" s="108"/>
      <c r="X1" s="108"/>
      <c r="Y1" s="108"/>
      <c r="Z1" s="108"/>
      <c r="AA1" s="108"/>
      <c r="AB1" s="108"/>
      <c r="AC1" s="108"/>
      <c r="AD1" s="108"/>
      <c r="AE1" s="108"/>
      <c r="AF1" s="108"/>
      <c r="AG1" s="108"/>
      <c r="AH1" s="9"/>
      <c r="AI1" s="9"/>
      <c r="AJ1" s="9"/>
      <c r="AL1" s="108" t="s">
        <v>238</v>
      </c>
      <c r="AM1" s="108"/>
      <c r="AN1" s="108"/>
      <c r="AO1" s="108"/>
      <c r="AP1" s="108"/>
      <c r="AQ1" s="108"/>
      <c r="AR1" s="108"/>
      <c r="AS1" s="108"/>
      <c r="AT1" s="108"/>
      <c r="AU1" s="108"/>
      <c r="AV1" s="108"/>
      <c r="AW1" s="108"/>
      <c r="AX1" s="108"/>
      <c r="AY1" s="108"/>
      <c r="AZ1" s="108"/>
      <c r="BA1" s="9"/>
      <c r="BB1" s="108" t="s">
        <v>239</v>
      </c>
      <c r="BC1" s="108"/>
      <c r="BD1" s="108"/>
      <c r="BE1" s="108"/>
      <c r="BF1" s="108"/>
      <c r="BG1" s="108"/>
      <c r="BH1" s="9"/>
      <c r="BK1" s="9"/>
    </row>
    <row r="2" spans="1:63" x14ac:dyDescent="0.5">
      <c r="L2" s="108" t="s">
        <v>240</v>
      </c>
      <c r="M2" s="108"/>
      <c r="N2" s="108"/>
      <c r="O2" s="108"/>
      <c r="P2" s="108"/>
      <c r="Q2" s="108"/>
      <c r="S2" s="109" t="s">
        <v>241</v>
      </c>
      <c r="T2" s="109"/>
      <c r="U2" s="109"/>
      <c r="V2" s="109"/>
      <c r="W2" s="109"/>
      <c r="X2" s="109"/>
      <c r="Y2" s="109" t="s">
        <v>242</v>
      </c>
      <c r="Z2" s="109"/>
      <c r="AA2" s="109"/>
      <c r="AB2" s="109"/>
      <c r="AC2" s="109" t="s">
        <v>243</v>
      </c>
      <c r="AD2" s="109"/>
      <c r="AE2" s="109"/>
      <c r="AF2" s="109"/>
      <c r="AG2" s="109"/>
      <c r="AH2" s="9"/>
      <c r="AI2" s="9"/>
      <c r="AJ2" s="9"/>
      <c r="AL2" s="108"/>
      <c r="AM2" s="108"/>
      <c r="AN2" s="108"/>
      <c r="AO2" s="108"/>
      <c r="AP2" s="108"/>
      <c r="AQ2" s="108"/>
      <c r="AR2" s="9"/>
      <c r="AS2" s="9"/>
      <c r="AT2" s="9"/>
      <c r="AU2" s="9"/>
      <c r="AV2" s="9"/>
      <c r="AW2" s="9"/>
      <c r="AX2" s="9"/>
      <c r="AY2" s="9"/>
      <c r="AZ2" s="9"/>
      <c r="BA2" s="9"/>
      <c r="BB2" s="9"/>
      <c r="BC2" s="9"/>
      <c r="BD2" s="9"/>
      <c r="BE2" s="9"/>
      <c r="BF2" s="9"/>
      <c r="BG2" s="9"/>
      <c r="BH2" s="9"/>
      <c r="BK2" s="9"/>
    </row>
    <row r="3" spans="1:63" x14ac:dyDescent="0.5">
      <c r="A3" s="1" t="s">
        <v>244</v>
      </c>
      <c r="C3" s="1" t="s">
        <v>245</v>
      </c>
      <c r="D3" s="1" t="s">
        <v>246</v>
      </c>
      <c r="E3" s="1" t="s">
        <v>247</v>
      </c>
      <c r="G3" s="1" t="s">
        <v>76</v>
      </c>
      <c r="H3" s="1" t="s">
        <v>80</v>
      </c>
      <c r="I3" s="1" t="s">
        <v>84</v>
      </c>
      <c r="L3" s="1" t="s">
        <v>248</v>
      </c>
      <c r="M3" s="1" t="s">
        <v>249</v>
      </c>
      <c r="N3" s="1" t="s">
        <v>81</v>
      </c>
      <c r="O3" s="1" t="s">
        <v>77</v>
      </c>
      <c r="P3" s="1" t="s">
        <v>250</v>
      </c>
      <c r="Q3" s="1" t="s">
        <v>85</v>
      </c>
      <c r="S3" s="1" t="s">
        <v>251</v>
      </c>
      <c r="T3" s="1" t="s">
        <v>252</v>
      </c>
      <c r="U3" s="1" t="s">
        <v>253</v>
      </c>
      <c r="V3" s="1" t="s">
        <v>254</v>
      </c>
      <c r="W3" s="1" t="s">
        <v>255</v>
      </c>
      <c r="X3" s="1" t="s">
        <v>256</v>
      </c>
      <c r="Y3" s="1" t="s">
        <v>257</v>
      </c>
      <c r="Z3" s="1" t="s">
        <v>258</v>
      </c>
      <c r="AA3" s="1" t="s">
        <v>259</v>
      </c>
      <c r="AB3" s="1" t="s">
        <v>260</v>
      </c>
      <c r="AC3" s="1" t="s">
        <v>261</v>
      </c>
      <c r="AD3" s="1" t="s">
        <v>262</v>
      </c>
      <c r="AE3" s="1" t="s">
        <v>263</v>
      </c>
      <c r="AF3" s="1" t="s">
        <v>264</v>
      </c>
      <c r="AG3" s="1" t="s">
        <v>265</v>
      </c>
      <c r="AL3" s="110" t="s">
        <v>266</v>
      </c>
      <c r="AM3" s="111"/>
      <c r="AN3" s="111"/>
      <c r="AO3" s="110" t="s">
        <v>267</v>
      </c>
      <c r="AP3" s="111"/>
      <c r="AQ3" s="111"/>
      <c r="AR3" s="110" t="s">
        <v>268</v>
      </c>
      <c r="AS3" s="111"/>
      <c r="AT3" s="111"/>
      <c r="AU3" s="112"/>
      <c r="AV3" s="110" t="s">
        <v>269</v>
      </c>
      <c r="AW3" s="111"/>
      <c r="AX3" s="111"/>
      <c r="AY3" s="111"/>
      <c r="AZ3" s="112"/>
      <c r="BA3" s="10"/>
      <c r="BB3" s="10"/>
      <c r="BC3" s="10"/>
      <c r="BD3" s="10"/>
      <c r="BE3" s="10"/>
      <c r="BF3" s="10"/>
      <c r="BG3" s="10"/>
      <c r="BH3" s="10"/>
      <c r="BK3" s="10"/>
    </row>
    <row r="4" spans="1:63" x14ac:dyDescent="0.5">
      <c r="A4" s="1" t="s">
        <v>75</v>
      </c>
      <c r="C4" s="1" t="s">
        <v>270</v>
      </c>
      <c r="D4" s="1" t="s">
        <v>271</v>
      </c>
      <c r="E4" s="1" t="s">
        <v>272</v>
      </c>
      <c r="G4" s="1" t="s">
        <v>248</v>
      </c>
      <c r="H4" s="1" t="s">
        <v>248</v>
      </c>
      <c r="I4" s="1" t="s">
        <v>248</v>
      </c>
      <c r="L4" s="1" t="s">
        <v>273</v>
      </c>
      <c r="M4" s="1" t="s">
        <v>208</v>
      </c>
      <c r="N4" s="1" t="s">
        <v>82</v>
      </c>
      <c r="O4" s="1" t="s">
        <v>274</v>
      </c>
      <c r="P4" s="1" t="s">
        <v>275</v>
      </c>
      <c r="Q4" s="1" t="s">
        <v>276</v>
      </c>
      <c r="S4" s="1" t="s">
        <v>273</v>
      </c>
      <c r="T4" s="1" t="s">
        <v>208</v>
      </c>
      <c r="U4" s="1" t="s">
        <v>82</v>
      </c>
      <c r="V4" s="1" t="s">
        <v>274</v>
      </c>
      <c r="W4" s="1" t="s">
        <v>275</v>
      </c>
      <c r="X4" s="1" t="s">
        <v>276</v>
      </c>
      <c r="Y4" s="1" t="s">
        <v>277</v>
      </c>
      <c r="Z4" s="1" t="s">
        <v>278</v>
      </c>
      <c r="AA4" s="1" t="s">
        <v>279</v>
      </c>
      <c r="AB4" s="1" t="s">
        <v>280</v>
      </c>
      <c r="AC4" s="1" t="s">
        <v>223</v>
      </c>
      <c r="AD4" s="1" t="s">
        <v>281</v>
      </c>
      <c r="AE4" s="1" t="s">
        <v>282</v>
      </c>
      <c r="AF4" s="1" t="s">
        <v>283</v>
      </c>
      <c r="AG4" s="1" t="s">
        <v>284</v>
      </c>
      <c r="AL4" s="11" t="s">
        <v>285</v>
      </c>
      <c r="AM4" s="11" t="s">
        <v>286</v>
      </c>
      <c r="AN4" s="11" t="s">
        <v>287</v>
      </c>
      <c r="AO4" s="11" t="s">
        <v>288</v>
      </c>
      <c r="AP4" s="12" t="s">
        <v>289</v>
      </c>
      <c r="AQ4" s="11" t="s">
        <v>290</v>
      </c>
      <c r="AR4" s="1" t="s">
        <v>257</v>
      </c>
      <c r="AS4" s="1" t="s">
        <v>258</v>
      </c>
      <c r="AT4" s="1" t="s">
        <v>259</v>
      </c>
      <c r="AU4" s="1" t="s">
        <v>260</v>
      </c>
      <c r="AV4" s="1" t="s">
        <v>261</v>
      </c>
      <c r="AW4" s="1" t="s">
        <v>262</v>
      </c>
      <c r="AX4" s="1" t="s">
        <v>263</v>
      </c>
      <c r="AY4" s="1" t="s">
        <v>264</v>
      </c>
      <c r="AZ4" s="1" t="s">
        <v>265</v>
      </c>
      <c r="BA4" s="10"/>
      <c r="BB4" s="1" t="s">
        <v>291</v>
      </c>
      <c r="BC4" s="1" t="s">
        <v>292</v>
      </c>
      <c r="BD4" s="1" t="s">
        <v>293</v>
      </c>
      <c r="BE4" s="1" t="s">
        <v>294</v>
      </c>
      <c r="BF4" s="1" t="s">
        <v>295</v>
      </c>
      <c r="BG4" s="1" t="s">
        <v>296</v>
      </c>
      <c r="BH4" s="10"/>
      <c r="BK4" s="10"/>
    </row>
    <row r="5" spans="1:63" x14ac:dyDescent="0.5">
      <c r="A5" s="1" t="s">
        <v>245</v>
      </c>
      <c r="C5" s="1" t="s">
        <v>297</v>
      </c>
      <c r="D5" s="1" t="s">
        <v>298</v>
      </c>
      <c r="E5" s="1" t="s">
        <v>299</v>
      </c>
      <c r="G5" s="1" t="s">
        <v>249</v>
      </c>
      <c r="H5" s="1" t="s">
        <v>249</v>
      </c>
      <c r="I5" s="1" t="s">
        <v>249</v>
      </c>
      <c r="L5" s="1" t="s">
        <v>300</v>
      </c>
      <c r="M5" s="1" t="s">
        <v>301</v>
      </c>
      <c r="N5" s="1" t="s">
        <v>302</v>
      </c>
      <c r="O5" s="1" t="s">
        <v>78</v>
      </c>
      <c r="P5" s="1" t="s">
        <v>205</v>
      </c>
      <c r="Q5" s="1" t="s">
        <v>303</v>
      </c>
      <c r="S5" s="1" t="s">
        <v>300</v>
      </c>
      <c r="T5" s="1" t="s">
        <v>301</v>
      </c>
      <c r="U5" s="1" t="s">
        <v>302</v>
      </c>
      <c r="V5" s="1" t="s">
        <v>78</v>
      </c>
      <c r="W5" s="1" t="s">
        <v>205</v>
      </c>
      <c r="X5" s="1" t="s">
        <v>303</v>
      </c>
      <c r="Y5" s="1" t="s">
        <v>275</v>
      </c>
      <c r="Z5" s="1" t="s">
        <v>304</v>
      </c>
      <c r="AA5" s="1" t="s">
        <v>227</v>
      </c>
      <c r="AB5" s="1" t="s">
        <v>305</v>
      </c>
      <c r="AC5" s="1" t="s">
        <v>210</v>
      </c>
      <c r="AD5" s="1" t="s">
        <v>306</v>
      </c>
      <c r="AE5" s="1" t="s">
        <v>281</v>
      </c>
      <c r="AF5" s="1" t="s">
        <v>307</v>
      </c>
      <c r="AG5" s="1" t="s">
        <v>308</v>
      </c>
      <c r="AL5" s="2" t="s">
        <v>309</v>
      </c>
      <c r="AM5" s="2" t="s">
        <v>310</v>
      </c>
      <c r="AN5" s="2" t="s">
        <v>311</v>
      </c>
      <c r="AO5" s="2" t="s">
        <v>312</v>
      </c>
      <c r="AP5" s="2" t="s">
        <v>275</v>
      </c>
      <c r="AQ5" s="2" t="s">
        <v>214</v>
      </c>
      <c r="AR5" s="1" t="s">
        <v>277</v>
      </c>
      <c r="AS5" s="1" t="s">
        <v>278</v>
      </c>
      <c r="AT5" s="1" t="s">
        <v>279</v>
      </c>
      <c r="AU5" s="1" t="s">
        <v>280</v>
      </c>
      <c r="AV5" s="1" t="s">
        <v>223</v>
      </c>
      <c r="AW5" s="1" t="s">
        <v>281</v>
      </c>
      <c r="AX5" s="1" t="s">
        <v>282</v>
      </c>
      <c r="AY5" s="1" t="s">
        <v>283</v>
      </c>
      <c r="AZ5" s="1" t="s">
        <v>284</v>
      </c>
      <c r="BA5" s="2"/>
      <c r="BB5" s="13" t="s">
        <v>309</v>
      </c>
      <c r="BC5" s="15" t="s">
        <v>208</v>
      </c>
      <c r="BD5" s="13" t="s">
        <v>312</v>
      </c>
      <c r="BE5" s="13" t="s">
        <v>311</v>
      </c>
      <c r="BF5" s="15" t="s">
        <v>313</v>
      </c>
      <c r="BG5" s="15" t="s">
        <v>313</v>
      </c>
      <c r="BH5" s="2"/>
      <c r="BK5" s="2"/>
    </row>
    <row r="6" spans="1:63" x14ac:dyDescent="0.5">
      <c r="A6" s="1" t="s">
        <v>246</v>
      </c>
      <c r="C6" s="1" t="s">
        <v>314</v>
      </c>
      <c r="D6" s="1" t="s">
        <v>315</v>
      </c>
      <c r="E6" s="1" t="s">
        <v>316</v>
      </c>
      <c r="G6" s="1" t="s">
        <v>81</v>
      </c>
      <c r="H6" s="1" t="s">
        <v>81</v>
      </c>
      <c r="I6" s="1" t="s">
        <v>81</v>
      </c>
      <c r="L6" s="1" t="s">
        <v>317</v>
      </c>
      <c r="M6" s="1" t="s">
        <v>318</v>
      </c>
      <c r="N6" s="1" t="s">
        <v>319</v>
      </c>
      <c r="O6" s="1" t="s">
        <v>320</v>
      </c>
      <c r="P6" s="1" t="s">
        <v>321</v>
      </c>
      <c r="Q6" s="1" t="s">
        <v>322</v>
      </c>
      <c r="S6" s="1" t="s">
        <v>317</v>
      </c>
      <c r="T6" s="1" t="s">
        <v>318</v>
      </c>
      <c r="U6" s="1" t="s">
        <v>319</v>
      </c>
      <c r="V6" s="1" t="s">
        <v>320</v>
      </c>
      <c r="W6" s="1" t="s">
        <v>321</v>
      </c>
      <c r="X6" s="1" t="s">
        <v>322</v>
      </c>
      <c r="Y6" s="1" t="s">
        <v>323</v>
      </c>
      <c r="Z6" s="1" t="s">
        <v>324</v>
      </c>
      <c r="AA6" s="1" t="s">
        <v>325</v>
      </c>
      <c r="AB6" s="1" t="s">
        <v>326</v>
      </c>
      <c r="AC6" s="1" t="s">
        <v>215</v>
      </c>
      <c r="AD6" s="1" t="s">
        <v>327</v>
      </c>
      <c r="AE6" s="1" t="s">
        <v>313</v>
      </c>
      <c r="AF6" s="1" t="s">
        <v>328</v>
      </c>
      <c r="AG6" s="1" t="s">
        <v>210</v>
      </c>
      <c r="AL6" s="2" t="s">
        <v>317</v>
      </c>
      <c r="AM6" s="2" t="s">
        <v>329</v>
      </c>
      <c r="AN6" s="2" t="s">
        <v>312</v>
      </c>
      <c r="AO6" s="2" t="s">
        <v>274</v>
      </c>
      <c r="AP6" s="2" t="s">
        <v>330</v>
      </c>
      <c r="AQ6" s="2" t="s">
        <v>331</v>
      </c>
      <c r="AR6" s="1" t="s">
        <v>275</v>
      </c>
      <c r="AS6" s="1" t="s">
        <v>304</v>
      </c>
      <c r="AT6" s="1" t="s">
        <v>227</v>
      </c>
      <c r="AU6" s="1" t="s">
        <v>305</v>
      </c>
      <c r="AV6" s="1" t="s">
        <v>210</v>
      </c>
      <c r="AW6" s="1" t="s">
        <v>306</v>
      </c>
      <c r="AX6" s="1" t="s">
        <v>281</v>
      </c>
      <c r="AY6" s="1" t="s">
        <v>307</v>
      </c>
      <c r="AZ6" s="1" t="s">
        <v>308</v>
      </c>
      <c r="BA6" s="2"/>
      <c r="BB6" s="14" t="s">
        <v>317</v>
      </c>
      <c r="BC6" s="16" t="s">
        <v>301</v>
      </c>
      <c r="BD6" s="15" t="s">
        <v>274</v>
      </c>
      <c r="BE6" s="14" t="s">
        <v>312</v>
      </c>
      <c r="BF6" s="16" t="s">
        <v>332</v>
      </c>
      <c r="BG6" s="15" t="s">
        <v>282</v>
      </c>
      <c r="BH6" s="2"/>
      <c r="BK6" s="2"/>
    </row>
    <row r="7" spans="1:63" x14ac:dyDescent="0.5">
      <c r="A7" s="1" t="s">
        <v>247</v>
      </c>
      <c r="D7" s="1" t="s">
        <v>333</v>
      </c>
      <c r="G7" s="1" t="s">
        <v>77</v>
      </c>
      <c r="H7" s="1" t="s">
        <v>77</v>
      </c>
      <c r="I7" s="1" t="s">
        <v>77</v>
      </c>
      <c r="L7" s="1" t="s">
        <v>334</v>
      </c>
      <c r="M7" s="1" t="s">
        <v>209</v>
      </c>
      <c r="N7" s="1" t="s">
        <v>335</v>
      </c>
      <c r="O7" s="1" t="s">
        <v>336</v>
      </c>
      <c r="P7" s="1" t="s">
        <v>321</v>
      </c>
      <c r="Q7" s="1" t="s">
        <v>337</v>
      </c>
      <c r="S7" s="1" t="s">
        <v>334</v>
      </c>
      <c r="T7" s="1" t="s">
        <v>209</v>
      </c>
      <c r="U7" s="1" t="s">
        <v>335</v>
      </c>
      <c r="V7" s="1" t="s">
        <v>336</v>
      </c>
      <c r="W7" s="1" t="s">
        <v>321</v>
      </c>
      <c r="X7" s="1" t="s">
        <v>337</v>
      </c>
      <c r="Y7" s="1" t="s">
        <v>338</v>
      </c>
      <c r="Z7" s="1" t="s">
        <v>339</v>
      </c>
      <c r="AA7" s="1" t="s">
        <v>340</v>
      </c>
      <c r="AB7" s="1" t="s">
        <v>341</v>
      </c>
      <c r="AC7" s="1" t="s">
        <v>278</v>
      </c>
      <c r="AD7" s="1" t="s">
        <v>309</v>
      </c>
      <c r="AE7" s="1" t="s">
        <v>309</v>
      </c>
      <c r="AF7" s="1" t="s">
        <v>332</v>
      </c>
      <c r="AG7" s="1" t="s">
        <v>342</v>
      </c>
      <c r="AL7" s="2" t="s">
        <v>343</v>
      </c>
      <c r="AM7" s="2" t="s">
        <v>344</v>
      </c>
      <c r="AN7" s="2" t="s">
        <v>320</v>
      </c>
      <c r="AO7" s="2" t="s">
        <v>345</v>
      </c>
      <c r="AP7" s="2" t="s">
        <v>346</v>
      </c>
      <c r="AQ7" s="2" t="s">
        <v>347</v>
      </c>
      <c r="AR7" s="1" t="s">
        <v>323</v>
      </c>
      <c r="AS7" s="1" t="s">
        <v>324</v>
      </c>
      <c r="AT7" s="1" t="s">
        <v>325</v>
      </c>
      <c r="AU7" s="1" t="s">
        <v>326</v>
      </c>
      <c r="AV7" s="1" t="s">
        <v>215</v>
      </c>
      <c r="AW7" s="1" t="s">
        <v>327</v>
      </c>
      <c r="AX7" s="1" t="s">
        <v>313</v>
      </c>
      <c r="AY7" s="1" t="s">
        <v>328</v>
      </c>
      <c r="AZ7" s="1" t="s">
        <v>210</v>
      </c>
      <c r="BA7" s="2"/>
      <c r="BB7" s="13" t="s">
        <v>343</v>
      </c>
      <c r="BC7" s="1" t="s">
        <v>310</v>
      </c>
      <c r="BD7" s="16" t="s">
        <v>78</v>
      </c>
      <c r="BE7" s="15" t="s">
        <v>82</v>
      </c>
      <c r="BF7" s="15" t="s">
        <v>282</v>
      </c>
      <c r="BG7" s="15" t="s">
        <v>348</v>
      </c>
      <c r="BH7" s="2"/>
      <c r="BK7" s="2"/>
    </row>
    <row r="8" spans="1:63" x14ac:dyDescent="0.5">
      <c r="G8" s="1" t="s">
        <v>250</v>
      </c>
      <c r="H8" s="1" t="s">
        <v>250</v>
      </c>
      <c r="I8" s="1" t="s">
        <v>250</v>
      </c>
      <c r="L8" s="1" t="s">
        <v>349</v>
      </c>
      <c r="M8" s="1" t="s">
        <v>350</v>
      </c>
      <c r="N8" s="1" t="s">
        <v>210</v>
      </c>
      <c r="O8" s="1" t="s">
        <v>329</v>
      </c>
      <c r="P8" s="1" t="s">
        <v>351</v>
      </c>
      <c r="Q8" s="1" t="s">
        <v>352</v>
      </c>
      <c r="S8" s="1" t="s">
        <v>349</v>
      </c>
      <c r="T8" s="1" t="s">
        <v>350</v>
      </c>
      <c r="U8" s="1" t="s">
        <v>210</v>
      </c>
      <c r="V8" s="1" t="s">
        <v>329</v>
      </c>
      <c r="W8" s="1" t="s">
        <v>351</v>
      </c>
      <c r="X8" s="1" t="s">
        <v>352</v>
      </c>
      <c r="Y8" s="1" t="s">
        <v>206</v>
      </c>
      <c r="Z8" s="1" t="s">
        <v>353</v>
      </c>
      <c r="AA8" s="1" t="s">
        <v>354</v>
      </c>
      <c r="AB8" s="1" t="s">
        <v>355</v>
      </c>
      <c r="AC8" s="1" t="s">
        <v>82</v>
      </c>
      <c r="AD8" s="1" t="s">
        <v>206</v>
      </c>
      <c r="AE8" s="1" t="s">
        <v>356</v>
      </c>
      <c r="AF8" s="1" t="s">
        <v>357</v>
      </c>
      <c r="AG8" s="1" t="s">
        <v>358</v>
      </c>
      <c r="AL8" s="2" t="s">
        <v>349</v>
      </c>
      <c r="AM8" s="2" t="s">
        <v>327</v>
      </c>
      <c r="AN8" s="2" t="s">
        <v>336</v>
      </c>
      <c r="AO8" s="2" t="s">
        <v>359</v>
      </c>
      <c r="AP8" s="2" t="s">
        <v>360</v>
      </c>
      <c r="AQ8" s="2" t="s">
        <v>361</v>
      </c>
      <c r="AR8" s="1" t="s">
        <v>338</v>
      </c>
      <c r="AS8" s="1" t="s">
        <v>339</v>
      </c>
      <c r="AT8" s="1" t="s">
        <v>340</v>
      </c>
      <c r="AU8" s="1" t="s">
        <v>341</v>
      </c>
      <c r="AV8" s="1" t="s">
        <v>278</v>
      </c>
      <c r="AW8" s="1" t="s">
        <v>309</v>
      </c>
      <c r="AX8" s="1" t="s">
        <v>309</v>
      </c>
      <c r="AY8" s="1" t="s">
        <v>332</v>
      </c>
      <c r="AZ8" s="1" t="s">
        <v>342</v>
      </c>
      <c r="BA8" s="2"/>
      <c r="BB8" s="14" t="s">
        <v>349</v>
      </c>
      <c r="BC8" s="15" t="s">
        <v>318</v>
      </c>
      <c r="BD8" s="15" t="s">
        <v>82</v>
      </c>
      <c r="BE8" s="13" t="s">
        <v>320</v>
      </c>
      <c r="BF8" s="16" t="s">
        <v>348</v>
      </c>
      <c r="BG8" s="15" t="s">
        <v>362</v>
      </c>
      <c r="BH8" s="2"/>
      <c r="BK8" s="2"/>
    </row>
    <row r="9" spans="1:63" x14ac:dyDescent="0.5">
      <c r="G9" s="1" t="s">
        <v>85</v>
      </c>
      <c r="H9" s="1" t="s">
        <v>85</v>
      </c>
      <c r="I9" s="1" t="s">
        <v>85</v>
      </c>
      <c r="L9" s="1" t="s">
        <v>213</v>
      </c>
      <c r="M9" s="1" t="s">
        <v>363</v>
      </c>
      <c r="N9" s="1" t="s">
        <v>364</v>
      </c>
      <c r="O9" s="1" t="s">
        <v>365</v>
      </c>
      <c r="P9" s="1" t="s">
        <v>366</v>
      </c>
      <c r="Q9" s="1" t="s">
        <v>206</v>
      </c>
      <c r="S9" s="1" t="s">
        <v>213</v>
      </c>
      <c r="T9" s="1" t="s">
        <v>363</v>
      </c>
      <c r="U9" s="1" t="s">
        <v>364</v>
      </c>
      <c r="V9" s="1" t="s">
        <v>365</v>
      </c>
      <c r="W9" s="1" t="s">
        <v>366</v>
      </c>
      <c r="X9" s="1" t="s">
        <v>206</v>
      </c>
      <c r="Y9" s="1" t="s">
        <v>337</v>
      </c>
      <c r="Z9" s="1" t="s">
        <v>367</v>
      </c>
      <c r="AA9" s="1" t="s">
        <v>368</v>
      </c>
      <c r="AB9" s="1" t="s">
        <v>369</v>
      </c>
      <c r="AC9" s="1" t="s">
        <v>370</v>
      </c>
      <c r="AD9" s="1" t="s">
        <v>223</v>
      </c>
      <c r="AE9" s="1" t="s">
        <v>371</v>
      </c>
      <c r="AF9" s="1" t="s">
        <v>372</v>
      </c>
      <c r="AG9" s="1" t="s">
        <v>348</v>
      </c>
      <c r="AL9" s="2" t="s">
        <v>213</v>
      </c>
      <c r="AM9" s="2" t="s">
        <v>373</v>
      </c>
      <c r="AN9" s="2" t="s">
        <v>374</v>
      </c>
      <c r="AO9" s="2" t="s">
        <v>336</v>
      </c>
      <c r="AP9" s="2" t="s">
        <v>375</v>
      </c>
      <c r="AQ9" s="2" t="s">
        <v>376</v>
      </c>
      <c r="AR9" s="1" t="s">
        <v>206</v>
      </c>
      <c r="AS9" s="1" t="s">
        <v>353</v>
      </c>
      <c r="AT9" s="1" t="s">
        <v>354</v>
      </c>
      <c r="AU9" s="1" t="s">
        <v>355</v>
      </c>
      <c r="AV9" s="1" t="s">
        <v>82</v>
      </c>
      <c r="AW9" s="1" t="s">
        <v>206</v>
      </c>
      <c r="AX9" s="1" t="s">
        <v>356</v>
      </c>
      <c r="AY9" s="1" t="s">
        <v>357</v>
      </c>
      <c r="AZ9" s="1" t="s">
        <v>358</v>
      </c>
      <c r="BA9" s="2"/>
      <c r="BB9" s="13" t="s">
        <v>213</v>
      </c>
      <c r="BC9" s="14" t="s">
        <v>329</v>
      </c>
      <c r="BD9" s="15" t="s">
        <v>345</v>
      </c>
      <c r="BE9" s="16" t="s">
        <v>302</v>
      </c>
      <c r="BF9" s="16" t="s">
        <v>309</v>
      </c>
      <c r="BG9" s="16" t="s">
        <v>377</v>
      </c>
      <c r="BH9" s="2"/>
      <c r="BK9" s="2"/>
    </row>
    <row r="10" spans="1:63" x14ac:dyDescent="0.5">
      <c r="L10" s="1" t="s">
        <v>378</v>
      </c>
      <c r="M10" s="1" t="s">
        <v>379</v>
      </c>
      <c r="N10" s="1" t="s">
        <v>327</v>
      </c>
      <c r="O10" s="1" t="s">
        <v>344</v>
      </c>
      <c r="P10" s="1" t="s">
        <v>320</v>
      </c>
      <c r="Q10" s="1" t="s">
        <v>207</v>
      </c>
      <c r="S10" s="1" t="s">
        <v>378</v>
      </c>
      <c r="T10" s="1" t="s">
        <v>379</v>
      </c>
      <c r="U10" s="1" t="s">
        <v>327</v>
      </c>
      <c r="V10" s="1" t="s">
        <v>344</v>
      </c>
      <c r="W10" s="1" t="s">
        <v>320</v>
      </c>
      <c r="X10" s="1" t="s">
        <v>207</v>
      </c>
      <c r="Y10" s="1" t="s">
        <v>78</v>
      </c>
      <c r="Z10" s="1" t="s">
        <v>223</v>
      </c>
      <c r="AA10" s="1" t="s">
        <v>380</v>
      </c>
      <c r="AB10" s="1" t="s">
        <v>381</v>
      </c>
      <c r="AC10" s="1" t="s">
        <v>382</v>
      </c>
      <c r="AD10" s="1" t="s">
        <v>209</v>
      </c>
      <c r="AE10" s="1" t="s">
        <v>383</v>
      </c>
      <c r="AF10" s="1" t="s">
        <v>384</v>
      </c>
      <c r="AG10" s="1" t="s">
        <v>385</v>
      </c>
      <c r="AL10" s="2" t="s">
        <v>378</v>
      </c>
      <c r="AM10" s="2" t="s">
        <v>386</v>
      </c>
      <c r="AN10" s="2" t="s">
        <v>387</v>
      </c>
      <c r="AO10" s="2" t="s">
        <v>388</v>
      </c>
      <c r="AP10" s="2" t="s">
        <v>319</v>
      </c>
      <c r="AQ10" s="2" t="s">
        <v>225</v>
      </c>
      <c r="AR10" s="1" t="s">
        <v>337</v>
      </c>
      <c r="AS10" s="1" t="s">
        <v>367</v>
      </c>
      <c r="AT10" s="1" t="s">
        <v>368</v>
      </c>
      <c r="AU10" s="1" t="s">
        <v>369</v>
      </c>
      <c r="AV10" s="1" t="s">
        <v>370</v>
      </c>
      <c r="AW10" s="1" t="s">
        <v>223</v>
      </c>
      <c r="AX10" s="1" t="s">
        <v>371</v>
      </c>
      <c r="AY10" s="1" t="s">
        <v>372</v>
      </c>
      <c r="AZ10" s="1" t="s">
        <v>348</v>
      </c>
      <c r="BA10" s="2"/>
      <c r="BB10" s="14" t="s">
        <v>378</v>
      </c>
      <c r="BC10" s="16" t="s">
        <v>209</v>
      </c>
      <c r="BD10" s="16" t="s">
        <v>359</v>
      </c>
      <c r="BE10" s="14" t="s">
        <v>336</v>
      </c>
      <c r="BF10" s="16" t="s">
        <v>362</v>
      </c>
      <c r="BG10" s="15" t="s">
        <v>389</v>
      </c>
      <c r="BH10" s="2"/>
      <c r="BK10" s="2"/>
    </row>
    <row r="11" spans="1:63" x14ac:dyDescent="0.5">
      <c r="G11" s="1" t="s">
        <v>390</v>
      </c>
      <c r="H11" s="1" t="s">
        <v>298</v>
      </c>
      <c r="I11" s="1" t="s">
        <v>391</v>
      </c>
      <c r="J11" s="1" t="s">
        <v>333</v>
      </c>
      <c r="L11" s="1" t="s">
        <v>327</v>
      </c>
      <c r="M11" s="1" t="s">
        <v>392</v>
      </c>
      <c r="N11" s="1" t="s">
        <v>393</v>
      </c>
      <c r="O11" s="1" t="s">
        <v>363</v>
      </c>
      <c r="P11" s="1" t="s">
        <v>335</v>
      </c>
      <c r="Q11" s="1" t="s">
        <v>394</v>
      </c>
      <c r="S11" s="1" t="s">
        <v>327</v>
      </c>
      <c r="T11" s="1" t="s">
        <v>392</v>
      </c>
      <c r="U11" s="1" t="s">
        <v>393</v>
      </c>
      <c r="V11" s="1" t="s">
        <v>363</v>
      </c>
      <c r="W11" s="1" t="s">
        <v>335</v>
      </c>
      <c r="X11" s="1" t="s">
        <v>394</v>
      </c>
      <c r="Y11" s="1" t="s">
        <v>82</v>
      </c>
      <c r="Z11" s="1" t="s">
        <v>283</v>
      </c>
      <c r="AA11" s="1" t="s">
        <v>395</v>
      </c>
      <c r="AB11" s="1" t="s">
        <v>223</v>
      </c>
      <c r="AC11" s="1" t="s">
        <v>396</v>
      </c>
      <c r="AD11" s="1" t="s">
        <v>397</v>
      </c>
      <c r="AE11" s="1" t="s">
        <v>362</v>
      </c>
      <c r="AF11" s="1" t="s">
        <v>398</v>
      </c>
      <c r="AG11" s="1" t="s">
        <v>399</v>
      </c>
      <c r="AL11" s="2" t="s">
        <v>400</v>
      </c>
      <c r="AM11" s="2" t="s">
        <v>401</v>
      </c>
      <c r="AN11" s="2" t="s">
        <v>327</v>
      </c>
      <c r="AO11" s="2" t="s">
        <v>329</v>
      </c>
      <c r="AP11" s="2" t="s">
        <v>329</v>
      </c>
      <c r="AQ11" s="2" t="s">
        <v>402</v>
      </c>
      <c r="AR11" s="1" t="s">
        <v>78</v>
      </c>
      <c r="AS11" s="1" t="s">
        <v>223</v>
      </c>
      <c r="AT11" s="1" t="s">
        <v>380</v>
      </c>
      <c r="AU11" s="1" t="s">
        <v>381</v>
      </c>
      <c r="AV11" s="1" t="s">
        <v>382</v>
      </c>
      <c r="AW11" s="1" t="s">
        <v>209</v>
      </c>
      <c r="AX11" s="1" t="s">
        <v>383</v>
      </c>
      <c r="AY11" s="1" t="s">
        <v>384</v>
      </c>
      <c r="AZ11" s="1" t="s">
        <v>385</v>
      </c>
      <c r="BA11" s="2"/>
      <c r="BB11" s="13" t="s">
        <v>400</v>
      </c>
      <c r="BC11" s="13" t="s">
        <v>344</v>
      </c>
      <c r="BD11" s="15" t="s">
        <v>320</v>
      </c>
      <c r="BE11" s="15" t="s">
        <v>319</v>
      </c>
      <c r="BF11" s="16" t="s">
        <v>377</v>
      </c>
      <c r="BG11" s="15" t="s">
        <v>372</v>
      </c>
      <c r="BH11" s="2"/>
      <c r="BK11" s="2"/>
    </row>
    <row r="12" spans="1:63" x14ac:dyDescent="0.5">
      <c r="G12" s="1" t="s">
        <v>403</v>
      </c>
      <c r="H12" s="1" t="s">
        <v>403</v>
      </c>
      <c r="I12" s="1" t="s">
        <v>403</v>
      </c>
      <c r="J12" s="1" t="s">
        <v>403</v>
      </c>
      <c r="L12" s="1" t="s">
        <v>404</v>
      </c>
      <c r="M12" s="1" t="s">
        <v>404</v>
      </c>
      <c r="N12" s="1" t="s">
        <v>353</v>
      </c>
      <c r="O12" s="1" t="s">
        <v>405</v>
      </c>
      <c r="P12" s="1" t="s">
        <v>406</v>
      </c>
      <c r="Q12" s="1" t="s">
        <v>320</v>
      </c>
      <c r="S12" s="1" t="s">
        <v>404</v>
      </c>
      <c r="T12" s="1" t="s">
        <v>404</v>
      </c>
      <c r="U12" s="1" t="s">
        <v>353</v>
      </c>
      <c r="V12" s="1" t="s">
        <v>405</v>
      </c>
      <c r="W12" s="1" t="s">
        <v>406</v>
      </c>
      <c r="X12" s="1" t="s">
        <v>320</v>
      </c>
      <c r="Y12" s="1" t="s">
        <v>321</v>
      </c>
      <c r="Z12" s="1" t="s">
        <v>407</v>
      </c>
      <c r="AA12" s="1" t="s">
        <v>408</v>
      </c>
      <c r="AB12" s="1" t="s">
        <v>409</v>
      </c>
      <c r="AC12" s="1" t="s">
        <v>410</v>
      </c>
      <c r="AD12" s="1" t="s">
        <v>373</v>
      </c>
      <c r="AE12" s="1" t="s">
        <v>411</v>
      </c>
      <c r="AF12" s="1" t="s">
        <v>412</v>
      </c>
      <c r="AG12" s="1" t="s">
        <v>413</v>
      </c>
      <c r="AL12" s="2" t="s">
        <v>414</v>
      </c>
      <c r="AM12" s="2" t="s">
        <v>415</v>
      </c>
      <c r="AN12" s="2" t="s">
        <v>214</v>
      </c>
      <c r="AO12" s="2" t="s">
        <v>416</v>
      </c>
      <c r="AP12" s="2" t="s">
        <v>417</v>
      </c>
      <c r="AQ12" s="2" t="s">
        <v>418</v>
      </c>
      <c r="AR12" s="1" t="s">
        <v>82</v>
      </c>
      <c r="AS12" s="1" t="s">
        <v>283</v>
      </c>
      <c r="AT12" s="1" t="s">
        <v>395</v>
      </c>
      <c r="AU12" s="1" t="s">
        <v>223</v>
      </c>
      <c r="AV12" s="1" t="s">
        <v>396</v>
      </c>
      <c r="AW12" s="1" t="s">
        <v>397</v>
      </c>
      <c r="AX12" s="1" t="s">
        <v>362</v>
      </c>
      <c r="AY12" s="1" t="s">
        <v>398</v>
      </c>
      <c r="AZ12" s="1" t="s">
        <v>399</v>
      </c>
      <c r="BA12" s="2"/>
      <c r="BB12" s="14" t="s">
        <v>414</v>
      </c>
      <c r="BC12" s="15" t="s">
        <v>350</v>
      </c>
      <c r="BD12" s="16" t="s">
        <v>310</v>
      </c>
      <c r="BE12" s="16" t="s">
        <v>335</v>
      </c>
      <c r="BF12" s="15" t="s">
        <v>389</v>
      </c>
      <c r="BG12" s="16" t="s">
        <v>371</v>
      </c>
      <c r="BH12" s="2"/>
      <c r="BK12" s="2"/>
    </row>
    <row r="13" spans="1:63" x14ac:dyDescent="0.5">
      <c r="G13" s="1" t="s">
        <v>419</v>
      </c>
      <c r="H13" s="1" t="s">
        <v>419</v>
      </c>
      <c r="I13" s="1" t="s">
        <v>419</v>
      </c>
      <c r="J13" s="1" t="s">
        <v>420</v>
      </c>
      <c r="L13" s="1" t="s">
        <v>414</v>
      </c>
      <c r="M13" s="1" t="s">
        <v>421</v>
      </c>
      <c r="N13" s="1" t="s">
        <v>422</v>
      </c>
      <c r="O13" s="1" t="s">
        <v>392</v>
      </c>
      <c r="P13" s="1" t="s">
        <v>423</v>
      </c>
      <c r="Q13" s="1" t="s">
        <v>424</v>
      </c>
      <c r="S13" s="1" t="s">
        <v>414</v>
      </c>
      <c r="T13" s="1" t="s">
        <v>421</v>
      </c>
      <c r="U13" s="1" t="s">
        <v>422</v>
      </c>
      <c r="V13" s="1" t="s">
        <v>392</v>
      </c>
      <c r="W13" s="1" t="s">
        <v>423</v>
      </c>
      <c r="X13" s="1" t="s">
        <v>424</v>
      </c>
      <c r="Y13" s="1" t="s">
        <v>425</v>
      </c>
      <c r="Z13" s="1" t="s">
        <v>426</v>
      </c>
      <c r="AA13" s="1" t="s">
        <v>218</v>
      </c>
      <c r="AB13" s="1" t="s">
        <v>427</v>
      </c>
      <c r="AC13" s="1" t="s">
        <v>313</v>
      </c>
      <c r="AD13" s="1" t="s">
        <v>428</v>
      </c>
      <c r="AE13" s="1" t="s">
        <v>429</v>
      </c>
      <c r="AF13" s="1" t="s">
        <v>213</v>
      </c>
      <c r="AG13" s="1" t="s">
        <v>428</v>
      </c>
      <c r="AL13" s="2" t="s">
        <v>430</v>
      </c>
      <c r="AM13" s="2" t="s">
        <v>431</v>
      </c>
      <c r="AN13" s="2" t="s">
        <v>324</v>
      </c>
      <c r="AO13" s="2" t="s">
        <v>432</v>
      </c>
      <c r="AP13" s="2" t="s">
        <v>335</v>
      </c>
      <c r="AQ13" s="2" t="s">
        <v>384</v>
      </c>
      <c r="AR13" s="1" t="s">
        <v>321</v>
      </c>
      <c r="AS13" s="1" t="s">
        <v>407</v>
      </c>
      <c r="AT13" s="1" t="s">
        <v>408</v>
      </c>
      <c r="AU13" s="1" t="s">
        <v>409</v>
      </c>
      <c r="AV13" s="1" t="s">
        <v>410</v>
      </c>
      <c r="AW13" s="1" t="s">
        <v>373</v>
      </c>
      <c r="AX13" s="1" t="s">
        <v>411</v>
      </c>
      <c r="AY13" s="1" t="s">
        <v>412</v>
      </c>
      <c r="AZ13" s="1" t="s">
        <v>413</v>
      </c>
      <c r="BA13" s="2"/>
      <c r="BB13" s="13" t="s">
        <v>430</v>
      </c>
      <c r="BC13" s="16" t="s">
        <v>363</v>
      </c>
      <c r="BD13" s="16" t="s">
        <v>336</v>
      </c>
      <c r="BE13" s="15" t="s">
        <v>210</v>
      </c>
      <c r="BF13" s="16" t="s">
        <v>372</v>
      </c>
      <c r="BG13" s="15" t="s">
        <v>281</v>
      </c>
      <c r="BH13" s="2"/>
      <c r="BK13" s="2"/>
    </row>
    <row r="14" spans="1:63" x14ac:dyDescent="0.5">
      <c r="G14" s="1" t="s">
        <v>433</v>
      </c>
      <c r="H14" s="1" t="s">
        <v>433</v>
      </c>
      <c r="I14" s="1" t="s">
        <v>433</v>
      </c>
      <c r="J14" s="1" t="s">
        <v>433</v>
      </c>
      <c r="L14" s="1" t="s">
        <v>434</v>
      </c>
      <c r="M14" s="1" t="s">
        <v>353</v>
      </c>
      <c r="N14" s="1" t="s">
        <v>216</v>
      </c>
      <c r="O14" s="1" t="s">
        <v>435</v>
      </c>
      <c r="P14" s="1" t="s">
        <v>374</v>
      </c>
      <c r="Q14" s="1" t="s">
        <v>436</v>
      </c>
      <c r="S14" s="1" t="s">
        <v>434</v>
      </c>
      <c r="T14" s="1" t="s">
        <v>353</v>
      </c>
      <c r="U14" s="1" t="s">
        <v>216</v>
      </c>
      <c r="V14" s="1" t="s">
        <v>435</v>
      </c>
      <c r="W14" s="1" t="s">
        <v>374</v>
      </c>
      <c r="X14" s="1" t="s">
        <v>436</v>
      </c>
      <c r="Y14" s="1" t="s">
        <v>437</v>
      </c>
      <c r="Z14" s="1" t="s">
        <v>434</v>
      </c>
      <c r="AA14" s="1" t="s">
        <v>438</v>
      </c>
      <c r="AB14" s="1" t="s">
        <v>439</v>
      </c>
      <c r="AC14" s="1" t="s">
        <v>440</v>
      </c>
      <c r="AD14" s="1" t="s">
        <v>441</v>
      </c>
      <c r="AE14" s="1" t="s">
        <v>442</v>
      </c>
      <c r="AF14" s="1" t="s">
        <v>393</v>
      </c>
      <c r="AG14" s="1" t="s">
        <v>441</v>
      </c>
      <c r="AL14" s="2" t="s">
        <v>443</v>
      </c>
      <c r="AM14" s="2" t="s">
        <v>444</v>
      </c>
      <c r="AN14" s="2" t="s">
        <v>414</v>
      </c>
      <c r="AO14" s="2" t="s">
        <v>445</v>
      </c>
      <c r="AP14" s="2" t="s">
        <v>364</v>
      </c>
      <c r="AQ14" s="2" t="s">
        <v>446</v>
      </c>
      <c r="AR14" s="1" t="s">
        <v>425</v>
      </c>
      <c r="AS14" s="1" t="s">
        <v>426</v>
      </c>
      <c r="AT14" s="1" t="s">
        <v>218</v>
      </c>
      <c r="AU14" s="1" t="s">
        <v>427</v>
      </c>
      <c r="AV14" s="1" t="s">
        <v>313</v>
      </c>
      <c r="AW14" s="1" t="s">
        <v>428</v>
      </c>
      <c r="AX14" s="1" t="s">
        <v>429</v>
      </c>
      <c r="AY14" s="1" t="s">
        <v>213</v>
      </c>
      <c r="AZ14" s="1" t="s">
        <v>428</v>
      </c>
      <c r="BA14" s="2"/>
      <c r="BB14" s="14" t="s">
        <v>443</v>
      </c>
      <c r="BC14" s="15" t="s">
        <v>379</v>
      </c>
      <c r="BD14" s="14" t="s">
        <v>388</v>
      </c>
      <c r="BE14" s="13" t="s">
        <v>374</v>
      </c>
      <c r="BF14" s="16" t="s">
        <v>346</v>
      </c>
      <c r="BG14" s="15" t="s">
        <v>447</v>
      </c>
      <c r="BH14" s="2"/>
      <c r="BK14" s="2"/>
    </row>
    <row r="15" spans="1:63" x14ac:dyDescent="0.5">
      <c r="G15" s="1" t="s">
        <v>448</v>
      </c>
      <c r="H15" s="1" t="s">
        <v>448</v>
      </c>
      <c r="I15" s="1" t="s">
        <v>448</v>
      </c>
      <c r="J15" s="1" t="s">
        <v>448</v>
      </c>
      <c r="L15" s="1" t="s">
        <v>430</v>
      </c>
      <c r="M15" s="1" t="s">
        <v>373</v>
      </c>
      <c r="N15" s="1" t="s">
        <v>324</v>
      </c>
      <c r="O15" s="1" t="s">
        <v>214</v>
      </c>
      <c r="P15" s="1" t="s">
        <v>364</v>
      </c>
      <c r="Q15" s="1" t="s">
        <v>310</v>
      </c>
      <c r="S15" s="1" t="s">
        <v>430</v>
      </c>
      <c r="T15" s="1" t="s">
        <v>373</v>
      </c>
      <c r="U15" s="1" t="s">
        <v>324</v>
      </c>
      <c r="V15" s="1" t="s">
        <v>214</v>
      </c>
      <c r="W15" s="1" t="s">
        <v>364</v>
      </c>
      <c r="X15" s="1" t="s">
        <v>310</v>
      </c>
      <c r="Y15" s="1" t="s">
        <v>279</v>
      </c>
      <c r="Z15" s="1" t="s">
        <v>210</v>
      </c>
      <c r="AA15" s="1" t="s">
        <v>449</v>
      </c>
      <c r="AB15" s="1" t="s">
        <v>210</v>
      </c>
      <c r="AC15" s="1" t="s">
        <v>52</v>
      </c>
      <c r="AD15" s="1" t="s">
        <v>450</v>
      </c>
      <c r="AE15" s="1" t="s">
        <v>377</v>
      </c>
      <c r="AF15" s="1" t="s">
        <v>365</v>
      </c>
      <c r="AG15" s="1" t="s">
        <v>422</v>
      </c>
      <c r="AL15" s="2" t="s">
        <v>451</v>
      </c>
      <c r="AM15" s="2" t="s">
        <v>452</v>
      </c>
      <c r="AN15" s="2" t="s">
        <v>410</v>
      </c>
      <c r="AO15" s="2" t="s">
        <v>453</v>
      </c>
      <c r="AP15" s="2" t="s">
        <v>454</v>
      </c>
      <c r="AQ15" s="2" t="s">
        <v>455</v>
      </c>
      <c r="AR15" s="1" t="s">
        <v>437</v>
      </c>
      <c r="AS15" s="1" t="s">
        <v>434</v>
      </c>
      <c r="AT15" s="1" t="s">
        <v>438</v>
      </c>
      <c r="AU15" s="1" t="s">
        <v>439</v>
      </c>
      <c r="AV15" s="1" t="s">
        <v>440</v>
      </c>
      <c r="AW15" s="1" t="s">
        <v>441</v>
      </c>
      <c r="AX15" s="1" t="s">
        <v>442</v>
      </c>
      <c r="AY15" s="1" t="s">
        <v>393</v>
      </c>
      <c r="AZ15" s="1" t="s">
        <v>441</v>
      </c>
      <c r="BA15" s="2"/>
      <c r="BB15" s="13" t="s">
        <v>451</v>
      </c>
      <c r="BC15" s="16" t="s">
        <v>392</v>
      </c>
      <c r="BD15" s="15" t="s">
        <v>319</v>
      </c>
      <c r="BE15" s="16" t="s">
        <v>364</v>
      </c>
      <c r="BF15" s="16" t="s">
        <v>371</v>
      </c>
      <c r="BG15" s="15" t="s">
        <v>442</v>
      </c>
      <c r="BH15" s="2"/>
      <c r="BK15" s="2"/>
    </row>
    <row r="16" spans="1:63" x14ac:dyDescent="0.5">
      <c r="G16" s="1" t="s">
        <v>456</v>
      </c>
      <c r="H16" s="1" t="s">
        <v>456</v>
      </c>
      <c r="I16" s="1" t="s">
        <v>456</v>
      </c>
      <c r="J16" s="1" t="s">
        <v>456</v>
      </c>
      <c r="L16" s="1" t="s">
        <v>218</v>
      </c>
      <c r="M16" s="1" t="s">
        <v>216</v>
      </c>
      <c r="N16" s="1" t="s">
        <v>457</v>
      </c>
      <c r="O16" s="1" t="s">
        <v>458</v>
      </c>
      <c r="P16" s="1" t="s">
        <v>459</v>
      </c>
      <c r="Q16" s="1" t="s">
        <v>406</v>
      </c>
      <c r="S16" s="1" t="s">
        <v>218</v>
      </c>
      <c r="T16" s="1" t="s">
        <v>216</v>
      </c>
      <c r="U16" s="1" t="s">
        <v>457</v>
      </c>
      <c r="V16" s="1" t="s">
        <v>458</v>
      </c>
      <c r="W16" s="1" t="s">
        <v>459</v>
      </c>
      <c r="X16" s="1" t="s">
        <v>406</v>
      </c>
      <c r="Y16" s="1" t="s">
        <v>460</v>
      </c>
      <c r="Z16" s="1" t="s">
        <v>215</v>
      </c>
      <c r="AA16" s="1" t="s">
        <v>461</v>
      </c>
      <c r="AB16" s="1" t="s">
        <v>278</v>
      </c>
      <c r="AC16" s="1" t="s">
        <v>235</v>
      </c>
      <c r="AD16" s="1" t="s">
        <v>462</v>
      </c>
      <c r="AE16" s="1" t="s">
        <v>389</v>
      </c>
      <c r="AF16" s="1" t="s">
        <v>463</v>
      </c>
      <c r="AG16" s="1" t="s">
        <v>453</v>
      </c>
      <c r="AL16" s="2" t="s">
        <v>368</v>
      </c>
      <c r="AM16" s="2" t="s">
        <v>464</v>
      </c>
      <c r="AN16" s="2" t="s">
        <v>434</v>
      </c>
      <c r="AO16" s="2" t="s">
        <v>465</v>
      </c>
      <c r="AP16" s="2" t="s">
        <v>459</v>
      </c>
      <c r="AQ16" s="2" t="s">
        <v>466</v>
      </c>
      <c r="AR16" s="1" t="s">
        <v>279</v>
      </c>
      <c r="AS16" s="1" t="s">
        <v>210</v>
      </c>
      <c r="AT16" s="1" t="s">
        <v>449</v>
      </c>
      <c r="AU16" s="1" t="s">
        <v>210</v>
      </c>
      <c r="AV16" s="1" t="s">
        <v>52</v>
      </c>
      <c r="AW16" s="1" t="s">
        <v>450</v>
      </c>
      <c r="AX16" s="1" t="s">
        <v>377</v>
      </c>
      <c r="AY16" s="1" t="s">
        <v>365</v>
      </c>
      <c r="AZ16" s="1" t="s">
        <v>422</v>
      </c>
      <c r="BA16" s="2"/>
      <c r="BB16" s="14" t="s">
        <v>368</v>
      </c>
      <c r="BC16" s="14" t="s">
        <v>327</v>
      </c>
      <c r="BD16" s="15" t="s">
        <v>329</v>
      </c>
      <c r="BE16" s="13" t="s">
        <v>327</v>
      </c>
      <c r="BF16" s="16" t="s">
        <v>281</v>
      </c>
      <c r="BG16" s="15" t="s">
        <v>467</v>
      </c>
      <c r="BH16" s="2"/>
      <c r="BK16" s="2"/>
    </row>
    <row r="17" spans="7:63" x14ac:dyDescent="0.5">
      <c r="G17" s="1" t="s">
        <v>468</v>
      </c>
      <c r="H17" s="1" t="s">
        <v>468</v>
      </c>
      <c r="I17" s="1" t="s">
        <v>468</v>
      </c>
      <c r="J17" s="1" t="s">
        <v>468</v>
      </c>
      <c r="L17" s="1" t="s">
        <v>469</v>
      </c>
      <c r="M17" s="1" t="s">
        <v>218</v>
      </c>
      <c r="N17" s="1" t="s">
        <v>414</v>
      </c>
      <c r="O17" s="1" t="s">
        <v>470</v>
      </c>
      <c r="P17" s="1" t="s">
        <v>471</v>
      </c>
      <c r="Q17" s="1" t="s">
        <v>423</v>
      </c>
      <c r="S17" s="1" t="s">
        <v>469</v>
      </c>
      <c r="T17" s="1" t="s">
        <v>218</v>
      </c>
      <c r="U17" s="1" t="s">
        <v>414</v>
      </c>
      <c r="V17" s="1" t="s">
        <v>470</v>
      </c>
      <c r="W17" s="1" t="s">
        <v>471</v>
      </c>
      <c r="X17" s="1" t="s">
        <v>423</v>
      </c>
      <c r="Y17" s="1" t="s">
        <v>222</v>
      </c>
      <c r="Z17" s="1" t="s">
        <v>370</v>
      </c>
      <c r="AA17" s="1" t="s">
        <v>472</v>
      </c>
      <c r="AB17" s="1" t="s">
        <v>473</v>
      </c>
      <c r="AC17" s="1" t="s">
        <v>371</v>
      </c>
      <c r="AD17" s="1" t="s">
        <v>474</v>
      </c>
      <c r="AE17" s="1" t="s">
        <v>475</v>
      </c>
      <c r="AF17" s="1" t="s">
        <v>476</v>
      </c>
      <c r="AG17" s="1" t="s">
        <v>336</v>
      </c>
      <c r="AL17" s="2" t="s">
        <v>477</v>
      </c>
      <c r="AM17" s="2" t="s">
        <v>478</v>
      </c>
      <c r="AN17" s="2" t="s">
        <v>479</v>
      </c>
      <c r="AO17" s="2" t="s">
        <v>414</v>
      </c>
      <c r="AP17" s="2" t="s">
        <v>363</v>
      </c>
      <c r="AQ17" s="2" t="s">
        <v>480</v>
      </c>
      <c r="AR17" s="1" t="s">
        <v>460</v>
      </c>
      <c r="AS17" s="1" t="s">
        <v>215</v>
      </c>
      <c r="AT17" s="1" t="s">
        <v>461</v>
      </c>
      <c r="AU17" s="1" t="s">
        <v>278</v>
      </c>
      <c r="AV17" s="1" t="s">
        <v>235</v>
      </c>
      <c r="AW17" s="1" t="s">
        <v>462</v>
      </c>
      <c r="AX17" s="1" t="s">
        <v>389</v>
      </c>
      <c r="AY17" s="1" t="s">
        <v>463</v>
      </c>
      <c r="AZ17" s="1" t="s">
        <v>453</v>
      </c>
      <c r="BA17" s="2"/>
      <c r="BB17" s="13" t="s">
        <v>477</v>
      </c>
      <c r="BC17" s="15" t="s">
        <v>404</v>
      </c>
      <c r="BD17" s="16" t="s">
        <v>335</v>
      </c>
      <c r="BE17" s="14" t="s">
        <v>214</v>
      </c>
      <c r="BF17" s="16" t="s">
        <v>321</v>
      </c>
      <c r="BG17" s="15" t="s">
        <v>336</v>
      </c>
      <c r="BH17" s="2"/>
      <c r="BK17" s="2"/>
    </row>
    <row r="18" spans="7:63" x14ac:dyDescent="0.5">
      <c r="L18" s="1" t="s">
        <v>481</v>
      </c>
      <c r="M18" s="1" t="s">
        <v>481</v>
      </c>
      <c r="N18" s="1" t="s">
        <v>482</v>
      </c>
      <c r="O18" s="1" t="s">
        <v>445</v>
      </c>
      <c r="P18" s="1" t="s">
        <v>435</v>
      </c>
      <c r="Q18" s="1" t="s">
        <v>483</v>
      </c>
      <c r="S18" s="1" t="s">
        <v>481</v>
      </c>
      <c r="T18" s="1" t="s">
        <v>481</v>
      </c>
      <c r="U18" s="1" t="s">
        <v>482</v>
      </c>
      <c r="V18" s="1" t="s">
        <v>445</v>
      </c>
      <c r="W18" s="1" t="s">
        <v>435</v>
      </c>
      <c r="X18" s="1" t="s">
        <v>483</v>
      </c>
      <c r="Y18" s="1" t="s">
        <v>484</v>
      </c>
      <c r="Z18" s="1" t="s">
        <v>382</v>
      </c>
      <c r="AA18" s="1" t="s">
        <v>370</v>
      </c>
      <c r="AB18" s="1" t="s">
        <v>335</v>
      </c>
      <c r="AC18" s="1" t="s">
        <v>429</v>
      </c>
      <c r="AD18" s="1" t="s">
        <v>349</v>
      </c>
      <c r="AE18" s="1" t="s">
        <v>485</v>
      </c>
      <c r="AF18" s="1" t="s">
        <v>486</v>
      </c>
      <c r="AG18" s="1" t="s">
        <v>487</v>
      </c>
      <c r="AL18" s="2" t="s">
        <v>488</v>
      </c>
      <c r="AM18" s="2" t="s">
        <v>489</v>
      </c>
      <c r="AN18" s="2" t="s">
        <v>490</v>
      </c>
      <c r="AO18" s="2" t="s">
        <v>395</v>
      </c>
      <c r="AP18" s="2" t="s">
        <v>392</v>
      </c>
      <c r="AQ18" s="2" t="s">
        <v>491</v>
      </c>
      <c r="AR18" s="1" t="s">
        <v>222</v>
      </c>
      <c r="AS18" s="1" t="s">
        <v>370</v>
      </c>
      <c r="AT18" s="1" t="s">
        <v>472</v>
      </c>
      <c r="AU18" s="1" t="s">
        <v>473</v>
      </c>
      <c r="AV18" s="1" t="s">
        <v>371</v>
      </c>
      <c r="AW18" s="1" t="s">
        <v>474</v>
      </c>
      <c r="AX18" s="1" t="s">
        <v>475</v>
      </c>
      <c r="AY18" s="1" t="s">
        <v>476</v>
      </c>
      <c r="AZ18" s="1" t="s">
        <v>336</v>
      </c>
      <c r="BA18" s="2"/>
      <c r="BB18" s="14" t="s">
        <v>488</v>
      </c>
      <c r="BC18" s="16" t="s">
        <v>421</v>
      </c>
      <c r="BD18" s="15" t="s">
        <v>210</v>
      </c>
      <c r="BE18" s="13" t="s">
        <v>393</v>
      </c>
      <c r="BF18" s="16" t="s">
        <v>447</v>
      </c>
      <c r="BG18" s="15" t="s">
        <v>310</v>
      </c>
      <c r="BH18" s="2"/>
      <c r="BK18" s="2"/>
    </row>
    <row r="19" spans="7:63" x14ac:dyDescent="0.5">
      <c r="G19" s="1" t="s">
        <v>272</v>
      </c>
      <c r="H19" s="1" t="s">
        <v>299</v>
      </c>
      <c r="I19" s="1" t="s">
        <v>316</v>
      </c>
      <c r="L19" s="1" t="s">
        <v>481</v>
      </c>
      <c r="M19" s="1" t="s">
        <v>415</v>
      </c>
      <c r="N19" s="1" t="s">
        <v>410</v>
      </c>
      <c r="O19" s="1" t="s">
        <v>463</v>
      </c>
      <c r="P19" s="1" t="s">
        <v>492</v>
      </c>
      <c r="Q19" s="1" t="s">
        <v>493</v>
      </c>
      <c r="S19" s="1" t="s">
        <v>481</v>
      </c>
      <c r="T19" s="1" t="s">
        <v>415</v>
      </c>
      <c r="U19" s="1" t="s">
        <v>410</v>
      </c>
      <c r="V19" s="1" t="s">
        <v>463</v>
      </c>
      <c r="W19" s="1" t="s">
        <v>492</v>
      </c>
      <c r="X19" s="1" t="s">
        <v>493</v>
      </c>
      <c r="Y19" s="1" t="s">
        <v>494</v>
      </c>
      <c r="Z19" s="1" t="s">
        <v>481</v>
      </c>
      <c r="AA19" s="1" t="s">
        <v>495</v>
      </c>
      <c r="AB19" s="1" t="s">
        <v>496</v>
      </c>
      <c r="AC19" s="1" t="s">
        <v>411</v>
      </c>
      <c r="AD19" s="1" t="s">
        <v>497</v>
      </c>
      <c r="AE19" s="1" t="s">
        <v>498</v>
      </c>
      <c r="AF19" s="1" t="s">
        <v>499</v>
      </c>
      <c r="AG19" s="1" t="s">
        <v>226</v>
      </c>
      <c r="AL19" s="2" t="s">
        <v>500</v>
      </c>
      <c r="AM19" s="2" t="s">
        <v>488</v>
      </c>
      <c r="AN19" s="2" t="s">
        <v>486</v>
      </c>
      <c r="AO19" s="2" t="s">
        <v>501</v>
      </c>
      <c r="AP19" s="2" t="s">
        <v>471</v>
      </c>
      <c r="AQ19" s="2" t="s">
        <v>502</v>
      </c>
      <c r="AR19" s="1" t="s">
        <v>484</v>
      </c>
      <c r="AS19" s="1" t="s">
        <v>382</v>
      </c>
      <c r="AT19" s="1" t="s">
        <v>370</v>
      </c>
      <c r="AU19" s="1" t="s">
        <v>335</v>
      </c>
      <c r="AV19" s="1" t="s">
        <v>429</v>
      </c>
      <c r="AW19" s="1" t="s">
        <v>349</v>
      </c>
      <c r="AX19" s="1" t="s">
        <v>485</v>
      </c>
      <c r="AY19" s="1" t="s">
        <v>486</v>
      </c>
      <c r="AZ19" s="1" t="s">
        <v>487</v>
      </c>
      <c r="BA19" s="2"/>
      <c r="BB19" s="13" t="s">
        <v>500</v>
      </c>
      <c r="BC19" s="15" t="s">
        <v>353</v>
      </c>
      <c r="BD19" s="16" t="s">
        <v>365</v>
      </c>
      <c r="BE19" s="13" t="s">
        <v>353</v>
      </c>
      <c r="BF19" s="15" t="s">
        <v>442</v>
      </c>
      <c r="BG19" s="15" t="s">
        <v>358</v>
      </c>
      <c r="BH19" s="2"/>
      <c r="BK19" s="2"/>
    </row>
    <row r="20" spans="7:63" x14ac:dyDescent="0.5">
      <c r="G20" s="1" t="s">
        <v>291</v>
      </c>
      <c r="H20" s="1" t="s">
        <v>291</v>
      </c>
      <c r="I20" s="1" t="s">
        <v>291</v>
      </c>
      <c r="L20" s="1" t="s">
        <v>503</v>
      </c>
      <c r="M20" s="1" t="s">
        <v>504</v>
      </c>
      <c r="N20" s="1" t="s">
        <v>401</v>
      </c>
      <c r="O20" s="1" t="s">
        <v>422</v>
      </c>
      <c r="P20" s="1" t="s">
        <v>214</v>
      </c>
      <c r="Q20" s="1" t="s">
        <v>505</v>
      </c>
      <c r="S20" s="1" t="s">
        <v>503</v>
      </c>
      <c r="T20" s="1" t="s">
        <v>504</v>
      </c>
      <c r="U20" s="1" t="s">
        <v>401</v>
      </c>
      <c r="V20" s="1" t="s">
        <v>422</v>
      </c>
      <c r="W20" s="1" t="s">
        <v>214</v>
      </c>
      <c r="X20" s="1" t="s">
        <v>505</v>
      </c>
      <c r="Y20" s="1" t="s">
        <v>506</v>
      </c>
      <c r="Z20" s="1" t="s">
        <v>507</v>
      </c>
      <c r="AA20" s="1" t="s">
        <v>508</v>
      </c>
      <c r="AB20" s="1" t="s">
        <v>480</v>
      </c>
      <c r="AC20" s="1" t="s">
        <v>509</v>
      </c>
      <c r="AD20" s="1" t="s">
        <v>510</v>
      </c>
      <c r="AE20" s="1" t="s">
        <v>467</v>
      </c>
      <c r="AF20" s="1" t="s">
        <v>220</v>
      </c>
      <c r="AG20" s="1" t="s">
        <v>467</v>
      </c>
      <c r="AL20" s="2" t="s">
        <v>511</v>
      </c>
      <c r="AM20" s="2" t="s">
        <v>511</v>
      </c>
      <c r="AN20" s="2" t="s">
        <v>489</v>
      </c>
      <c r="AO20" s="2" t="s">
        <v>218</v>
      </c>
      <c r="AP20" s="2" t="s">
        <v>435</v>
      </c>
      <c r="AQ20" s="2" t="s">
        <v>233</v>
      </c>
      <c r="AR20" s="1" t="s">
        <v>494</v>
      </c>
      <c r="AS20" s="1" t="s">
        <v>481</v>
      </c>
      <c r="AT20" s="1" t="s">
        <v>495</v>
      </c>
      <c r="AU20" s="1" t="s">
        <v>496</v>
      </c>
      <c r="AV20" s="1" t="s">
        <v>411</v>
      </c>
      <c r="AW20" s="1" t="s">
        <v>497</v>
      </c>
      <c r="AX20" s="1" t="s">
        <v>498</v>
      </c>
      <c r="AY20" s="1" t="s">
        <v>499</v>
      </c>
      <c r="AZ20" s="1" t="s">
        <v>226</v>
      </c>
      <c r="BA20" s="2"/>
      <c r="BB20" s="14" t="s">
        <v>511</v>
      </c>
      <c r="BC20" s="13" t="s">
        <v>373</v>
      </c>
      <c r="BD20" s="16" t="s">
        <v>364</v>
      </c>
      <c r="BE20" s="13" t="s">
        <v>422</v>
      </c>
      <c r="BF20" s="15" t="s">
        <v>467</v>
      </c>
      <c r="BG20" s="15" t="s">
        <v>383</v>
      </c>
      <c r="BH20" s="2"/>
      <c r="BK20" s="2"/>
    </row>
    <row r="21" spans="7:63" x14ac:dyDescent="0.5">
      <c r="G21" s="1" t="s">
        <v>292</v>
      </c>
      <c r="H21" s="1" t="s">
        <v>292</v>
      </c>
      <c r="I21" s="1" t="s">
        <v>292</v>
      </c>
      <c r="L21" s="1" t="s">
        <v>223</v>
      </c>
      <c r="M21" s="1" t="s">
        <v>431</v>
      </c>
      <c r="N21" s="1" t="s">
        <v>411</v>
      </c>
      <c r="O21" s="1" t="s">
        <v>453</v>
      </c>
      <c r="P21" s="1" t="s">
        <v>404</v>
      </c>
      <c r="Q21" s="1" t="s">
        <v>512</v>
      </c>
      <c r="S21" s="1" t="s">
        <v>223</v>
      </c>
      <c r="T21" s="1" t="s">
        <v>431</v>
      </c>
      <c r="U21" s="1" t="s">
        <v>411</v>
      </c>
      <c r="V21" s="1" t="s">
        <v>453</v>
      </c>
      <c r="W21" s="1" t="s">
        <v>404</v>
      </c>
      <c r="X21" s="1" t="s">
        <v>512</v>
      </c>
      <c r="Y21" s="1" t="s">
        <v>364</v>
      </c>
      <c r="Z21" s="1" t="s">
        <v>513</v>
      </c>
      <c r="AA21" s="1" t="s">
        <v>514</v>
      </c>
      <c r="AB21" s="1" t="s">
        <v>515</v>
      </c>
      <c r="AC21" s="1" t="s">
        <v>516</v>
      </c>
      <c r="AD21" s="1" t="s">
        <v>517</v>
      </c>
      <c r="AE21" s="1" t="s">
        <v>447</v>
      </c>
      <c r="AF21" s="1" t="s">
        <v>321</v>
      </c>
      <c r="AG21" s="1" t="s">
        <v>518</v>
      </c>
      <c r="AL21" s="2" t="s">
        <v>519</v>
      </c>
      <c r="AM21" s="2" t="s">
        <v>520</v>
      </c>
      <c r="AN21" s="2" t="s">
        <v>472</v>
      </c>
      <c r="AO21" s="2" t="s">
        <v>481</v>
      </c>
      <c r="AP21" s="2" t="s">
        <v>398</v>
      </c>
      <c r="AQ21" s="2" t="s">
        <v>521</v>
      </c>
      <c r="AR21" s="1" t="s">
        <v>506</v>
      </c>
      <c r="AS21" s="1" t="s">
        <v>507</v>
      </c>
      <c r="AT21" s="1" t="s">
        <v>508</v>
      </c>
      <c r="AU21" s="1" t="s">
        <v>480</v>
      </c>
      <c r="AV21" s="1" t="s">
        <v>509</v>
      </c>
      <c r="AW21" s="1" t="s">
        <v>510</v>
      </c>
      <c r="AX21" s="1" t="s">
        <v>467</v>
      </c>
      <c r="AY21" s="1" t="s">
        <v>220</v>
      </c>
      <c r="AZ21" s="1" t="s">
        <v>467</v>
      </c>
      <c r="BA21" s="2"/>
      <c r="BB21" s="13" t="s">
        <v>519</v>
      </c>
      <c r="BC21" s="15" t="s">
        <v>216</v>
      </c>
      <c r="BD21" s="15" t="s">
        <v>344</v>
      </c>
      <c r="BE21" s="13" t="s">
        <v>216</v>
      </c>
      <c r="BF21" s="16" t="s">
        <v>522</v>
      </c>
      <c r="BG21" s="15" t="s">
        <v>210</v>
      </c>
      <c r="BH21" s="2"/>
      <c r="BK21" s="2"/>
    </row>
    <row r="22" spans="7:63" x14ac:dyDescent="0.5">
      <c r="G22" s="1" t="s">
        <v>293</v>
      </c>
      <c r="H22" s="1" t="s">
        <v>293</v>
      </c>
      <c r="I22" s="1" t="s">
        <v>293</v>
      </c>
      <c r="L22" s="1" t="s">
        <v>486</v>
      </c>
      <c r="M22" s="1" t="s">
        <v>283</v>
      </c>
      <c r="N22" s="1" t="s">
        <v>523</v>
      </c>
      <c r="O22" s="1" t="s">
        <v>523</v>
      </c>
      <c r="P22" s="1" t="s">
        <v>524</v>
      </c>
      <c r="Q22" s="1" t="s">
        <v>525</v>
      </c>
      <c r="S22" s="1" t="s">
        <v>486</v>
      </c>
      <c r="T22" s="1" t="s">
        <v>283</v>
      </c>
      <c r="U22" s="1" t="s">
        <v>523</v>
      </c>
      <c r="V22" s="1" t="s">
        <v>523</v>
      </c>
      <c r="W22" s="1" t="s">
        <v>524</v>
      </c>
      <c r="X22" s="1" t="s">
        <v>525</v>
      </c>
      <c r="Y22" s="1" t="s">
        <v>526</v>
      </c>
      <c r="Z22" s="1" t="s">
        <v>431</v>
      </c>
      <c r="AA22" s="1" t="s">
        <v>465</v>
      </c>
      <c r="AB22" s="1" t="s">
        <v>408</v>
      </c>
      <c r="AC22" s="1" t="s">
        <v>527</v>
      </c>
      <c r="AD22" s="1" t="s">
        <v>230</v>
      </c>
      <c r="AE22" s="1" t="s">
        <v>528</v>
      </c>
      <c r="AF22" s="1" t="s">
        <v>509</v>
      </c>
      <c r="AG22" s="1" t="s">
        <v>529</v>
      </c>
      <c r="AL22" s="2" t="s">
        <v>530</v>
      </c>
      <c r="AM22" s="2" t="s">
        <v>531</v>
      </c>
      <c r="AN22" s="2" t="s">
        <v>425</v>
      </c>
      <c r="AO22" s="2" t="s">
        <v>464</v>
      </c>
      <c r="AP22" s="2" t="s">
        <v>327</v>
      </c>
      <c r="AR22" s="1" t="s">
        <v>364</v>
      </c>
      <c r="AS22" s="1" t="s">
        <v>513</v>
      </c>
      <c r="AT22" s="1" t="s">
        <v>514</v>
      </c>
      <c r="AU22" s="1" t="s">
        <v>515</v>
      </c>
      <c r="AV22" s="1" t="s">
        <v>516</v>
      </c>
      <c r="AW22" s="1" t="s">
        <v>517</v>
      </c>
      <c r="AX22" s="1" t="s">
        <v>447</v>
      </c>
      <c r="AY22" s="1" t="s">
        <v>321</v>
      </c>
      <c r="AZ22" s="1" t="s">
        <v>518</v>
      </c>
      <c r="BB22" s="13" t="s">
        <v>520</v>
      </c>
      <c r="BC22" s="15" t="s">
        <v>386</v>
      </c>
      <c r="BD22" s="16" t="s">
        <v>416</v>
      </c>
      <c r="BE22" s="13" t="s">
        <v>324</v>
      </c>
      <c r="BF22" s="16" t="s">
        <v>336</v>
      </c>
      <c r="BG22" s="15" t="s">
        <v>374</v>
      </c>
    </row>
    <row r="23" spans="7:63" x14ac:dyDescent="0.5">
      <c r="G23" s="1" t="s">
        <v>294</v>
      </c>
      <c r="H23" s="1" t="s">
        <v>294</v>
      </c>
      <c r="I23" s="1" t="s">
        <v>294</v>
      </c>
      <c r="L23" s="1" t="s">
        <v>452</v>
      </c>
      <c r="M23" s="1" t="s">
        <v>444</v>
      </c>
      <c r="N23" s="1" t="s">
        <v>523</v>
      </c>
      <c r="O23" s="1" t="s">
        <v>481</v>
      </c>
      <c r="P23" s="1" t="s">
        <v>215</v>
      </c>
      <c r="Q23" s="1" t="s">
        <v>363</v>
      </c>
      <c r="S23" s="1" t="s">
        <v>452</v>
      </c>
      <c r="T23" s="1" t="s">
        <v>444</v>
      </c>
      <c r="U23" s="1" t="s">
        <v>523</v>
      </c>
      <c r="V23" s="1" t="s">
        <v>481</v>
      </c>
      <c r="W23" s="1" t="s">
        <v>215</v>
      </c>
      <c r="X23" s="1" t="s">
        <v>363</v>
      </c>
      <c r="Y23" s="1" t="s">
        <v>223</v>
      </c>
      <c r="Z23" s="1" t="s">
        <v>532</v>
      </c>
      <c r="AA23" s="1" t="s">
        <v>533</v>
      </c>
      <c r="AB23" s="1" t="s">
        <v>380</v>
      </c>
      <c r="AC23" s="1" t="s">
        <v>534</v>
      </c>
      <c r="AD23" s="1" t="s">
        <v>460</v>
      </c>
      <c r="AE23" s="1" t="s">
        <v>414</v>
      </c>
      <c r="AF23" s="1" t="s">
        <v>405</v>
      </c>
      <c r="AG23" s="1" t="s">
        <v>535</v>
      </c>
      <c r="AL23" s="2" t="s">
        <v>474</v>
      </c>
      <c r="AM23" s="2" t="s">
        <v>509</v>
      </c>
      <c r="AN23" s="2" t="s">
        <v>227</v>
      </c>
      <c r="AO23" s="2" t="s">
        <v>536</v>
      </c>
      <c r="AP23" s="2" t="s">
        <v>537</v>
      </c>
      <c r="AR23" s="1" t="s">
        <v>526</v>
      </c>
      <c r="AS23" s="1" t="s">
        <v>431</v>
      </c>
      <c r="AT23" s="1" t="s">
        <v>465</v>
      </c>
      <c r="AU23" s="1" t="s">
        <v>408</v>
      </c>
      <c r="AV23" s="1" t="s">
        <v>527</v>
      </c>
      <c r="AW23" s="1" t="s">
        <v>230</v>
      </c>
      <c r="AX23" s="1" t="s">
        <v>528</v>
      </c>
      <c r="AY23" s="1" t="s">
        <v>509</v>
      </c>
      <c r="AZ23" s="1" t="s">
        <v>529</v>
      </c>
      <c r="BB23" s="14" t="s">
        <v>530</v>
      </c>
      <c r="BC23" s="15" t="s">
        <v>401</v>
      </c>
      <c r="BD23" s="16" t="s">
        <v>363</v>
      </c>
      <c r="BE23" s="15" t="s">
        <v>457</v>
      </c>
      <c r="BF23" s="15" t="s">
        <v>310</v>
      </c>
      <c r="BG23" s="15" t="s">
        <v>365</v>
      </c>
    </row>
    <row r="24" spans="7:63" x14ac:dyDescent="0.5">
      <c r="G24" s="1" t="s">
        <v>295</v>
      </c>
      <c r="H24" s="1" t="s">
        <v>295</v>
      </c>
      <c r="I24" s="1" t="s">
        <v>295</v>
      </c>
      <c r="L24" s="1" t="s">
        <v>451</v>
      </c>
      <c r="M24" s="1" t="s">
        <v>223</v>
      </c>
      <c r="N24" s="1" t="s">
        <v>52</v>
      </c>
      <c r="O24" s="1" t="s">
        <v>538</v>
      </c>
      <c r="P24" s="1" t="s">
        <v>216</v>
      </c>
      <c r="Q24" s="1" t="s">
        <v>405</v>
      </c>
      <c r="S24" s="1" t="s">
        <v>451</v>
      </c>
      <c r="T24" s="1" t="s">
        <v>223</v>
      </c>
      <c r="U24" s="1" t="s">
        <v>52</v>
      </c>
      <c r="V24" s="1" t="s">
        <v>538</v>
      </c>
      <c r="W24" s="1" t="s">
        <v>216</v>
      </c>
      <c r="X24" s="1" t="s">
        <v>405</v>
      </c>
      <c r="Y24" s="1" t="s">
        <v>367</v>
      </c>
      <c r="Z24" s="1" t="s">
        <v>277</v>
      </c>
      <c r="AA24" s="1" t="s">
        <v>539</v>
      </c>
      <c r="AB24" s="1" t="s">
        <v>507</v>
      </c>
      <c r="AC24" s="1" t="s">
        <v>467</v>
      </c>
      <c r="AD24" s="1" t="s">
        <v>540</v>
      </c>
      <c r="AE24" s="1" t="s">
        <v>540</v>
      </c>
      <c r="AF24" s="1" t="s">
        <v>541</v>
      </c>
      <c r="AG24" s="1" t="s">
        <v>439</v>
      </c>
      <c r="AL24" s="2" t="s">
        <v>499</v>
      </c>
      <c r="AM24" s="2" t="s">
        <v>541</v>
      </c>
      <c r="AN24" s="2" t="s">
        <v>542</v>
      </c>
      <c r="AO24" s="2" t="s">
        <v>543</v>
      </c>
      <c r="AP24" s="2" t="s">
        <v>216</v>
      </c>
      <c r="AR24" s="1" t="s">
        <v>223</v>
      </c>
      <c r="AS24" s="1" t="s">
        <v>532</v>
      </c>
      <c r="AT24" s="1" t="s">
        <v>533</v>
      </c>
      <c r="AU24" s="1" t="s">
        <v>380</v>
      </c>
      <c r="AV24" s="1" t="s">
        <v>534</v>
      </c>
      <c r="AW24" s="1" t="s">
        <v>460</v>
      </c>
      <c r="AX24" s="1" t="s">
        <v>414</v>
      </c>
      <c r="AY24" s="1" t="s">
        <v>405</v>
      </c>
      <c r="AZ24" s="1" t="s">
        <v>535</v>
      </c>
      <c r="BB24" s="13" t="s">
        <v>474</v>
      </c>
      <c r="BC24" s="15" t="s">
        <v>218</v>
      </c>
      <c r="BD24" s="15" t="s">
        <v>405</v>
      </c>
      <c r="BE24" s="14" t="s">
        <v>414</v>
      </c>
      <c r="BF24" s="15" t="s">
        <v>441</v>
      </c>
      <c r="BG24" s="15" t="s">
        <v>544</v>
      </c>
    </row>
    <row r="25" spans="7:63" x14ac:dyDescent="0.5">
      <c r="G25" s="1" t="s">
        <v>296</v>
      </c>
      <c r="H25" s="1" t="s">
        <v>296</v>
      </c>
      <c r="I25" s="1" t="s">
        <v>296</v>
      </c>
      <c r="L25" s="1" t="s">
        <v>545</v>
      </c>
      <c r="M25" s="1" t="s">
        <v>486</v>
      </c>
      <c r="N25" s="1" t="s">
        <v>538</v>
      </c>
      <c r="O25" s="1" t="s">
        <v>536</v>
      </c>
      <c r="P25" s="1" t="s">
        <v>535</v>
      </c>
      <c r="Q25" s="1" t="s">
        <v>546</v>
      </c>
      <c r="S25" s="1" t="s">
        <v>545</v>
      </c>
      <c r="T25" s="1" t="s">
        <v>486</v>
      </c>
      <c r="U25" s="1" t="s">
        <v>538</v>
      </c>
      <c r="V25" s="1" t="s">
        <v>536</v>
      </c>
      <c r="W25" s="1" t="s">
        <v>535</v>
      </c>
      <c r="X25" s="1" t="s">
        <v>546</v>
      </c>
      <c r="Y25" s="1" t="s">
        <v>547</v>
      </c>
      <c r="Z25" s="1" t="s">
        <v>548</v>
      </c>
      <c r="AA25" s="1" t="s">
        <v>549</v>
      </c>
      <c r="AB25" s="1" t="s">
        <v>550</v>
      </c>
      <c r="AC25" s="1" t="s">
        <v>518</v>
      </c>
      <c r="AD25" s="1" t="s">
        <v>414</v>
      </c>
      <c r="AE25" s="1" t="s">
        <v>551</v>
      </c>
      <c r="AF25" s="1" t="s">
        <v>374</v>
      </c>
      <c r="AG25" s="1" t="s">
        <v>346</v>
      </c>
      <c r="AL25" s="2" t="s">
        <v>541</v>
      </c>
      <c r="AM25" s="2" t="s">
        <v>307</v>
      </c>
      <c r="AN25" s="2" t="s">
        <v>230</v>
      </c>
      <c r="AO25" s="2" t="s">
        <v>552</v>
      </c>
      <c r="AP25" s="2" t="s">
        <v>411</v>
      </c>
      <c r="AR25" s="1" t="s">
        <v>367</v>
      </c>
      <c r="AS25" s="1" t="s">
        <v>277</v>
      </c>
      <c r="AT25" s="1" t="s">
        <v>539</v>
      </c>
      <c r="AU25" s="1" t="s">
        <v>507</v>
      </c>
      <c r="AV25" s="1" t="s">
        <v>467</v>
      </c>
      <c r="AW25" s="1" t="s">
        <v>540</v>
      </c>
      <c r="AX25" s="1" t="s">
        <v>540</v>
      </c>
      <c r="AY25" s="1" t="s">
        <v>541</v>
      </c>
      <c r="AZ25" s="1" t="s">
        <v>439</v>
      </c>
      <c r="BB25" s="14" t="s">
        <v>499</v>
      </c>
      <c r="BC25" s="15" t="s">
        <v>481</v>
      </c>
      <c r="BD25" s="16" t="s">
        <v>392</v>
      </c>
      <c r="BE25" s="15" t="s">
        <v>482</v>
      </c>
      <c r="BF25" s="15" t="s">
        <v>553</v>
      </c>
      <c r="BG25" s="15" t="s">
        <v>413</v>
      </c>
    </row>
    <row r="26" spans="7:63" x14ac:dyDescent="0.5">
      <c r="L26" s="1" t="s">
        <v>500</v>
      </c>
      <c r="M26" s="1" t="s">
        <v>554</v>
      </c>
      <c r="N26" s="1" t="s">
        <v>452</v>
      </c>
      <c r="O26" s="1" t="s">
        <v>555</v>
      </c>
      <c r="P26" s="1" t="s">
        <v>494</v>
      </c>
      <c r="Q26" s="1" t="s">
        <v>392</v>
      </c>
      <c r="S26" s="1" t="s">
        <v>500</v>
      </c>
      <c r="T26" s="1" t="s">
        <v>554</v>
      </c>
      <c r="U26" s="1" t="s">
        <v>452</v>
      </c>
      <c r="V26" s="1" t="s">
        <v>555</v>
      </c>
      <c r="W26" s="1" t="s">
        <v>494</v>
      </c>
      <c r="X26" s="1" t="s">
        <v>392</v>
      </c>
      <c r="Y26" s="1" t="s">
        <v>375</v>
      </c>
      <c r="Z26" s="1" t="s">
        <v>321</v>
      </c>
      <c r="AA26" s="1" t="s">
        <v>323</v>
      </c>
      <c r="AB26" s="1" t="s">
        <v>556</v>
      </c>
      <c r="AC26" s="1" t="s">
        <v>557</v>
      </c>
      <c r="AD26" s="1" t="s">
        <v>551</v>
      </c>
      <c r="AE26" s="1" t="s">
        <v>310</v>
      </c>
      <c r="AF26" s="1" t="s">
        <v>558</v>
      </c>
      <c r="AG26" s="1" t="s">
        <v>559</v>
      </c>
      <c r="AL26" s="2" t="s">
        <v>541</v>
      </c>
      <c r="AM26" s="2" t="s">
        <v>560</v>
      </c>
      <c r="AN26" s="2" t="s">
        <v>307</v>
      </c>
      <c r="AO26" s="2" t="s">
        <v>511</v>
      </c>
      <c r="AP26" s="2" t="s">
        <v>52</v>
      </c>
      <c r="AR26" s="1" t="s">
        <v>547</v>
      </c>
      <c r="AS26" s="1" t="s">
        <v>548</v>
      </c>
      <c r="AT26" s="1" t="s">
        <v>549</v>
      </c>
      <c r="AU26" s="1" t="s">
        <v>550</v>
      </c>
      <c r="AV26" s="1" t="s">
        <v>518</v>
      </c>
      <c r="AW26" s="1" t="s">
        <v>414</v>
      </c>
      <c r="AX26" s="1" t="s">
        <v>551</v>
      </c>
      <c r="AY26" s="1" t="s">
        <v>374</v>
      </c>
      <c r="AZ26" s="1" t="s">
        <v>346</v>
      </c>
      <c r="BB26" s="13" t="s">
        <v>541</v>
      </c>
      <c r="BC26" s="15" t="s">
        <v>415</v>
      </c>
      <c r="BD26" s="15" t="s">
        <v>435</v>
      </c>
      <c r="BE26" s="16" t="s">
        <v>410</v>
      </c>
      <c r="BF26" s="15" t="s">
        <v>358</v>
      </c>
      <c r="BG26" s="15" t="s">
        <v>405</v>
      </c>
    </row>
    <row r="27" spans="7:63" x14ac:dyDescent="0.5">
      <c r="L27" s="1" t="s">
        <v>561</v>
      </c>
      <c r="M27" s="1" t="s">
        <v>464</v>
      </c>
      <c r="N27" s="1" t="s">
        <v>554</v>
      </c>
      <c r="O27" s="1" t="s">
        <v>543</v>
      </c>
      <c r="P27" s="1" t="s">
        <v>430</v>
      </c>
      <c r="Q27" s="1" t="s">
        <v>471</v>
      </c>
      <c r="S27" s="1" t="s">
        <v>561</v>
      </c>
      <c r="T27" s="1" t="s">
        <v>464</v>
      </c>
      <c r="U27" s="1" t="s">
        <v>554</v>
      </c>
      <c r="V27" s="1" t="s">
        <v>543</v>
      </c>
      <c r="W27" s="1" t="s">
        <v>430</v>
      </c>
      <c r="X27" s="1" t="s">
        <v>471</v>
      </c>
      <c r="Y27" s="1" t="s">
        <v>323</v>
      </c>
      <c r="Z27" s="1" t="s">
        <v>361</v>
      </c>
      <c r="AA27" s="1" t="s">
        <v>277</v>
      </c>
      <c r="AB27" s="1" t="s">
        <v>370</v>
      </c>
      <c r="AC27" s="1" t="s">
        <v>414</v>
      </c>
      <c r="AD27" s="1" t="s">
        <v>310</v>
      </c>
      <c r="AE27" s="1" t="s">
        <v>562</v>
      </c>
      <c r="AF27" s="1" t="s">
        <v>563</v>
      </c>
      <c r="AG27" s="1" t="s">
        <v>236</v>
      </c>
      <c r="AL27" s="2" t="s">
        <v>564</v>
      </c>
      <c r="AM27" s="2" t="s">
        <v>427</v>
      </c>
      <c r="AN27" s="2" t="s">
        <v>540</v>
      </c>
      <c r="AO27" s="2" t="s">
        <v>437</v>
      </c>
      <c r="AP27" s="2" t="s">
        <v>538</v>
      </c>
      <c r="AR27" s="1" t="s">
        <v>375</v>
      </c>
      <c r="AS27" s="1" t="s">
        <v>321</v>
      </c>
      <c r="AT27" s="1" t="s">
        <v>323</v>
      </c>
      <c r="AU27" s="1" t="s">
        <v>556</v>
      </c>
      <c r="AV27" s="1" t="s">
        <v>557</v>
      </c>
      <c r="AW27" s="1" t="s">
        <v>551</v>
      </c>
      <c r="AX27" s="1" t="s">
        <v>310</v>
      </c>
      <c r="AY27" s="1" t="s">
        <v>558</v>
      </c>
      <c r="AZ27" s="1" t="s">
        <v>559</v>
      </c>
      <c r="BB27" s="18" t="s">
        <v>564</v>
      </c>
      <c r="BC27" s="15" t="s">
        <v>504</v>
      </c>
      <c r="BD27" s="15" t="s">
        <v>327</v>
      </c>
      <c r="BE27" s="14" t="s">
        <v>434</v>
      </c>
      <c r="BF27" s="16" t="s">
        <v>342</v>
      </c>
      <c r="BG27" s="15" t="s">
        <v>498</v>
      </c>
    </row>
    <row r="28" spans="7:63" x14ac:dyDescent="0.5">
      <c r="L28" s="1" t="s">
        <v>511</v>
      </c>
      <c r="M28" s="1" t="s">
        <v>489</v>
      </c>
      <c r="N28" s="1" t="s">
        <v>489</v>
      </c>
      <c r="O28" s="1" t="s">
        <v>451</v>
      </c>
      <c r="P28" s="1" t="s">
        <v>218</v>
      </c>
      <c r="Q28" s="1" t="s">
        <v>435</v>
      </c>
      <c r="S28" s="1" t="s">
        <v>511</v>
      </c>
      <c r="T28" s="1" t="s">
        <v>489</v>
      </c>
      <c r="U28" s="1" t="s">
        <v>489</v>
      </c>
      <c r="V28" s="1" t="s">
        <v>451</v>
      </c>
      <c r="W28" s="1" t="s">
        <v>218</v>
      </c>
      <c r="X28" s="1" t="s">
        <v>435</v>
      </c>
      <c r="Y28" s="1" t="s">
        <v>233</v>
      </c>
      <c r="Z28" s="1" t="s">
        <v>472</v>
      </c>
      <c r="AA28" s="1" t="s">
        <v>565</v>
      </c>
      <c r="AB28" s="1" t="s">
        <v>566</v>
      </c>
      <c r="AC28" s="1" t="s">
        <v>551</v>
      </c>
      <c r="AD28" s="1" t="s">
        <v>567</v>
      </c>
      <c r="AE28" s="1" t="s">
        <v>568</v>
      </c>
      <c r="AF28" s="1" t="s">
        <v>569</v>
      </c>
      <c r="AG28" s="1" t="s">
        <v>544</v>
      </c>
      <c r="AL28" s="2"/>
      <c r="AM28" s="2"/>
      <c r="AN28" s="2" t="s">
        <v>570</v>
      </c>
      <c r="AO28" s="2" t="s">
        <v>509</v>
      </c>
      <c r="AP28" s="2" t="s">
        <v>415</v>
      </c>
      <c r="AR28" s="1" t="s">
        <v>323</v>
      </c>
      <c r="AS28" s="1" t="s">
        <v>361</v>
      </c>
      <c r="AT28" s="1" t="s">
        <v>277</v>
      </c>
      <c r="AU28" s="1" t="s">
        <v>370</v>
      </c>
      <c r="AV28" s="1" t="s">
        <v>414</v>
      </c>
      <c r="AW28" s="1" t="s">
        <v>310</v>
      </c>
      <c r="AX28" s="1" t="s">
        <v>562</v>
      </c>
      <c r="AY28" s="1" t="s">
        <v>563</v>
      </c>
      <c r="AZ28" s="1" t="s">
        <v>236</v>
      </c>
      <c r="BB28" s="18"/>
      <c r="BC28" s="15" t="s">
        <v>431</v>
      </c>
      <c r="BD28" s="16" t="s">
        <v>214</v>
      </c>
      <c r="BE28" s="13" t="s">
        <v>479</v>
      </c>
      <c r="BF28" s="15" t="s">
        <v>383</v>
      </c>
      <c r="BG28" s="15" t="s">
        <v>529</v>
      </c>
    </row>
    <row r="29" spans="7:63" x14ac:dyDescent="0.5">
      <c r="L29" s="1" t="s">
        <v>571</v>
      </c>
      <c r="M29" s="1" t="s">
        <v>555</v>
      </c>
      <c r="N29" s="1" t="s">
        <v>543</v>
      </c>
      <c r="O29" s="1" t="s">
        <v>495</v>
      </c>
      <c r="P29" s="1" t="s">
        <v>572</v>
      </c>
      <c r="Q29" s="1" t="s">
        <v>398</v>
      </c>
      <c r="S29" s="1" t="s">
        <v>571</v>
      </c>
      <c r="T29" s="1" t="s">
        <v>555</v>
      </c>
      <c r="U29" s="1" t="s">
        <v>543</v>
      </c>
      <c r="V29" s="1" t="s">
        <v>495</v>
      </c>
      <c r="W29" s="1" t="s">
        <v>572</v>
      </c>
      <c r="X29" s="1" t="s">
        <v>398</v>
      </c>
      <c r="Y29" s="1" t="s">
        <v>573</v>
      </c>
      <c r="Z29" s="1" t="s">
        <v>574</v>
      </c>
      <c r="AA29" s="1" t="s">
        <v>574</v>
      </c>
      <c r="AB29" s="1" t="s">
        <v>575</v>
      </c>
      <c r="AC29" s="1" t="s">
        <v>540</v>
      </c>
      <c r="AD29" s="1" t="s">
        <v>576</v>
      </c>
      <c r="AE29" s="1" t="s">
        <v>494</v>
      </c>
      <c r="AF29" s="1" t="s">
        <v>421</v>
      </c>
      <c r="AG29" s="1" t="s">
        <v>512</v>
      </c>
      <c r="AL29" s="2"/>
      <c r="AN29" s="2" t="s">
        <v>577</v>
      </c>
      <c r="AO29" s="2" t="s">
        <v>578</v>
      </c>
      <c r="AP29" s="2" t="s">
        <v>579</v>
      </c>
      <c r="AR29" s="1" t="s">
        <v>233</v>
      </c>
      <c r="AS29" s="1" t="s">
        <v>472</v>
      </c>
      <c r="AT29" s="1" t="s">
        <v>565</v>
      </c>
      <c r="AU29" s="1" t="s">
        <v>566</v>
      </c>
      <c r="AV29" s="1" t="s">
        <v>551</v>
      </c>
      <c r="AW29" s="1" t="s">
        <v>567</v>
      </c>
      <c r="AX29" s="1" t="s">
        <v>568</v>
      </c>
      <c r="AY29" s="1" t="s">
        <v>569</v>
      </c>
      <c r="AZ29" s="1" t="s">
        <v>544</v>
      </c>
      <c r="BC29" s="15" t="s">
        <v>283</v>
      </c>
      <c r="BD29" s="15" t="s">
        <v>432</v>
      </c>
      <c r="BE29" s="15" t="s">
        <v>401</v>
      </c>
      <c r="BF29" s="15" t="s">
        <v>210</v>
      </c>
      <c r="BG29" s="15" t="s">
        <v>398</v>
      </c>
    </row>
    <row r="30" spans="7:63" x14ac:dyDescent="0.5">
      <c r="L30" s="1" t="s">
        <v>437</v>
      </c>
      <c r="M30" s="1" t="s">
        <v>368</v>
      </c>
      <c r="N30" s="1" t="s">
        <v>451</v>
      </c>
      <c r="O30" s="1" t="s">
        <v>227</v>
      </c>
      <c r="P30" s="1" t="s">
        <v>580</v>
      </c>
      <c r="Q30" s="1" t="s">
        <v>398</v>
      </c>
      <c r="S30" s="1" t="s">
        <v>437</v>
      </c>
      <c r="T30" s="1" t="s">
        <v>368</v>
      </c>
      <c r="U30" s="1" t="s">
        <v>451</v>
      </c>
      <c r="V30" s="1" t="s">
        <v>227</v>
      </c>
      <c r="W30" s="1" t="s">
        <v>580</v>
      </c>
      <c r="X30" s="1" t="s">
        <v>398</v>
      </c>
      <c r="Y30" s="1" t="s">
        <v>236</v>
      </c>
      <c r="Z30" s="1" t="s">
        <v>486</v>
      </c>
      <c r="AA30" s="1" t="s">
        <v>222</v>
      </c>
      <c r="AB30" s="1" t="s">
        <v>54</v>
      </c>
      <c r="AC30" s="1" t="s">
        <v>581</v>
      </c>
      <c r="AD30" s="1" t="s">
        <v>554</v>
      </c>
      <c r="AE30" s="1" t="s">
        <v>226</v>
      </c>
      <c r="AL30" s="2"/>
      <c r="AN30" s="2" t="s">
        <v>568</v>
      </c>
      <c r="AO30" s="2" t="s">
        <v>582</v>
      </c>
      <c r="AP30" s="2" t="s">
        <v>220</v>
      </c>
      <c r="AR30" s="1" t="s">
        <v>573</v>
      </c>
      <c r="AS30" s="1" t="s">
        <v>574</v>
      </c>
      <c r="AT30" s="1" t="s">
        <v>574</v>
      </c>
      <c r="AU30" s="1" t="s">
        <v>575</v>
      </c>
      <c r="AV30" s="1" t="s">
        <v>540</v>
      </c>
      <c r="AW30" s="1" t="s">
        <v>576</v>
      </c>
      <c r="AX30" s="1" t="s">
        <v>494</v>
      </c>
      <c r="AY30" s="1" t="s">
        <v>421</v>
      </c>
      <c r="AZ30" s="1" t="s">
        <v>512</v>
      </c>
      <c r="BC30" s="15" t="s">
        <v>444</v>
      </c>
      <c r="BD30" s="15" t="s">
        <v>458</v>
      </c>
      <c r="BE30" s="16" t="s">
        <v>411</v>
      </c>
      <c r="BF30" s="16" t="s">
        <v>374</v>
      </c>
      <c r="BG30" s="15" t="s">
        <v>393</v>
      </c>
    </row>
    <row r="31" spans="7:63" x14ac:dyDescent="0.5">
      <c r="L31" s="1" t="s">
        <v>425</v>
      </c>
      <c r="M31" s="1" t="s">
        <v>510</v>
      </c>
      <c r="N31" s="1" t="s">
        <v>472</v>
      </c>
      <c r="O31" s="1" t="s">
        <v>509</v>
      </c>
      <c r="P31" s="1" t="s">
        <v>220</v>
      </c>
      <c r="Q31" s="1" t="s">
        <v>393</v>
      </c>
      <c r="S31" s="1" t="s">
        <v>425</v>
      </c>
      <c r="T31" s="1" t="s">
        <v>510</v>
      </c>
      <c r="U31" s="1" t="s">
        <v>472</v>
      </c>
      <c r="V31" s="1" t="s">
        <v>509</v>
      </c>
      <c r="W31" s="1" t="s">
        <v>220</v>
      </c>
      <c r="X31" s="1" t="s">
        <v>393</v>
      </c>
      <c r="Y31" s="1" t="s">
        <v>512</v>
      </c>
      <c r="Z31" s="1" t="s">
        <v>536</v>
      </c>
      <c r="AA31" s="1" t="s">
        <v>284</v>
      </c>
      <c r="AB31" s="1" t="s">
        <v>583</v>
      </c>
      <c r="AC31" s="1" t="s">
        <v>584</v>
      </c>
      <c r="AD31" s="1" t="s">
        <v>453</v>
      </c>
      <c r="AE31" s="1" t="s">
        <v>522</v>
      </c>
      <c r="AL31" s="2"/>
      <c r="AN31" s="2" t="s">
        <v>585</v>
      </c>
      <c r="AO31" s="2" t="s">
        <v>586</v>
      </c>
      <c r="AP31" s="2" t="s">
        <v>587</v>
      </c>
      <c r="AR31" s="1" t="s">
        <v>236</v>
      </c>
      <c r="AS31" s="1" t="s">
        <v>486</v>
      </c>
      <c r="AT31" s="1" t="s">
        <v>222</v>
      </c>
      <c r="AU31" s="1" t="s">
        <v>54</v>
      </c>
      <c r="AV31" s="1" t="s">
        <v>581</v>
      </c>
      <c r="AW31" s="1" t="s">
        <v>554</v>
      </c>
      <c r="AX31" s="1" t="s">
        <v>226</v>
      </c>
      <c r="BC31" s="15" t="s">
        <v>223</v>
      </c>
      <c r="BD31" s="16" t="s">
        <v>393</v>
      </c>
      <c r="BE31" s="15" t="s">
        <v>523</v>
      </c>
      <c r="BF31" s="16" t="s">
        <v>365</v>
      </c>
      <c r="BG31" s="15" t="s">
        <v>463</v>
      </c>
    </row>
    <row r="32" spans="7:63" x14ac:dyDescent="0.5">
      <c r="L32" s="1" t="s">
        <v>509</v>
      </c>
      <c r="M32" s="1" t="s">
        <v>520</v>
      </c>
      <c r="N32" s="1" t="s">
        <v>225</v>
      </c>
      <c r="O32" s="1" t="s">
        <v>582</v>
      </c>
      <c r="P32" s="1" t="s">
        <v>221</v>
      </c>
      <c r="Q32" s="1" t="s">
        <v>373</v>
      </c>
      <c r="S32" s="1" t="s">
        <v>509</v>
      </c>
      <c r="T32" s="1" t="s">
        <v>520</v>
      </c>
      <c r="U32" s="1" t="s">
        <v>225</v>
      </c>
      <c r="V32" s="1" t="s">
        <v>582</v>
      </c>
      <c r="W32" s="1" t="s">
        <v>221</v>
      </c>
      <c r="X32" s="1" t="s">
        <v>373</v>
      </c>
      <c r="Y32" s="1" t="s">
        <v>344</v>
      </c>
      <c r="Z32" s="1" t="s">
        <v>560</v>
      </c>
      <c r="AA32" s="1" t="s">
        <v>588</v>
      </c>
      <c r="AB32" s="1" t="s">
        <v>589</v>
      </c>
      <c r="AC32" s="1" t="s">
        <v>511</v>
      </c>
      <c r="AD32" s="1" t="s">
        <v>558</v>
      </c>
      <c r="AE32" s="1" t="s">
        <v>590</v>
      </c>
      <c r="AL32" s="2"/>
      <c r="AO32" s="2" t="s">
        <v>591</v>
      </c>
      <c r="AP32" s="2" t="s">
        <v>592</v>
      </c>
      <c r="AR32" s="1" t="s">
        <v>512</v>
      </c>
      <c r="AS32" s="1" t="s">
        <v>536</v>
      </c>
      <c r="AT32" s="1" t="s">
        <v>284</v>
      </c>
      <c r="AU32" s="1" t="s">
        <v>583</v>
      </c>
      <c r="AV32" s="1" t="s">
        <v>584</v>
      </c>
      <c r="AW32" s="1" t="s">
        <v>453</v>
      </c>
      <c r="AX32" s="1" t="s">
        <v>522</v>
      </c>
      <c r="BC32" s="15" t="s">
        <v>486</v>
      </c>
      <c r="BD32" s="16" t="s">
        <v>470</v>
      </c>
      <c r="BE32" s="15" t="s">
        <v>52</v>
      </c>
      <c r="BF32" s="15" t="s">
        <v>544</v>
      </c>
      <c r="BG32" s="15" t="s">
        <v>422</v>
      </c>
    </row>
    <row r="33" spans="12:59" x14ac:dyDescent="0.5">
      <c r="L33" s="1" t="s">
        <v>593</v>
      </c>
      <c r="M33" s="1" t="s">
        <v>593</v>
      </c>
      <c r="N33" s="1" t="s">
        <v>594</v>
      </c>
      <c r="O33" s="1" t="s">
        <v>499</v>
      </c>
      <c r="P33" s="1" t="s">
        <v>222</v>
      </c>
      <c r="Q33" s="1" t="s">
        <v>414</v>
      </c>
      <c r="S33" s="1" t="s">
        <v>593</v>
      </c>
      <c r="T33" s="1" t="s">
        <v>593</v>
      </c>
      <c r="U33" s="1" t="s">
        <v>594</v>
      </c>
      <c r="V33" s="1" t="s">
        <v>499</v>
      </c>
      <c r="W33" s="1" t="s">
        <v>222</v>
      </c>
      <c r="X33" s="1" t="s">
        <v>414</v>
      </c>
      <c r="Y33" s="1" t="s">
        <v>567</v>
      </c>
      <c r="Z33" s="1" t="s">
        <v>595</v>
      </c>
      <c r="AA33" s="1" t="s">
        <v>596</v>
      </c>
      <c r="AB33" s="1" t="s">
        <v>518</v>
      </c>
      <c r="AC33" s="1" t="s">
        <v>529</v>
      </c>
      <c r="AD33" s="1" t="s">
        <v>211</v>
      </c>
      <c r="AE33" s="1" t="s">
        <v>354</v>
      </c>
      <c r="AO33" s="2" t="s">
        <v>597</v>
      </c>
      <c r="AP33" s="2" t="s">
        <v>598</v>
      </c>
      <c r="AR33" s="1" t="s">
        <v>344</v>
      </c>
      <c r="AS33" s="1" t="s">
        <v>560</v>
      </c>
      <c r="AT33" s="1" t="s">
        <v>588</v>
      </c>
      <c r="AU33" s="1" t="s">
        <v>589</v>
      </c>
      <c r="AV33" s="1" t="s">
        <v>511</v>
      </c>
      <c r="AW33" s="1" t="s">
        <v>558</v>
      </c>
      <c r="AX33" s="1" t="s">
        <v>590</v>
      </c>
      <c r="BC33" s="15" t="s">
        <v>452</v>
      </c>
      <c r="BD33" s="15" t="s">
        <v>353</v>
      </c>
      <c r="BE33" s="16" t="s">
        <v>538</v>
      </c>
      <c r="BF33" s="15" t="s">
        <v>413</v>
      </c>
      <c r="BG33" s="15" t="s">
        <v>453</v>
      </c>
    </row>
    <row r="34" spans="12:59" x14ac:dyDescent="0.5">
      <c r="L34" s="1" t="s">
        <v>582</v>
      </c>
      <c r="M34" s="1" t="s">
        <v>558</v>
      </c>
      <c r="N34" s="1" t="s">
        <v>425</v>
      </c>
      <c r="O34" s="1" t="s">
        <v>541</v>
      </c>
      <c r="P34" s="1" t="s">
        <v>223</v>
      </c>
      <c r="Q34" s="1" t="s">
        <v>494</v>
      </c>
      <c r="S34" s="1" t="s">
        <v>582</v>
      </c>
      <c r="T34" s="1" t="s">
        <v>558</v>
      </c>
      <c r="U34" s="1" t="s">
        <v>425</v>
      </c>
      <c r="V34" s="1" t="s">
        <v>541</v>
      </c>
      <c r="W34" s="1" t="s">
        <v>223</v>
      </c>
      <c r="X34" s="1" t="s">
        <v>494</v>
      </c>
      <c r="Y34" s="1" t="s">
        <v>599</v>
      </c>
      <c r="Z34" s="1" t="s">
        <v>499</v>
      </c>
      <c r="AA34" s="1" t="s">
        <v>600</v>
      </c>
      <c r="AB34" s="1" t="s">
        <v>601</v>
      </c>
      <c r="AC34" s="1" t="s">
        <v>481</v>
      </c>
      <c r="AE34" s="1" t="s">
        <v>602</v>
      </c>
      <c r="AO34" s="2" t="s">
        <v>603</v>
      </c>
      <c r="AP34" s="2" t="s">
        <v>604</v>
      </c>
      <c r="AR34" s="1" t="s">
        <v>567</v>
      </c>
      <c r="AS34" s="1" t="s">
        <v>595</v>
      </c>
      <c r="AT34" s="1" t="s">
        <v>596</v>
      </c>
      <c r="AU34" s="1" t="s">
        <v>518</v>
      </c>
      <c r="AV34" s="1" t="s">
        <v>529</v>
      </c>
      <c r="AW34" s="1" t="s">
        <v>211</v>
      </c>
      <c r="AX34" s="1" t="s">
        <v>354</v>
      </c>
      <c r="BC34" s="15" t="s">
        <v>554</v>
      </c>
      <c r="BD34" s="15" t="s">
        <v>445</v>
      </c>
      <c r="BE34" s="14" t="s">
        <v>490</v>
      </c>
      <c r="BF34" s="15" t="s">
        <v>602</v>
      </c>
      <c r="BG34" s="15" t="s">
        <v>535</v>
      </c>
    </row>
    <row r="35" spans="12:59" x14ac:dyDescent="0.5">
      <c r="L35" s="1" t="s">
        <v>396</v>
      </c>
      <c r="M35" s="1" t="s">
        <v>605</v>
      </c>
      <c r="N35" s="1" t="s">
        <v>606</v>
      </c>
      <c r="O35" s="1" t="s">
        <v>603</v>
      </c>
      <c r="P35" s="1" t="s">
        <v>464</v>
      </c>
      <c r="Q35" s="1" t="s">
        <v>551</v>
      </c>
      <c r="S35" s="1" t="s">
        <v>396</v>
      </c>
      <c r="T35" s="1" t="s">
        <v>605</v>
      </c>
      <c r="U35" s="1" t="s">
        <v>606</v>
      </c>
      <c r="V35" s="1" t="s">
        <v>603</v>
      </c>
      <c r="W35" s="1" t="s">
        <v>464</v>
      </c>
      <c r="X35" s="1" t="s">
        <v>551</v>
      </c>
      <c r="Y35" s="1" t="s">
        <v>607</v>
      </c>
      <c r="Z35" s="1" t="s">
        <v>608</v>
      </c>
      <c r="AA35" s="1" t="s">
        <v>609</v>
      </c>
      <c r="AB35" s="1" t="s">
        <v>610</v>
      </c>
      <c r="AC35" s="1" t="s">
        <v>585</v>
      </c>
      <c r="AE35" s="1" t="s">
        <v>611</v>
      </c>
      <c r="AO35" s="2" t="s">
        <v>455</v>
      </c>
      <c r="AP35" s="2" t="s">
        <v>487</v>
      </c>
      <c r="AR35" s="1" t="s">
        <v>599</v>
      </c>
      <c r="AS35" s="1" t="s">
        <v>499</v>
      </c>
      <c r="AT35" s="1" t="s">
        <v>600</v>
      </c>
      <c r="AU35" s="1" t="s">
        <v>601</v>
      </c>
      <c r="AV35" s="1" t="s">
        <v>481</v>
      </c>
      <c r="AX35" s="1" t="s">
        <v>602</v>
      </c>
      <c r="BC35" s="15" t="s">
        <v>464</v>
      </c>
      <c r="BD35" s="16" t="s">
        <v>463</v>
      </c>
      <c r="BE35" s="13" t="s">
        <v>486</v>
      </c>
      <c r="BF35" s="16" t="s">
        <v>512</v>
      </c>
      <c r="BG35" s="15" t="s">
        <v>414</v>
      </c>
    </row>
    <row r="36" spans="12:59" x14ac:dyDescent="0.5">
      <c r="L36" s="1" t="s">
        <v>499</v>
      </c>
      <c r="M36" s="1" t="s">
        <v>307</v>
      </c>
      <c r="N36" s="1" t="s">
        <v>542</v>
      </c>
      <c r="O36" s="1" t="s">
        <v>612</v>
      </c>
      <c r="P36" s="1" t="s">
        <v>608</v>
      </c>
      <c r="Q36" s="1" t="s">
        <v>218</v>
      </c>
      <c r="S36" s="1" t="s">
        <v>499</v>
      </c>
      <c r="T36" s="1" t="s">
        <v>307</v>
      </c>
      <c r="U36" s="1" t="s">
        <v>542</v>
      </c>
      <c r="V36" s="1" t="s">
        <v>612</v>
      </c>
      <c r="W36" s="1" t="s">
        <v>608</v>
      </c>
      <c r="X36" s="1" t="s">
        <v>218</v>
      </c>
      <c r="Y36" s="1" t="s">
        <v>551</v>
      </c>
      <c r="Z36" s="1" t="s">
        <v>613</v>
      </c>
      <c r="AA36" s="1" t="s">
        <v>594</v>
      </c>
      <c r="AB36" s="1" t="s">
        <v>310</v>
      </c>
      <c r="AC36" s="1" t="s">
        <v>349</v>
      </c>
      <c r="AE36" s="1" t="s">
        <v>553</v>
      </c>
      <c r="AP36" s="2" t="s">
        <v>495</v>
      </c>
      <c r="AR36" s="1" t="s">
        <v>607</v>
      </c>
      <c r="AS36" s="1" t="s">
        <v>608</v>
      </c>
      <c r="AT36" s="1" t="s">
        <v>609</v>
      </c>
      <c r="AU36" s="1" t="s">
        <v>610</v>
      </c>
      <c r="AV36" s="1" t="s">
        <v>585</v>
      </c>
      <c r="AX36" s="1" t="s">
        <v>611</v>
      </c>
      <c r="BC36" s="15" t="s">
        <v>478</v>
      </c>
      <c r="BD36" s="15" t="s">
        <v>422</v>
      </c>
      <c r="BE36" s="15" t="s">
        <v>452</v>
      </c>
      <c r="BF36" s="16" t="s">
        <v>562</v>
      </c>
      <c r="BG36" s="15" t="s">
        <v>551</v>
      </c>
    </row>
    <row r="37" spans="12:59" x14ac:dyDescent="0.5">
      <c r="L37" s="1" t="s">
        <v>614</v>
      </c>
      <c r="M37" s="1" t="s">
        <v>560</v>
      </c>
      <c r="N37" s="1" t="s">
        <v>615</v>
      </c>
      <c r="P37" s="1" t="s">
        <v>489</v>
      </c>
      <c r="Q37" s="1" t="s">
        <v>411</v>
      </c>
      <c r="S37" s="1" t="s">
        <v>614</v>
      </c>
      <c r="T37" s="1" t="s">
        <v>560</v>
      </c>
      <c r="U37" s="1" t="s">
        <v>615</v>
      </c>
      <c r="W37" s="1" t="s">
        <v>489</v>
      </c>
      <c r="X37" s="1" t="s">
        <v>411</v>
      </c>
      <c r="Y37" s="1" t="s">
        <v>615</v>
      </c>
      <c r="Z37" s="1" t="s">
        <v>408</v>
      </c>
      <c r="AA37" s="1" t="s">
        <v>215</v>
      </c>
      <c r="AB37" s="1" t="s">
        <v>437</v>
      </c>
      <c r="AC37" s="1" t="s">
        <v>371</v>
      </c>
      <c r="AE37" s="1" t="s">
        <v>346</v>
      </c>
      <c r="AP37" s="2" t="s">
        <v>616</v>
      </c>
      <c r="AR37" s="1" t="s">
        <v>551</v>
      </c>
      <c r="AS37" s="1" t="s">
        <v>613</v>
      </c>
      <c r="AT37" s="1" t="s">
        <v>594</v>
      </c>
      <c r="AU37" s="1" t="s">
        <v>310</v>
      </c>
      <c r="AV37" s="1" t="s">
        <v>349</v>
      </c>
      <c r="AX37" s="1" t="s">
        <v>553</v>
      </c>
      <c r="BC37" s="15" t="s">
        <v>489</v>
      </c>
      <c r="BD37" s="15" t="s">
        <v>216</v>
      </c>
      <c r="BE37" s="16" t="s">
        <v>554</v>
      </c>
      <c r="BF37" s="16" t="s">
        <v>428</v>
      </c>
      <c r="BG37" s="15" t="s">
        <v>411</v>
      </c>
    </row>
    <row r="38" spans="12:59" x14ac:dyDescent="0.5">
      <c r="L38" s="1" t="s">
        <v>595</v>
      </c>
      <c r="M38" s="1" t="s">
        <v>540</v>
      </c>
      <c r="N38" s="1" t="s">
        <v>541</v>
      </c>
      <c r="P38" s="1" t="s">
        <v>617</v>
      </c>
      <c r="Q38" s="1" t="s">
        <v>52</v>
      </c>
      <c r="S38" s="1" t="s">
        <v>595</v>
      </c>
      <c r="T38" s="1" t="s">
        <v>540</v>
      </c>
      <c r="U38" s="1" t="s">
        <v>541</v>
      </c>
      <c r="W38" s="1" t="s">
        <v>617</v>
      </c>
      <c r="X38" s="1" t="s">
        <v>52</v>
      </c>
      <c r="Y38" s="1" t="s">
        <v>618</v>
      </c>
      <c r="Z38" s="1" t="s">
        <v>555</v>
      </c>
      <c r="AA38" s="1" t="s">
        <v>619</v>
      </c>
      <c r="AB38" s="1" t="s">
        <v>321</v>
      </c>
      <c r="AC38" s="1" t="s">
        <v>453</v>
      </c>
      <c r="AE38" s="1" t="s">
        <v>559</v>
      </c>
      <c r="AP38" s="2" t="s">
        <v>620</v>
      </c>
      <c r="AR38" s="1" t="s">
        <v>615</v>
      </c>
      <c r="AS38" s="1" t="s">
        <v>408</v>
      </c>
      <c r="AT38" s="1" t="s">
        <v>215</v>
      </c>
      <c r="AU38" s="1" t="s">
        <v>437</v>
      </c>
      <c r="AV38" s="1" t="s">
        <v>371</v>
      </c>
      <c r="AX38" s="1" t="s">
        <v>346</v>
      </c>
      <c r="BC38" s="15" t="s">
        <v>555</v>
      </c>
      <c r="BD38" s="13" t="s">
        <v>453</v>
      </c>
      <c r="BE38" s="13" t="s">
        <v>489</v>
      </c>
      <c r="BF38" s="16" t="s">
        <v>475</v>
      </c>
      <c r="BG38" s="15" t="s">
        <v>354</v>
      </c>
    </row>
    <row r="39" spans="12:59" x14ac:dyDescent="0.5">
      <c r="L39" s="1" t="s">
        <v>541</v>
      </c>
      <c r="M39" s="1" t="s">
        <v>603</v>
      </c>
      <c r="N39" s="1" t="s">
        <v>605</v>
      </c>
      <c r="P39" s="1" t="s">
        <v>621</v>
      </c>
      <c r="Q39" s="1" t="s">
        <v>52</v>
      </c>
      <c r="S39" s="1" t="s">
        <v>541</v>
      </c>
      <c r="T39" s="1" t="s">
        <v>603</v>
      </c>
      <c r="U39" s="1" t="s">
        <v>605</v>
      </c>
      <c r="W39" s="1" t="s">
        <v>621</v>
      </c>
      <c r="X39" s="1" t="s">
        <v>52</v>
      </c>
      <c r="Y39" s="1" t="s">
        <v>622</v>
      </c>
      <c r="Z39" s="1" t="s">
        <v>274</v>
      </c>
      <c r="AA39" s="1" t="s">
        <v>425</v>
      </c>
      <c r="AB39" s="1" t="s">
        <v>579</v>
      </c>
      <c r="AC39" s="1" t="s">
        <v>458</v>
      </c>
      <c r="AP39" s="2" t="s">
        <v>476</v>
      </c>
      <c r="AR39" s="1" t="s">
        <v>618</v>
      </c>
      <c r="AS39" s="1" t="s">
        <v>555</v>
      </c>
      <c r="AT39" s="1" t="s">
        <v>619</v>
      </c>
      <c r="AU39" s="1" t="s">
        <v>321</v>
      </c>
      <c r="AV39" s="1" t="s">
        <v>453</v>
      </c>
      <c r="AX39" s="1" t="s">
        <v>559</v>
      </c>
      <c r="BC39" s="15" t="s">
        <v>368</v>
      </c>
      <c r="BD39" s="14" t="s">
        <v>465</v>
      </c>
      <c r="BE39" s="16" t="s">
        <v>543</v>
      </c>
      <c r="BF39" s="16" t="s">
        <v>405</v>
      </c>
      <c r="BG39" s="15" t="s">
        <v>569</v>
      </c>
    </row>
    <row r="40" spans="12:59" x14ac:dyDescent="0.5">
      <c r="L40" s="1" t="s">
        <v>558</v>
      </c>
      <c r="M40" s="1" t="s">
        <v>427</v>
      </c>
      <c r="N40" s="1" t="s">
        <v>230</v>
      </c>
      <c r="P40" s="1" t="s">
        <v>622</v>
      </c>
      <c r="Q40" s="1" t="s">
        <v>623</v>
      </c>
      <c r="S40" s="1" t="s">
        <v>558</v>
      </c>
      <c r="T40" s="1" t="s">
        <v>427</v>
      </c>
      <c r="U40" s="1" t="s">
        <v>230</v>
      </c>
      <c r="W40" s="1" t="s">
        <v>622</v>
      </c>
      <c r="X40" s="1" t="s">
        <v>623</v>
      </c>
      <c r="Y40" s="1" t="s">
        <v>329</v>
      </c>
      <c r="Z40" s="1" t="s">
        <v>624</v>
      </c>
      <c r="AA40" s="1" t="s">
        <v>437</v>
      </c>
      <c r="AB40" s="1" t="s">
        <v>625</v>
      </c>
      <c r="AC40" s="1" t="s">
        <v>310</v>
      </c>
      <c r="AP40" s="2" t="s">
        <v>626</v>
      </c>
      <c r="AR40" s="1" t="s">
        <v>622</v>
      </c>
      <c r="AS40" s="1" t="s">
        <v>274</v>
      </c>
      <c r="AT40" s="1" t="s">
        <v>425</v>
      </c>
      <c r="AU40" s="1" t="s">
        <v>579</v>
      </c>
      <c r="AV40" s="1" t="s">
        <v>458</v>
      </c>
      <c r="BC40" s="15" t="s">
        <v>488</v>
      </c>
      <c r="BD40" s="16" t="s">
        <v>324</v>
      </c>
      <c r="BE40" s="15" t="s">
        <v>451</v>
      </c>
      <c r="BF40" s="16" t="s">
        <v>498</v>
      </c>
      <c r="BG40" s="15" t="s">
        <v>283</v>
      </c>
    </row>
    <row r="41" spans="12:59" x14ac:dyDescent="0.5">
      <c r="L41" s="1" t="s">
        <v>409</v>
      </c>
      <c r="M41" s="1" t="s">
        <v>233</v>
      </c>
      <c r="N41" s="1" t="s">
        <v>577</v>
      </c>
      <c r="P41" s="1" t="s">
        <v>472</v>
      </c>
      <c r="Q41" s="1" t="s">
        <v>627</v>
      </c>
      <c r="S41" s="1" t="s">
        <v>409</v>
      </c>
      <c r="T41" s="1" t="s">
        <v>233</v>
      </c>
      <c r="U41" s="1" t="s">
        <v>577</v>
      </c>
      <c r="W41" s="1" t="s">
        <v>472</v>
      </c>
      <c r="X41" s="1" t="s">
        <v>627</v>
      </c>
      <c r="Y41" s="1" t="s">
        <v>628</v>
      </c>
      <c r="AA41" s="1" t="s">
        <v>560</v>
      </c>
      <c r="AB41" s="1" t="s">
        <v>509</v>
      </c>
      <c r="AP41" s="2" t="s">
        <v>629</v>
      </c>
      <c r="AR41" s="1" t="s">
        <v>329</v>
      </c>
      <c r="AS41" s="1" t="s">
        <v>624</v>
      </c>
      <c r="AT41" s="1" t="s">
        <v>437</v>
      </c>
      <c r="AU41" s="1" t="s">
        <v>625</v>
      </c>
      <c r="AV41" s="1" t="s">
        <v>310</v>
      </c>
      <c r="BC41" s="15" t="s">
        <v>510</v>
      </c>
      <c r="BD41" s="15" t="s">
        <v>457</v>
      </c>
      <c r="BE41" s="16" t="s">
        <v>472</v>
      </c>
      <c r="BF41" s="15" t="s">
        <v>529</v>
      </c>
      <c r="BG41" s="15" t="s">
        <v>220</v>
      </c>
    </row>
    <row r="42" spans="12:59" x14ac:dyDescent="0.5">
      <c r="L42" s="1" t="s">
        <v>560</v>
      </c>
      <c r="M42" s="1" t="s">
        <v>380</v>
      </c>
      <c r="N42" s="1" t="s">
        <v>585</v>
      </c>
      <c r="P42" s="1" t="s">
        <v>361</v>
      </c>
      <c r="Q42" s="1" t="s">
        <v>604</v>
      </c>
      <c r="S42" s="1" t="s">
        <v>560</v>
      </c>
      <c r="T42" s="1" t="s">
        <v>380</v>
      </c>
      <c r="U42" s="1" t="s">
        <v>585</v>
      </c>
      <c r="W42" s="1" t="s">
        <v>361</v>
      </c>
      <c r="X42" s="1" t="s">
        <v>604</v>
      </c>
      <c r="Y42" s="1" t="s">
        <v>210</v>
      </c>
      <c r="AA42" s="1" t="s">
        <v>630</v>
      </c>
      <c r="AB42" s="1" t="s">
        <v>565</v>
      </c>
      <c r="AP42" s="2" t="s">
        <v>582</v>
      </c>
      <c r="AR42" s="1" t="s">
        <v>628</v>
      </c>
      <c r="AT42" s="1" t="s">
        <v>560</v>
      </c>
      <c r="AU42" s="1" t="s">
        <v>509</v>
      </c>
      <c r="BC42" s="15" t="s">
        <v>511</v>
      </c>
      <c r="BD42" s="13" t="s">
        <v>414</v>
      </c>
      <c r="BE42" s="15" t="s">
        <v>225</v>
      </c>
      <c r="BF42" s="16" t="s">
        <v>398</v>
      </c>
      <c r="BG42" s="15" t="s">
        <v>486</v>
      </c>
    </row>
    <row r="43" spans="12:59" x14ac:dyDescent="0.5">
      <c r="L43" s="1" t="s">
        <v>631</v>
      </c>
      <c r="N43" s="1" t="s">
        <v>235</v>
      </c>
      <c r="P43" s="1" t="s">
        <v>323</v>
      </c>
      <c r="Q43" s="1" t="s">
        <v>487</v>
      </c>
      <c r="S43" s="1" t="s">
        <v>631</v>
      </c>
      <c r="U43" s="1" t="s">
        <v>235</v>
      </c>
      <c r="W43" s="1" t="s">
        <v>323</v>
      </c>
      <c r="X43" s="1" t="s">
        <v>487</v>
      </c>
      <c r="Y43" s="1" t="s">
        <v>278</v>
      </c>
      <c r="AA43" s="1" t="s">
        <v>632</v>
      </c>
      <c r="AB43" s="1" t="s">
        <v>633</v>
      </c>
      <c r="AP43" s="2" t="s">
        <v>634</v>
      </c>
      <c r="AR43" s="1" t="s">
        <v>210</v>
      </c>
      <c r="AT43" s="1" t="s">
        <v>630</v>
      </c>
      <c r="AU43" s="1" t="s">
        <v>565</v>
      </c>
      <c r="BC43" s="15" t="s">
        <v>531</v>
      </c>
      <c r="BD43" s="15" t="s">
        <v>482</v>
      </c>
      <c r="BE43" s="16" t="s">
        <v>594</v>
      </c>
      <c r="BF43" s="16" t="s">
        <v>213</v>
      </c>
      <c r="BG43" s="15" t="s">
        <v>487</v>
      </c>
    </row>
    <row r="44" spans="12:59" x14ac:dyDescent="0.5">
      <c r="L44" s="1" t="s">
        <v>540</v>
      </c>
      <c r="P44" s="1" t="s">
        <v>561</v>
      </c>
      <c r="Q44" s="1" t="s">
        <v>635</v>
      </c>
      <c r="S44" s="1" t="s">
        <v>540</v>
      </c>
      <c r="W44" s="1" t="s">
        <v>561</v>
      </c>
      <c r="X44" s="1" t="s">
        <v>635</v>
      </c>
      <c r="Y44" s="1" t="s">
        <v>536</v>
      </c>
      <c r="AA44" s="1" t="s">
        <v>636</v>
      </c>
      <c r="AB44" s="1" t="s">
        <v>499</v>
      </c>
      <c r="AP44" s="2" t="s">
        <v>540</v>
      </c>
      <c r="AR44" s="1" t="s">
        <v>278</v>
      </c>
      <c r="AT44" s="1" t="s">
        <v>632</v>
      </c>
      <c r="AU44" s="1" t="s">
        <v>633</v>
      </c>
      <c r="BC44" s="15" t="s">
        <v>509</v>
      </c>
      <c r="BD44" s="16" t="s">
        <v>410</v>
      </c>
      <c r="BE44" s="15" t="s">
        <v>425</v>
      </c>
      <c r="BF44" s="16" t="s">
        <v>421</v>
      </c>
      <c r="BG44" s="15" t="s">
        <v>284</v>
      </c>
    </row>
    <row r="45" spans="12:59" x14ac:dyDescent="0.5">
      <c r="L45" s="1" t="s">
        <v>637</v>
      </c>
      <c r="P45" s="1" t="s">
        <v>571</v>
      </c>
      <c r="Q45" s="1" t="s">
        <v>635</v>
      </c>
      <c r="S45" s="1" t="s">
        <v>637</v>
      </c>
      <c r="W45" s="1" t="s">
        <v>571</v>
      </c>
      <c r="X45" s="1" t="s">
        <v>635</v>
      </c>
      <c r="Y45" s="1" t="s">
        <v>212</v>
      </c>
      <c r="AA45" s="1" t="s">
        <v>638</v>
      </c>
      <c r="AB45" s="1" t="s">
        <v>536</v>
      </c>
      <c r="AP45" s="2" t="s">
        <v>502</v>
      </c>
      <c r="AR45" s="1" t="s">
        <v>536</v>
      </c>
      <c r="AT45" s="1" t="s">
        <v>636</v>
      </c>
      <c r="AU45" s="1" t="s">
        <v>499</v>
      </c>
      <c r="BC45" s="15" t="s">
        <v>593</v>
      </c>
      <c r="BD45" s="14" t="s">
        <v>395</v>
      </c>
      <c r="BE45" s="16" t="s">
        <v>606</v>
      </c>
      <c r="BF45" s="15" t="s">
        <v>393</v>
      </c>
      <c r="BG45" s="15" t="s">
        <v>308</v>
      </c>
    </row>
    <row r="46" spans="12:59" x14ac:dyDescent="0.5">
      <c r="P46" s="1" t="s">
        <v>437</v>
      </c>
      <c r="Q46" s="1" t="s">
        <v>495</v>
      </c>
      <c r="W46" s="1" t="s">
        <v>437</v>
      </c>
      <c r="X46" s="1" t="s">
        <v>495</v>
      </c>
      <c r="Y46" s="1" t="s">
        <v>639</v>
      </c>
      <c r="AA46" s="1" t="s">
        <v>396</v>
      </c>
      <c r="AB46" s="1" t="s">
        <v>216</v>
      </c>
      <c r="AP46" s="2" t="s">
        <v>235</v>
      </c>
      <c r="AR46" s="1" t="s">
        <v>212</v>
      </c>
      <c r="AT46" s="1" t="s">
        <v>638</v>
      </c>
      <c r="AU46" s="1" t="s">
        <v>536</v>
      </c>
      <c r="BC46" s="15" t="s">
        <v>541</v>
      </c>
      <c r="BD46" s="13" t="s">
        <v>501</v>
      </c>
      <c r="BE46" s="13" t="s">
        <v>227</v>
      </c>
      <c r="BF46" s="15" t="s">
        <v>463</v>
      </c>
      <c r="BG46" s="15" t="s">
        <v>226</v>
      </c>
    </row>
    <row r="47" spans="12:59" x14ac:dyDescent="0.5">
      <c r="P47" s="1" t="s">
        <v>425</v>
      </c>
      <c r="Q47" s="1" t="s">
        <v>323</v>
      </c>
      <c r="W47" s="1" t="s">
        <v>425</v>
      </c>
      <c r="X47" s="1" t="s">
        <v>323</v>
      </c>
      <c r="Y47" s="1" t="s">
        <v>640</v>
      </c>
      <c r="AA47" s="1" t="s">
        <v>223</v>
      </c>
      <c r="AB47" s="1" t="s">
        <v>641</v>
      </c>
      <c r="AP47" s="2"/>
      <c r="AR47" s="1" t="s">
        <v>639</v>
      </c>
      <c r="AT47" s="1" t="s">
        <v>396</v>
      </c>
      <c r="AU47" s="1" t="s">
        <v>216</v>
      </c>
      <c r="BC47" s="15" t="s">
        <v>558</v>
      </c>
      <c r="BD47" s="15" t="s">
        <v>401</v>
      </c>
      <c r="BE47" s="15" t="s">
        <v>542</v>
      </c>
      <c r="BF47" s="16" t="s">
        <v>422</v>
      </c>
      <c r="BG47" s="15" t="s">
        <v>476</v>
      </c>
    </row>
    <row r="48" spans="12:59" x14ac:dyDescent="0.5">
      <c r="P48" s="1" t="s">
        <v>425</v>
      </c>
      <c r="Q48" s="1" t="s">
        <v>561</v>
      </c>
      <c r="W48" s="1" t="s">
        <v>425</v>
      </c>
      <c r="X48" s="1" t="s">
        <v>561</v>
      </c>
      <c r="Y48" s="1" t="s">
        <v>642</v>
      </c>
      <c r="AA48" s="1" t="s">
        <v>507</v>
      </c>
      <c r="AB48" s="1" t="s">
        <v>236</v>
      </c>
      <c r="AR48" s="1" t="s">
        <v>640</v>
      </c>
      <c r="AT48" s="1" t="s">
        <v>223</v>
      </c>
      <c r="AU48" s="1" t="s">
        <v>641</v>
      </c>
      <c r="BC48" s="15" t="s">
        <v>605</v>
      </c>
      <c r="BD48" s="14" t="s">
        <v>218</v>
      </c>
      <c r="BE48" s="16" t="s">
        <v>615</v>
      </c>
      <c r="BF48" s="15" t="s">
        <v>453</v>
      </c>
      <c r="BG48" s="15" t="s">
        <v>509</v>
      </c>
    </row>
    <row r="49" spans="16:59" x14ac:dyDescent="0.5">
      <c r="P49" s="1" t="s">
        <v>643</v>
      </c>
      <c r="Q49" s="1" t="s">
        <v>644</v>
      </c>
      <c r="W49" s="1" t="s">
        <v>643</v>
      </c>
      <c r="X49" s="1" t="s">
        <v>644</v>
      </c>
      <c r="Y49" s="1" t="s">
        <v>327</v>
      </c>
      <c r="AA49" s="1" t="s">
        <v>529</v>
      </c>
      <c r="AB49" s="1" t="s">
        <v>234</v>
      </c>
      <c r="AR49" s="1" t="s">
        <v>642</v>
      </c>
      <c r="AT49" s="1" t="s">
        <v>507</v>
      </c>
      <c r="AU49" s="1" t="s">
        <v>236</v>
      </c>
      <c r="BC49" s="15" t="s">
        <v>307</v>
      </c>
      <c r="BD49" s="16" t="s">
        <v>411</v>
      </c>
      <c r="BE49" s="15" t="s">
        <v>541</v>
      </c>
      <c r="BF49" s="16" t="s">
        <v>535</v>
      </c>
      <c r="BG49" s="15" t="s">
        <v>328</v>
      </c>
    </row>
    <row r="50" spans="16:59" x14ac:dyDescent="0.5">
      <c r="P50" s="1" t="s">
        <v>227</v>
      </c>
      <c r="Q50" s="1" t="s">
        <v>531</v>
      </c>
      <c r="W50" s="1" t="s">
        <v>227</v>
      </c>
      <c r="X50" s="1" t="s">
        <v>531</v>
      </c>
      <c r="Y50" s="1" t="s">
        <v>458</v>
      </c>
      <c r="AA50" s="1" t="s">
        <v>311</v>
      </c>
      <c r="AB50" s="1" t="s">
        <v>560</v>
      </c>
      <c r="AR50" s="1" t="s">
        <v>327</v>
      </c>
      <c r="AT50" s="1" t="s">
        <v>529</v>
      </c>
      <c r="AU50" s="1" t="s">
        <v>234</v>
      </c>
      <c r="BC50" s="15" t="s">
        <v>560</v>
      </c>
      <c r="BD50" s="15" t="s">
        <v>523</v>
      </c>
      <c r="BE50" s="16" t="s">
        <v>605</v>
      </c>
      <c r="BF50" s="16" t="s">
        <v>414</v>
      </c>
      <c r="BG50" s="15" t="s">
        <v>384</v>
      </c>
    </row>
    <row r="51" spans="16:59" x14ac:dyDescent="0.5">
      <c r="P51" s="1" t="s">
        <v>645</v>
      </c>
      <c r="Q51" s="1" t="s">
        <v>646</v>
      </c>
      <c r="W51" s="1" t="s">
        <v>645</v>
      </c>
      <c r="X51" s="1" t="s">
        <v>646</v>
      </c>
      <c r="Y51" s="1" t="s">
        <v>647</v>
      </c>
      <c r="AA51" s="1" t="s">
        <v>535</v>
      </c>
      <c r="AB51" s="1" t="s">
        <v>582</v>
      </c>
      <c r="AR51" s="1" t="s">
        <v>458</v>
      </c>
      <c r="AT51" s="1" t="s">
        <v>311</v>
      </c>
      <c r="AU51" s="1" t="s">
        <v>560</v>
      </c>
      <c r="BC51" s="15" t="s">
        <v>540</v>
      </c>
      <c r="BD51" s="15" t="s">
        <v>52</v>
      </c>
      <c r="BE51" s="15" t="s">
        <v>230</v>
      </c>
      <c r="BF51" s="16" t="s">
        <v>494</v>
      </c>
      <c r="BG51" s="15" t="s">
        <v>590</v>
      </c>
    </row>
    <row r="52" spans="16:59" x14ac:dyDescent="0.5">
      <c r="P52" s="1" t="s">
        <v>613</v>
      </c>
      <c r="Q52" s="1" t="s">
        <v>634</v>
      </c>
      <c r="W52" s="1" t="s">
        <v>613</v>
      </c>
      <c r="X52" s="1" t="s">
        <v>634</v>
      </c>
      <c r="Y52" s="1" t="s">
        <v>582</v>
      </c>
      <c r="AA52" s="1" t="s">
        <v>489</v>
      </c>
      <c r="AB52" s="1" t="s">
        <v>648</v>
      </c>
      <c r="AR52" s="1" t="s">
        <v>647</v>
      </c>
      <c r="AT52" s="1" t="s">
        <v>535</v>
      </c>
      <c r="AU52" s="1" t="s">
        <v>582</v>
      </c>
      <c r="BC52" s="15" t="s">
        <v>603</v>
      </c>
      <c r="BD52" s="13" t="s">
        <v>481</v>
      </c>
      <c r="BE52" s="14" t="s">
        <v>307</v>
      </c>
      <c r="BF52" s="15" t="s">
        <v>439</v>
      </c>
      <c r="BG52" s="15" t="s">
        <v>611</v>
      </c>
    </row>
    <row r="53" spans="16:59" x14ac:dyDescent="0.5">
      <c r="P53" s="1" t="s">
        <v>531</v>
      </c>
      <c r="Q53" s="1" t="s">
        <v>533</v>
      </c>
      <c r="W53" s="1" t="s">
        <v>531</v>
      </c>
      <c r="X53" s="1" t="s">
        <v>533</v>
      </c>
      <c r="AA53" s="1" t="s">
        <v>649</v>
      </c>
      <c r="AB53" s="1" t="s">
        <v>650</v>
      </c>
      <c r="AR53" s="1" t="s">
        <v>582</v>
      </c>
      <c r="AT53" s="1" t="s">
        <v>489</v>
      </c>
      <c r="AU53" s="1" t="s">
        <v>648</v>
      </c>
      <c r="BC53" s="15" t="s">
        <v>427</v>
      </c>
      <c r="BD53" s="15" t="s">
        <v>538</v>
      </c>
      <c r="BE53" s="13" t="s">
        <v>540</v>
      </c>
      <c r="BF53" s="16" t="s">
        <v>551</v>
      </c>
      <c r="BG53" s="15" t="s">
        <v>499</v>
      </c>
    </row>
    <row r="54" spans="16:59" x14ac:dyDescent="0.5">
      <c r="P54" s="1" t="s">
        <v>547</v>
      </c>
      <c r="Q54" s="1" t="s">
        <v>230</v>
      </c>
      <c r="W54" s="1" t="s">
        <v>547</v>
      </c>
      <c r="X54" s="1" t="s">
        <v>230</v>
      </c>
      <c r="AA54" s="1" t="s">
        <v>651</v>
      </c>
      <c r="AB54" s="1" t="s">
        <v>230</v>
      </c>
      <c r="AT54" s="1" t="s">
        <v>649</v>
      </c>
      <c r="AU54" s="1" t="s">
        <v>650</v>
      </c>
      <c r="BC54" s="15" t="s">
        <v>233</v>
      </c>
      <c r="BD54" s="15" t="s">
        <v>452</v>
      </c>
      <c r="BE54" s="14" t="s">
        <v>570</v>
      </c>
      <c r="BF54" s="15" t="s">
        <v>411</v>
      </c>
      <c r="BG54" s="15" t="s">
        <v>541</v>
      </c>
    </row>
    <row r="55" spans="16:59" x14ac:dyDescent="0.5">
      <c r="P55" s="1" t="s">
        <v>229</v>
      </c>
      <c r="Q55" s="1" t="s">
        <v>506</v>
      </c>
      <c r="W55" s="1" t="s">
        <v>229</v>
      </c>
      <c r="X55" s="1" t="s">
        <v>506</v>
      </c>
      <c r="AA55" s="1" t="s">
        <v>542</v>
      </c>
      <c r="AB55" s="1" t="s">
        <v>652</v>
      </c>
      <c r="AT55" s="1" t="s">
        <v>651</v>
      </c>
      <c r="AU55" s="1" t="s">
        <v>230</v>
      </c>
      <c r="BC55" s="15" t="s">
        <v>380</v>
      </c>
      <c r="BD55" s="16" t="s">
        <v>554</v>
      </c>
      <c r="BE55" s="16" t="s">
        <v>577</v>
      </c>
      <c r="BF55" s="16" t="s">
        <v>354</v>
      </c>
      <c r="BG55" s="15" t="s">
        <v>307</v>
      </c>
    </row>
    <row r="56" spans="16:59" x14ac:dyDescent="0.5">
      <c r="P56" s="1" t="s">
        <v>384</v>
      </c>
      <c r="Q56" s="1" t="s">
        <v>560</v>
      </c>
      <c r="W56" s="1" t="s">
        <v>384</v>
      </c>
      <c r="X56" s="1" t="s">
        <v>560</v>
      </c>
      <c r="AA56" s="1" t="s">
        <v>653</v>
      </c>
      <c r="AB56" s="1" t="s">
        <v>585</v>
      </c>
      <c r="AT56" s="1" t="s">
        <v>542</v>
      </c>
      <c r="AU56" s="1" t="s">
        <v>652</v>
      </c>
      <c r="BC56" s="17"/>
      <c r="BD56" s="14" t="s">
        <v>464</v>
      </c>
      <c r="BE56" s="14" t="s">
        <v>568</v>
      </c>
      <c r="BF56" s="15" t="s">
        <v>569</v>
      </c>
      <c r="BG56" s="15" t="s">
        <v>540</v>
      </c>
    </row>
    <row r="57" spans="16:59" x14ac:dyDescent="0.5">
      <c r="P57" s="1" t="s">
        <v>654</v>
      </c>
      <c r="Q57" s="1" t="s">
        <v>540</v>
      </c>
      <c r="W57" s="1" t="s">
        <v>654</v>
      </c>
      <c r="X57" s="1" t="s">
        <v>540</v>
      </c>
      <c r="AA57" s="1" t="s">
        <v>503</v>
      </c>
      <c r="AB57" s="1" t="s">
        <v>410</v>
      </c>
      <c r="AT57" s="1" t="s">
        <v>653</v>
      </c>
      <c r="AU57" s="1" t="s">
        <v>585</v>
      </c>
      <c r="BD57" s="16" t="s">
        <v>536</v>
      </c>
      <c r="BE57" s="15" t="s">
        <v>585</v>
      </c>
      <c r="BF57" s="15" t="s">
        <v>283</v>
      </c>
      <c r="BG57" s="15" t="s">
        <v>485</v>
      </c>
    </row>
    <row r="58" spans="16:59" x14ac:dyDescent="0.5">
      <c r="P58" s="1" t="s">
        <v>230</v>
      </c>
      <c r="Q58" s="1" t="s">
        <v>231</v>
      </c>
      <c r="W58" s="1" t="s">
        <v>230</v>
      </c>
      <c r="X58" s="1" t="s">
        <v>231</v>
      </c>
      <c r="AA58" s="1" t="s">
        <v>655</v>
      </c>
      <c r="AB58" s="1" t="s">
        <v>656</v>
      </c>
      <c r="AT58" s="1" t="s">
        <v>503</v>
      </c>
      <c r="AU58" s="1" t="s">
        <v>410</v>
      </c>
      <c r="BD58" s="15" t="s">
        <v>489</v>
      </c>
      <c r="BE58" s="13"/>
      <c r="BF58" s="15" t="s">
        <v>357</v>
      </c>
      <c r="BG58" s="15" t="s">
        <v>568</v>
      </c>
    </row>
    <row r="59" spans="16:59" x14ac:dyDescent="0.5">
      <c r="P59" s="1" t="s">
        <v>506</v>
      </c>
      <c r="Q59" s="1" t="s">
        <v>657</v>
      </c>
      <c r="W59" s="1" t="s">
        <v>506</v>
      </c>
      <c r="X59" s="1" t="s">
        <v>657</v>
      </c>
      <c r="AA59" s="1" t="s">
        <v>658</v>
      </c>
      <c r="AB59" s="1" t="s">
        <v>659</v>
      </c>
      <c r="AT59" s="1" t="s">
        <v>655</v>
      </c>
      <c r="AU59" s="1" t="s">
        <v>656</v>
      </c>
      <c r="BC59" s="2"/>
      <c r="BD59" s="15" t="s">
        <v>555</v>
      </c>
      <c r="BE59" s="13"/>
      <c r="BF59" s="15" t="s">
        <v>220</v>
      </c>
      <c r="BG59" s="15" t="s">
        <v>235</v>
      </c>
    </row>
    <row r="60" spans="16:59" x14ac:dyDescent="0.5">
      <c r="P60" s="1" t="s">
        <v>647</v>
      </c>
      <c r="Q60" s="1" t="s">
        <v>429</v>
      </c>
      <c r="W60" s="1" t="s">
        <v>647</v>
      </c>
      <c r="X60" s="1" t="s">
        <v>429</v>
      </c>
      <c r="AA60" s="1" t="s">
        <v>660</v>
      </c>
      <c r="AB60" s="1" t="s">
        <v>661</v>
      </c>
      <c r="AT60" s="1" t="s">
        <v>658</v>
      </c>
      <c r="AU60" s="1" t="s">
        <v>659</v>
      </c>
      <c r="BD60" s="16" t="s">
        <v>543</v>
      </c>
      <c r="BE60" s="13"/>
      <c r="BF60" s="15" t="s">
        <v>486</v>
      </c>
      <c r="BG60" s="15"/>
    </row>
    <row r="61" spans="16:59" x14ac:dyDescent="0.5">
      <c r="P61" s="1" t="s">
        <v>455</v>
      </c>
      <c r="Q61" s="1" t="s">
        <v>399</v>
      </c>
      <c r="W61" s="1" t="s">
        <v>455</v>
      </c>
      <c r="X61" s="1" t="s">
        <v>399</v>
      </c>
      <c r="AA61" s="1" t="s">
        <v>283</v>
      </c>
      <c r="AB61" s="1" t="s">
        <v>662</v>
      </c>
      <c r="AT61" s="1" t="s">
        <v>660</v>
      </c>
      <c r="AU61" s="1" t="s">
        <v>661</v>
      </c>
      <c r="BD61" s="15" t="s">
        <v>451</v>
      </c>
      <c r="BE61" s="13"/>
      <c r="BF61" s="15" t="s">
        <v>487</v>
      </c>
      <c r="BG61" s="15"/>
    </row>
    <row r="62" spans="16:59" x14ac:dyDescent="0.5">
      <c r="P62" s="1" t="s">
        <v>612</v>
      </c>
      <c r="Q62" s="1" t="s">
        <v>568</v>
      </c>
      <c r="W62" s="1" t="s">
        <v>612</v>
      </c>
      <c r="X62" s="1" t="s">
        <v>568</v>
      </c>
      <c r="AA62" s="1" t="s">
        <v>229</v>
      </c>
      <c r="AB62" s="1" t="s">
        <v>663</v>
      </c>
      <c r="AT62" s="1" t="s">
        <v>283</v>
      </c>
      <c r="AU62" s="1" t="s">
        <v>662</v>
      </c>
      <c r="BD62" s="16" t="s">
        <v>472</v>
      </c>
      <c r="BE62" s="13"/>
      <c r="BF62" s="15" t="s">
        <v>284</v>
      </c>
      <c r="BG62" s="15"/>
    </row>
    <row r="63" spans="16:59" x14ac:dyDescent="0.5">
      <c r="P63" s="1" t="s">
        <v>466</v>
      </c>
      <c r="Q63" s="1" t="s">
        <v>234</v>
      </c>
      <c r="W63" s="1" t="s">
        <v>466</v>
      </c>
      <c r="X63" s="1" t="s">
        <v>234</v>
      </c>
      <c r="AA63" s="1" t="s">
        <v>664</v>
      </c>
      <c r="AT63" s="1" t="s">
        <v>229</v>
      </c>
      <c r="AU63" s="1" t="s">
        <v>663</v>
      </c>
      <c r="BC63" s="2"/>
      <c r="BD63" s="16" t="s">
        <v>495</v>
      </c>
      <c r="BE63" s="13"/>
      <c r="BF63" s="16" t="s">
        <v>308</v>
      </c>
      <c r="BG63" s="15"/>
    </row>
    <row r="64" spans="16:59" x14ac:dyDescent="0.5">
      <c r="Q64" s="1" t="s">
        <v>235</v>
      </c>
      <c r="X64" s="1" t="s">
        <v>235</v>
      </c>
      <c r="AA64" s="1" t="s">
        <v>593</v>
      </c>
      <c r="AT64" s="1" t="s">
        <v>664</v>
      </c>
      <c r="BD64" s="15" t="s">
        <v>225</v>
      </c>
      <c r="BE64" s="13"/>
      <c r="BF64" s="15" t="s">
        <v>226</v>
      </c>
      <c r="BG64" s="15"/>
    </row>
    <row r="65" spans="17:59" x14ac:dyDescent="0.5">
      <c r="Q65" s="1" t="s">
        <v>236</v>
      </c>
      <c r="X65" s="1" t="s">
        <v>236</v>
      </c>
      <c r="AA65" s="1" t="s">
        <v>639</v>
      </c>
      <c r="AT65" s="1" t="s">
        <v>593</v>
      </c>
      <c r="BD65" s="13" t="s">
        <v>552</v>
      </c>
      <c r="BE65" s="13"/>
      <c r="BF65" s="16" t="s">
        <v>476</v>
      </c>
      <c r="BG65" s="15"/>
    </row>
    <row r="66" spans="17:59" x14ac:dyDescent="0.5">
      <c r="Q66" s="1" t="s">
        <v>665</v>
      </c>
      <c r="X66" s="1" t="s">
        <v>665</v>
      </c>
      <c r="AA66" s="1" t="s">
        <v>666</v>
      </c>
      <c r="AT66" s="1" t="s">
        <v>639</v>
      </c>
      <c r="BD66" s="14" t="s">
        <v>511</v>
      </c>
      <c r="BE66" s="13"/>
      <c r="BF66" s="15" t="s">
        <v>509</v>
      </c>
      <c r="BG66" s="15"/>
    </row>
    <row r="67" spans="17:59" x14ac:dyDescent="0.5">
      <c r="AA67" s="1" t="s">
        <v>667</v>
      </c>
      <c r="AT67" s="1" t="s">
        <v>666</v>
      </c>
      <c r="BD67" s="16" t="s">
        <v>594</v>
      </c>
      <c r="BE67" s="13"/>
      <c r="BF67" s="15" t="s">
        <v>528</v>
      </c>
      <c r="BG67" s="15"/>
    </row>
    <row r="68" spans="17:59" x14ac:dyDescent="0.5">
      <c r="AA68" s="1" t="s">
        <v>588</v>
      </c>
      <c r="AT68" s="1" t="s">
        <v>667</v>
      </c>
      <c r="BD68" s="13" t="s">
        <v>437</v>
      </c>
      <c r="BE68" s="13"/>
      <c r="BF68" s="15" t="s">
        <v>328</v>
      </c>
      <c r="BG68" s="15"/>
    </row>
    <row r="69" spans="17:59" x14ac:dyDescent="0.5">
      <c r="AT69" s="1" t="s">
        <v>588</v>
      </c>
      <c r="BD69" s="15" t="s">
        <v>425</v>
      </c>
      <c r="BE69" s="13"/>
      <c r="BF69" s="15" t="s">
        <v>384</v>
      </c>
      <c r="BG69" s="15"/>
    </row>
    <row r="70" spans="17:59" x14ac:dyDescent="0.5">
      <c r="BD70" s="16" t="s">
        <v>606</v>
      </c>
      <c r="BE70" s="18"/>
      <c r="BF70" s="15" t="s">
        <v>590</v>
      </c>
      <c r="BG70" s="15"/>
    </row>
    <row r="71" spans="17:59" x14ac:dyDescent="0.5">
      <c r="BD71" s="15" t="s">
        <v>227</v>
      </c>
      <c r="BF71" s="15" t="s">
        <v>412</v>
      </c>
      <c r="BG71" s="15"/>
    </row>
    <row r="72" spans="17:59" x14ac:dyDescent="0.5">
      <c r="BD72" s="15" t="s">
        <v>542</v>
      </c>
      <c r="BF72" s="16" t="s">
        <v>611</v>
      </c>
      <c r="BG72" s="15"/>
    </row>
    <row r="73" spans="17:59" x14ac:dyDescent="0.5">
      <c r="BD73" s="16" t="s">
        <v>509</v>
      </c>
      <c r="BF73" s="15" t="s">
        <v>356</v>
      </c>
      <c r="BG73" s="15"/>
    </row>
    <row r="74" spans="17:59" x14ac:dyDescent="0.5">
      <c r="BD74" s="13" t="s">
        <v>578</v>
      </c>
      <c r="BF74" s="16" t="s">
        <v>499</v>
      </c>
      <c r="BG74" s="15"/>
    </row>
    <row r="75" spans="17:59" x14ac:dyDescent="0.5">
      <c r="BD75" s="14" t="s">
        <v>582</v>
      </c>
      <c r="BF75" s="15" t="s">
        <v>541</v>
      </c>
      <c r="BG75" s="15"/>
    </row>
    <row r="76" spans="17:59" x14ac:dyDescent="0.5">
      <c r="BD76" s="13" t="s">
        <v>586</v>
      </c>
      <c r="BF76" s="15" t="s">
        <v>558</v>
      </c>
      <c r="BG76" s="15"/>
    </row>
    <row r="77" spans="17:59" x14ac:dyDescent="0.5">
      <c r="BD77" s="16" t="s">
        <v>615</v>
      </c>
      <c r="BF77" s="16" t="s">
        <v>307</v>
      </c>
      <c r="BG77" s="15"/>
    </row>
    <row r="78" spans="17:59" x14ac:dyDescent="0.5">
      <c r="BD78" s="16" t="s">
        <v>499</v>
      </c>
      <c r="BF78" s="16" t="s">
        <v>563</v>
      </c>
      <c r="BG78" s="15"/>
    </row>
    <row r="79" spans="17:59" x14ac:dyDescent="0.5">
      <c r="BD79" s="15" t="s">
        <v>541</v>
      </c>
      <c r="BF79" s="15" t="s">
        <v>540</v>
      </c>
      <c r="BG79" s="15"/>
    </row>
    <row r="80" spans="17:59" x14ac:dyDescent="0.5">
      <c r="BD80" s="14" t="s">
        <v>591</v>
      </c>
      <c r="BF80" s="15" t="s">
        <v>485</v>
      </c>
      <c r="BG80" s="15"/>
    </row>
    <row r="81" spans="56:59" x14ac:dyDescent="0.5">
      <c r="BD81" s="16" t="s">
        <v>605</v>
      </c>
      <c r="BF81" s="16" t="s">
        <v>518</v>
      </c>
      <c r="BG81" s="16"/>
    </row>
    <row r="82" spans="56:59" x14ac:dyDescent="0.5">
      <c r="BD82" s="13" t="s">
        <v>597</v>
      </c>
      <c r="BF82" s="15" t="s">
        <v>559</v>
      </c>
      <c r="BG82" s="15"/>
    </row>
    <row r="83" spans="56:59" x14ac:dyDescent="0.5">
      <c r="BD83" s="15" t="s">
        <v>230</v>
      </c>
      <c r="BF83" s="16" t="s">
        <v>429</v>
      </c>
      <c r="BG83" s="16"/>
    </row>
    <row r="84" spans="56:59" x14ac:dyDescent="0.5">
      <c r="BD84" s="16" t="s">
        <v>603</v>
      </c>
      <c r="BF84" s="16" t="s">
        <v>399</v>
      </c>
      <c r="BG84" s="15"/>
    </row>
    <row r="85" spans="56:59" x14ac:dyDescent="0.5">
      <c r="BD85" s="13" t="s">
        <v>455</v>
      </c>
      <c r="BF85" s="15" t="s">
        <v>568</v>
      </c>
      <c r="BG85" s="15"/>
    </row>
    <row r="86" spans="56:59" x14ac:dyDescent="0.5">
      <c r="BD86" s="15" t="s">
        <v>612</v>
      </c>
      <c r="BF86" s="19" t="s">
        <v>235</v>
      </c>
      <c r="BG86" s="15"/>
    </row>
    <row r="87" spans="56:59" x14ac:dyDescent="0.5">
      <c r="BD87" s="16" t="s">
        <v>577</v>
      </c>
      <c r="BF87" s="16" t="s">
        <v>236</v>
      </c>
      <c r="BG87" s="19"/>
    </row>
    <row r="88" spans="56:59" x14ac:dyDescent="0.5">
      <c r="BD88" s="15" t="s">
        <v>585</v>
      </c>
      <c r="BF88" s="16" t="s">
        <v>218</v>
      </c>
    </row>
    <row r="89" spans="56:59" x14ac:dyDescent="0.5">
      <c r="BD89" s="16"/>
      <c r="BF89" s="16" t="s">
        <v>489</v>
      </c>
    </row>
    <row r="90" spans="56:59" x14ac:dyDescent="0.5">
      <c r="BD90" s="16"/>
      <c r="BF90" s="16"/>
    </row>
    <row r="91" spans="56:59" x14ac:dyDescent="0.5">
      <c r="BD91" s="15"/>
      <c r="BF91" s="16"/>
    </row>
    <row r="92" spans="56:59" x14ac:dyDescent="0.5">
      <c r="BD92" s="16"/>
      <c r="BF92" s="19"/>
    </row>
    <row r="93" spans="56:59" x14ac:dyDescent="0.5">
      <c r="BD93" s="16"/>
    </row>
    <row r="94" spans="56:59" x14ac:dyDescent="0.5">
      <c r="BD94" s="16"/>
    </row>
    <row r="95" spans="56:59" x14ac:dyDescent="0.5">
      <c r="BD95" s="16"/>
    </row>
    <row r="96" spans="56:59" x14ac:dyDescent="0.5">
      <c r="BD96" s="16"/>
    </row>
    <row r="97" spans="56:56" x14ac:dyDescent="0.5">
      <c r="BD97" s="15"/>
    </row>
    <row r="98" spans="56:56" x14ac:dyDescent="0.5">
      <c r="BD98" s="16"/>
    </row>
    <row r="99" spans="56:56" x14ac:dyDescent="0.5">
      <c r="BD99" s="16"/>
    </row>
    <row r="100" spans="56:56" x14ac:dyDescent="0.5">
      <c r="BD100" s="16"/>
    </row>
    <row r="101" spans="56:56" x14ac:dyDescent="0.5">
      <c r="BD101" s="16"/>
    </row>
    <row r="102" spans="56:56" x14ac:dyDescent="0.5">
      <c r="BD102" s="16"/>
    </row>
    <row r="103" spans="56:56" x14ac:dyDescent="0.5">
      <c r="BD103" s="14"/>
    </row>
    <row r="104" spans="56:56" x14ac:dyDescent="0.5">
      <c r="BD104" s="16"/>
    </row>
    <row r="105" spans="56:56" x14ac:dyDescent="0.5">
      <c r="BD105" s="16"/>
    </row>
    <row r="106" spans="56:56" x14ac:dyDescent="0.5">
      <c r="BD106" s="16"/>
    </row>
    <row r="107" spans="56:56" x14ac:dyDescent="0.5">
      <c r="BD107" s="16"/>
    </row>
    <row r="108" spans="56:56" x14ac:dyDescent="0.5">
      <c r="BD108" s="19"/>
    </row>
  </sheetData>
  <sortState xmlns:xlrd2="http://schemas.microsoft.com/office/spreadsheetml/2017/richdata2" ref="BC6:BC66">
    <sortCondition ref="BC5:BC66"/>
  </sortState>
  <mergeCells count="12">
    <mergeCell ref="AV3:AZ3"/>
    <mergeCell ref="AR3:AU3"/>
    <mergeCell ref="AL3:AN3"/>
    <mergeCell ref="AO3:AQ3"/>
    <mergeCell ref="BB1:BG1"/>
    <mergeCell ref="AL2:AQ2"/>
    <mergeCell ref="AL1:AZ1"/>
    <mergeCell ref="S1:AG1"/>
    <mergeCell ref="L2:Q2"/>
    <mergeCell ref="S2:X2"/>
    <mergeCell ref="Y2:AB2"/>
    <mergeCell ref="AC2:AG2"/>
  </mergeCells>
  <pageMargins left="0.7" right="0.7" top="0.75" bottom="0.75" header="0.3" footer="0.3"/>
  <legacyDrawing r:id="rId1"/>
  <tableParts count="5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5fb26c54-8ae7-4c35-a8dd-e5095fbe886d">
      <Terms xmlns="http://schemas.microsoft.com/office/infopath/2007/PartnerControls"/>
    </lcf76f155ced4ddcb4097134ff3c332f>
    <TaxCatchAll xmlns="91d06b0e-e43f-423b-9ab9-9a6b45a2a23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9AC520CAB569B54B8400FCA196E34CBB" ma:contentTypeVersion="11" ma:contentTypeDescription="Crear nuevo documento." ma:contentTypeScope="" ma:versionID="0d3609084ddb063b5cee30209fffb50e">
  <xsd:schema xmlns:xsd="http://www.w3.org/2001/XMLSchema" xmlns:xs="http://www.w3.org/2001/XMLSchema" xmlns:p="http://schemas.microsoft.com/office/2006/metadata/properties" xmlns:ns2="5fb26c54-8ae7-4c35-a8dd-e5095fbe886d" xmlns:ns3="91d06b0e-e43f-423b-9ab9-9a6b45a2a239" targetNamespace="http://schemas.microsoft.com/office/2006/metadata/properties" ma:root="true" ma:fieldsID="9a35c40912acb536c870627743568d9d" ns2:_="" ns3:_="">
    <xsd:import namespace="5fb26c54-8ae7-4c35-a8dd-e5095fbe886d"/>
    <xsd:import namespace="91d06b0e-e43f-423b-9ab9-9a6b45a2a239"/>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b26c54-8ae7-4c35-a8dd-e5095fbe886d"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Etiquetas de imagen" ma:readOnly="false" ma:fieldId="{5cf76f15-5ced-4ddc-b409-7134ff3c332f}" ma:taxonomyMulti="true" ma:sspId="255b28e8-f6d8-41f4-8dfa-69b184ca5cdf"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1d06b0e-e43f-423b-9ab9-9a6b45a2a239"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44157a17-750b-4d05-808c-f0ef143c7511}" ma:internalName="TaxCatchAll" ma:showField="CatchAllData" ma:web="91d06b0e-e43f-423b-9ab9-9a6b45a2a23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E715072-900F-43EC-BD52-E1C5E784E778}">
  <ds:schemaRefs>
    <ds:schemaRef ds:uri="http://schemas.microsoft.com/sharepoint/v3/contenttype/forms"/>
  </ds:schemaRefs>
</ds:datastoreItem>
</file>

<file path=customXml/itemProps2.xml><?xml version="1.0" encoding="utf-8"?>
<ds:datastoreItem xmlns:ds="http://schemas.openxmlformats.org/officeDocument/2006/customXml" ds:itemID="{E9F25991-7111-4C83-98CC-569D7D2F527C}">
  <ds:schemaRefs>
    <ds:schemaRef ds:uri="http://schemas.microsoft.com/office/2006/metadata/properties"/>
    <ds:schemaRef ds:uri="http://schemas.microsoft.com/office/infopath/2007/PartnerControls"/>
    <ds:schemaRef ds:uri="5fb26c54-8ae7-4c35-a8dd-e5095fbe886d"/>
    <ds:schemaRef ds:uri="91d06b0e-e43f-423b-9ab9-9a6b45a2a239"/>
  </ds:schemaRefs>
</ds:datastoreItem>
</file>

<file path=customXml/itemProps3.xml><?xml version="1.0" encoding="utf-8"?>
<ds:datastoreItem xmlns:ds="http://schemas.openxmlformats.org/officeDocument/2006/customXml" ds:itemID="{9493F5F7-D611-49DF-808E-AFE6C09CB65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b26c54-8ae7-4c35-a8dd-e5095fbe886d"/>
    <ds:schemaRef ds:uri="91d06b0e-e43f-423b-9ab9-9a6b45a2a2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60</vt:i4>
      </vt:variant>
    </vt:vector>
  </HeadingPairs>
  <TitlesOfParts>
    <vt:vector size="67" baseType="lpstr">
      <vt:lpstr>Paso1 Analisis perfil egreso</vt:lpstr>
      <vt:lpstr>Paso 2 Redacción competen</vt:lpstr>
      <vt:lpstr>Paso 3 Redacción RA </vt:lpstr>
      <vt:lpstr>Paso 4 Estrategias mesocurricu</vt:lpstr>
      <vt:lpstr>Paso 5 Estrategias micro</vt:lpstr>
      <vt:lpstr>Taxonomía para competencias</vt:lpstr>
      <vt:lpstr>Taxonomias para RA</vt:lpstr>
      <vt:lpstr>actitudinalB</vt:lpstr>
      <vt:lpstr>ActitudinalBAK</vt:lpstr>
      <vt:lpstr>AK</vt:lpstr>
      <vt:lpstr>AnálisisB</vt:lpstr>
      <vt:lpstr>AnálisisBAK</vt:lpstr>
      <vt:lpstr>AnálisisMK</vt:lpstr>
      <vt:lpstr>AnalizarLK</vt:lpstr>
      <vt:lpstr>AplicaciónB</vt:lpstr>
      <vt:lpstr>AplicaciónBAK</vt:lpstr>
      <vt:lpstr>AplicarLK</vt:lpstr>
      <vt:lpstr>BAK</vt:lpstr>
      <vt:lpstr>Bloom</vt:lpstr>
      <vt:lpstr>CaracterizarBAK</vt:lpstr>
      <vt:lpstr>Cognitivo</vt:lpstr>
      <vt:lpstr>CognitivoAK</vt:lpstr>
      <vt:lpstr>cognitivoB</vt:lpstr>
      <vt:lpstr>CognitivoBAK</vt:lpstr>
      <vt:lpstr>competencias</vt:lpstr>
      <vt:lpstr>ComprenderLK</vt:lpstr>
      <vt:lpstr>ComprensionB</vt:lpstr>
      <vt:lpstr>ComprensiónBAK</vt:lpstr>
      <vt:lpstr>ComprensiónMK</vt:lpstr>
      <vt:lpstr>ConceptosLK</vt:lpstr>
      <vt:lpstr>ConocimientoB</vt:lpstr>
      <vt:lpstr>ConocimientoBAK</vt:lpstr>
      <vt:lpstr>Conocimientos</vt:lpstr>
      <vt:lpstr>ControlBAK</vt:lpstr>
      <vt:lpstr>CrearLK</vt:lpstr>
      <vt:lpstr>dominios</vt:lpstr>
      <vt:lpstr>EvaluaciónB</vt:lpstr>
      <vt:lpstr>EvaluaciónBAK</vt:lpstr>
      <vt:lpstr>EvaluarLK</vt:lpstr>
      <vt:lpstr>HechosLK</vt:lpstr>
      <vt:lpstr>ImitaciónBAK</vt:lpstr>
      <vt:lpstr>ManipulaciónBAK</vt:lpstr>
      <vt:lpstr>MetacogniciónLK</vt:lpstr>
      <vt:lpstr>MetacogniciónMK</vt:lpstr>
      <vt:lpstr>MetocogniciónAK</vt:lpstr>
      <vt:lpstr>MK</vt:lpstr>
      <vt:lpstr>OrganizarBAK</vt:lpstr>
      <vt:lpstr>PercepciónBAK</vt:lpstr>
      <vt:lpstr>PrecisiónBAK</vt:lpstr>
      <vt:lpstr>procedimentalB</vt:lpstr>
      <vt:lpstr>ProcedimentalBAK</vt:lpstr>
      <vt:lpstr>ProcedimientosMK</vt:lpstr>
      <vt:lpstr>ProcesosAK</vt:lpstr>
      <vt:lpstr>PsicomotorMK</vt:lpstr>
      <vt:lpstr>RecordarLK</vt:lpstr>
      <vt:lpstr>RecuperaciónMK</vt:lpstr>
      <vt:lpstr>ResponderBAK</vt:lpstr>
      <vt:lpstr>resultadoaprendizaje</vt:lpstr>
      <vt:lpstr>Saberhacer</vt:lpstr>
      <vt:lpstr>saberser</vt:lpstr>
      <vt:lpstr>SíntesisB</vt:lpstr>
      <vt:lpstr>SíntesisBAK</vt:lpstr>
      <vt:lpstr>SistemadelYoMK</vt:lpstr>
      <vt:lpstr>taxonomiasra</vt:lpstr>
      <vt:lpstr>UsoConocimientoMK</vt:lpstr>
      <vt:lpstr>ValorarBAK</vt:lpstr>
      <vt:lpstr>Verboscompetencias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Ximena Silva</cp:lastModifiedBy>
  <cp:revision/>
  <dcterms:created xsi:type="dcterms:W3CDTF">2021-03-03T13:22:18Z</dcterms:created>
  <dcterms:modified xsi:type="dcterms:W3CDTF">2026-05-08T05:31:09Z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0x0101009AC520CAB569B54B8400FCA196E34CBB</vt:lpwstr>
  </property>
</Properties>
</file>