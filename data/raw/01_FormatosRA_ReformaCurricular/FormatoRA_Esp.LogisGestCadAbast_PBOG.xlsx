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5f15395a9ed9a48f/Proyectos_DS/Analisis_Curricular/data/raw/01_FormatosRA_ReformaCurricular/"/>
    </mc:Choice>
  </mc:AlternateContent>
  <xr:revisionPtr revIDLastSave="697" documentId="8_{9D5C12F7-717D-4A89-AC5F-9AA3C543F7CE}" xr6:coauthVersionLast="47" xr6:coauthVersionMax="47" xr10:uidLastSave="{AC6AB34F-4B2F-4A1D-9D05-F16474DCC20C}"/>
  <bookViews>
    <workbookView xWindow="-108" yWindow="-108" windowWidth="23256" windowHeight="12456" firstSheet="3"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7" r:id="rId5"/>
    <sheet name="Taxonomía para competencias" sheetId="10" r:id="rId6"/>
    <sheet name="Taxonomias para RA" sheetId="9" r:id="rId7"/>
  </sheets>
  <definedNames>
    <definedName name="_xlnm._FilterDatabase" localSheetId="2" hidden="1">'Paso 3 Redacción RA '!$A$2:$I$8</definedName>
    <definedName name="_xlnm._FilterDatabase" localSheetId="4" hidden="1">'Paso 5 Estrategias micro'!$B$1:$Q$40</definedName>
    <definedName name="actitudinalB">Tabla5785[ActitudinalB]</definedName>
    <definedName name="ActitudinalBAK">'Taxonomias para RA'!$AC$3:$AG$3</definedName>
    <definedName name="AK">Tabla5987[AK]</definedName>
    <definedName name="AnálisisB">Tabla385280[AnálisisB]</definedName>
    <definedName name="AnálisisBAK">Tabla3865[AnálisisBAK]</definedName>
    <definedName name="AnálisisMK">Tabla99[AnálisisMK]</definedName>
    <definedName name="AnalizarLK">Tabla2129[AnalizarLK]</definedName>
    <definedName name="AplicaciónB">Tabla375179[AplicaciónB]</definedName>
    <definedName name="AplicaciónBAK">Tabla3764[AplicaciónBAK]</definedName>
    <definedName name="AplicarLK">Tabla2028[AplicarLK]</definedName>
    <definedName name="áreasprofesionales">#REF!</definedName>
    <definedName name="BAK">Tabla5886[BAK]</definedName>
    <definedName name="Bloom">'Taxonomias para RA'!$G$3:$I$3</definedName>
    <definedName name="CaracterizarBAK">Tabla4776[CaracterizarBAK]</definedName>
    <definedName name="Cognitivo">'Paso1 Analisis perfil egreso'!$E$3:$E$17</definedName>
    <definedName name="CognitivoAK">'Taxonomias para RA'!$AL$4:$AQ$4</definedName>
    <definedName name="cognitivoB">Tabla5583[CognitivoB]</definedName>
    <definedName name="CognitivoBAK">'Taxonomias para RA'!$S$3:$X$3</definedName>
    <definedName name="competencias">'Paso 2 Redacción competen'!$F$3:$F$7</definedName>
    <definedName name="ComprenderLK">'Taxonomias para RA'!$AM$5:$AM$27</definedName>
    <definedName name="ComprensionB">Tabla365078[ComprensiónB]</definedName>
    <definedName name="ComprensiónBAK">Tabla3663[ComprensiónBAK]</definedName>
    <definedName name="ComprensiónMK">Tabla98[ComprensiónMK]</definedName>
    <definedName name="ConceptosLK">Tabla91[ConceptosAK]</definedName>
    <definedName name="ConocimientoB">Tabla354977[ConocimientoB]</definedName>
    <definedName name="ConocimientoBAK">Tabla3555[ConocimientoBAK]</definedName>
    <definedName name="Conocimientos">'Paso1 Analisis perfil egreso'!$E$3:$E$17</definedName>
    <definedName name="ControlBAK">Tabla4271[ControlBAK]</definedName>
    <definedName name="CrearLK">Tabla2333[CrearLK]</definedName>
    <definedName name="dominios">'Paso1 Analisis perfil egreso'!$E$2:$G$2</definedName>
    <definedName name="EvaluaciónB">Tabla405482[EvaluaciónB]</definedName>
    <definedName name="EvaluaciónBAK">Tabla4067[EvaluaciónBAK]</definedName>
    <definedName name="EvaluarLK">'Taxonomias para RA'!$AP$5:$AP$46</definedName>
    <definedName name="HechosLK">Tabla90[CognitivoAK]</definedName>
    <definedName name="ImitaciónBAK">Tabla1168[ImitaciónBAK]</definedName>
    <definedName name="ManipulaciónBAK">Tabla3069[ManipulaciónBAK]</definedName>
    <definedName name="MetacogniciónLK">Tabla93[MetacogniciónAK]</definedName>
    <definedName name="MetacogniciónMK">Tabla101[MetacogniciónMK]</definedName>
    <definedName name="MetocogniciónAK">Tabla101[MetacogniciónMK]</definedName>
    <definedName name="MK">Tabla6088[MK]</definedName>
    <definedName name="ocupacional">'Paso1 Analisis perfil egreso'!#REF!</definedName>
    <definedName name="OrganizarBAK">Tabla467521[OrganizarBAK]</definedName>
    <definedName name="PercepciónBAK">'Taxonomias para RA'!$AC$4:$AC$40</definedName>
    <definedName name="poblacionactuacion">#REF!</definedName>
    <definedName name="poblaciones">#REF!</definedName>
    <definedName name="poblacionesactuación">#REF!</definedName>
    <definedName name="PrecisiónBAK">Tabla41706[PrecisiónBAK]</definedName>
    <definedName name="procedimentalB">Tabla5684[ProcedimentalB]</definedName>
    <definedName name="ProcedimentalBAK">'Taxonomias para RA'!$Y$3:$AB$3</definedName>
    <definedName name="ProcedimientosMK">Tabla92[ProcedimientosAK]</definedName>
    <definedName name="ProcesosAK">ProcesosMentalesMK[ProcesosMentalesMK]</definedName>
    <definedName name="PsicomotorMK">Tabla96[PsicomotorMK]</definedName>
    <definedName name="RecordarLK">'Taxonomias para RA'!$AL$5:$AL$27</definedName>
    <definedName name="RecuperaciónMK">'Taxonomias para RA'!$BB$5:$BB$27</definedName>
    <definedName name="ResponderBAK">Tabla4473[ResponderBAK]</definedName>
    <definedName name="resultadoaprendizaje">'Paso 3 Redacción RA '!$I$3:$I$8</definedName>
    <definedName name="Saber">'Paso1 Analisis perfil egreso'!$E$3:$E$4</definedName>
    <definedName name="Saberhacer">'Paso1 Analisis perfil egreso'!$F$3:$F$16</definedName>
    <definedName name="saberser">'Paso1 Analisis perfil egreso'!$G$3:$G$16</definedName>
    <definedName name="SíntesisB">Tabla395381[SíntesisB]</definedName>
    <definedName name="SíntesisBAK">Tabla3966[SíntesisBAK]</definedName>
    <definedName name="SistemadelYoMK">Tabla11[SistemadelYoMK]</definedName>
    <definedName name="tareas">#REF!</definedName>
    <definedName name="tareasprofesionales">#REF!</definedName>
    <definedName name="taxonomiasra">Tabla1715[Taxonomías]</definedName>
    <definedName name="UsoConocimientoMK">'Taxonomias para RA'!$BE$5:$BE$70</definedName>
    <definedName name="Valoragregado">#REF!</definedName>
    <definedName name="ValorarBAK">Tabla4574[ValorarBAK]</definedName>
    <definedName name="Verboscompetencias">Tabla33103[Verbos Competencias]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2" i="7" l="1"/>
  <c r="Q40" i="7"/>
  <c r="Q20" i="7"/>
  <c r="I43" i="7" l="1"/>
  <c r="J43" i="7" s="1"/>
  <c r="J42" i="7"/>
  <c r="I41" i="7"/>
  <c r="J41" i="7" s="1"/>
  <c r="D41" i="7"/>
  <c r="K30" i="7"/>
  <c r="K33" i="7"/>
  <c r="J30" i="7"/>
  <c r="J33" i="7"/>
  <c r="K13" i="7"/>
  <c r="J13" i="7"/>
  <c r="A36" i="7"/>
  <c r="A35" i="7"/>
  <c r="A34" i="7"/>
  <c r="A33" i="7"/>
  <c r="L33" i="7" l="1"/>
  <c r="L30" i="7"/>
  <c r="K3" i="7"/>
  <c r="J3" i="7"/>
  <c r="A40" i="7"/>
  <c r="A39" i="7"/>
  <c r="A38" i="7"/>
  <c r="A37" i="7"/>
  <c r="K37" i="7"/>
  <c r="J37" i="7"/>
  <c r="A31" i="7"/>
  <c r="A28" i="7"/>
  <c r="A29" i="7"/>
  <c r="A22" i="7"/>
  <c r="A23" i="7"/>
  <c r="A4" i="7"/>
  <c r="A11" i="7"/>
  <c r="A12" i="7"/>
  <c r="A5" i="7"/>
  <c r="A6" i="7"/>
  <c r="A7" i="7"/>
  <c r="A8" i="7"/>
  <c r="A9" i="7"/>
  <c r="A10" i="7"/>
  <c r="A13" i="7"/>
  <c r="A14" i="7"/>
  <c r="A15" i="7"/>
  <c r="A16" i="7"/>
  <c r="A17" i="7"/>
  <c r="A18" i="7"/>
  <c r="A19" i="7"/>
  <c r="A20" i="7"/>
  <c r="A21" i="7"/>
  <c r="A24" i="7"/>
  <c r="A25" i="7"/>
  <c r="A26" i="7"/>
  <c r="A27" i="7"/>
  <c r="A30" i="7"/>
  <c r="A32" i="7"/>
  <c r="A3" i="7"/>
  <c r="L37" i="7" l="1"/>
  <c r="L3" i="7"/>
  <c r="J27" i="7"/>
  <c r="K27" i="7"/>
  <c r="J24" i="7"/>
  <c r="K24" i="7"/>
  <c r="J21" i="7"/>
  <c r="K21" i="7"/>
  <c r="J17" i="7"/>
  <c r="K17" i="7"/>
  <c r="J10" i="7"/>
  <c r="K10" i="7"/>
  <c r="K6" i="7"/>
  <c r="J6" i="7"/>
  <c r="L27" i="7" l="1"/>
  <c r="L21" i="7"/>
  <c r="L10" i="7"/>
  <c r="L6" i="7"/>
  <c r="L24" i="7"/>
  <c r="L17" i="7"/>
  <c r="L1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A47D5A-E4D2-4053-8BA4-C9D3E99BBD14}">
      <text>
        <r>
          <rPr>
            <sz val="11"/>
            <color theme="1"/>
            <rFont val="Calibri"/>
            <family val="2"/>
            <scheme val="minor"/>
          </rPr>
          <t>Diana Shirley Velasquez Rojas:
Escriba el perfil del egresado que tiene el programa en su documento maestro o el que se haya ajustado de acuerdo con las tendencias o necesidades del entorno que lo hayan generado.</t>
        </r>
      </text>
    </comment>
    <comment ref="E2" authorId="0" shapeId="0" xr:uid="{BF098D7A-8AA7-497C-8346-25E8CAD9D8A7}">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13665253-EBD5-4ACA-8ADD-D123250A215D}">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A454A21F-5AEC-47FA-AD63-B279B078678D}">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79591661-65A2-44C3-9322-8C788EAA9143}">
      <text>
        <r>
          <rPr>
            <b/>
            <sz val="9"/>
            <color indexed="81"/>
            <rFont val="Tahoma"/>
            <family val="2"/>
          </rPr>
          <t>Dir. Currículo:</t>
        </r>
        <r>
          <rPr>
            <sz val="9"/>
            <color indexed="81"/>
            <rFont val="Tahoma"/>
            <family val="2"/>
          </rPr>
          <t xml:space="preserve">
Áreas en las que podrá laborar el profesional.</t>
        </r>
      </text>
    </comment>
    <comment ref="I2" authorId="0" shapeId="0" xr:uid="{6219E277-D93F-4144-BB76-E78325F46F14}">
      <text>
        <r>
          <rPr>
            <b/>
            <sz val="9"/>
            <color indexed="81"/>
            <rFont val="Tahoma"/>
            <family val="2"/>
          </rPr>
          <t>Dir. Currículo:</t>
        </r>
        <r>
          <rPr>
            <sz val="9"/>
            <color indexed="81"/>
            <rFont val="Tahoma"/>
            <family val="2"/>
          </rPr>
          <t xml:space="preserve">
Tareas potenciales que hará el profesional.</t>
        </r>
      </text>
    </comment>
    <comment ref="J2" authorId="0" shapeId="0" xr:uid="{82B61287-1E52-4966-9F38-40276C61077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F50E33F-F17E-46CE-A6F2-470B7CCC159C}">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establecido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19B5E11-E7C0-4E8B-97AE-EB82360ED972}">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553B5C01-9AE8-4770-9B69-3C41D7587F56}">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D8131627-F196-496E-83A7-0A723B34AEBB}">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029DF8E8-3C72-4699-A1B1-3A2203C057D4}">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28C52E8D-E4CF-48B1-9635-51A173F0E86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E1AFAE3-AC58-487A-A8AB-89E11F1CCDEA}">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AAF1445F-E39C-4312-90A1-14054AF028A2}">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7B4A460E-9649-40C7-BFD8-BE954B68C7F3}">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C38B22A1-7462-4A8F-A7C7-9F21D3E7B042}">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4FBBD2D6-DC36-4648-89F1-F7D40D2A345D}">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00DDF55F-44AF-4AB9-97DA-8E74A4D2B53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E224E08-24C9-4DAF-AAB9-1B5F114C4BB2}">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G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<sst xmlns="http://schemas.openxmlformats.org/spreadsheetml/2006/main" count="2346" uniqueCount="657">
  <si>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</si>
  <si>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</si>
  <si>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</si>
  <si>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</si>
  <si>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</si>
  <si>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</si>
  <si>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</si>
  <si>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</si>
  <si>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</si>
  <si>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</si>
  <si>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</si>
  <si>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</si>
  <si>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</si>
  <si>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</si>
  <si>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</si>
  <si>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</si>
  <si>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</si>
  <si>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</si>
  <si>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</si>
  <si>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</si>
  <si>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</si>
  <si>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</si>
  <si>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</si>
  <si>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</si>
  <si>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</si>
  <si>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</si>
  <si>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</si>
  <si>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</si>
  <si>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</si>
  <si>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</si>
  <si>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</si>
  <si>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</si>
  <si>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</si>
  <si>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</si>
  <si>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</si>
  <si>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</si>
  <si>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</si>
  <si>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</si>
  <si>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</si>
  <si>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</si>
  <si>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</si>
  <si>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</si>
  <si>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</si>
  <si>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</si>
  <si>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</si>
  <si>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</si>
  <si>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</si>
  <si>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</si>
  <si>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</si>
  <si>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</si>
  <si>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</si>
  <si>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</si>
  <si>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</si>
  <si>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</si>
  <si>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</si>
  <si>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</si>
  <si>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</si>
  <si>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</si>
  <si>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</si>
  <si>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</si>
  <si>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</si>
  <si>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</si>
  <si>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</si>
  <si>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Valoración del nivel de contribución de la estrategia a los resultados de aprendizaje del programa, en una escala de 1 a 5.</t>
  </si>
  <si>
    <t>Informar a los estudiantes sobre los temas transversales, de actualización o que afectan la disciplina o amplían el saber de la misma.</t>
  </si>
  <si>
    <t>Encuesta</t>
  </si>
  <si>
    <t>Número de estudiantes y graduados que participan en la estrategia.</t>
  </si>
  <si>
    <t>Listado</t>
  </si>
  <si>
    <t>Número de veces que se realiza la estrategia en el tiempo que determine el programa.</t>
  </si>
  <si>
    <t>Informe o Reporte</t>
  </si>
  <si>
    <t>Informar y formar a los estudiantes sobre  temas transversales, de actualización que afectan la disciplina o amplían el saber de la misma.</t>
  </si>
  <si>
    <t>Número de estudiantes que participan en la estrategia.</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</si>
  <si>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</si>
  <si>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</si>
  <si>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</si>
  <si>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</si>
  <si>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</si>
  <si>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</si>
  <si>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</si>
  <si>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</si>
  <si>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</si>
  <si>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</si>
  <si>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</si>
  <si>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</si>
  <si>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</si>
  <si>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</si>
  <si>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</si>
  <si>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</si>
  <si>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</si>
  <si>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</si>
  <si>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</si>
  <si>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</si>
  <si>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Créditos</t>
  </si>
  <si>
    <t>Número de horas trabajo directo</t>
  </si>
  <si>
    <t>Número de horas trabajo independiente</t>
  </si>
  <si>
    <t>Total de horas</t>
  </si>
  <si>
    <t>Núcleos temáticos</t>
  </si>
  <si>
    <t>Actividades de aprendizaje</t>
  </si>
  <si>
    <t>Actividades de evaluación</t>
  </si>
  <si>
    <t>Acciones de retroalimentación</t>
  </si>
  <si>
    <t xml:space="preserve">Las acciones retroalimentación varían entre las siguientes, según las condiciones que identifique el tutor.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t>
  </si>
  <si>
    <t xml:space="preserve"> </t>
  </si>
  <si>
    <t xml:space="preserve">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t>
  </si>
  <si>
    <t>Formar a través del estudio de casos, de la clase magistral, de la lectura de artículos sobre los avances o los temas que se requieren abordar alrededor de los núcleos temáticos.</t>
  </si>
  <si>
    <t>II</t>
  </si>
  <si>
    <t>Total módulos del programa</t>
  </si>
  <si>
    <t>Total créditos programa</t>
  </si>
  <si>
    <t>Total créditos fundamentación</t>
  </si>
  <si>
    <t>Total créditos profundización</t>
  </si>
  <si>
    <t>Verbos Competencias</t>
  </si>
  <si>
    <r>
      <rPr>
        <b/>
        <sz val="11"/>
        <color theme="0"/>
        <rFont val="Calibri"/>
        <family val="2"/>
        <scheme val="minor"/>
      </rPr>
      <t>Observación:</t>
    </r>
    <r>
      <rPr>
        <sz val="11"/>
        <color theme="0"/>
        <rFont val="Calibri"/>
        <family val="2"/>
        <scheme val="minor"/>
      </rPr>
      <t xml:space="preserve"> estos verbos son solo algunos y se pueden agregar tantos como se requieran; solo hay que tener en cuenta que debe estar al nivel de un perfil profesional.</t>
    </r>
  </si>
  <si>
    <t>Actualizar</t>
  </si>
  <si>
    <t>Administrar</t>
  </si>
  <si>
    <t>Aplicar</t>
  </si>
  <si>
    <t>Asegurar</t>
  </si>
  <si>
    <t>Asesorar</t>
  </si>
  <si>
    <t>Auditar</t>
  </si>
  <si>
    <t>Comunicar</t>
  </si>
  <si>
    <t>Conducir</t>
  </si>
  <si>
    <t>Conocer</t>
  </si>
  <si>
    <t>Coordinar</t>
  </si>
  <si>
    <t>Definir</t>
  </si>
  <si>
    <t>Desarrollar</t>
  </si>
  <si>
    <t>Dirigir</t>
  </si>
  <si>
    <t>Diseñar</t>
  </si>
  <si>
    <t>Dominar</t>
  </si>
  <si>
    <t>Establecer</t>
  </si>
  <si>
    <t>Evaluar</t>
  </si>
  <si>
    <t>Fiscalizar</t>
  </si>
  <si>
    <t>Formular</t>
  </si>
  <si>
    <t>Generar</t>
  </si>
  <si>
    <t>Gestionar</t>
  </si>
  <si>
    <t>Hacer</t>
  </si>
  <si>
    <t>Implementar</t>
  </si>
  <si>
    <t>Liderar</t>
  </si>
  <si>
    <t>Modelar</t>
  </si>
  <si>
    <t>Participar</t>
  </si>
  <si>
    <t>Planear</t>
  </si>
  <si>
    <t>Presidir</t>
  </si>
  <si>
    <t>Producir</t>
  </si>
  <si>
    <t>Resolver</t>
  </si>
  <si>
    <t>Sistematizar</t>
  </si>
  <si>
    <t>Supervisar</t>
  </si>
  <si>
    <t>Transformar</t>
  </si>
  <si>
    <t>Validar</t>
  </si>
  <si>
    <t>Valorar</t>
  </si>
  <si>
    <t>Verificar</t>
  </si>
  <si>
    <t>Taxonomía de Bloom Adaptada con las propuestas de Anderson y Krathwohl</t>
  </si>
  <si>
    <t>Taxonomía de Anderson y Krathwohl (AK)</t>
  </si>
  <si>
    <t>Taxonomía de Marzano y Kendal (MK)</t>
  </si>
  <si>
    <t>Taxonomía de Bloom</t>
  </si>
  <si>
    <t>Cognitivo(BAK)</t>
  </si>
  <si>
    <t>Procedimental(BAK)</t>
  </si>
  <si>
    <t>Actitudinal(BAK)</t>
  </si>
  <si>
    <t>Taxonomías</t>
  </si>
  <si>
    <t>BAK</t>
  </si>
  <si>
    <t>AK</t>
  </si>
  <si>
    <t>MK</t>
  </si>
  <si>
    <t>CognitivoB</t>
  </si>
  <si>
    <t>ProcedimentalB</t>
  </si>
  <si>
    <t>ActitudinalB</t>
  </si>
  <si>
    <t>ConocimientoB</t>
  </si>
  <si>
    <t>ComprensiónB</t>
  </si>
  <si>
    <t>AplicaciónB</t>
  </si>
  <si>
    <t>AnálisisB</t>
  </si>
  <si>
    <t>SíntesisB</t>
  </si>
  <si>
    <t>EvaluaciónB</t>
  </si>
  <si>
    <t>ConocimientoBAK</t>
  </si>
  <si>
    <t>ComprensiónBAK</t>
  </si>
  <si>
    <t>AplicaciónBAK</t>
  </si>
  <si>
    <t>AnálisisBAK</t>
  </si>
  <si>
    <t>SíntesisBAK</t>
  </si>
  <si>
    <t>EvaluaciónBAK</t>
  </si>
  <si>
    <t>ImitaciónBAK</t>
  </si>
  <si>
    <t>ManipulaciónBAK</t>
  </si>
  <si>
    <t>PrecisiónBAK</t>
  </si>
  <si>
    <t>ControlBAK</t>
  </si>
  <si>
    <t>PercepciónBAK</t>
  </si>
  <si>
    <t>ResponderBAK</t>
  </si>
  <si>
    <t>ValorarBAK</t>
  </si>
  <si>
    <t>OrganizarBAK</t>
  </si>
  <si>
    <t>CaracterizarBAK</t>
  </si>
  <si>
    <t>CognitivoInf(AK)</t>
  </si>
  <si>
    <t>CognitivoSup(AK)</t>
  </si>
  <si>
    <t>Procedimental(AK)</t>
  </si>
  <si>
    <t>Actitudinal(AK)</t>
  </si>
  <si>
    <t>Bloom</t>
  </si>
  <si>
    <t>CognitivoBAK</t>
  </si>
  <si>
    <t>HechosAK</t>
  </si>
  <si>
    <t>InformaciónMK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</si>
  <si>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</si>
  <si>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</si>
  <si>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</si>
  <si>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</si>
  <si>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</si>
  <si>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</si>
  <si>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</si>
  <si>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</si>
  <si>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</si>
  <si>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</si>
  <si>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</si>
  <si>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</si>
  <si>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</si>
  <si>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</si>
  <si>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</si>
  <si>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</si>
  <si>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</si>
  <si>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</si>
  <si>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RecuperaciónMK</t>
  </si>
  <si>
    <t>ComprensiónMK</t>
  </si>
  <si>
    <t>AnálisisMK</t>
  </si>
  <si>
    <t>UsoConocimientoMK</t>
  </si>
  <si>
    <t>MetacogniciónMK</t>
  </si>
  <si>
    <t>SistemadelYoMK</t>
  </si>
  <si>
    <t>ProcedimentalBAK</t>
  </si>
  <si>
    <t>ConceptosAK</t>
  </si>
  <si>
    <t>ProcesosMentalesMK</t>
  </si>
  <si>
    <t>Buscar</t>
  </si>
  <si>
    <t>Bosquejar</t>
  </si>
  <si>
    <t>Calisificar</t>
  </si>
  <si>
    <t>Analizar</t>
  </si>
  <si>
    <t>Adjuntar</t>
  </si>
  <si>
    <t>Desmontar</t>
  </si>
  <si>
    <t>Quitar</t>
  </si>
  <si>
    <t>Autorizar</t>
  </si>
  <si>
    <t>Resumir</t>
  </si>
  <si>
    <t>Ofrecer</t>
  </si>
  <si>
    <t>Afirmar</t>
  </si>
  <si>
    <t>Clasificar</t>
  </si>
  <si>
    <t>Actuar</t>
  </si>
  <si>
    <t>Agrupar</t>
  </si>
  <si>
    <t>Aceptar</t>
  </si>
  <si>
    <t>ActitudinalBAK</t>
  </si>
  <si>
    <t>ProcedimientoslAK</t>
  </si>
  <si>
    <t>PsicomotorMK</t>
  </si>
  <si>
    <t>Citar</t>
  </si>
  <si>
    <t>Comentar</t>
  </si>
  <si>
    <t>Combinar</t>
  </si>
  <si>
    <t>Calcular</t>
  </si>
  <si>
    <t>Arreglar</t>
  </si>
  <si>
    <t>Agregar</t>
  </si>
  <si>
    <t>Modificar</t>
  </si>
  <si>
    <t>Dramatizar</t>
  </si>
  <si>
    <t>Apalancar</t>
  </si>
  <si>
    <t>Suprimir</t>
  </si>
  <si>
    <t>Demostrar</t>
  </si>
  <si>
    <t>Promover</t>
  </si>
  <si>
    <t>Comparar</t>
  </si>
  <si>
    <t>Añadir</t>
  </si>
  <si>
    <t>Elaborar</t>
  </si>
  <si>
    <t>Adelantar</t>
  </si>
  <si>
    <t>MetacogniciónAK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</si>
  <si>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</si>
  <si>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</si>
  <si>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</si>
  <si>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</si>
  <si>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</si>
  <si>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</si>
  <si>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</si>
  <si>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</si>
  <si>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</si>
  <si>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</si>
  <si>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</si>
  <si>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</si>
  <si>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</si>
  <si>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</si>
  <si>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</si>
  <si>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</si>
  <si>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</si>
  <si>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</si>
  <si>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</si>
  <si>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</si>
  <si>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</si>
  <si>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</si>
  <si>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</si>
  <si>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</si>
  <si>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</si>
  <si>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</si>
  <si>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</si>
  <si>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</si>
  <si>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</si>
  <si>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</si>
  <si>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</si>
  <si>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</si>
  <si>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</si>
  <si>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</si>
  <si>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</si>
  <si>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</si>
  <si>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</si>
  <si>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</si>
  <si>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</si>
  <si>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</si>
  <si>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</si>
  <si>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</si>
  <si>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</si>
  <si>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</si>
  <si>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</si>
  <si>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</si>
  <si>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</si>
  <si>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</si>
  <si>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</si>
  <si>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</si>
  <si>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Proponer</t>
  </si>
  <si>
    <t>Acabar</t>
  </si>
  <si>
    <t>Ejemplificar</t>
  </si>
  <si>
    <t xml:space="preserve">Construir </t>
  </si>
  <si>
    <t>Centrarse</t>
  </si>
  <si>
    <t>Anhelar</t>
  </si>
  <si>
    <t>CognitivoAK</t>
  </si>
  <si>
    <t>ProcedimientosAK</t>
  </si>
  <si>
    <t>Debatir</t>
  </si>
  <si>
    <t>Determinar</t>
  </si>
  <si>
    <t>Atar</t>
  </si>
  <si>
    <t>Encontrar</t>
  </si>
  <si>
    <t>Realizar</t>
  </si>
  <si>
    <t>Hablar</t>
  </si>
  <si>
    <t>Defender</t>
  </si>
  <si>
    <t>Terminar</t>
  </si>
  <si>
    <t xml:space="preserve">Duplicar </t>
  </si>
  <si>
    <t>Esquematizar</t>
  </si>
  <si>
    <t>Pensar</t>
  </si>
  <si>
    <t>RecordarAK</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</si>
  <si>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</si>
  <si>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</si>
  <si>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</si>
  <si>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</si>
  <si>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</si>
  <si>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</si>
  <si>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</si>
  <si>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</si>
  <si>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</si>
  <si>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</si>
  <si>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</si>
  <si>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</si>
  <si>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</si>
  <si>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</si>
  <si>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</si>
  <si>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ComprenderAK</t>
  </si>
  <si>
    <t>ComprendeAK</t>
  </si>
  <si>
    <t>Desplegar</t>
  </si>
  <si>
    <t>Discriminar</t>
  </si>
  <si>
    <t>Concluir</t>
  </si>
  <si>
    <t>Calificar</t>
  </si>
  <si>
    <t>Organizar</t>
  </si>
  <si>
    <t>Ejercitar</t>
  </si>
  <si>
    <t>Traducir</t>
  </si>
  <si>
    <t>Cooperar</t>
  </si>
  <si>
    <t>Tasar</t>
  </si>
  <si>
    <t>Escribir</t>
  </si>
  <si>
    <t>Expresar</t>
  </si>
  <si>
    <t>Descomponer</t>
  </si>
  <si>
    <t>AplicarAK</t>
  </si>
  <si>
    <t>Enseñar</t>
  </si>
  <si>
    <t>Deducir</t>
  </si>
  <si>
    <t>Censurar</t>
  </si>
  <si>
    <t>Ordenar</t>
  </si>
  <si>
    <t>Hallar</t>
  </si>
  <si>
    <t>Entregar</t>
  </si>
  <si>
    <t>Admitir</t>
  </si>
  <si>
    <t>Colaborar</t>
  </si>
  <si>
    <t>Aspirar</t>
  </si>
  <si>
    <t>Leer</t>
  </si>
  <si>
    <t>Generalizar</t>
  </si>
  <si>
    <t>Diferenciar</t>
  </si>
  <si>
    <t>Reescribir</t>
  </si>
  <si>
    <t>Asistir</t>
  </si>
  <si>
    <t>AnalizarAK</t>
  </si>
  <si>
    <t>Situar</t>
  </si>
  <si>
    <t>Actuar recíprocamente</t>
  </si>
  <si>
    <t>Listar</t>
  </si>
  <si>
    <t>Ilustrar</t>
  </si>
  <si>
    <t>Distinguir</t>
  </si>
  <si>
    <t>Convencer</t>
  </si>
  <si>
    <t>Simplificar</t>
  </si>
  <si>
    <t>EvaluarAK</t>
  </si>
  <si>
    <t>Duplicar</t>
  </si>
  <si>
    <t>Detectar</t>
  </si>
  <si>
    <t>Crear</t>
  </si>
  <si>
    <t>Acordar</t>
  </si>
  <si>
    <t>Bajar</t>
  </si>
  <si>
    <t>Obrar recíprocamente</t>
  </si>
  <si>
    <t>Discernir</t>
  </si>
  <si>
    <t>Inferir</t>
  </si>
  <si>
    <t>Dividir</t>
  </si>
  <si>
    <t>Suponer</t>
  </si>
  <si>
    <t>Atender</t>
  </si>
  <si>
    <t>CrearAK</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</si>
  <si>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</si>
  <si>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</si>
  <si>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</si>
  <si>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</si>
  <si>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</si>
  <si>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</si>
  <si>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</si>
  <si>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</si>
  <si>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</si>
  <si>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</si>
  <si>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</si>
  <si>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</si>
  <si>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</si>
  <si>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</si>
  <si>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</si>
  <si>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</si>
  <si>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</si>
  <si>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Identificar</t>
  </si>
  <si>
    <t>Juzgar</t>
  </si>
  <si>
    <t>Mostrar</t>
  </si>
  <si>
    <t>Interpretar</t>
  </si>
  <si>
    <t>Hacer uso</t>
  </si>
  <si>
    <t>Teorizar</t>
  </si>
  <si>
    <t>Derivar</t>
  </si>
  <si>
    <t>Constrastar</t>
  </si>
  <si>
    <t>Ensamblar</t>
  </si>
  <si>
    <t>Medir</t>
  </si>
  <si>
    <t>Reemplazar</t>
  </si>
  <si>
    <t>Enumerar</t>
  </si>
  <si>
    <t>Cuidar</t>
  </si>
  <si>
    <t>Reconocer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</si>
  <si>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</si>
  <si>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</si>
  <si>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</si>
  <si>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</si>
  <si>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</si>
  <si>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</si>
  <si>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</si>
  <si>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</si>
  <si>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</si>
  <si>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</si>
  <si>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</si>
  <si>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</si>
  <si>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</si>
  <si>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</si>
  <si>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</si>
  <si>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</si>
  <si>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</si>
  <si>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</si>
  <si>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</si>
  <si>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</si>
  <si>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</si>
  <si>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</si>
  <si>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</si>
  <si>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</si>
  <si>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</si>
  <si>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</si>
  <si>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</si>
  <si>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</si>
  <si>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</si>
  <si>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</si>
  <si>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</si>
  <si>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</si>
  <si>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</si>
  <si>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</si>
  <si>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</si>
  <si>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</si>
  <si>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</si>
  <si>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</si>
  <si>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</si>
  <si>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</si>
  <si>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</si>
  <si>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Relacionar</t>
  </si>
  <si>
    <t>Practicar</t>
  </si>
  <si>
    <t>Investigar</t>
  </si>
  <si>
    <t>Constatar</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</si>
  <si>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</si>
  <si>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</si>
  <si>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</si>
  <si>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</si>
  <si>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</si>
  <si>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</si>
  <si>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</si>
  <si>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</si>
  <si>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</si>
  <si>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</si>
  <si>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</si>
  <si>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</si>
  <si>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</si>
  <si>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</si>
  <si>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</si>
  <si>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</si>
  <si>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</si>
  <si>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</si>
  <si>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</si>
  <si>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</si>
  <si>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</si>
  <si>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</si>
  <si>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</si>
  <si>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</si>
  <si>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</si>
  <si>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</si>
  <si>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</si>
  <si>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</si>
  <si>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</si>
  <si>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</si>
  <si>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</si>
  <si>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</si>
  <si>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</si>
  <si>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</si>
  <si>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</si>
  <si>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</si>
  <si>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</si>
  <si>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</si>
  <si>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</si>
  <si>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</si>
  <si>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Usar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</si>
  <si>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</si>
  <si>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</si>
  <si>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</si>
  <si>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</si>
  <si>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</si>
  <si>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</si>
  <si>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</si>
  <si>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</si>
  <si>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</si>
  <si>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</si>
  <si>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</si>
  <si>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</si>
  <si>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</si>
  <si>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</si>
  <si>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</si>
  <si>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</si>
  <si>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</si>
  <si>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</si>
  <si>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</si>
  <si>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</si>
  <si>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</si>
  <si>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</si>
  <si>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</si>
  <si>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</si>
  <si>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</si>
  <si>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</si>
  <si>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</si>
  <si>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</si>
  <si>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</si>
  <si>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</si>
  <si>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</si>
  <si>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</si>
  <si>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</si>
  <si>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</si>
  <si>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</si>
  <si>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</si>
  <si>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</si>
  <si>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</si>
  <si>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</si>
  <si>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</si>
  <si>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</si>
  <si>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</si>
  <si>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</si>
  <si>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</si>
  <si>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</si>
  <si>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</si>
  <si>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</si>
  <si>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</si>
  <si>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</si>
  <si>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</si>
  <si>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</si>
  <si>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</si>
  <si>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</si>
  <si>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</si>
  <si>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</si>
  <si>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</si>
  <si>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</si>
  <si>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</si>
  <si>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</si>
  <si>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</si>
  <si>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</si>
  <si>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</si>
  <si>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</si>
  <si>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</si>
  <si>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</si>
  <si>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</si>
  <si>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</si>
  <si>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</si>
  <si>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</si>
  <si>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</si>
  <si>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</si>
  <si>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</si>
  <si>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</si>
  <si>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</si>
  <si>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</si>
  <si>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</si>
  <si>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</si>
  <si>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</si>
  <si>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</si>
  <si>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</si>
  <si>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</si>
  <si>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</si>
  <si>
    <t>Especialización en Logística y Gestión de la Cadena de Abastecimiento</t>
  </si>
  <si>
    <t>Presencial</t>
  </si>
  <si>
    <t>Modelos analíticos y estrategias logísticas</t>
  </si>
  <si>
    <t>Tecnologías digitales aplicadas a la logística</t>
  </si>
  <si>
    <t>Específica</t>
  </si>
  <si>
    <t>El egresado de la Especialización en Logística y Gestión de la Cadena de Abastecimiento posee habilidades para identificar problemáticas en las operaciones logísticas, analizar su impacto en la gestión organizacional y formular estrategias para su mejora. Su formación le permite diseñar propuestas que optimicen el abastecimiento, almacenamiento y distribución de materiales, evaluando su impacto en indicadores clave y costos. Además, está capacitado para planificar y controlar procesos logísticos en contextos de producción, comercialización y prestación de servicios, gestionando de manera eficiente los recursos disponibles. Su enfoque analítico y estratégico le permite tomar decisiones fundamentadas en datos, fortaleciendo la competitividad de las organizaciones en entornos dinámicos.</t>
  </si>
  <si>
    <t>El especialista en Logística y Gestión de la Cadena de Abastecimiento en las organizaciones gestiona los procesos de abastecimiento, almacenamiento, y distribución, aplicando modelos analíticos y herramientas digitales para la toma de decisiones, la mejora en los procesos, y la reducción en tiempos y costos en la cadena de suministro. Se caracteriza por su capacidad de análisis, enfoque estratégico y adaptación a entornos dinámicos, contribuyendo a la eficiencia y competitividad de las organizaciones.</t>
  </si>
  <si>
    <t>Analiza datos e información de la cadena de suministro mediante el uso de modelos cuantitativos y herramientas digitales, para determinar el tipo de estrategias que se pueden implementar en los procesos o en la toma de decisiones.</t>
  </si>
  <si>
    <t>Formulación y Evaluación de Proyectos</t>
  </si>
  <si>
    <t>X</t>
  </si>
  <si>
    <t>Simulación de Modelos de Producción y Logística</t>
  </si>
  <si>
    <t>Teoría de la Decisión Aplicada a la Logística</t>
  </si>
  <si>
    <t>Modelos para el Control de Inventarios</t>
  </si>
  <si>
    <t>Gerencia de la Cadena de Abastecimiento</t>
  </si>
  <si>
    <t>Metaheurísticas Aplicadas a la Logística</t>
  </si>
  <si>
    <t>Diseño de Experimentos</t>
  </si>
  <si>
    <t>Análisis Multivariado</t>
  </si>
  <si>
    <t>Sistemas de Gestión de la Producción</t>
  </si>
  <si>
    <t>Gestión de Compras y Proveedores</t>
  </si>
  <si>
    <t>Proyecto Aplicado a la Logística</t>
  </si>
  <si>
    <t>TP</t>
  </si>
  <si>
    <t>Analiza los procesos de la cadena de abastecimiento, para diseñar estrategias de integración y mejora en la gestión logística con base en modelos analíticos y herramientas digitales.</t>
  </si>
  <si>
    <t>Analiza escenarios de abastecimiento, almacenamiento y distribución, para plantear estrategias de mejora en los procesos de compras y gestión de proveedores de la cadena de suministro.</t>
  </si>
  <si>
    <t>Estructura una propuesta de proyecto en logística, para plantear estrategias de mejora en la gestión de la cadena de suministro, usando modelos analíticos e incorporando herramientas digitales.</t>
  </si>
  <si>
    <t>Aplica modelos de análisis con datos multivariados en la cadena de suministro, para identificar patrones que evidencien tendencias y oportunidades de mejora en los procesos logísticos.</t>
  </si>
  <si>
    <t>1. Contexto de la Gerencia de Proyectos y Gestión de la Integración
2. Gestión del Alcance y del Gestión del Tiempo
3. Gestión de Costos
4. Gestión de Recursos Humanos</t>
  </si>
  <si>
    <t xml:space="preserve">1. Introducción y Conceptos Básicos de Simulación 
2. Análisis de Entrada 
3. Análisis de Salida  
4. Comparación y Verificación de Alternativas </t>
  </si>
  <si>
    <t>1. Conceptos Generales de la Producción y la Logística 
2. Planeación Agregada de la Producción
3. Planeación y Programación de la Capacidad 
4. Planeación de Requerimientos de Materiales (MRP)</t>
  </si>
  <si>
    <t>Webinars</t>
  </si>
  <si>
    <t>Misión Académica Logística</t>
  </si>
  <si>
    <t>Seminario Internacional en Logística</t>
  </si>
  <si>
    <t>Las actividades pueden varias entre estas u otras:
Formativas
Resolución de problemas/Análisis de casos reales o simulados/Talleres/Representaciones gráficas o visuales (mapas conceptuales, infografías, presentaciones, entre otros)
Sumativas
Pruebas escritas/Proyectos aplicados/Estudios de caso/Simulaciones y modelado de procesos/Informes técnicos/Presentaciones orales o defensa de propuestas</t>
  </si>
  <si>
    <t>Evento que reúne expositores nacionales e internacionales con el objetivo de presentar investigaciones y desarrollos en logística y gestión de la cadena de suministro en diversos sectores económicos. Además, busca mostrar la aplicación de la logística y sus nuevas líneas de investigación en el sector real.</t>
  </si>
  <si>
    <t>Experiencia internacional en la que un grupo de estudiantes y profesores del programa visitan universidades, empresas y entidades en un país extranjero para conocer de primera mano las dinámicas, estrategias y mejores prácticas en logística y gestión de la cadena de suministro.</t>
  </si>
  <si>
    <t>Actuando con pensamiento crítico y enfoque en la gestión eficiente de la cadena de suministro</t>
  </si>
  <si>
    <t>Departamento de Planeación y Gestión de la Cadena de Abastecimiento
(Gestión de la cadena de abastecimiento / Planeación y optimización logística / Gestión de costos en la cadena de suministro / Logística de última milla)/Departamento de Innovación y Digitalización Logística
(Tecnologías aplicadas a la logística / Digitalización y automatización de procesos logísticos / Análisis de datos logísticos)/Departamento de Logística Global
( Gestión de operaciones en mercados internacionales)</t>
  </si>
  <si>
    <t>Diseñar estrategias de abastecimiento, almacenamiento y distribución alineadas con los objetivos organizacionales / Aplicar modelos de optimización para la reducción de costos y mejora del servicio logístico / Implementar estrategias para la logística de última milla asegurando entregas eficientes / Coordinar la relación entre proveedores, centros de distribución y clientes finales/Integrar herramientas digitales y sistemas de información para mejorar la trazabilidad y el control de inventarios / Implementar soluciones tecnológicas para la optimización y automatización de operaciones logísticas / Aplicar análisis de datos para la toma de decisiones estratégicas en la cadena de abastecimiento / Desarrollar proyectos de transformación digital para mejorar la competitividad logística/Gestionar operaciones de importación y exportación / Desarrollar estrategias de distribución en mercados nacionales e internacionales / Supervisar la logística internacional asegurando la eficiencia en el transporte multimodal y la reducción de costos en la distribución global</t>
  </si>
  <si>
    <t>Empresas de manufactura, retail, operadores logísticos, sector industrial, comercio electrónico/Empresas con redes de distribución digitalizadas, compañías con sistemas de gestión logística/Empresas de comercio exterior, compañías exportadoras e importadoras, agencias aduaneras</t>
  </si>
  <si>
    <t>El especialista en Logística y Gestión de la Cadena de Abastecimiento se diferencia por su capacidad para diseñar estrategias, optimizar procesos con herramientas digitales y analíticas y gestionar operaciones en distintos niveles al interior de las organizaciones. Su formación le permite tomar decisiones basadas en datos integrando tecnología y análisis en la cadena de suministro.</t>
  </si>
  <si>
    <t>Mejorar los procesos de abastecimiento, almacenamiento y distribución mediante técnicas y procedimientos sistemáticos</t>
  </si>
  <si>
    <t>Gestionar operaciones y reducir costos en la cadena de suministro</t>
  </si>
  <si>
    <t>Aplicando criterios de eficiencia y análisis de datos en la gestión de procesos</t>
  </si>
  <si>
    <t>Implementar herramientas digitales y sistemas de información para monitorear operaciones y gestionar costos en la cadena de suministro, aplicando criterios de eficiencia y análisis de datos en la gestión de procesos.</t>
  </si>
  <si>
    <t>Aplica modelos analíticos y procedimientos de gestión de la cadena de suministro para diseñar propuestas de mejora en abastecimiento, almacenamiento y distribución que orienten la toma de decisiones en contextos organizacionales del sector.</t>
  </si>
  <si>
    <t>Analiza datos y escenarios logísticos para plantear acciones de mejora en la gestión de procesos y de la cadena de suministro, con criterios de eficiencia que orienten la toma de decisiones.</t>
  </si>
  <si>
    <t>Aplica herramientas digitales y sistemas de información en la gestión de datos logísticos, para diseñar estrategias de reducción de costos y control de operaciones en la cadena de suministro.</t>
  </si>
  <si>
    <t>Congreso Internacional en Logística</t>
  </si>
  <si>
    <t>Congreso Internacional en BI</t>
  </si>
  <si>
    <t>Evento que reúne expositores nacionales e internacionales con el objetivo de presentar investigaciones y desarrollos en logística y gestión de la cadena de suministro soportados en datos, en diversos sectores económicos. Además, busca mostrar la aplicación de la logística y sus nuevas líneas de investigación en el sector real.</t>
  </si>
  <si>
    <t>Evento en el que profesores extranjeros orientan sesiones magistrales sobre un tema específico relacionado con la logística y la gestión de la cadena de suministro, brindando una perspectiva internacional sobre su aplicación y tendencias.</t>
  </si>
  <si>
    <t>Evalúa el alcance, tiempo, costos y recursos humanos en proyectos, para diseñar propuestas que orienten la toma de decisiones estratégicas en contextos organizacionales.</t>
  </si>
  <si>
    <t>Aplicar modelos analíticos y estrategias logísticas para mejorar los procesos de abastecimiento, almacenamiento y distribución mediante técnicas y procedimientos sistemáticos, actuando con pensamiento crítico y enfoque en la gestión eficiente de la cadena de suministro.</t>
  </si>
  <si>
    <t>Analiza datos de entrada y salida en modelos de simulación de producción y logística, para proponer mejoras en la gestión de procesos y el mejoramiento de costos, en contextos de la cadena de suministro.</t>
  </si>
  <si>
    <t xml:space="preserve">Analiza escenarios en abastecimiento, almacenamiento y distribución para aplicar modelos cuantitativos que orienten la toma de decisiones en logística y gestión de cadena de abastecimiento. </t>
  </si>
  <si>
    <t>Analiza datos de demanda y abastecimiento, para aplicar modelos determinísticos y probabilísticos en la gestión y control de inventarios en la cadena de suministro.</t>
  </si>
  <si>
    <t>Aplica técnicas heurísticas y metaheurísticas en problemas logísticos, para proponer estrategias de mejora en procesos de distribución, almacenamiento y transporte, que orienten la toma de decisiones.</t>
  </si>
  <si>
    <t>Analiza variables y factores en experimentos en el marco de la logística, para diseñar estrategias de mejoramiento en procesos de abastecimiento, almacenamiento y distribución.</t>
  </si>
  <si>
    <t>1. Identificación de Oportunidades de Mejora en la Gestión Logística y la Cadena de Suministro.
2. Formulación de Proyectos Logísticos
3. Evaluación y Validación de Estrategias Logísticas
4. Presentación y Comunicación de Resultados en Proyectos</t>
  </si>
  <si>
    <t>1. Fundamentos de la Gerencia de la Cadena de Abastecimiento
2. Integración y Colaboración en la Cadena de Suministro
3. Estrategia Logística
4. Indicadores de Desempeño y Evaluación de la Cadena de Suministro</t>
  </si>
  <si>
    <t>1. Programación Lineal Aplicada a la Logística
2. Técnicas y Modelos Avanzados de Optimización Aplicados a la logística 
3. Punto de Equilibrio 
4. Modelos Probabilísticos Aplicados a la Logística</t>
  </si>
  <si>
    <t>1. Modelos de Inventarios Determinísticos
2. Modelos de Inventarios Probabilísticos
3. Herramientas Adicionales para el Manejo de Inventarios 
4. Modelos de Inventarios de Demanda Dependiente (MRP)</t>
  </si>
  <si>
    <t xml:space="preserve">1. Bases Introductorias de Algorítmica 
2. Heurísticas Simples para Problemas Específicos 
3. Metaheurísticas
4. Metaheurísticas Casos Discretos </t>
  </si>
  <si>
    <t>1. Introducción y Conceptos Básicos en el Diseño de Experimentos
2. Experimentos Comparativos Simples 
3. Experimentos con un Solo Factor 
4. Bloques Aleatorizados</t>
  </si>
  <si>
    <t>1. Administración de las Compras y sus Proveedores
2. Estrategia de Compras y Proveedores
3. Organización del Abastecimiento 
4. Procesos y Tecnología para las Compras y su Relación con los Proveedores</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</si>
  <si>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</si>
  <si>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Las estrategias pueden variar entre estas u otras:
Trabajo directo
Clase magistral activa/Análisis o Estudio de casos/Resolución de problemas/Talleres prácticos
Trabajo independiente
Lecturas relacionadas o de materiales/complementarios/Resolución de problemas/Ejercicios aplicados/Desarrollo de proyectos/Talleres grupales o individuales/Análisis o Estudio de casos/Elaboración de informes o documentos técnicos</t>
  </si>
  <si>
    <t>Analiza los procesos de producción y logística, para aplicar estrategias de planeación y mejoramiento en la gestión de materiales y capacidades.</t>
  </si>
  <si>
    <t>1. Modelos de Pronósticos Monovariados
2. Modelos Causales
3. Modelos Auto regresivos
4. Análisis de Agrupamiento</t>
  </si>
  <si>
    <t xml:space="preserve">Charlas impartidas por expertos en diversas áreas de la ingeniería industrial incluyendo logística y gestión de cadena de abastecimiento, donde comparten sus experiencias profesionales y casos de éxito en el sector real. Estas sesiones permiten a los estudiantes reconocer y comprender problemas en el campo de la logística y la gestión de la cadena de abastecimiento. </t>
  </si>
  <si>
    <t>C.Fundamentación</t>
  </si>
  <si>
    <t>C.Profundización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</si>
</sst>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9"/>
      <color theme="0"/>
      <name val="Gill Sans MT"/>
      <family val="2"/>
    </font>
    <font>
      <sz val="11"/>
      <name val="Gill Sans MT"/>
      <family val="2"/>
    </font>
    <font>
      <sz val="8"/>
      <color theme="0"/>
      <name val="Gill Sans MT"/>
      <family val="2"/>
    </font>
    <font>
      <b/>
      <sz val="11"/>
      <color theme="0"/>
      <name val="Calibri"/>
      <family val="2"/>
      <scheme val="minor"/>
    </font>
    <font>
      <sz val="11"/>
      <color theme="0"/>
      <name val="Calibri"/>
      <family val="2"/>
      <scheme val="minor"/>
    </font>
    <font>
      <b/>
      <sz val="11"/>
      <color rgb="FFFFFFFF"/>
      <name val="Gill Sans MT"/>
      <family val="2"/>
    </font>
    <font>
      <sz val="8"/>
      <color rgb="FFFFFFFF"/>
      <name val="Gill Sans MT"/>
      <family val="2"/>
    </font>
    <font>
      <b/>
      <sz val="8"/>
      <color theme="0"/>
      <name val="Gill Sans MT"/>
      <family val="2"/>
    </font>
    <font>
      <sz val="8"/>
      <color rgb="FF000000"/>
      <name val="Gill Sans MT"/>
      <family val="2"/>
    </font>
    <font>
      <sz val="8"/>
      <name val="Gill Sans MT"/>
      <family val="2"/>
    </font>
    <font>
      <b/>
      <sz val="11"/>
      <color rgb="FF000000"/>
      <name val="Gill Sans MT"/>
      <family val="2"/>
    </font>
    <font>
      <sz val="8"/>
      <color theme="1"/>
      <name val="Gill Sans MT"/>
      <family val="2"/>
    </font>
  </fonts>
  <fills count="9">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rgb="FF1FB2DE"/>
        <bgColor rgb="FF000000"/>
      </patternFill>
    </fill>
    <fill>
      <patternFill patternType="solid">
        <fgColor rgb="FFDDEBF7"/>
        <bgColor rgb="FF000000"/>
      </patternFill>
    </fill>
  </fills>
  <borders count="26">
    <border>
      <left/>
      <right/>
      <top/>
      <bottom/>
      <diagonal/>
    </border>
    <border>
      <left style="thin">
        <color auto="1"/>
      </left>
      <right style="thin">
        <color auto="1"/>
      </right>
      <top style="thin">
        <color auto="1"/>
      </top>
      <bottom style="thin">
        <color auto="1"/>
      </bottom>
      <diagonal/>
    </border>
    <border>
      <left style="thin">
        <color rgb="FF1FB2DE"/>
      </left>
      <right style="thin">
        <color rgb="FF1FB2DE"/>
      </right>
      <top style="thin">
        <color rgb="FF1FB2DE"/>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1FB2DE"/>
      </left>
      <right style="thin">
        <color rgb="FF1FB2DE"/>
      </right>
      <top/>
      <bottom/>
      <diagonal/>
    </border>
    <border>
      <left style="thin">
        <color rgb="FF1FB2DE"/>
      </left>
      <right style="thin">
        <color rgb="FF1FB2DE"/>
      </right>
      <top/>
      <bottom style="thin">
        <color rgb="FF1FB2DE"/>
      </bottom>
      <diagonal/>
    </border>
    <border>
      <left style="thin">
        <color rgb="FF1FB2DE"/>
      </left>
      <right style="thin">
        <color rgb="FF1FB2DE"/>
      </right>
      <top style="medium">
        <color indexed="64"/>
      </top>
      <bottom/>
      <diagonal/>
    </border>
    <border>
      <left style="thin">
        <color rgb="FF1FB2DE"/>
      </left>
      <right style="thin">
        <color rgb="FF1FB2DE"/>
      </right>
      <top/>
      <bottom style="medium">
        <color indexed="64"/>
      </bottom>
      <diagonal/>
    </border>
    <border>
      <left style="thin">
        <color auto="1"/>
      </left>
      <right style="thin">
        <color auto="1"/>
      </right>
      <top style="thin">
        <color auto="1"/>
      </top>
      <bottom/>
      <diagonal/>
    </border>
    <border>
      <left/>
      <right/>
      <top style="thin">
        <color auto="1"/>
      </top>
      <bottom/>
      <diagonal/>
    </border>
    <border>
      <left style="thin">
        <color rgb="FF1FB2DE"/>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111">
    <xf numFmtId="0" fontId="0" fillId="0" borderId="0" xfId="0"/>
    <xf numFmtId="0" fontId="3" fillId="0" borderId="0" xfId="0" applyFont="1"/>
    <xf numFmtId="0" fontId="4" fillId="0" borderId="0" xfId="0" applyFont="1" applyAlignment="1">
      <alignment vertical="center"/>
    </xf>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vertical="center"/>
    </xf>
    <xf numFmtId="0" fontId="4" fillId="5" borderId="3" xfId="0" applyFont="1" applyFill="1" applyBorder="1" applyAlignment="1">
      <alignment vertical="center"/>
    </xf>
    <xf numFmtId="0" fontId="4" fillId="0" borderId="3" xfId="0" applyFont="1" applyBorder="1" applyAlignment="1">
      <alignment vertical="center"/>
    </xf>
    <xf numFmtId="0" fontId="3" fillId="5" borderId="3" xfId="0" applyFont="1" applyFill="1" applyBorder="1"/>
    <xf numFmtId="0" fontId="3" fillId="0" borderId="3" xfId="0" applyFont="1" applyBorder="1"/>
    <xf numFmtId="0" fontId="3" fillId="5" borderId="4" xfId="0" applyFont="1" applyFill="1" applyBorder="1"/>
    <xf numFmtId="0" fontId="4" fillId="5" borderId="4" xfId="0" applyFont="1" applyFill="1" applyBorder="1" applyAlignment="1">
      <alignment vertical="center"/>
    </xf>
    <xf numFmtId="0" fontId="3" fillId="0" borderId="4" xfId="0" applyFont="1" applyBorder="1"/>
    <xf numFmtId="0" fontId="3" fillId="0" borderId="8" xfId="0" applyFont="1" applyBorder="1" applyAlignment="1">
      <alignment horizontal="center"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4" xfId="0" applyFont="1" applyBorder="1" applyAlignment="1">
      <alignment horizontal="left" vertical="center" wrapText="1"/>
    </xf>
    <xf numFmtId="0" fontId="12" fillId="2" borderId="0" xfId="0" applyFont="1" applyFill="1" applyAlignment="1">
      <alignment wrapText="1"/>
    </xf>
    <xf numFmtId="0" fontId="4" fillId="0" borderId="0" xfId="0" applyFont="1" applyAlignment="1">
      <alignment vertical="center" wrapText="1"/>
    </xf>
    <xf numFmtId="0" fontId="4" fillId="0" borderId="0" xfId="0" applyFont="1" applyAlignment="1">
      <alignment wrapText="1"/>
    </xf>
    <xf numFmtId="0" fontId="4" fillId="0" borderId="12" xfId="0" applyFont="1" applyBorder="1" applyAlignment="1">
      <alignment horizontal="left" vertical="center" wrapText="1"/>
    </xf>
    <xf numFmtId="0" fontId="4" fillId="0" borderId="15" xfId="0" applyFont="1" applyBorder="1" applyAlignment="1">
      <alignment horizontal="left" vertical="center" wrapText="1"/>
    </xf>
    <xf numFmtId="0" fontId="3" fillId="0" borderId="0" xfId="0" applyFont="1" applyAlignment="1">
      <alignment vertical="center"/>
    </xf>
    <xf numFmtId="0" fontId="9" fillId="0" borderId="0" xfId="0" applyFont="1" applyAlignment="1">
      <alignment horizontal="left" vertical="center" wrapText="1"/>
    </xf>
    <xf numFmtId="0" fontId="13" fillId="6" borderId="2" xfId="0" applyFont="1" applyFill="1" applyBorder="1" applyAlignment="1">
      <alignment horizontal="center" vertical="center" wrapText="1"/>
    </xf>
    <xf numFmtId="0" fontId="3" fillId="0" borderId="14" xfId="0" applyFont="1" applyBorder="1" applyAlignment="1">
      <alignment vertical="center" wrapText="1"/>
    </xf>
    <xf numFmtId="0" fontId="3" fillId="0" borderId="9" xfId="0" applyFont="1" applyBorder="1" applyAlignment="1">
      <alignment vertical="center" wrapText="1"/>
    </xf>
    <xf numFmtId="0" fontId="5" fillId="2" borderId="17" xfId="0" applyFont="1" applyFill="1" applyBorder="1" applyAlignment="1">
      <alignment horizontal="center" vertical="center" wrapText="1"/>
    </xf>
    <xf numFmtId="0" fontId="3" fillId="0" borderId="9" xfId="0" applyFont="1" applyBorder="1" applyAlignment="1">
      <alignment vertical="center"/>
    </xf>
    <xf numFmtId="0" fontId="3" fillId="0" borderId="14" xfId="0" applyFont="1" applyBorder="1" applyAlignment="1">
      <alignment vertical="center"/>
    </xf>
    <xf numFmtId="0" fontId="5" fillId="2" borderId="1" xfId="0" applyFont="1" applyFill="1" applyBorder="1" applyAlignment="1">
      <alignment horizontal="center" vertical="center" wrapText="1"/>
    </xf>
    <xf numFmtId="0" fontId="3" fillId="0" borderId="18" xfId="0" applyFont="1" applyBorder="1" applyAlignment="1">
      <alignment vertical="center" wrapText="1"/>
    </xf>
    <xf numFmtId="0" fontId="3" fillId="0" borderId="16" xfId="0" applyFont="1" applyBorder="1" applyAlignment="1">
      <alignment vertical="center" wrapText="1"/>
    </xf>
    <xf numFmtId="0" fontId="7" fillId="3" borderId="20" xfId="0" applyFont="1" applyFill="1" applyBorder="1" applyAlignment="1">
      <alignment horizontal="center" vertical="center" wrapText="1"/>
    </xf>
    <xf numFmtId="0" fontId="3" fillId="0" borderId="19" xfId="0" applyFont="1" applyBorder="1" applyAlignment="1">
      <alignment vertical="center" wrapText="1"/>
    </xf>
    <xf numFmtId="0" fontId="14" fillId="6"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4" fillId="0" borderId="21" xfId="0" applyFont="1" applyBorder="1" applyAlignment="1">
      <alignment vertical="center" wrapText="1"/>
    </xf>
    <xf numFmtId="0" fontId="13" fillId="6"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7" fillId="7" borderId="1" xfId="0" applyFont="1" applyFill="1" applyBorder="1" applyAlignment="1">
      <alignment horizontal="center" vertical="center" wrapText="1"/>
    </xf>
    <xf numFmtId="0" fontId="18"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16" fillId="8" borderId="24" xfId="0" applyFont="1" applyFill="1" applyBorder="1" applyAlignment="1">
      <alignment horizontal="center" vertical="center" wrapText="1"/>
    </xf>
    <xf numFmtId="0" fontId="16" fillId="7" borderId="25" xfId="0" applyFont="1" applyFill="1" applyBorder="1" applyAlignment="1">
      <alignment horizontal="center" vertical="center" wrapText="1"/>
    </xf>
    <xf numFmtId="0" fontId="14" fillId="6" borderId="25" xfId="0" applyFont="1" applyFill="1" applyBorder="1" applyAlignment="1">
      <alignment horizontal="center" vertical="center" wrapText="1"/>
    </xf>
    <xf numFmtId="0" fontId="18" fillId="8" borderId="24" xfId="0" applyFont="1" applyFill="1" applyBorder="1" applyAlignment="1">
      <alignment horizontal="center" vertical="center" wrapText="1"/>
    </xf>
    <xf numFmtId="0" fontId="18" fillId="7" borderId="25" xfId="0" applyFont="1" applyFill="1" applyBorder="1" applyAlignment="1">
      <alignment horizontal="center" vertical="center" wrapText="1"/>
    </xf>
    <xf numFmtId="0" fontId="13" fillId="6" borderId="25" xfId="0" applyFont="1" applyFill="1" applyBorder="1" applyAlignment="1">
      <alignment horizontal="center" vertical="center" wrapText="1"/>
    </xf>
    <xf numFmtId="0" fontId="9" fillId="0" borderId="9" xfId="0" applyFont="1" applyBorder="1" applyAlignment="1">
      <alignment horizontal="left" vertical="center" wrapText="1"/>
    </xf>
    <xf numFmtId="0" fontId="9" fillId="0" borderId="14" xfId="0" applyFont="1" applyBorder="1" applyAlignment="1">
      <alignment horizontal="left" vertical="center" wrapText="1"/>
    </xf>
    <xf numFmtId="0" fontId="3" fillId="0" borderId="21" xfId="0" applyFont="1" applyBorder="1" applyAlignment="1">
      <alignment horizontal="left" vertical="center" wrapText="1"/>
    </xf>
    <xf numFmtId="0" fontId="3" fillId="0" borderId="21" xfId="0" applyFont="1" applyBorder="1" applyAlignment="1">
      <alignment vertical="center" wrapText="1"/>
    </xf>
    <xf numFmtId="0" fontId="9" fillId="0" borderId="21" xfId="0" applyFont="1" applyBorder="1" applyAlignment="1">
      <alignment horizontal="left" vertical="center" wrapText="1"/>
    </xf>
    <xf numFmtId="0" fontId="3" fillId="0" borderId="21" xfId="0" applyFont="1" applyBorder="1" applyAlignment="1">
      <alignment vertical="center"/>
    </xf>
    <xf numFmtId="0" fontId="19" fillId="0" borderId="0" xfId="0" applyFont="1" applyAlignment="1">
      <alignment horizontal="center" vertical="center" wrapText="1"/>
    </xf>
    <xf numFmtId="0" fontId="3" fillId="0" borderId="9" xfId="0" applyFont="1" applyBorder="1" applyAlignment="1">
      <alignment horizontal="center" vertical="center" wrapText="1"/>
    </xf>
    <xf numFmtId="0" fontId="3" fillId="0" borderId="0" xfId="0" applyFont="1" applyAlignment="1">
      <alignment horizontal="center" vertical="center" wrapText="1"/>
    </xf>
    <xf numFmtId="0" fontId="3" fillId="0" borderId="14" xfId="0" applyFont="1" applyBorder="1" applyAlignment="1">
      <alignment horizontal="center" vertical="center" wrapText="1"/>
    </xf>
    <xf numFmtId="0" fontId="3" fillId="0" borderId="9" xfId="0" applyFont="1" applyBorder="1" applyAlignment="1">
      <alignment horizontal="left" vertical="center" wrapText="1"/>
    </xf>
    <xf numFmtId="0" fontId="3" fillId="0" borderId="0" xfId="0" applyFont="1" applyAlignment="1">
      <alignment horizontal="left" vertical="center" wrapText="1"/>
    </xf>
    <xf numFmtId="0" fontId="3" fillId="0" borderId="14" xfId="0" applyFont="1" applyBorder="1" applyAlignment="1">
      <alignment horizontal="left" vertical="center" wrapText="1"/>
    </xf>
    <xf numFmtId="0" fontId="4" fillId="0" borderId="9" xfId="0" applyFont="1" applyBorder="1" applyAlignment="1">
      <alignment horizontal="center" vertical="center" wrapText="1"/>
    </xf>
    <xf numFmtId="0" fontId="4" fillId="0" borderId="0" xfId="0" applyFont="1" applyAlignment="1">
      <alignment horizontal="center" vertical="center" wrapText="1"/>
    </xf>
    <xf numFmtId="0" fontId="4" fillId="0" borderId="14" xfId="0" applyFont="1" applyBorder="1" applyAlignment="1">
      <alignment horizontal="center" vertical="center" wrapText="1"/>
    </xf>
    <xf numFmtId="0" fontId="4" fillId="0" borderId="9" xfId="0" applyFont="1" applyBorder="1" applyAlignment="1">
      <alignment vertical="center" wrapText="1"/>
    </xf>
    <xf numFmtId="0" fontId="4" fillId="0" borderId="0" xfId="0" applyFont="1" applyAlignment="1">
      <alignment vertical="center" wrapText="1"/>
    </xf>
    <xf numFmtId="0" fontId="4" fillId="0" borderId="14" xfId="0" applyFont="1" applyBorder="1" applyAlignment="1">
      <alignment vertical="center" wrapText="1"/>
    </xf>
    <xf numFmtId="0" fontId="9" fillId="0" borderId="9" xfId="0" applyFont="1" applyBorder="1" applyAlignment="1">
      <alignment horizontal="left" vertical="center" wrapText="1"/>
    </xf>
    <xf numFmtId="0" fontId="9" fillId="0" borderId="0" xfId="0" applyFont="1" applyAlignment="1">
      <alignment horizontal="left" vertical="center" wrapText="1"/>
    </xf>
    <xf numFmtId="0" fontId="9" fillId="0" borderId="14" xfId="0" applyFont="1" applyBorder="1" applyAlignment="1">
      <alignment horizontal="left" vertical="center" wrapText="1"/>
    </xf>
    <xf numFmtId="0" fontId="4" fillId="0" borderId="9" xfId="0" applyFont="1" applyBorder="1" applyAlignment="1">
      <alignment horizontal="left" vertical="center" wrapText="1"/>
    </xf>
    <xf numFmtId="0" fontId="4" fillId="0" borderId="0" xfId="0" applyFont="1" applyAlignment="1">
      <alignment horizontal="left" vertical="center" wrapText="1"/>
    </xf>
    <xf numFmtId="0" fontId="4" fillId="0" borderId="14" xfId="0" applyFont="1" applyBorder="1" applyAlignment="1">
      <alignment horizontal="left" vertical="center" wrapText="1"/>
    </xf>
    <xf numFmtId="0" fontId="14" fillId="6" borderId="5"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3" fillId="0" borderId="9" xfId="0" applyFont="1" applyBorder="1" applyAlignment="1">
      <alignment vertical="center" wrapText="1"/>
    </xf>
    <xf numFmtId="0" fontId="3" fillId="0" borderId="0" xfId="0" applyFont="1" applyAlignment="1">
      <alignment vertical="center" wrapText="1"/>
    </xf>
    <xf numFmtId="0" fontId="3" fillId="0" borderId="14" xfId="0" applyFont="1" applyBorder="1" applyAlignment="1">
      <alignment vertical="center" wrapText="1"/>
    </xf>
    <xf numFmtId="0" fontId="4" fillId="0" borderId="9" xfId="0" applyFont="1" applyBorder="1" applyAlignment="1">
      <alignment horizontal="center" vertical="center"/>
    </xf>
    <xf numFmtId="0" fontId="4" fillId="0" borderId="0" xfId="0" applyFont="1" applyAlignment="1">
      <alignment horizontal="center" vertical="center"/>
    </xf>
    <xf numFmtId="0" fontId="4" fillId="0" borderId="14" xfId="0" applyFont="1" applyBorder="1" applyAlignment="1">
      <alignment horizontal="center" vertical="center"/>
    </xf>
    <xf numFmtId="0" fontId="3" fillId="0" borderId="21" xfId="0" applyFont="1" applyBorder="1" applyAlignment="1">
      <alignment horizontal="center" vertical="center" wrapText="1"/>
    </xf>
    <xf numFmtId="0" fontId="15" fillId="2" borderId="1" xfId="0" applyFont="1" applyFill="1" applyBorder="1" applyAlignment="1">
      <alignment horizontal="center" vertical="center" wrapText="1"/>
    </xf>
    <xf numFmtId="0" fontId="3" fillId="0" borderId="21" xfId="0" applyFont="1" applyBorder="1" applyAlignment="1">
      <alignment horizontal="left" vertical="center" wrapText="1"/>
    </xf>
    <xf numFmtId="0" fontId="13" fillId="6" borderId="22" xfId="0" applyFont="1" applyFill="1" applyBorder="1" applyAlignment="1">
      <alignment horizontal="center" vertical="center" wrapText="1"/>
    </xf>
    <xf numFmtId="0" fontId="13" fillId="6" borderId="23" xfId="0" applyFont="1" applyFill="1" applyBorder="1" applyAlignment="1">
      <alignment horizontal="center" vertical="center" wrapText="1"/>
    </xf>
    <xf numFmtId="0" fontId="4" fillId="0" borderId="21" xfId="0" applyFont="1" applyBorder="1" applyAlignment="1">
      <alignment horizontal="center" vertical="center" wrapText="1"/>
    </xf>
    <xf numFmtId="0" fontId="9" fillId="0" borderId="21" xfId="0" applyFont="1" applyBorder="1" applyAlignment="1">
      <alignment vertical="center" wrapText="1"/>
    </xf>
    <xf numFmtId="0" fontId="9" fillId="0" borderId="0" xfId="0" applyFont="1" applyAlignment="1">
      <alignment vertical="center" wrapText="1"/>
    </xf>
    <xf numFmtId="0" fontId="9" fillId="0" borderId="14" xfId="0" applyFont="1" applyBorder="1" applyAlignment="1">
      <alignment vertical="center" wrapText="1"/>
    </xf>
    <xf numFmtId="0" fontId="3" fillId="0" borderId="0" xfId="0" applyFont="1" applyAlignment="1">
      <alignment horizontal="center" vertical="center"/>
    </xf>
    <xf numFmtId="0" fontId="3" fillId="0" borderId="14" xfId="0" applyFont="1" applyBorder="1" applyAlignment="1">
      <alignment horizontal="center" vertical="center"/>
    </xf>
    <xf numFmtId="0" fontId="3" fillId="0" borderId="9" xfId="0" applyFont="1" applyBorder="1" applyAlignment="1">
      <alignment horizontal="center" vertical="center"/>
    </xf>
    <xf numFmtId="0" fontId="9" fillId="0" borderId="9" xfId="0" applyFont="1" applyBorder="1" applyAlignment="1">
      <alignment vertical="center" wrapText="1"/>
    </xf>
    <xf numFmtId="0" fontId="3" fillId="0" borderId="0" xfId="0" applyFont="1" applyAlignment="1">
      <alignment horizontal="center"/>
    </xf>
    <xf numFmtId="0" fontId="5" fillId="4" borderId="1" xfId="0" applyFont="1" applyFill="1" applyBorder="1" applyAlignment="1">
      <alignment horizontal="center"/>
    </xf>
    <xf numFmtId="0" fontId="5" fillId="4" borderId="5" xfId="0" applyFont="1" applyFill="1" applyBorder="1" applyAlignment="1">
      <alignment horizontal="center"/>
    </xf>
    <xf numFmtId="0" fontId="5" fillId="4" borderId="6" xfId="0" applyFont="1" applyFill="1" applyBorder="1" applyAlignment="1">
      <alignment horizontal="center"/>
    </xf>
    <xf numFmtId="0" fontId="5" fillId="4" borderId="7" xfId="0" applyFont="1" applyFill="1" applyBorder="1" applyAlignment="1">
      <alignment horizontal="center"/>
    </xf>
  </cellXfs>
  <cellStyles count="1">
    <cellStyle name="Normal" xfId="0" builtinId="0"/>
  </cellStyles>
  <dxfs count="179">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78"/>
    </tableStyle>
    <tableStyle name="Estilo de tabla 2" pivot="0" count="1" xr9:uid="{C6F8D6C6-DD7E-42E8-8328-19C722F9F97F}">
      <tableStyleElement type="wholeTable" dxfId="177"/>
    </tableStyle>
    <tableStyle name="Estilo de tabla 3" pivot="0" count="1" xr9:uid="{BD8219D8-F95E-4ADD-BD98-5883EDA7E91C}">
      <tableStyleElement type="headerRow" dxfId="176"/>
    </tableStyle>
  </tableStyles>
  <colors>
    <mruColors>
      <color rgb="FF0F385A"/>
      <color rgb="FF1FB2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B2A92B26-EF0C-4878-B50A-6837C8B938F9}" name="Tabla33103" displayName="Tabla33103" ref="B1:B37" totalsRowShown="0" headerRowDxfId="175" dataDxfId="174">
  <autoFilter ref="B1:B37" xr:uid="{B2A92B26-EF0C-4878-B50A-6837C8B938F9}"/>
  <sortState xmlns:xlrd2="http://schemas.microsoft.com/office/spreadsheetml/2017/richdata2" ref="B2:B37">
    <sortCondition ref="B1:B37"/>
  </sortState>
  <tableColumns count="1">
    <tableColumn id="1" xr3:uid="{29152045-E0EB-4BF0-98F0-61C280340B30}" name="Verbos Competencias" dataDxfId="17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72" dataDxfId="171">
  <autoFilter ref="A3:A7" xr:uid="{48FC5A9A-4920-4623-A07A-3CF9371DCF4A}"/>
  <tableColumns count="1">
    <tableColumn id="1" xr3:uid="{63D540FA-82EB-4145-8DC7-B519D8CD7CC0}" name="Taxonomías" dataDxfId="170"/>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69" dataDxfId="168">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6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66" dataDxfId="165">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6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63" dataDxfId="162">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6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60" dataDxfId="159">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5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57" dataDxfId="156">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5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54" dataDxfId="153">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5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51" dataDxfId="150">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49"/>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148" dataDxfId="147">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4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45" dataDxfId="144">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4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42" dataDxfId="141">
  <autoFilter ref="V3:V36" xr:uid="{2AA761F5-FCA1-4A0B-90D8-1C642DDF1D1A}"/>
  <sortState xmlns:xlrd2="http://schemas.microsoft.com/office/spreadsheetml/2017/richdata2" ref="V4:V36">
    <sortCondition ref="V4:V36"/>
  </sortState>
  <tableColumns count="1">
    <tableColumn id="1" xr3:uid="{AF14FE7A-A899-43F9-A3C0-8119863088B1}" name="AnálisisBAK" dataDxfId="14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39" dataDxfId="138">
  <autoFilter ref="W3:W63" xr:uid="{F6A45780-86A0-4428-88DB-1A555C4970E6}"/>
  <sortState xmlns:xlrd2="http://schemas.microsoft.com/office/spreadsheetml/2017/richdata2" ref="W4:W63">
    <sortCondition ref="W4:W63"/>
  </sortState>
  <tableColumns count="1">
    <tableColumn id="1" xr3:uid="{8D1F3CAA-A929-411E-B3AB-90C77CB5BC14}" name="SíntesisBAK" dataDxfId="137"/>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36" dataDxfId="135">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34"/>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33" dataDxfId="132">
  <autoFilter ref="Y3:Y52" xr:uid="{0C46EE9B-0911-4522-BB5D-1931406AB4AB}"/>
  <tableColumns count="1">
    <tableColumn id="1" xr3:uid="{CDE7758F-9A83-44EB-B2E4-CC670F5593B8}" name="ImitaciónBAK" dataDxfId="131"/>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130" dataDxfId="129">
  <autoFilter ref="Z3:Z40" xr:uid="{300A78DD-9219-4A2F-A2DA-93669B9B6AF3}"/>
  <tableColumns count="1">
    <tableColumn id="1" xr3:uid="{3C407CCE-B486-4656-BA81-116BE1090143}" name="ManipulaciónBAK" dataDxfId="128"/>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68" totalsRowShown="0" headerRowDxfId="127" dataDxfId="126">
  <autoFilter ref="AA3:AA68" xr:uid="{6877FA86-1F49-4E2D-9448-AFF0346B8BB8}"/>
  <tableColumns count="1">
    <tableColumn id="1" xr3:uid="{D21AF291-1BAF-43EA-AFD3-DAFB2D955E09}" name="PrecisiónBAK" dataDxfId="125"/>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124" dataDxfId="123">
  <autoFilter ref="AB3:AB62" xr:uid="{FD38FA61-1361-4EA5-A764-8E58B96581E9}"/>
  <tableColumns count="1">
    <tableColumn id="1" xr3:uid="{982D722A-3D7A-4AAD-A2DF-5EE8DF5E4D9D}" name="ControlBAK" dataDxfId="122"/>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121" dataDxfId="120">
  <autoFilter ref="AC3:AC43" xr:uid="{503448E5-D0D5-4B82-B461-0CD544CE9D23}"/>
  <tableColumns count="1">
    <tableColumn id="1" xr3:uid="{03441D59-E383-407F-99E2-74596636CEF0}" name="PercepciónBAK" dataDxfId="119"/>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3" totalsRowShown="0" headerRowDxfId="118" dataDxfId="117">
  <autoFilter ref="AD3:AD33" xr:uid="{08B46976-D2F4-4AEA-B0BA-6ECF06521BA8}"/>
  <tableColumns count="1">
    <tableColumn id="1" xr3:uid="{0C49A45E-6C59-4AAB-BD6C-F53324766649}" name="ResponderBAK" dataDxfId="116"/>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115" dataDxfId="114">
  <autoFilter ref="AE3:AE38" xr:uid="{49448539-0C4F-43C9-9924-5A219B16757C}"/>
  <tableColumns count="1">
    <tableColumn id="1" xr3:uid="{E2890547-6570-4474-811E-70109D5F5465}" name="ValorarBAK" dataDxfId="113"/>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112" dataDxfId="111">
  <autoFilter ref="AF3:AF29" xr:uid="{21E76DB2-0E8B-466D-A413-2ABD524DDEEA}"/>
  <tableColumns count="1">
    <tableColumn id="1" xr3:uid="{674DA899-A4D0-4618-B839-C8613BA61338}" name="OrganizarBAK" dataDxfId="110"/>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109" dataDxfId="108">
  <autoFilter ref="AG3:AG29" xr:uid="{835318B2-CEAD-4A84-8E6B-21115489F3F9}"/>
  <tableColumns count="1">
    <tableColumn id="1" xr3:uid="{C98AB4FD-C9CE-4966-B509-E36C390C09C7}" name="CaracterizarBAK" dataDxfId="107"/>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106" dataDxfId="105">
  <autoFilter ref="L3:L45" xr:uid="{9E4643CC-87B6-4485-9E83-A8ED35E11905}"/>
  <sortState xmlns:xlrd2="http://schemas.microsoft.com/office/spreadsheetml/2017/richdata2" ref="L4:L45">
    <sortCondition ref="L4:L45"/>
  </sortState>
  <tableColumns count="1">
    <tableColumn id="1" xr3:uid="{29725637-71B1-4F7E-96A8-CB90D5C646B2}" name="ConocimientoB" dataDxfId="104"/>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103" dataDxfId="102">
  <autoFilter ref="M3:M42" xr:uid="{C726BD4C-A167-44A9-8F1B-6936952A7A59}"/>
  <sortState xmlns:xlrd2="http://schemas.microsoft.com/office/spreadsheetml/2017/richdata2" ref="M4:M42">
    <sortCondition ref="M4:M42"/>
  </sortState>
  <tableColumns count="1">
    <tableColumn id="1" xr3:uid="{302CEF3F-D9B7-44E2-B341-CAA4B0E1BEB1}" name="ComprensiónB" dataDxfId="101"/>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100" dataDxfId="99">
  <autoFilter ref="N3:N43" xr:uid="{85965F80-D722-4217-9624-BAE055366227}"/>
  <sortState xmlns:xlrd2="http://schemas.microsoft.com/office/spreadsheetml/2017/richdata2" ref="N4:N43">
    <sortCondition ref="N4:N43"/>
  </sortState>
  <tableColumns count="1">
    <tableColumn id="1" xr3:uid="{8CDFD0B2-187A-490F-B898-52C789C626A8}" name="AplicaciónB" dataDxfId="98"/>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97" dataDxfId="96">
  <autoFilter ref="O3:O36" xr:uid="{4F44782F-9CE2-445E-8EAA-F5D6BC4CE9FF}"/>
  <sortState xmlns:xlrd2="http://schemas.microsoft.com/office/spreadsheetml/2017/richdata2" ref="O4:O36">
    <sortCondition ref="O4:O36"/>
  </sortState>
  <tableColumns count="1">
    <tableColumn id="1" xr3:uid="{7941CE9F-DC23-4AFF-A5EC-374F0F21BBEB}" name="AnálisisB" dataDxfId="95"/>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94" dataDxfId="93">
  <autoFilter ref="P3:P63" xr:uid="{8357A631-F2AC-40DB-8ACA-80F00DED06A3}"/>
  <sortState xmlns:xlrd2="http://schemas.microsoft.com/office/spreadsheetml/2017/richdata2" ref="P4:P63">
    <sortCondition ref="P4:P63"/>
  </sortState>
  <tableColumns count="1">
    <tableColumn id="1" xr3:uid="{E9C49887-DB96-4751-9494-F1CFAE7E02AD}" name="SíntesisB" dataDxfId="92"/>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91" dataDxfId="90">
  <autoFilter ref="Q3:Q66" xr:uid="{141F631B-4F40-430C-9880-8A1F264F50D0}"/>
  <sortState xmlns:xlrd2="http://schemas.microsoft.com/office/spreadsheetml/2017/richdata2" ref="Q4:Q66">
    <sortCondition ref="Q4:Q66"/>
  </sortState>
  <tableColumns count="1">
    <tableColumn id="1" xr3:uid="{42FB5979-4CFB-474A-948A-4C9E2A15A2FA}" name="EvaluaciónB" dataDxfId="89"/>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88" dataDxfId="87">
  <autoFilter ref="E3:E6" xr:uid="{284779C2-7F70-4C90-85C0-9E3404733D87}"/>
  <tableColumns count="1">
    <tableColumn id="1" xr3:uid="{CE47A420-A4CC-4416-8E2B-4A40C2078194}" name="MK" dataDxfId="86"/>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85" dataDxfId="84">
  <autoFilter ref="D3:D7" xr:uid="{0359C141-9677-47C3-845D-242D3C20A7BD}"/>
  <tableColumns count="1">
    <tableColumn id="1" xr3:uid="{027F3234-EBF7-434A-A95C-3D90248F7600}" name="AK" dataDxfId="83"/>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82" dataDxfId="81">
  <autoFilter ref="C3:C6" xr:uid="{60F5C8CF-3F5B-45A8-90A3-91960BC0CC3F}"/>
  <tableColumns count="1">
    <tableColumn id="1" xr3:uid="{7261A279-5B41-48E2-A232-E66D4B2C997C}" name="BAK" dataDxfId="80"/>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79" dataDxfId="78">
  <autoFilter ref="I3:I9" xr:uid="{46409B6B-E133-4AC9-A20A-4A73C6DBD813}"/>
  <tableColumns count="1">
    <tableColumn id="1" xr3:uid="{12B3014A-6B1D-4C6D-9FA4-0161E9656EA6}" name="ActitudinalB" dataDxfId="77"/>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76" dataDxfId="75">
  <autoFilter ref="H3:H9" xr:uid="{4FBECC47-261F-41D0-B554-ADEA02FBDD3E}"/>
  <tableColumns count="1">
    <tableColumn id="1" xr3:uid="{D263AD73-E936-424B-80A9-E791CCE4D60C}" name="ProcedimentalB" dataDxfId="74"/>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73" dataDxfId="72">
  <autoFilter ref="G3:G9" xr:uid="{E7A59938-F7EA-457A-87F1-AA0873A8FDA8}"/>
  <tableColumns count="1">
    <tableColumn id="1" xr3:uid="{9BE87125-AAAE-4780-B69A-FA583B2B341A}" name="CognitivoB" dataDxfId="71"/>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70" dataDxfId="69">
  <autoFilter ref="G11:G17" xr:uid="{FB5563E9-3423-496B-A7C6-740A8638246F}"/>
  <tableColumns count="1">
    <tableColumn id="1" xr3:uid="{D2F8054E-C594-43A9-96F5-5294D078E620}" name="CognitivoAK" dataDxfId="68"/>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67" dataDxfId="66">
  <autoFilter ref="H11:H17" xr:uid="{5235961D-4B2F-4CB8-AC75-46CF8A859099}"/>
  <tableColumns count="1">
    <tableColumn id="1" xr3:uid="{DF3A0232-2B49-4FF7-B62E-7F56B2A16095}" name="ConceptosAK" dataDxfId="65"/>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64" dataDxfId="63">
  <autoFilter ref="I11:I17" xr:uid="{74EFBE03-70FE-4E61-AF1A-7CAE74394FB0}"/>
  <tableColumns count="1">
    <tableColumn id="1" xr3:uid="{02D20833-4DB8-415C-A919-A0178DA3CC95}" name="ProcedimientosAK" dataDxfId="62"/>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61" dataDxfId="60">
  <autoFilter ref="J11:J17" xr:uid="{01D445B2-006B-45B1-9326-AB65B144ABD8}"/>
  <tableColumns count="1">
    <tableColumn id="1" xr3:uid="{B548BB39-2B40-4E98-AE24-D564B24A0831}" name="MetacogniciónAK" dataDxfId="59"/>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InformaciónMK" displayName="InformaciónMK" ref="G19:G25" totalsRowShown="0" headerRowDxfId="58" dataDxfId="57">
  <autoFilter ref="G19:G25" xr:uid="{8F99EDF7-BECB-4CB8-94CB-15DEF8DBE8E0}"/>
  <tableColumns count="1">
    <tableColumn id="1" xr3:uid="{995D4B7F-2557-48EF-AE97-D4FE09E63D59}" name="InformaciónMK" dataDxfId="56"/>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ProcesosMentalesMK" displayName="ProcesosMentalesMK" ref="H19:H25" totalsRowShown="0" headerRowDxfId="55" dataDxfId="54">
  <autoFilter ref="H19:H25" xr:uid="{DFB0C1EA-F7F7-4443-9626-BCD7D06ACAA7}"/>
  <tableColumns count="1">
    <tableColumn id="1" xr3:uid="{977268A2-A618-4E2F-BE67-44E018AA2B3D}" name="ProcesosMentalesMK" dataDxfId="53"/>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52" dataDxfId="51">
  <autoFilter ref="I19:I25" xr:uid="{AC2042AB-A078-4FDF-91CA-322668C40EBE}"/>
  <tableColumns count="1">
    <tableColumn id="1" xr3:uid="{AAE35896-9168-4715-8D56-25997B0AB9C8}" name="PsicomotorMK" dataDxfId="50"/>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BB4:BB28" totalsRowShown="0" headerRowDxfId="49" dataDxfId="48" tableBorderDxfId="47">
  <autoFilter ref="BB4:BB28" xr:uid="{538ED7E5-6B58-402B-94DF-D07C13DE2D9E}"/>
  <sortState xmlns:xlrd2="http://schemas.microsoft.com/office/spreadsheetml/2017/richdata2" ref="BB5:BB28">
    <sortCondition ref="BB5:BB28"/>
  </sortState>
  <tableColumns count="1">
    <tableColumn id="1" xr3:uid="{BBBA71C3-D37D-42D2-B57F-3792E560AED8}" name="RecuperaciónMK" dataDxfId="46"/>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BC4:BC56" totalsRowShown="0" headerRowDxfId="45" dataDxfId="44">
  <autoFilter ref="BC4:BC56" xr:uid="{0217E0C4-2DD9-4417-BE26-3FF0FF3F395D}"/>
  <sortState xmlns:xlrd2="http://schemas.microsoft.com/office/spreadsheetml/2017/richdata2" ref="BC5:BC56">
    <sortCondition ref="BC5:BC56"/>
  </sortState>
  <tableColumns count="1">
    <tableColumn id="1" xr3:uid="{EEF7A2C9-904A-475E-B946-D75F88E5CF1A}" name="ComprensiónMK" dataDxfId="43"/>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BD4:BD108" totalsRowShown="0" headerRowDxfId="42" dataDxfId="41" tableBorderDxfId="40">
  <autoFilter ref="BD4:BD108" xr:uid="{522023D2-447B-4863-8827-33272C577B77}"/>
  <sortState xmlns:xlrd2="http://schemas.microsoft.com/office/spreadsheetml/2017/richdata2" ref="BD5:BD108">
    <sortCondition ref="BD5:BD108"/>
  </sortState>
  <tableColumns count="1">
    <tableColumn id="1" xr3:uid="{9344A526-D889-455B-8393-6E992E4F8707}" name="AnálisisMK" dataDxfId="39"/>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BE4:BE70" totalsRowShown="0" headerRowDxfId="38" dataDxfId="37" tableBorderDxfId="36">
  <autoFilter ref="BE4:BE70" xr:uid="{6AB46F11-6BD0-4EBD-B99F-F1D1FC283558}"/>
  <sortState xmlns:xlrd2="http://schemas.microsoft.com/office/spreadsheetml/2017/richdata2" ref="BE5:BE70">
    <sortCondition ref="BE5:BE70"/>
  </sortState>
  <tableColumns count="1">
    <tableColumn id="1" xr3:uid="{9B864D54-9851-4B93-B3C8-06FA6FD5E1D3}" name="UsoConocimientoMK" dataDxfId="35"/>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BF4:BF92" totalsRowShown="0" headerRowDxfId="34" dataDxfId="33" tableBorderDxfId="32">
  <autoFilter ref="BF4:BF92" xr:uid="{5C094C7C-8551-4EC0-B36D-BC7DA6369C48}"/>
  <sortState xmlns:xlrd2="http://schemas.microsoft.com/office/spreadsheetml/2017/richdata2" ref="BF5:BF92">
    <sortCondition ref="BF5:BF92"/>
  </sortState>
  <tableColumns count="1">
    <tableColumn id="1" xr3:uid="{02A922E1-8BFE-426F-8C44-897F7B4F7498}" name="MetacogniciónMK" dataDxfId="31"/>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BG4:BG87" totalsRowShown="0" headerRowDxfId="30" dataDxfId="29" tableBorderDxfId="28">
  <autoFilter ref="BG4:BG87" xr:uid="{E028CBBA-0913-46A4-9A7A-1484F73BB293}"/>
  <tableColumns count="1">
    <tableColumn id="1" xr3:uid="{0478638C-EFB5-452E-960C-8B4E2E4D8F5A}" name="SistemadelYoMK" dataDxfId="27"/>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3AEC37-2B83-41E3-AA53-B1C4C9AAFED6}" name="Tabla11682" displayName="Tabla11682" ref="AR4:AR53" totalsRowShown="0" headerRowDxfId="26" dataDxfId="25">
  <autoFilter ref="AR4:AR53" xr:uid="{A93AEC37-2B83-41E3-AA53-B1C4C9AAFED6}"/>
  <sortState xmlns:xlrd2="http://schemas.microsoft.com/office/spreadsheetml/2017/richdata2" ref="AR5:AR53">
    <sortCondition ref="AR4:AR53"/>
  </sortState>
  <tableColumns count="1">
    <tableColumn id="1" xr3:uid="{BC599931-18FB-493B-998F-5EBFDA26F99A}" name="ImitaciónBAK" dataDxfId="24"/>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6786D6-3072-4AED-9E96-46E6FBDF3D96}" name="Tabla30694" displayName="Tabla30694" ref="AS4:AS42" totalsRowShown="0" headerRowDxfId="23" dataDxfId="22">
  <autoFilter ref="AS4:AS42" xr:uid="{5F6786D6-3072-4AED-9E96-46E6FBDF3D96}"/>
  <sortState xmlns:xlrd2="http://schemas.microsoft.com/office/spreadsheetml/2017/richdata2" ref="AS5:AS42">
    <sortCondition ref="AS4:AS42"/>
  </sortState>
  <tableColumns count="1">
    <tableColumn id="1" xr3:uid="{7541B21B-5B3A-458E-99AA-6AC7DBF28BEC}" name="ManipulaciónBAK" dataDxfId="21"/>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139879-F39C-4F39-932E-1A47FC0092F6}" name="Tabla41706" displayName="Tabla41706" ref="AT4:AT71" totalsRowShown="0" headerRowDxfId="20" dataDxfId="19">
  <autoFilter ref="AT4:AT71" xr:uid="{BA139879-F39C-4F39-932E-1A47FC0092F6}"/>
  <sortState xmlns:xlrd2="http://schemas.microsoft.com/office/spreadsheetml/2017/richdata2" ref="AT5:AT71">
    <sortCondition ref="AT4:AT71"/>
  </sortState>
  <tableColumns count="1">
    <tableColumn id="1" xr3:uid="{CEE9D729-59A2-41C0-AF9F-CCA72DF4F138}" name="PrecisiónBAK" dataDxfId="18"/>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6BCE83-DCD0-4239-95CE-6A6A7A146442}" name="Tabla42717" displayName="Tabla42717" ref="AU4:AU63" totalsRowShown="0" headerRowDxfId="17" dataDxfId="16">
  <autoFilter ref="AU4:AU63" xr:uid="{9D6BCE83-DCD0-4239-95CE-6A6A7A146442}"/>
  <sortState xmlns:xlrd2="http://schemas.microsoft.com/office/spreadsheetml/2017/richdata2" ref="AU5:AU63">
    <sortCondition ref="AU4:AU63"/>
  </sortState>
  <tableColumns count="1">
    <tableColumn id="1" xr3:uid="{A6259F30-12C1-4C84-9ECA-D290C3094A76}" name="ControlBAK" dataDxfId="15"/>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3318784-679D-484B-A0F4-4662B63A05DE}" name="Tabla437218" displayName="Tabla437218" ref="AV4:AV44" totalsRowShown="0" headerRowDxfId="14" dataDxfId="13">
  <autoFilter ref="AV4:AV44" xr:uid="{13318784-679D-484B-A0F4-4662B63A05DE}"/>
  <tableColumns count="1">
    <tableColumn id="1" xr3:uid="{30F45F34-6591-419F-827C-BF81F08B96E2}" name="PercepciónBAK" dataDxfId="12"/>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21176BB-02DC-4671-9FA9-797A042C6481}" name="Tabla447319" displayName="Tabla447319" ref="AW4:AW35" totalsRowShown="0" headerRowDxfId="11" dataDxfId="10">
  <autoFilter ref="AW4:AW35" xr:uid="{721176BB-02DC-4671-9FA9-797A042C6481}"/>
  <tableColumns count="1">
    <tableColumn id="1" xr3:uid="{F605F378-67F2-4F23-8E79-B8A90607E39A}" name="ResponderBAK" dataDxfId="9"/>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6EE921D-2080-42C6-AD5D-D4AB16D41154}" name="Tabla457420" displayName="Tabla457420" ref="AX4:AX39" totalsRowShown="0" headerRowDxfId="8" dataDxfId="7">
  <autoFilter ref="AX4:AX39" xr:uid="{26EE921D-2080-42C6-AD5D-D4AB16D41154}"/>
  <tableColumns count="1">
    <tableColumn id="1" xr3:uid="{686D7ECA-9035-4891-94AC-7D1EEE0CA2FF}" name="ValorarBAK" dataDxfId="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2FD5F7B-4A17-40C0-AA00-7F903470FD5C}" name="Tabla467521" displayName="Tabla467521" ref="AY4:AY31" totalsRowShown="0" headerRowDxfId="5" dataDxfId="4">
  <autoFilter ref="AY4:AY31" xr:uid="{C2FD5F7B-4A17-40C0-AA00-7F903470FD5C}"/>
  <sortState xmlns:xlrd2="http://schemas.microsoft.com/office/spreadsheetml/2017/richdata2" ref="AY5:AY31">
    <sortCondition ref="AY5:AY31"/>
  </sortState>
  <tableColumns count="1">
    <tableColumn id="1" xr3:uid="{D6CB45EB-499A-4E4F-AC0E-DC20DF7271A5}" name="OrganizarBAK" dataDxfId="3"/>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6D5E08D-ACF9-4A74-B1D2-CD9F4DF55DB1}" name="Tabla477622" displayName="Tabla477622" ref="AZ4:AZ30" totalsRowShown="0" headerRowDxfId="2" dataDxfId="1">
  <autoFilter ref="AZ4:AZ30" xr:uid="{F6D5E08D-ACF9-4A74-B1D2-CD9F4DF55DB1}"/>
  <tableColumns count="1">
    <tableColumn id="1" xr3:uid="{016529B9-A15E-4EE4-B1CE-6BB660F0619F}" name="CaracterizarB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50" Type="http://schemas.openxmlformats.org/officeDocument/2006/relationships/table" Target="../tables/table50.xml"/><Relationship Id="rId55" Type="http://schemas.openxmlformats.org/officeDocument/2006/relationships/table" Target="../tables/table55.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3" Type="http://schemas.openxmlformats.org/officeDocument/2006/relationships/table" Target="../tables/table53.xml"/><Relationship Id="rId58" Type="http://schemas.openxmlformats.org/officeDocument/2006/relationships/comments" Target="../comments6.xml"/><Relationship Id="rId5" Type="http://schemas.openxmlformats.org/officeDocument/2006/relationships/table" Target="../tables/table5.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56" Type="http://schemas.openxmlformats.org/officeDocument/2006/relationships/table" Target="../tables/table56.xml"/><Relationship Id="rId8" Type="http://schemas.openxmlformats.org/officeDocument/2006/relationships/table" Target="../tables/table8.xml"/><Relationship Id="rId51" Type="http://schemas.openxmlformats.org/officeDocument/2006/relationships/table" Target="../tables/table51.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54" Type="http://schemas.openxmlformats.org/officeDocument/2006/relationships/table" Target="../tables/table54.xml"/><Relationship Id="rId1" Type="http://schemas.openxmlformats.org/officeDocument/2006/relationships/vmlDrawing" Target="../drawings/vmlDrawing6.vml"/><Relationship Id="rId6" Type="http://schemas.openxmlformats.org/officeDocument/2006/relationships/table" Target="../tables/table6.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table" Target="../tables/table49.xml"/><Relationship Id="rId57" Type="http://schemas.openxmlformats.org/officeDocument/2006/relationships/table" Target="../tables/table57.xml"/><Relationship Id="rId10" Type="http://schemas.openxmlformats.org/officeDocument/2006/relationships/table" Target="../tables/table10.xml"/><Relationship Id="rId31" Type="http://schemas.openxmlformats.org/officeDocument/2006/relationships/table" Target="../tables/table31.xml"/><Relationship Id="rId44" Type="http://schemas.openxmlformats.org/officeDocument/2006/relationships/table" Target="../tables/table44.xml"/><Relationship Id="rId52" Type="http://schemas.openxmlformats.org/officeDocument/2006/relationships/table" Target="../tables/table5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2"/>
  <sheetViews>
    <sheetView zoomScaleNormal="100" workbookViewId="0"/>
  </sheetViews>
  <sheetFormatPr baseColWidth="10" defaultColWidth="76.21875" defaultRowHeight="18" x14ac:dyDescent="0.5"/>
  <cols>
    <col min="1" max="1" width="19.77734375" style="3" customWidth="1"/>
    <col min="2" max="2" width="16.77734375" style="3" customWidth="1"/>
    <col min="3" max="3" width="43" style="3" customWidth="1"/>
    <col min="4" max="4" width="57.5546875" style="3" customWidth="1"/>
    <col min="5" max="5" width="26.21875" style="3" customWidth="1"/>
    <col min="6" max="6" width="26.5546875" style="1" bestFit="1" customWidth="1"/>
    <col min="7" max="7" width="30.21875" style="1" customWidth="1"/>
    <col min="8" max="8" width="40" style="3" customWidth="1"/>
    <col min="9" max="9" width="75.77734375" style="3" customWidth="1"/>
    <col min="10" max="10" width="30" style="3" customWidth="1"/>
    <col min="11" max="11" width="53.21875" style="3" customWidth="1"/>
    <col min="12" max="16384" width="76.21875" style="3"/>
  </cols>
  <sheetData>
    <row r="1" spans="1:11" ht="54" x14ac:dyDescent="0.5">
      <c r="A1" s="44" t="s">
        <v>0</v>
      </c>
      <c r="B1" s="44" t="s">
        <v>1</v>
      </c>
      <c r="C1" s="44" t="s">
        <v>2</v>
      </c>
      <c r="D1" s="44" t="s">
        <v>3</v>
      </c>
      <c r="E1" s="94" t="s">
        <v>4</v>
      </c>
      <c r="F1" s="94"/>
      <c r="G1" s="94"/>
      <c r="H1" s="94" t="s">
        <v>5</v>
      </c>
      <c r="I1" s="94"/>
      <c r="J1" s="94"/>
      <c r="K1" s="45" t="s">
        <v>6</v>
      </c>
    </row>
    <row r="2" spans="1:11" s="4" customFormat="1" x14ac:dyDescent="0.5">
      <c r="A2" s="39" t="s">
        <v>7</v>
      </c>
      <c r="B2" s="39" t="s">
        <v>8</v>
      </c>
      <c r="C2" s="39" t="s">
        <v>9</v>
      </c>
      <c r="D2" s="39" t="s">
        <v>10</v>
      </c>
      <c r="E2" s="42" t="s">
        <v>11</v>
      </c>
      <c r="F2" s="42" t="s">
        <v>12</v>
      </c>
      <c r="G2" s="42" t="s">
        <v>13</v>
      </c>
      <c r="H2" s="46" t="s">
        <v>14</v>
      </c>
      <c r="I2" s="46" t="s">
        <v>15</v>
      </c>
      <c r="J2" s="46" t="s">
        <v>16</v>
      </c>
      <c r="K2" s="46" t="s">
        <v>17</v>
      </c>
    </row>
    <row r="3" spans="1:11" s="6" customFormat="1" ht="123.75" customHeight="1" x14ac:dyDescent="0.3">
      <c r="A3" s="93" t="s">
        <v>586</v>
      </c>
      <c r="B3" s="93" t="s">
        <v>587</v>
      </c>
      <c r="C3" s="93" t="s">
        <v>592</v>
      </c>
      <c r="D3" s="93" t="s">
        <v>591</v>
      </c>
      <c r="E3" s="47" t="s">
        <v>588</v>
      </c>
      <c r="F3" s="47" t="s">
        <v>625</v>
      </c>
      <c r="G3" s="47" t="s">
        <v>620</v>
      </c>
      <c r="H3" s="95" t="s">
        <v>621</v>
      </c>
      <c r="I3" s="95" t="s">
        <v>622</v>
      </c>
      <c r="J3" s="95" t="s">
        <v>623</v>
      </c>
      <c r="K3" s="93" t="s">
        <v>624</v>
      </c>
    </row>
    <row r="4" spans="1:11" s="6" customFormat="1" ht="123.75" customHeight="1" x14ac:dyDescent="0.3">
      <c r="A4" s="68"/>
      <c r="B4" s="68"/>
      <c r="C4" s="68"/>
      <c r="D4" s="68"/>
      <c r="E4" s="6" t="s">
        <v>589</v>
      </c>
      <c r="F4" s="27" t="s">
        <v>626</v>
      </c>
      <c r="G4" s="27" t="s">
        <v>627</v>
      </c>
      <c r="H4" s="71"/>
      <c r="I4" s="71"/>
      <c r="J4" s="71"/>
      <c r="K4" s="68"/>
    </row>
    <row r="5" spans="1:11" s="6" customFormat="1" x14ac:dyDescent="0.5">
      <c r="A5" s="5"/>
      <c r="B5" s="5"/>
      <c r="C5" s="5"/>
      <c r="D5" s="5"/>
      <c r="F5" s="28"/>
      <c r="G5" s="27"/>
    </row>
    <row r="6" spans="1:11" s="5" customFormat="1" x14ac:dyDescent="0.3">
      <c r="E6" s="6"/>
      <c r="F6" s="6"/>
      <c r="G6" s="31"/>
    </row>
    <row r="7" spans="1:11" x14ac:dyDescent="0.5">
      <c r="A7" s="5"/>
      <c r="B7" s="5"/>
      <c r="C7" s="7"/>
      <c r="D7" s="7"/>
      <c r="E7" s="5"/>
      <c r="F7" s="4"/>
      <c r="H7" s="4"/>
    </row>
    <row r="8" spans="1:11" x14ac:dyDescent="0.5">
      <c r="A8" s="5"/>
      <c r="B8" s="5"/>
      <c r="C8" s="7"/>
      <c r="D8" s="7"/>
      <c r="E8" s="5"/>
      <c r="F8" s="4"/>
      <c r="H8" s="4"/>
    </row>
    <row r="9" spans="1:11" x14ac:dyDescent="0.5">
      <c r="A9" s="5"/>
      <c r="B9" s="5"/>
      <c r="C9" s="7"/>
      <c r="D9" s="7"/>
      <c r="E9" s="5"/>
      <c r="F9" s="4"/>
    </row>
    <row r="10" spans="1:11" x14ac:dyDescent="0.5">
      <c r="A10" s="5"/>
      <c r="B10" s="5"/>
      <c r="C10" s="7"/>
      <c r="D10" s="7"/>
      <c r="E10" s="4"/>
      <c r="F10" s="4"/>
    </row>
    <row r="11" spans="1:11" x14ac:dyDescent="0.5">
      <c r="A11" s="5"/>
      <c r="B11" s="5"/>
      <c r="C11" s="7"/>
      <c r="D11" s="7"/>
      <c r="E11" s="4"/>
      <c r="F11" s="4"/>
    </row>
    <row r="12" spans="1:11" x14ac:dyDescent="0.5">
      <c r="A12" s="5"/>
      <c r="B12" s="5"/>
      <c r="C12" s="7"/>
      <c r="D12" s="7"/>
      <c r="E12" s="4"/>
      <c r="F12" s="4"/>
    </row>
    <row r="13" spans="1:11" x14ac:dyDescent="0.5">
      <c r="A13" s="5"/>
      <c r="B13" s="5"/>
      <c r="C13" s="7"/>
      <c r="D13" s="7"/>
      <c r="E13" s="4"/>
      <c r="F13" s="4"/>
    </row>
    <row r="14" spans="1:11" x14ac:dyDescent="0.5">
      <c r="A14" s="5"/>
      <c r="B14" s="5"/>
      <c r="C14" s="5"/>
      <c r="E14" s="4"/>
      <c r="F14" s="4"/>
    </row>
    <row r="15" spans="1:11" x14ac:dyDescent="0.5">
      <c r="A15" s="5"/>
      <c r="B15" s="5"/>
      <c r="C15" s="5"/>
      <c r="E15" s="4"/>
      <c r="F15" s="4"/>
    </row>
    <row r="16" spans="1:11" x14ac:dyDescent="0.5">
      <c r="A16" s="5"/>
      <c r="B16" s="5"/>
      <c r="C16" s="5"/>
      <c r="E16" s="4"/>
      <c r="F16" s="4"/>
    </row>
    <row r="17" spans="1:5" x14ac:dyDescent="0.5">
      <c r="A17" s="5"/>
      <c r="B17" s="5"/>
      <c r="C17" s="5"/>
      <c r="E17" s="4"/>
    </row>
    <row r="18" spans="1:5" x14ac:dyDescent="0.5">
      <c r="A18" s="5"/>
      <c r="B18" s="5"/>
      <c r="C18" s="5"/>
    </row>
    <row r="19" spans="1:5" x14ac:dyDescent="0.5">
      <c r="A19" s="5"/>
      <c r="B19" s="5"/>
      <c r="C19" s="5"/>
    </row>
    <row r="20" spans="1:5" x14ac:dyDescent="0.5">
      <c r="A20" s="5"/>
      <c r="B20" s="5"/>
      <c r="C20" s="5"/>
    </row>
    <row r="21" spans="1:5" x14ac:dyDescent="0.5">
      <c r="A21" s="5"/>
      <c r="B21" s="5"/>
      <c r="C21" s="5"/>
    </row>
    <row r="22" spans="1:5" x14ac:dyDescent="0.5">
      <c r="A22" s="5"/>
      <c r="B22" s="5"/>
      <c r="C22" s="5"/>
    </row>
  </sheetData>
  <mergeCells count="10">
    <mergeCell ref="K3:K4"/>
    <mergeCell ref="H1:J1"/>
    <mergeCell ref="E1:G1"/>
    <mergeCell ref="A3:A4"/>
    <mergeCell ref="B3:B4"/>
    <mergeCell ref="C3:C4"/>
    <mergeCell ref="D3:D4"/>
    <mergeCell ref="H3:H4"/>
    <mergeCell ref="I3:I4"/>
    <mergeCell ref="J3:J4"/>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7"/>
  <sheetViews>
    <sheetView zoomScaleNormal="100" workbookViewId="0">
      <selection sqref="A1:G1"/>
    </sheetView>
  </sheetViews>
  <sheetFormatPr baseColWidth="10" defaultColWidth="11.44140625" defaultRowHeight="18" x14ac:dyDescent="0.5"/>
  <cols>
    <col min="1" max="1" width="19" style="3" customWidth="1"/>
    <col min="2" max="2" width="22.77734375" style="3" customWidth="1"/>
    <col min="3" max="3" width="23.5546875" style="3" customWidth="1"/>
    <col min="4" max="4" width="29.77734375" style="3" customWidth="1"/>
    <col min="5" max="5" width="35.77734375" style="3" customWidth="1"/>
    <col min="6" max="6" width="57.77734375" style="3" customWidth="1"/>
    <col min="7" max="7" width="39" style="3" customWidth="1"/>
    <col min="8" max="16384" width="11.44140625" style="3"/>
  </cols>
  <sheetData>
    <row r="1" spans="1:7" ht="15" customHeight="1" x14ac:dyDescent="0.5">
      <c r="A1" s="96" t="s">
        <v>18</v>
      </c>
      <c r="B1" s="97"/>
      <c r="C1" s="97"/>
      <c r="D1" s="97"/>
      <c r="E1" s="97"/>
      <c r="F1" s="97"/>
      <c r="G1" s="97"/>
    </row>
    <row r="2" spans="1:7" ht="48" x14ac:dyDescent="0.5">
      <c r="A2" s="54" t="s">
        <v>19</v>
      </c>
      <c r="B2" s="55" t="s">
        <v>20</v>
      </c>
      <c r="C2" s="55" t="s">
        <v>21</v>
      </c>
      <c r="D2" s="55" t="s">
        <v>22</v>
      </c>
      <c r="E2" s="55" t="s">
        <v>23</v>
      </c>
      <c r="F2" s="56" t="s">
        <v>24</v>
      </c>
      <c r="G2" s="56" t="s">
        <v>25</v>
      </c>
    </row>
    <row r="3" spans="1:7" s="5" customFormat="1" x14ac:dyDescent="0.3">
      <c r="A3" s="57" t="s">
        <v>26</v>
      </c>
      <c r="B3" s="58" t="s">
        <v>27</v>
      </c>
      <c r="C3" s="58" t="s">
        <v>28</v>
      </c>
      <c r="D3" s="58" t="s">
        <v>29</v>
      </c>
      <c r="E3" s="58" t="s">
        <v>30</v>
      </c>
      <c r="F3" s="59" t="s">
        <v>31</v>
      </c>
      <c r="G3" s="59" t="s">
        <v>32</v>
      </c>
    </row>
    <row r="4" spans="1:7" s="5" customFormat="1" ht="90" x14ac:dyDescent="0.3">
      <c r="A4" s="5">
        <v>1</v>
      </c>
      <c r="B4" s="31" t="s">
        <v>113</v>
      </c>
      <c r="C4" s="5" t="s">
        <v>588</v>
      </c>
      <c r="D4" s="47" t="s">
        <v>625</v>
      </c>
      <c r="E4" s="47" t="s">
        <v>620</v>
      </c>
      <c r="F4" s="6" t="s">
        <v>637</v>
      </c>
      <c r="G4" s="5" t="s">
        <v>590</v>
      </c>
    </row>
    <row r="5" spans="1:7" s="5" customFormat="1" ht="72" x14ac:dyDescent="0.3">
      <c r="A5" s="5">
        <v>2</v>
      </c>
      <c r="B5" s="31" t="s">
        <v>133</v>
      </c>
      <c r="C5" s="5" t="s">
        <v>589</v>
      </c>
      <c r="D5" s="27" t="s">
        <v>626</v>
      </c>
      <c r="E5" s="27" t="s">
        <v>627</v>
      </c>
      <c r="F5" s="6" t="s">
        <v>628</v>
      </c>
      <c r="G5" s="5" t="s">
        <v>590</v>
      </c>
    </row>
    <row r="6" spans="1:7" x14ac:dyDescent="0.5">
      <c r="B6" s="1"/>
      <c r="D6" s="4"/>
      <c r="E6" s="1"/>
    </row>
    <row r="7" spans="1:7" x14ac:dyDescent="0.5">
      <c r="B7" s="1"/>
    </row>
  </sheetData>
  <mergeCells count="1">
    <mergeCell ref="A1:G1"/>
  </mergeCells>
  <dataValidations count="2">
    <dataValidation type="list" allowBlank="1" showInputMessage="1" showErrorMessage="1" sqref="C4:C7" xr:uid="{296160A6-FB03-49EA-93B2-DD1CAF2E1EB2}">
      <formula1>Conocimientos</formula1>
    </dataValidation>
    <dataValidation type="list" allowBlank="1" showInputMessage="1" showErrorMessage="1" sqref="B4:B7" xr:uid="{7FF6EE86-2F70-4AF5-821E-634C08680A10}">
      <formula1>Verboscompetencias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I8"/>
  <sheetViews>
    <sheetView zoomScaleNormal="100" workbookViewId="0"/>
  </sheetViews>
  <sheetFormatPr baseColWidth="10" defaultColWidth="11.44140625" defaultRowHeight="18" x14ac:dyDescent="0.5"/>
  <cols>
    <col min="1" max="1" width="81.21875" style="6" customWidth="1"/>
    <col min="2" max="2" width="16.77734375" style="7" customWidth="1"/>
    <col min="3" max="3" width="19.21875" style="6" customWidth="1"/>
    <col min="4" max="4" width="35.77734375" style="6" customWidth="1"/>
    <col min="5" max="5" width="17.5546875" style="6" customWidth="1"/>
    <col min="6" max="6" width="17.77734375" style="6" customWidth="1"/>
    <col min="7" max="7" width="20.21875" style="8" customWidth="1"/>
    <col min="8" max="8" width="18.21875" style="1" customWidth="1"/>
    <col min="9" max="9" width="72" style="1" customWidth="1"/>
    <col min="10" max="10" width="43.21875" style="6" customWidth="1"/>
    <col min="11" max="16384" width="11.44140625" style="6"/>
  </cols>
  <sheetData>
    <row r="1" spans="1:9" ht="84" x14ac:dyDescent="0.3">
      <c r="A1" s="44" t="s">
        <v>33</v>
      </c>
      <c r="B1" s="44" t="s">
        <v>34</v>
      </c>
      <c r="C1" s="49" t="s">
        <v>35</v>
      </c>
      <c r="D1" s="50" t="s">
        <v>36</v>
      </c>
      <c r="E1" s="50" t="s">
        <v>37</v>
      </c>
      <c r="F1" s="49" t="s">
        <v>38</v>
      </c>
      <c r="G1" s="49" t="s">
        <v>39</v>
      </c>
      <c r="H1" s="49" t="s">
        <v>40</v>
      </c>
      <c r="I1" s="44" t="s">
        <v>41</v>
      </c>
    </row>
    <row r="2" spans="1:9" ht="36.6" thickBot="1" x14ac:dyDescent="0.35">
      <c r="A2" s="48" t="s">
        <v>42</v>
      </c>
      <c r="B2" s="48" t="s">
        <v>43</v>
      </c>
      <c r="C2" s="51" t="s">
        <v>44</v>
      </c>
      <c r="D2" s="52" t="s">
        <v>45</v>
      </c>
      <c r="E2" s="52" t="s">
        <v>46</v>
      </c>
      <c r="F2" s="51" t="s">
        <v>47</v>
      </c>
      <c r="G2" s="51" t="s">
        <v>48</v>
      </c>
      <c r="H2" s="51" t="s">
        <v>49</v>
      </c>
      <c r="I2" s="48" t="s">
        <v>50</v>
      </c>
    </row>
    <row r="3" spans="1:9" ht="54" x14ac:dyDescent="0.3">
      <c r="A3" s="40" t="s">
        <v>637</v>
      </c>
      <c r="B3" s="20">
        <v>1</v>
      </c>
      <c r="C3" s="21" t="s">
        <v>11</v>
      </c>
      <c r="D3" s="21" t="s">
        <v>588</v>
      </c>
      <c r="E3" s="21" t="s">
        <v>155</v>
      </c>
      <c r="F3" s="35" t="s">
        <v>187</v>
      </c>
      <c r="G3" s="37" t="s">
        <v>170</v>
      </c>
      <c r="H3" s="37" t="s">
        <v>220</v>
      </c>
      <c r="I3" s="22" t="s">
        <v>593</v>
      </c>
    </row>
    <row r="4" spans="1:9" ht="54" x14ac:dyDescent="0.3">
      <c r="A4" s="41" t="s">
        <v>637</v>
      </c>
      <c r="B4" s="23">
        <v>2</v>
      </c>
      <c r="C4" s="6" t="s">
        <v>12</v>
      </c>
      <c r="D4" s="6" t="s">
        <v>625</v>
      </c>
      <c r="E4" s="6" t="s">
        <v>155</v>
      </c>
      <c r="F4" s="5" t="s">
        <v>214</v>
      </c>
      <c r="G4" s="31" t="s">
        <v>175</v>
      </c>
      <c r="H4" s="31" t="s">
        <v>113</v>
      </c>
      <c r="I4" s="29" t="s">
        <v>629</v>
      </c>
    </row>
    <row r="5" spans="1:9" ht="54.6" thickBot="1" x14ac:dyDescent="0.35">
      <c r="A5" s="41" t="s">
        <v>637</v>
      </c>
      <c r="B5" s="24">
        <v>4</v>
      </c>
      <c r="C5" s="6" t="s">
        <v>13</v>
      </c>
      <c r="D5" s="6" t="s">
        <v>620</v>
      </c>
      <c r="E5" s="6" t="s">
        <v>155</v>
      </c>
      <c r="F5" s="5" t="s">
        <v>232</v>
      </c>
      <c r="G5" s="31" t="s">
        <v>180</v>
      </c>
      <c r="H5" s="31" t="s">
        <v>220</v>
      </c>
      <c r="I5" s="30" t="s">
        <v>630</v>
      </c>
    </row>
    <row r="6" spans="1:9" ht="54" x14ac:dyDescent="0.3">
      <c r="A6" s="40" t="s">
        <v>628</v>
      </c>
      <c r="B6" s="20">
        <v>1</v>
      </c>
      <c r="C6" s="21" t="s">
        <v>11</v>
      </c>
      <c r="D6" s="21" t="s">
        <v>589</v>
      </c>
      <c r="E6" s="21" t="s">
        <v>155</v>
      </c>
      <c r="F6" s="35" t="s">
        <v>187</v>
      </c>
      <c r="G6" s="37" t="s">
        <v>170</v>
      </c>
      <c r="H6" s="37" t="s">
        <v>220</v>
      </c>
      <c r="I6" s="22" t="s">
        <v>593</v>
      </c>
    </row>
    <row r="7" spans="1:9" ht="54" x14ac:dyDescent="0.3">
      <c r="A7" s="41" t="s">
        <v>628</v>
      </c>
      <c r="B7" s="23">
        <v>3</v>
      </c>
      <c r="C7" s="6" t="s">
        <v>12</v>
      </c>
      <c r="D7" s="6" t="s">
        <v>626</v>
      </c>
      <c r="E7" s="6" t="s">
        <v>155</v>
      </c>
      <c r="F7" s="5" t="s">
        <v>214</v>
      </c>
      <c r="G7" s="31" t="s">
        <v>175</v>
      </c>
      <c r="H7" s="31" t="s">
        <v>113</v>
      </c>
      <c r="I7" s="29" t="s">
        <v>631</v>
      </c>
    </row>
    <row r="8" spans="1:9" ht="54.6" thickBot="1" x14ac:dyDescent="0.35">
      <c r="A8" s="43" t="s">
        <v>628</v>
      </c>
      <c r="B8" s="24">
        <v>4</v>
      </c>
      <c r="C8" s="25" t="s">
        <v>13</v>
      </c>
      <c r="D8" s="25" t="s">
        <v>627</v>
      </c>
      <c r="E8" s="25" t="s">
        <v>155</v>
      </c>
      <c r="F8" s="34" t="s">
        <v>232</v>
      </c>
      <c r="G8" s="38" t="s">
        <v>180</v>
      </c>
      <c r="H8" s="38" t="s">
        <v>220</v>
      </c>
      <c r="I8" s="30" t="s">
        <v>630</v>
      </c>
    </row>
  </sheetData>
  <autoFilter ref="A2:I8" xr:uid="{94AAF649-42F4-466A-BE11-44357078F961}"/>
  <dataValidations count="7">
    <dataValidation type="list" allowBlank="1" showInputMessage="1" showErrorMessage="1" sqref="C3:C8" xr:uid="{3EEE3B63-C572-46CF-960D-B5C131832E7C}">
      <formula1>dominios</formula1>
    </dataValidation>
    <dataValidation type="list" allowBlank="1" showInputMessage="1" showErrorMessage="1" sqref="A3:A8" xr:uid="{C75ACEBC-F466-42F9-8994-B0B52F0BD49B}">
      <formula1>competencias</formula1>
    </dataValidation>
    <dataValidation type="list" allowBlank="1" showInputMessage="1" showErrorMessage="1" promptTitle="Taxonomías" prompt="De la lista elija la taxonomía que considere pertinente para establecer los verbos de los resultados de aprendizaje._x000a_B: Tax. de Bloom_x000a_BAK: Tax. Bloom según Anderson y Krathwohl_x000a_AK: Tax. según Anderson y Krathwohl_x000a_MK: Tax. según Marzano y Kendal" sqref="E3:E8" xr:uid="{EFFF541A-9FA7-4D87-BD80-7B4D10675962}">
      <formula1>taxonomiasra</formula1>
    </dataValidation>
    <dataValidation type="list" allowBlank="1" showInputMessage="1" showErrorMessage="1" sqref="F3:F8" xr:uid="{A67273FC-D6BC-4601-A146-88AA40CB5471}">
      <formula1>INDIRECT($E3)</formula1>
    </dataValidation>
    <dataValidation type="list" allowBlank="1" showInputMessage="1" showErrorMessage="1" sqref="H3:H8" xr:uid="{BD1A6CDA-7283-4262-9F88-FE80565918E8}">
      <formula1>INDIRECT($G3)</formula1>
    </dataValidation>
    <dataValidation type="list" allowBlank="1" showInputMessage="1" showErrorMessage="1" sqref="G3:G8" xr:uid="{5A5167AA-8E05-4C2B-AB93-AFCCFC818F7C}">
      <formula1>INDIRECT($F3)</formula1>
    </dataValidation>
    <dataValidation type="list" allowBlank="1" showInputMessage="1" showErrorMessage="1" sqref="D3:D8" xr:uid="{8B694A6C-2F9D-4256-9525-279EF56F94F5}">
      <formula1>INDIRECT($C3)</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22"/>
  <sheetViews>
    <sheetView zoomScaleNormal="100" workbookViewId="0"/>
  </sheetViews>
  <sheetFormatPr baseColWidth="10" defaultColWidth="11.44140625" defaultRowHeight="18" x14ac:dyDescent="0.3"/>
  <cols>
    <col min="1" max="1" width="46.21875" style="31" customWidth="1"/>
    <col min="2" max="2" width="43.77734375" style="8" customWidth="1"/>
    <col min="3" max="3" width="48" style="5" customWidth="1"/>
    <col min="4" max="4" width="45.77734375" style="31" customWidth="1"/>
    <col min="5" max="5" width="39.21875" style="31" customWidth="1"/>
    <col min="6" max="6" width="33.44140625" style="31" customWidth="1"/>
    <col min="7" max="16384" width="11.44140625" style="31"/>
  </cols>
  <sheetData>
    <row r="1" spans="1:6" ht="60" x14ac:dyDescent="0.3">
      <c r="A1" s="44" t="s">
        <v>51</v>
      </c>
      <c r="B1" s="44" t="s">
        <v>52</v>
      </c>
      <c r="C1" s="44" t="s">
        <v>53</v>
      </c>
      <c r="D1" s="44" t="s">
        <v>54</v>
      </c>
      <c r="E1" s="44" t="s">
        <v>55</v>
      </c>
      <c r="F1" s="44" t="s">
        <v>56</v>
      </c>
    </row>
    <row r="2" spans="1:6" ht="36" x14ac:dyDescent="0.3">
      <c r="A2" s="48" t="s">
        <v>57</v>
      </c>
      <c r="B2" s="48" t="s">
        <v>58</v>
      </c>
      <c r="C2" s="48" t="s">
        <v>59</v>
      </c>
      <c r="D2" s="48" t="s">
        <v>60</v>
      </c>
      <c r="E2" s="48" t="s">
        <v>61</v>
      </c>
      <c r="F2" s="48" t="s">
        <v>62</v>
      </c>
    </row>
    <row r="3" spans="1:6" ht="90" x14ac:dyDescent="0.3">
      <c r="A3" s="63" t="s">
        <v>593</v>
      </c>
      <c r="B3" s="98" t="s">
        <v>632</v>
      </c>
      <c r="C3" s="99" t="s">
        <v>618</v>
      </c>
      <c r="D3" s="64" t="s">
        <v>63</v>
      </c>
      <c r="E3" s="62" t="s">
        <v>64</v>
      </c>
      <c r="F3" s="65" t="s">
        <v>65</v>
      </c>
    </row>
    <row r="4" spans="1:6" ht="90" x14ac:dyDescent="0.3">
      <c r="A4" s="5" t="s">
        <v>629</v>
      </c>
      <c r="B4" s="74"/>
      <c r="C4" s="100"/>
      <c r="D4" s="32" t="s">
        <v>66</v>
      </c>
      <c r="F4" s="31" t="s">
        <v>67</v>
      </c>
    </row>
    <row r="5" spans="1:6" ht="72" x14ac:dyDescent="0.3">
      <c r="A5" s="5" t="s">
        <v>630</v>
      </c>
      <c r="B5" s="74"/>
      <c r="C5" s="100"/>
      <c r="D5" s="32" t="s">
        <v>68</v>
      </c>
      <c r="F5" s="5" t="s">
        <v>69</v>
      </c>
    </row>
    <row r="6" spans="1:6" ht="72.599999999999994" thickBot="1" x14ac:dyDescent="0.35">
      <c r="A6" s="34" t="s">
        <v>631</v>
      </c>
      <c r="B6" s="75"/>
      <c r="C6" s="101"/>
      <c r="D6" s="61"/>
      <c r="E6" s="38"/>
      <c r="F6" s="38"/>
    </row>
    <row r="7" spans="1:6" ht="90" x14ac:dyDescent="0.3">
      <c r="A7" s="5" t="s">
        <v>593</v>
      </c>
      <c r="B7" s="74" t="s">
        <v>633</v>
      </c>
      <c r="C7" s="100" t="s">
        <v>634</v>
      </c>
      <c r="D7" s="32" t="s">
        <v>63</v>
      </c>
      <c r="E7" s="6" t="s">
        <v>70</v>
      </c>
      <c r="F7" s="31" t="s">
        <v>65</v>
      </c>
    </row>
    <row r="8" spans="1:6" ht="90" x14ac:dyDescent="0.3">
      <c r="A8" s="5" t="s">
        <v>629</v>
      </c>
      <c r="B8" s="74"/>
      <c r="C8" s="100"/>
      <c r="D8" s="32" t="s">
        <v>71</v>
      </c>
      <c r="F8" s="31" t="s">
        <v>67</v>
      </c>
    </row>
    <row r="9" spans="1:6" ht="72" x14ac:dyDescent="0.3">
      <c r="A9" s="5" t="s">
        <v>630</v>
      </c>
      <c r="B9" s="74"/>
      <c r="C9" s="100"/>
      <c r="D9" s="32" t="s">
        <v>68</v>
      </c>
      <c r="F9" s="5"/>
    </row>
    <row r="10" spans="1:6" ht="72.599999999999994" thickBot="1" x14ac:dyDescent="0.35">
      <c r="A10" s="5" t="s">
        <v>631</v>
      </c>
      <c r="B10" s="74"/>
      <c r="C10" s="100"/>
      <c r="D10" s="32"/>
    </row>
    <row r="11" spans="1:6" ht="90" x14ac:dyDescent="0.3">
      <c r="A11" s="35" t="s">
        <v>593</v>
      </c>
      <c r="B11" s="73" t="s">
        <v>614</v>
      </c>
      <c r="C11" s="105" t="s">
        <v>654</v>
      </c>
      <c r="D11" s="60" t="s">
        <v>63</v>
      </c>
      <c r="E11" s="21" t="s">
        <v>70</v>
      </c>
      <c r="F11" s="37" t="s">
        <v>65</v>
      </c>
    </row>
    <row r="12" spans="1:6" ht="90" x14ac:dyDescent="0.3">
      <c r="A12" s="5" t="s">
        <v>629</v>
      </c>
      <c r="B12" s="74"/>
      <c r="C12" s="100"/>
      <c r="D12" s="32" t="s">
        <v>71</v>
      </c>
      <c r="F12" s="31" t="s">
        <v>67</v>
      </c>
    </row>
    <row r="13" spans="1:6" ht="72" x14ac:dyDescent="0.3">
      <c r="A13" s="5" t="s">
        <v>630</v>
      </c>
      <c r="B13" s="74"/>
      <c r="C13" s="100"/>
      <c r="D13" s="32" t="s">
        <v>68</v>
      </c>
      <c r="F13" s="5" t="s">
        <v>69</v>
      </c>
    </row>
    <row r="14" spans="1:6" ht="72.599999999999994" thickBot="1" x14ac:dyDescent="0.35">
      <c r="A14" s="34" t="s">
        <v>631</v>
      </c>
      <c r="B14" s="75"/>
      <c r="C14" s="101"/>
      <c r="D14" s="61"/>
      <c r="E14" s="38"/>
      <c r="F14" s="38"/>
    </row>
    <row r="15" spans="1:6" ht="90" x14ac:dyDescent="0.3">
      <c r="A15" s="5" t="s">
        <v>593</v>
      </c>
      <c r="B15" s="102" t="s">
        <v>616</v>
      </c>
      <c r="C15" s="88" t="s">
        <v>635</v>
      </c>
      <c r="D15" s="32" t="s">
        <v>63</v>
      </c>
      <c r="E15" s="6" t="s">
        <v>64</v>
      </c>
      <c r="F15" s="31" t="s">
        <v>65</v>
      </c>
    </row>
    <row r="16" spans="1:6" ht="90" x14ac:dyDescent="0.3">
      <c r="A16" s="5" t="s">
        <v>629</v>
      </c>
      <c r="B16" s="102"/>
      <c r="C16" s="88"/>
      <c r="D16" s="32" t="s">
        <v>66</v>
      </c>
      <c r="F16" s="31" t="s">
        <v>67</v>
      </c>
    </row>
    <row r="17" spans="1:6" ht="72" x14ac:dyDescent="0.3">
      <c r="A17" s="5" t="s">
        <v>630</v>
      </c>
      <c r="B17" s="102"/>
      <c r="C17" s="88"/>
      <c r="D17" s="32" t="s">
        <v>68</v>
      </c>
      <c r="F17" s="5" t="s">
        <v>69</v>
      </c>
    </row>
    <row r="18" spans="1:6" ht="72.599999999999994" thickBot="1" x14ac:dyDescent="0.35">
      <c r="A18" s="34" t="s">
        <v>631</v>
      </c>
      <c r="B18" s="103"/>
      <c r="C18" s="89"/>
      <c r="D18" s="38"/>
      <c r="E18" s="38"/>
      <c r="F18" s="38"/>
    </row>
    <row r="19" spans="1:6" ht="90" x14ac:dyDescent="0.3">
      <c r="A19" s="5" t="s">
        <v>593</v>
      </c>
      <c r="B19" s="104" t="s">
        <v>615</v>
      </c>
      <c r="C19" s="87" t="s">
        <v>619</v>
      </c>
      <c r="D19" s="32" t="s">
        <v>63</v>
      </c>
      <c r="E19" s="6" t="s">
        <v>64</v>
      </c>
      <c r="F19" s="31" t="s">
        <v>65</v>
      </c>
    </row>
    <row r="20" spans="1:6" ht="90" x14ac:dyDescent="0.3">
      <c r="A20" s="5" t="s">
        <v>629</v>
      </c>
      <c r="B20" s="102"/>
      <c r="C20" s="88"/>
      <c r="D20" s="32" t="s">
        <v>66</v>
      </c>
      <c r="F20" s="31" t="s">
        <v>67</v>
      </c>
    </row>
    <row r="21" spans="1:6" ht="72" x14ac:dyDescent="0.3">
      <c r="A21" s="5" t="s">
        <v>630</v>
      </c>
      <c r="B21" s="102"/>
      <c r="C21" s="88"/>
      <c r="D21" s="32" t="s">
        <v>68</v>
      </c>
      <c r="F21" s="5" t="s">
        <v>69</v>
      </c>
    </row>
    <row r="22" spans="1:6" ht="72.599999999999994" thickBot="1" x14ac:dyDescent="0.35">
      <c r="A22" s="34" t="s">
        <v>631</v>
      </c>
      <c r="B22" s="103"/>
      <c r="C22" s="89"/>
      <c r="D22" s="38"/>
      <c r="E22" s="38"/>
      <c r="F22" s="38"/>
    </row>
  </sheetData>
  <mergeCells count="10">
    <mergeCell ref="B19:B22"/>
    <mergeCell ref="C19:C22"/>
    <mergeCell ref="C15:C18"/>
    <mergeCell ref="B11:B14"/>
    <mergeCell ref="C11:C14"/>
    <mergeCell ref="B3:B6"/>
    <mergeCell ref="C3:C6"/>
    <mergeCell ref="B7:B10"/>
    <mergeCell ref="C7:C10"/>
    <mergeCell ref="B15:B18"/>
  </mergeCells>
  <dataValidations count="1">
    <dataValidation type="list" allowBlank="1" showInputMessage="1" showErrorMessage="1" sqref="A3:A22" xr:uid="{D048ED25-334D-4F32-B2A7-D11385F03FF6}">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8250-C92C-4D02-A0C3-2CB27C341894}">
  <dimension ref="A1:Q43"/>
  <sheetViews>
    <sheetView tabSelected="1" topLeftCell="D37" zoomScaleNormal="100" workbookViewId="0">
      <selection activeCell="I42" sqref="I42"/>
    </sheetView>
  </sheetViews>
  <sheetFormatPr baseColWidth="10" defaultColWidth="11.44140625" defaultRowHeight="18" x14ac:dyDescent="0.3"/>
  <cols>
    <col min="1" max="1" width="11.21875" style="5" customWidth="1"/>
    <col min="2" max="2" width="57" style="5" customWidth="1"/>
    <col min="3" max="3" width="17.21875" style="5" customWidth="1"/>
    <col min="4" max="4" width="26.5546875" style="5" customWidth="1"/>
    <col min="5" max="5" width="49.5546875" style="6" customWidth="1"/>
    <col min="6" max="6" width="27.21875" style="7" customWidth="1"/>
    <col min="7" max="7" width="16.77734375" style="7" customWidth="1"/>
    <col min="8" max="8" width="18.21875" style="7" customWidth="1"/>
    <col min="9" max="9" width="13.5546875" style="7" customWidth="1"/>
    <col min="10" max="10" width="20.44140625" style="7" customWidth="1"/>
    <col min="11" max="11" width="24.44140625" style="7" customWidth="1"/>
    <col min="12" max="12" width="11.21875" style="7" customWidth="1"/>
    <col min="13" max="13" width="33.21875" style="6" customWidth="1"/>
    <col min="14" max="14" width="60.77734375" style="6" customWidth="1"/>
    <col min="15" max="15" width="58.21875" style="6" customWidth="1"/>
    <col min="16" max="16" width="104.5546875" style="6" customWidth="1"/>
    <col min="17" max="16384" width="11.44140625" style="5"/>
  </cols>
  <sheetData>
    <row r="1" spans="1:17" s="7" customFormat="1" ht="60" x14ac:dyDescent="0.3">
      <c r="A1" s="44" t="s">
        <v>72</v>
      </c>
      <c r="B1" s="44" t="s">
        <v>73</v>
      </c>
      <c r="C1" s="44" t="s">
        <v>74</v>
      </c>
      <c r="D1" s="44" t="s">
        <v>75</v>
      </c>
      <c r="E1" s="44" t="s">
        <v>76</v>
      </c>
      <c r="F1" s="44" t="s">
        <v>77</v>
      </c>
      <c r="G1" s="85" t="s">
        <v>78</v>
      </c>
      <c r="H1" s="86"/>
      <c r="I1" s="44" t="s">
        <v>79</v>
      </c>
      <c r="J1" s="44" t="s">
        <v>80</v>
      </c>
      <c r="K1" s="44" t="s">
        <v>81</v>
      </c>
      <c r="L1" s="44" t="s">
        <v>82</v>
      </c>
      <c r="M1" s="44" t="s">
        <v>83</v>
      </c>
      <c r="N1" s="44" t="s">
        <v>84</v>
      </c>
      <c r="O1" s="44" t="s">
        <v>85</v>
      </c>
      <c r="P1" s="44" t="s">
        <v>86</v>
      </c>
    </row>
    <row r="2" spans="1:17" s="7" customFormat="1" ht="36" x14ac:dyDescent="0.3">
      <c r="A2" s="48" t="s">
        <v>87</v>
      </c>
      <c r="B2" s="48" t="s">
        <v>57</v>
      </c>
      <c r="C2" s="48" t="s">
        <v>88</v>
      </c>
      <c r="D2" s="48" t="s">
        <v>89</v>
      </c>
      <c r="E2" s="48" t="s">
        <v>90</v>
      </c>
      <c r="F2" s="48" t="s">
        <v>91</v>
      </c>
      <c r="G2" s="53" t="s">
        <v>655</v>
      </c>
      <c r="H2" s="53" t="s">
        <v>656</v>
      </c>
      <c r="I2" s="48" t="s">
        <v>92</v>
      </c>
      <c r="J2" s="48" t="s">
        <v>93</v>
      </c>
      <c r="K2" s="48" t="s">
        <v>94</v>
      </c>
      <c r="L2" s="48" t="s">
        <v>95</v>
      </c>
      <c r="M2" s="48" t="s">
        <v>96</v>
      </c>
      <c r="N2" s="48" t="s">
        <v>97</v>
      </c>
      <c r="O2" s="48" t="s">
        <v>98</v>
      </c>
      <c r="P2" s="48" t="s">
        <v>99</v>
      </c>
    </row>
    <row r="3" spans="1:17" ht="72" x14ac:dyDescent="0.3">
      <c r="A3" s="5" t="str">
        <f>_xlfn.XLOOKUP(B3,'Paso 3 Redacción RA '!I$3:I$8,'Paso 3 Redacción RA '!C$3:C$8,,0,1)</f>
        <v>Saber</v>
      </c>
      <c r="B3" s="5" t="s">
        <v>593</v>
      </c>
      <c r="C3" s="68">
        <v>1</v>
      </c>
      <c r="D3" s="68" t="s">
        <v>594</v>
      </c>
      <c r="E3" s="71" t="s">
        <v>636</v>
      </c>
      <c r="F3" s="74" t="s">
        <v>606</v>
      </c>
      <c r="G3" s="74" t="s">
        <v>595</v>
      </c>
      <c r="H3" s="74"/>
      <c r="I3" s="74">
        <v>2</v>
      </c>
      <c r="J3" s="74">
        <f>12*I3</f>
        <v>24</v>
      </c>
      <c r="K3" s="74">
        <f>36*I3</f>
        <v>72</v>
      </c>
      <c r="L3" s="74">
        <f>SUM(J3:K5)</f>
        <v>96</v>
      </c>
      <c r="M3" s="83" t="s">
        <v>611</v>
      </c>
      <c r="N3" s="83" t="s">
        <v>650</v>
      </c>
      <c r="O3" s="77" t="s">
        <v>617</v>
      </c>
      <c r="P3" s="83" t="s">
        <v>100</v>
      </c>
      <c r="Q3" s="5" t="s">
        <v>101</v>
      </c>
    </row>
    <row r="4" spans="1:17" ht="72" x14ac:dyDescent="0.3">
      <c r="A4" s="5" t="str">
        <f>_xlfn.XLOOKUP(B4,'Paso 3 Redacción RA '!I$3:I$8,'Paso 3 Redacción RA '!C$3:C$8,,0,1)</f>
        <v>Saberhacer</v>
      </c>
      <c r="B4" s="5" t="s">
        <v>629</v>
      </c>
      <c r="C4" s="68"/>
      <c r="D4" s="68"/>
      <c r="E4" s="71"/>
      <c r="F4" s="74"/>
      <c r="G4" s="74"/>
      <c r="H4" s="74"/>
      <c r="I4" s="74"/>
      <c r="J4" s="74"/>
      <c r="K4" s="74"/>
      <c r="L4" s="74"/>
      <c r="M4" s="83"/>
      <c r="N4" s="83"/>
      <c r="O4" s="77"/>
      <c r="P4" s="83"/>
    </row>
    <row r="5" spans="1:17" ht="54.6" thickBot="1" x14ac:dyDescent="0.35">
      <c r="A5" s="34" t="str">
        <f>_xlfn.XLOOKUP(B5,'Paso 3 Redacción RA '!I$3:I$8,'Paso 3 Redacción RA '!C$3:C$8,,0,1)</f>
        <v>Saberser</v>
      </c>
      <c r="B5" s="34" t="s">
        <v>630</v>
      </c>
      <c r="C5" s="69"/>
      <c r="D5" s="69"/>
      <c r="E5" s="72"/>
      <c r="F5" s="75"/>
      <c r="G5" s="75"/>
      <c r="H5" s="75"/>
      <c r="I5" s="75"/>
      <c r="J5" s="75"/>
      <c r="K5" s="75"/>
      <c r="L5" s="75"/>
      <c r="M5" s="84"/>
      <c r="N5" s="84"/>
      <c r="O5" s="78"/>
      <c r="P5" s="84"/>
    </row>
    <row r="6" spans="1:17" ht="72" x14ac:dyDescent="0.3">
      <c r="A6" s="35" t="str">
        <f>_xlfn.XLOOKUP(B6,'Paso 3 Redacción RA '!I$3:I$8,'Paso 3 Redacción RA '!C$3:C$8,,0,1)</f>
        <v>Saber</v>
      </c>
      <c r="B6" s="35" t="s">
        <v>593</v>
      </c>
      <c r="C6" s="67">
        <v>1</v>
      </c>
      <c r="D6" s="67" t="s">
        <v>596</v>
      </c>
      <c r="E6" s="87" t="s">
        <v>638</v>
      </c>
      <c r="F6" s="67" t="s">
        <v>606</v>
      </c>
      <c r="G6" s="73" t="s">
        <v>595</v>
      </c>
      <c r="H6" s="73"/>
      <c r="I6" s="73">
        <v>2</v>
      </c>
      <c r="J6" s="73">
        <f>12*I6</f>
        <v>24</v>
      </c>
      <c r="K6" s="73">
        <f>36*I6</f>
        <v>72</v>
      </c>
      <c r="L6" s="73">
        <f>SUM(J6:K9)</f>
        <v>96</v>
      </c>
      <c r="M6" s="82" t="s">
        <v>612</v>
      </c>
      <c r="N6" s="82" t="s">
        <v>651</v>
      </c>
      <c r="O6" s="76" t="s">
        <v>617</v>
      </c>
      <c r="P6" s="82" t="s">
        <v>102</v>
      </c>
    </row>
    <row r="7" spans="1:17" ht="72" x14ac:dyDescent="0.3">
      <c r="A7" s="5" t="str">
        <f>_xlfn.XLOOKUP(B7,'Paso 3 Redacción RA '!I$3:I$8,'Paso 3 Redacción RA '!C$3:C$8,,0,1)</f>
        <v>Saberhacer</v>
      </c>
      <c r="B7" s="5" t="s">
        <v>629</v>
      </c>
      <c r="C7" s="68"/>
      <c r="D7" s="68"/>
      <c r="E7" s="88"/>
      <c r="F7" s="68"/>
      <c r="G7" s="74"/>
      <c r="H7" s="74"/>
      <c r="I7" s="74"/>
      <c r="J7" s="74"/>
      <c r="K7" s="74"/>
      <c r="L7" s="74"/>
      <c r="M7" s="83"/>
      <c r="N7" s="83"/>
      <c r="O7" s="77"/>
      <c r="P7" s="83"/>
    </row>
    <row r="8" spans="1:17" ht="54" x14ac:dyDescent="0.3">
      <c r="A8" s="5" t="str">
        <f>_xlfn.XLOOKUP(B8,'Paso 3 Redacción RA '!I$3:I$8,'Paso 3 Redacción RA '!C$3:C$8,,0,1)</f>
        <v>Saberhacer</v>
      </c>
      <c r="B8" s="5" t="s">
        <v>631</v>
      </c>
      <c r="C8" s="68"/>
      <c r="D8" s="68"/>
      <c r="E8" s="88"/>
      <c r="F8" s="68"/>
      <c r="G8" s="74"/>
      <c r="H8" s="74"/>
      <c r="I8" s="74"/>
      <c r="J8" s="74"/>
      <c r="K8" s="74"/>
      <c r="L8" s="74"/>
      <c r="M8" s="83"/>
      <c r="N8" s="83"/>
      <c r="O8" s="77"/>
      <c r="P8" s="83"/>
    </row>
    <row r="9" spans="1:17" ht="54.6" thickBot="1" x14ac:dyDescent="0.35">
      <c r="A9" s="34" t="str">
        <f>_xlfn.XLOOKUP(B9,'Paso 3 Redacción RA '!I$3:I$8,'Paso 3 Redacción RA '!C$3:C$8,,0,1)</f>
        <v>Saberser</v>
      </c>
      <c r="B9" s="34" t="s">
        <v>630</v>
      </c>
      <c r="C9" s="69"/>
      <c r="D9" s="69"/>
      <c r="E9" s="89"/>
      <c r="F9" s="69"/>
      <c r="G9" s="75"/>
      <c r="H9" s="75"/>
      <c r="I9" s="75"/>
      <c r="J9" s="75"/>
      <c r="K9" s="75"/>
      <c r="L9" s="75"/>
      <c r="M9" s="84"/>
      <c r="N9" s="84"/>
      <c r="O9" s="78"/>
      <c r="P9" s="84"/>
    </row>
    <row r="10" spans="1:17" ht="72" x14ac:dyDescent="0.3">
      <c r="A10" s="5" t="str">
        <f>_xlfn.XLOOKUP(B10,'Paso 3 Redacción RA '!I$3:I$8,'Paso 3 Redacción RA '!C$3:C$8,,0,1)</f>
        <v>Saber</v>
      </c>
      <c r="B10" s="35" t="s">
        <v>593</v>
      </c>
      <c r="C10" s="67">
        <v>1</v>
      </c>
      <c r="D10" s="67" t="s">
        <v>597</v>
      </c>
      <c r="E10" s="70" t="s">
        <v>639</v>
      </c>
      <c r="F10" s="67" t="s">
        <v>606</v>
      </c>
      <c r="G10" s="73"/>
      <c r="H10" s="73" t="s">
        <v>595</v>
      </c>
      <c r="I10" s="73">
        <v>2</v>
      </c>
      <c r="J10" s="73">
        <f>12*I10</f>
        <v>24</v>
      </c>
      <c r="K10" s="73">
        <f>36*I10</f>
        <v>72</v>
      </c>
      <c r="L10" s="73">
        <f>SUM(J10:K10)</f>
        <v>96</v>
      </c>
      <c r="M10" s="76" t="s">
        <v>645</v>
      </c>
      <c r="N10" s="82" t="s">
        <v>650</v>
      </c>
      <c r="O10" s="76" t="s">
        <v>617</v>
      </c>
      <c r="P10" s="82" t="s">
        <v>100</v>
      </c>
    </row>
    <row r="11" spans="1:17" ht="72" x14ac:dyDescent="0.3">
      <c r="A11" s="5" t="str">
        <f>_xlfn.XLOOKUP(B11,'Paso 3 Redacción RA '!I$3:I$8,'Paso 3 Redacción RA '!C$3:C$8,,0,1)</f>
        <v>Saberhacer</v>
      </c>
      <c r="B11" s="5" t="s">
        <v>629</v>
      </c>
      <c r="C11" s="68"/>
      <c r="D11" s="68"/>
      <c r="E11" s="71"/>
      <c r="F11" s="68"/>
      <c r="G11" s="74"/>
      <c r="H11" s="74"/>
      <c r="I11" s="74"/>
      <c r="J11" s="74"/>
      <c r="K11" s="74"/>
      <c r="L11" s="74"/>
      <c r="M11" s="77"/>
      <c r="N11" s="83"/>
      <c r="O11" s="77"/>
      <c r="P11" s="83"/>
    </row>
    <row r="12" spans="1:17" ht="54.6" thickBot="1" x14ac:dyDescent="0.35">
      <c r="A12" s="34" t="str">
        <f>_xlfn.XLOOKUP(B12,'Paso 3 Redacción RA '!I$3:I$8,'Paso 3 Redacción RA '!C$3:C$8,,0,1)</f>
        <v>Saberser</v>
      </c>
      <c r="B12" s="5" t="s">
        <v>630</v>
      </c>
      <c r="C12" s="68"/>
      <c r="D12" s="68"/>
      <c r="E12" s="71"/>
      <c r="F12" s="68"/>
      <c r="G12" s="74"/>
      <c r="H12" s="74"/>
      <c r="I12" s="74"/>
      <c r="J12" s="74"/>
      <c r="K12" s="74"/>
      <c r="L12" s="74"/>
      <c r="M12" s="77"/>
      <c r="N12" s="83"/>
      <c r="O12" s="77"/>
      <c r="P12" s="83"/>
    </row>
    <row r="13" spans="1:17" ht="72" x14ac:dyDescent="0.3">
      <c r="A13" s="5" t="str">
        <f>_xlfn.XLOOKUP(B13,'Paso 3 Redacción RA '!I$3:I$8,'Paso 3 Redacción RA '!C$3:C$8,,0,1)</f>
        <v>Saber</v>
      </c>
      <c r="B13" s="35" t="s">
        <v>593</v>
      </c>
      <c r="C13" s="67">
        <v>1</v>
      </c>
      <c r="D13" s="67" t="s">
        <v>598</v>
      </c>
      <c r="E13" s="70" t="s">
        <v>640</v>
      </c>
      <c r="F13" s="67" t="s">
        <v>606</v>
      </c>
      <c r="G13" s="67"/>
      <c r="H13" s="67" t="s">
        <v>595</v>
      </c>
      <c r="I13" s="73">
        <v>3</v>
      </c>
      <c r="J13" s="73">
        <f>12*I13</f>
        <v>36</v>
      </c>
      <c r="K13" s="73">
        <f>36*I13</f>
        <v>108</v>
      </c>
      <c r="L13" s="73">
        <f>SUM(J13:K13)</f>
        <v>144</v>
      </c>
      <c r="M13" s="70" t="s">
        <v>646</v>
      </c>
      <c r="N13" s="70" t="s">
        <v>650</v>
      </c>
      <c r="O13" s="76" t="s">
        <v>617</v>
      </c>
      <c r="P13" s="82" t="s">
        <v>100</v>
      </c>
    </row>
    <row r="14" spans="1:17" ht="72" x14ac:dyDescent="0.3">
      <c r="A14" s="5" t="str">
        <f>_xlfn.XLOOKUP(B14,'Paso 3 Redacción RA '!I$3:I$8,'Paso 3 Redacción RA '!C$3:C$8,,0,1)</f>
        <v>Saberhacer</v>
      </c>
      <c r="B14" s="5" t="s">
        <v>629</v>
      </c>
      <c r="C14" s="68"/>
      <c r="D14" s="68"/>
      <c r="E14" s="71"/>
      <c r="F14" s="68"/>
      <c r="G14" s="68"/>
      <c r="H14" s="68"/>
      <c r="I14" s="74"/>
      <c r="J14" s="74"/>
      <c r="K14" s="74"/>
      <c r="L14" s="74"/>
      <c r="M14" s="71"/>
      <c r="N14" s="71"/>
      <c r="O14" s="77"/>
      <c r="P14" s="83"/>
    </row>
    <row r="15" spans="1:17" ht="54" x14ac:dyDescent="0.3">
      <c r="A15" s="5" t="str">
        <f>_xlfn.XLOOKUP(B15,'Paso 3 Redacción RA '!I$3:I$8,'Paso 3 Redacción RA '!C$3:C$8,,0,1)</f>
        <v>Saberhacer</v>
      </c>
      <c r="B15" s="5" t="s">
        <v>631</v>
      </c>
      <c r="C15" s="68"/>
      <c r="D15" s="68"/>
      <c r="E15" s="71"/>
      <c r="F15" s="68"/>
      <c r="G15" s="68"/>
      <c r="H15" s="68"/>
      <c r="I15" s="74"/>
      <c r="J15" s="74"/>
      <c r="K15" s="74"/>
      <c r="L15" s="74"/>
      <c r="M15" s="71"/>
      <c r="N15" s="71"/>
      <c r="O15" s="77"/>
      <c r="P15" s="83"/>
    </row>
    <row r="16" spans="1:17" ht="54.6" thickBot="1" x14ac:dyDescent="0.35">
      <c r="A16" s="34" t="str">
        <f>_xlfn.XLOOKUP(B16,'Paso 3 Redacción RA '!I$3:I$8,'Paso 3 Redacción RA '!C$3:C$8,,0,1)</f>
        <v>Saberser</v>
      </c>
      <c r="B16" s="34" t="s">
        <v>630</v>
      </c>
      <c r="C16" s="69"/>
      <c r="D16" s="69"/>
      <c r="E16" s="72"/>
      <c r="F16" s="69"/>
      <c r="G16" s="69"/>
      <c r="H16" s="69"/>
      <c r="I16" s="75"/>
      <c r="J16" s="75"/>
      <c r="K16" s="75"/>
      <c r="L16" s="75"/>
      <c r="M16" s="72"/>
      <c r="N16" s="72"/>
      <c r="O16" s="78"/>
      <c r="P16" s="84"/>
    </row>
    <row r="17" spans="1:17" ht="69" customHeight="1" x14ac:dyDescent="0.3">
      <c r="A17" s="35" t="str">
        <f>_xlfn.XLOOKUP(B17,'Paso 3 Redacción RA '!I$3:I$8,'Paso 3 Redacción RA '!C$3:C$8,,0,1)</f>
        <v>Saber</v>
      </c>
      <c r="B17" s="35" t="s">
        <v>593</v>
      </c>
      <c r="C17" s="67">
        <v>1</v>
      </c>
      <c r="D17" s="67" t="s">
        <v>599</v>
      </c>
      <c r="E17" s="70" t="s">
        <v>607</v>
      </c>
      <c r="F17" s="67" t="s">
        <v>606</v>
      </c>
      <c r="G17" s="67"/>
      <c r="H17" s="73" t="s">
        <v>595</v>
      </c>
      <c r="I17" s="90">
        <v>2</v>
      </c>
      <c r="J17" s="73">
        <f>12*I17</f>
        <v>24</v>
      </c>
      <c r="K17" s="73">
        <f>36*I17</f>
        <v>72</v>
      </c>
      <c r="L17" s="73">
        <f>SUM(J17:K20)</f>
        <v>96</v>
      </c>
      <c r="M17" s="79" t="s">
        <v>644</v>
      </c>
      <c r="N17" s="70" t="s">
        <v>650</v>
      </c>
      <c r="O17" s="76" t="s">
        <v>617</v>
      </c>
      <c r="P17" s="70" t="s">
        <v>100</v>
      </c>
    </row>
    <row r="18" spans="1:17" ht="72" x14ac:dyDescent="0.3">
      <c r="A18" s="5" t="str">
        <f>_xlfn.XLOOKUP(B18,'Paso 3 Redacción RA '!I$3:I$8,'Paso 3 Redacción RA '!C$3:C$8,,0,1)</f>
        <v>Saberhacer</v>
      </c>
      <c r="B18" s="5" t="s">
        <v>629</v>
      </c>
      <c r="C18" s="68"/>
      <c r="D18" s="68"/>
      <c r="E18" s="71"/>
      <c r="F18" s="68"/>
      <c r="G18" s="68"/>
      <c r="H18" s="74"/>
      <c r="I18" s="91"/>
      <c r="J18" s="74"/>
      <c r="K18" s="74"/>
      <c r="L18" s="74"/>
      <c r="M18" s="80"/>
      <c r="N18" s="71"/>
      <c r="O18" s="77"/>
      <c r="P18" s="71"/>
    </row>
    <row r="19" spans="1:17" ht="54" x14ac:dyDescent="0.3">
      <c r="A19" s="5" t="str">
        <f>_xlfn.XLOOKUP(B19,'Paso 3 Redacción RA '!I$3:I$8,'Paso 3 Redacción RA '!C$3:C$8,,0,1)</f>
        <v>Saberhacer</v>
      </c>
      <c r="B19" s="5" t="s">
        <v>631</v>
      </c>
      <c r="C19" s="68"/>
      <c r="D19" s="68"/>
      <c r="E19" s="71"/>
      <c r="F19" s="68"/>
      <c r="G19" s="68"/>
      <c r="H19" s="74"/>
      <c r="I19" s="91"/>
      <c r="J19" s="74"/>
      <c r="K19" s="74"/>
      <c r="L19" s="74"/>
      <c r="M19" s="80"/>
      <c r="N19" s="71"/>
      <c r="O19" s="77"/>
      <c r="P19" s="71"/>
    </row>
    <row r="20" spans="1:17" ht="54.6" thickBot="1" x14ac:dyDescent="0.35">
      <c r="A20" s="34" t="str">
        <f>_xlfn.XLOOKUP(B20,'Paso 3 Redacción RA '!I$3:I$8,'Paso 3 Redacción RA '!C$3:C$8,,0,1)</f>
        <v>Saberser</v>
      </c>
      <c r="B20" s="34" t="s">
        <v>630</v>
      </c>
      <c r="C20" s="69"/>
      <c r="D20" s="69"/>
      <c r="E20" s="72"/>
      <c r="F20" s="69"/>
      <c r="G20" s="69"/>
      <c r="H20" s="75"/>
      <c r="I20" s="92"/>
      <c r="J20" s="75"/>
      <c r="K20" s="75"/>
      <c r="L20" s="75"/>
      <c r="M20" s="81"/>
      <c r="N20" s="72"/>
      <c r="O20" s="78"/>
      <c r="P20" s="72"/>
      <c r="Q20" s="5">
        <f>SUM(I3:I20)</f>
        <v>11</v>
      </c>
    </row>
    <row r="21" spans="1:17" ht="72" x14ac:dyDescent="0.3">
      <c r="A21" s="5" t="str">
        <f>_xlfn.XLOOKUP(B21,'Paso 3 Redacción RA '!I$3:I$8,'Paso 3 Redacción RA '!C$3:C$8,,0,1)</f>
        <v>Saber</v>
      </c>
      <c r="B21" s="35" t="s">
        <v>593</v>
      </c>
      <c r="C21" s="67">
        <v>2</v>
      </c>
      <c r="D21" s="67" t="s">
        <v>600</v>
      </c>
      <c r="E21" s="70" t="s">
        <v>641</v>
      </c>
      <c r="F21" s="67" t="s">
        <v>606</v>
      </c>
      <c r="G21" s="67" t="s">
        <v>595</v>
      </c>
      <c r="H21" s="67"/>
      <c r="I21" s="67">
        <v>2</v>
      </c>
      <c r="J21" s="67">
        <f>12*I21</f>
        <v>24</v>
      </c>
      <c r="K21" s="67">
        <f>36*I21</f>
        <v>72</v>
      </c>
      <c r="L21" s="67">
        <f>SUM(J21:K23)</f>
        <v>96</v>
      </c>
      <c r="M21" s="79" t="s">
        <v>647</v>
      </c>
      <c r="N21" s="70" t="s">
        <v>650</v>
      </c>
      <c r="O21" s="76" t="s">
        <v>617</v>
      </c>
      <c r="P21" s="70" t="s">
        <v>100</v>
      </c>
    </row>
    <row r="22" spans="1:17" ht="72" x14ac:dyDescent="0.3">
      <c r="A22" s="5" t="str">
        <f>_xlfn.XLOOKUP(B22,'Paso 3 Redacción RA '!I$3:I$8,'Paso 3 Redacción RA '!C$3:C$8,,0,1)</f>
        <v>Saberhacer</v>
      </c>
      <c r="B22" s="5" t="s">
        <v>629</v>
      </c>
      <c r="C22" s="68"/>
      <c r="D22" s="68"/>
      <c r="E22" s="71"/>
      <c r="F22" s="68"/>
      <c r="G22" s="68"/>
      <c r="H22" s="68"/>
      <c r="I22" s="68"/>
      <c r="J22" s="68"/>
      <c r="K22" s="68"/>
      <c r="L22" s="68"/>
      <c r="M22" s="80"/>
      <c r="N22" s="71"/>
      <c r="O22" s="77"/>
      <c r="P22" s="71"/>
    </row>
    <row r="23" spans="1:17" ht="54.6" thickBot="1" x14ac:dyDescent="0.35">
      <c r="A23" s="5" t="str">
        <f>_xlfn.XLOOKUP(B23,'Paso 3 Redacción RA '!I$3:I$8,'Paso 3 Redacción RA '!C$3:C$8,,0,1)</f>
        <v>Saberhacer</v>
      </c>
      <c r="B23" s="5" t="s">
        <v>631</v>
      </c>
      <c r="C23" s="68"/>
      <c r="D23" s="68"/>
      <c r="E23" s="71"/>
      <c r="F23" s="68"/>
      <c r="G23" s="68"/>
      <c r="H23" s="68"/>
      <c r="I23" s="68"/>
      <c r="J23" s="68"/>
      <c r="K23" s="68"/>
      <c r="L23" s="68"/>
      <c r="M23" s="80"/>
      <c r="N23" s="71"/>
      <c r="O23" s="77"/>
      <c r="P23" s="71"/>
    </row>
    <row r="24" spans="1:17" ht="72" x14ac:dyDescent="0.3">
      <c r="A24" s="35" t="str">
        <f>_xlfn.XLOOKUP(B24,'Paso 3 Redacción RA '!I$3:I$8,'Paso 3 Redacción RA '!C$3:C$8,,0,1)</f>
        <v>Saber</v>
      </c>
      <c r="B24" s="35" t="s">
        <v>593</v>
      </c>
      <c r="C24" s="67">
        <v>2</v>
      </c>
      <c r="D24" s="67" t="s">
        <v>601</v>
      </c>
      <c r="E24" s="70" t="s">
        <v>642</v>
      </c>
      <c r="F24" s="67" t="s">
        <v>606</v>
      </c>
      <c r="G24" s="67" t="s">
        <v>595</v>
      </c>
      <c r="H24" s="67"/>
      <c r="I24" s="73">
        <v>2</v>
      </c>
      <c r="J24" s="73">
        <f>I24*12</f>
        <v>24</v>
      </c>
      <c r="K24" s="73">
        <f>I24*36</f>
        <v>72</v>
      </c>
      <c r="L24" s="73">
        <f>SUM(J24:K26)</f>
        <v>96</v>
      </c>
      <c r="M24" s="70" t="s">
        <v>648</v>
      </c>
      <c r="N24" s="70" t="s">
        <v>650</v>
      </c>
      <c r="O24" s="76" t="s">
        <v>617</v>
      </c>
      <c r="P24" s="70" t="s">
        <v>100</v>
      </c>
    </row>
    <row r="25" spans="1:17" ht="72" x14ac:dyDescent="0.3">
      <c r="A25" s="5" t="str">
        <f>_xlfn.XLOOKUP(B25,'Paso 3 Redacción RA '!I$3:I$8,'Paso 3 Redacción RA '!C$3:C$8,,0,1)</f>
        <v>Saberhacer</v>
      </c>
      <c r="B25" s="5" t="s">
        <v>629</v>
      </c>
      <c r="C25" s="68"/>
      <c r="D25" s="68"/>
      <c r="E25" s="71"/>
      <c r="F25" s="68"/>
      <c r="G25" s="68"/>
      <c r="H25" s="68"/>
      <c r="I25" s="74"/>
      <c r="J25" s="74"/>
      <c r="K25" s="74"/>
      <c r="L25" s="74"/>
      <c r="M25" s="71"/>
      <c r="N25" s="71"/>
      <c r="O25" s="77"/>
      <c r="P25" s="71"/>
    </row>
    <row r="26" spans="1:17" ht="54.6" thickBot="1" x14ac:dyDescent="0.35">
      <c r="A26" s="34" t="str">
        <f>_xlfn.XLOOKUP(B26,'Paso 3 Redacción RA '!I$3:I$8,'Paso 3 Redacción RA '!C$3:C$8,,0,1)</f>
        <v>Saberser</v>
      </c>
      <c r="B26" s="5" t="s">
        <v>630</v>
      </c>
      <c r="C26" s="68"/>
      <c r="D26" s="68"/>
      <c r="E26" s="71"/>
      <c r="F26" s="68"/>
      <c r="G26" s="68"/>
      <c r="H26" s="68"/>
      <c r="I26" s="74"/>
      <c r="J26" s="74"/>
      <c r="K26" s="74"/>
      <c r="L26" s="74"/>
      <c r="M26" s="71"/>
      <c r="N26" s="71"/>
      <c r="O26" s="77"/>
      <c r="P26" s="71" t="s">
        <v>103</v>
      </c>
    </row>
    <row r="27" spans="1:17" ht="72" x14ac:dyDescent="0.3">
      <c r="A27" s="5" t="str">
        <f>_xlfn.XLOOKUP(B27,'Paso 3 Redacción RA '!I$3:I$8,'Paso 3 Redacción RA '!C$3:C$8,,0,1)</f>
        <v>Saber</v>
      </c>
      <c r="B27" s="35" t="s">
        <v>593</v>
      </c>
      <c r="C27" s="67">
        <v>2</v>
      </c>
      <c r="D27" s="67" t="s">
        <v>602</v>
      </c>
      <c r="E27" s="70" t="s">
        <v>610</v>
      </c>
      <c r="F27" s="67" t="s">
        <v>606</v>
      </c>
      <c r="G27" s="67" t="s">
        <v>595</v>
      </c>
      <c r="H27" s="67"/>
      <c r="I27" s="73">
        <v>2</v>
      </c>
      <c r="J27" s="73">
        <f>I27*12</f>
        <v>24</v>
      </c>
      <c r="K27" s="73">
        <f>I27*36</f>
        <v>72</v>
      </c>
      <c r="L27" s="73">
        <f>SUM(J27:K29)</f>
        <v>96</v>
      </c>
      <c r="M27" s="79" t="s">
        <v>653</v>
      </c>
      <c r="N27" s="70" t="s">
        <v>650</v>
      </c>
      <c r="O27" s="76" t="s">
        <v>617</v>
      </c>
      <c r="P27" s="70" t="s">
        <v>100</v>
      </c>
    </row>
    <row r="28" spans="1:17" ht="72" x14ac:dyDescent="0.3">
      <c r="A28" s="5" t="str">
        <f>_xlfn.XLOOKUP(B28,'Paso 3 Redacción RA '!I$3:I$8,'Paso 3 Redacción RA '!C$3:C$8,,0,1)</f>
        <v>Saberhacer</v>
      </c>
      <c r="B28" s="5" t="s">
        <v>629</v>
      </c>
      <c r="C28" s="68"/>
      <c r="D28" s="68"/>
      <c r="E28" s="71"/>
      <c r="F28" s="68"/>
      <c r="G28" s="68"/>
      <c r="H28" s="68"/>
      <c r="I28" s="74"/>
      <c r="J28" s="74"/>
      <c r="K28" s="74"/>
      <c r="L28" s="74"/>
      <c r="M28" s="80"/>
      <c r="N28" s="71"/>
      <c r="O28" s="77"/>
      <c r="P28" s="71"/>
    </row>
    <row r="29" spans="1:17" ht="54.6" thickBot="1" x14ac:dyDescent="0.35">
      <c r="A29" s="5" t="str">
        <f>_xlfn.XLOOKUP(B29,'Paso 3 Redacción RA '!I$3:I$8,'Paso 3 Redacción RA '!C$3:C$8,,0,1)</f>
        <v>Saberser</v>
      </c>
      <c r="B29" s="5" t="s">
        <v>630</v>
      </c>
      <c r="C29" s="68"/>
      <c r="D29" s="68"/>
      <c r="E29" s="71"/>
      <c r="F29" s="68"/>
      <c r="G29" s="68"/>
      <c r="H29" s="68"/>
      <c r="I29" s="74"/>
      <c r="J29" s="74"/>
      <c r="K29" s="74"/>
      <c r="L29" s="74"/>
      <c r="M29" s="80"/>
      <c r="N29" s="71"/>
      <c r="O29" s="77"/>
      <c r="P29" s="71"/>
    </row>
    <row r="30" spans="1:17" ht="72" x14ac:dyDescent="0.3">
      <c r="A30" s="35" t="str">
        <f>_xlfn.XLOOKUP(B30,'Paso 3 Redacción RA '!I$3:I$8,'Paso 3 Redacción RA '!C$3:C$8,,0,1)</f>
        <v>Saber</v>
      </c>
      <c r="B30" s="35" t="s">
        <v>593</v>
      </c>
      <c r="C30" s="67">
        <v>2</v>
      </c>
      <c r="D30" s="67" t="s">
        <v>603</v>
      </c>
      <c r="E30" s="70" t="s">
        <v>652</v>
      </c>
      <c r="F30" s="67" t="s">
        <v>606</v>
      </c>
      <c r="G30" s="67"/>
      <c r="H30" s="67" t="s">
        <v>595</v>
      </c>
      <c r="I30" s="73">
        <v>2</v>
      </c>
      <c r="J30" s="73">
        <f>12*I30</f>
        <v>24</v>
      </c>
      <c r="K30" s="73">
        <f>36*I30</f>
        <v>72</v>
      </c>
      <c r="L30" s="73">
        <f>SUM(J30:K32)</f>
        <v>96</v>
      </c>
      <c r="M30" s="70" t="s">
        <v>613</v>
      </c>
      <c r="N30" s="70" t="s">
        <v>650</v>
      </c>
      <c r="O30" s="76" t="s">
        <v>617</v>
      </c>
      <c r="P30" s="70" t="s">
        <v>100</v>
      </c>
    </row>
    <row r="31" spans="1:17" ht="72" x14ac:dyDescent="0.3">
      <c r="A31" s="5" t="str">
        <f>_xlfn.XLOOKUP(B31,'Paso 3 Redacción RA '!I$3:I$8,'Paso 3 Redacción RA '!C$3:C$8,,0,1)</f>
        <v>Saberhacer</v>
      </c>
      <c r="B31" s="5" t="s">
        <v>629</v>
      </c>
      <c r="C31" s="68"/>
      <c r="D31" s="68"/>
      <c r="E31" s="71"/>
      <c r="F31" s="68"/>
      <c r="G31" s="68"/>
      <c r="H31" s="68"/>
      <c r="I31" s="74"/>
      <c r="J31" s="74"/>
      <c r="K31" s="74"/>
      <c r="L31" s="74"/>
      <c r="M31" s="71"/>
      <c r="N31" s="71"/>
      <c r="O31" s="77"/>
      <c r="P31" s="71"/>
    </row>
    <row r="32" spans="1:17" ht="54.6" thickBot="1" x14ac:dyDescent="0.35">
      <c r="A32" s="5" t="str">
        <f>_xlfn.XLOOKUP(B32,'Paso 3 Redacción RA '!I$3:I$8,'Paso 3 Redacción RA '!C$3:C$8,,0,1)</f>
        <v>Saberser</v>
      </c>
      <c r="B32" s="5" t="s">
        <v>630</v>
      </c>
      <c r="C32" s="68"/>
      <c r="D32" s="68"/>
      <c r="E32" s="71"/>
      <c r="F32" s="68"/>
      <c r="G32" s="68"/>
      <c r="H32" s="68"/>
      <c r="I32" s="74"/>
      <c r="J32" s="74"/>
      <c r="K32" s="74"/>
      <c r="L32" s="74"/>
      <c r="M32" s="71"/>
      <c r="N32" s="71"/>
      <c r="O32" s="77"/>
      <c r="P32" s="71"/>
    </row>
    <row r="33" spans="1:17" ht="69" customHeight="1" x14ac:dyDescent="0.3">
      <c r="A33" s="35" t="str">
        <f>_xlfn.XLOOKUP(B33,'Paso 3 Redacción RA '!I$3:I$8,'Paso 3 Redacción RA '!C$3:C$8,,0,1)</f>
        <v>Saber</v>
      </c>
      <c r="B33" s="35" t="s">
        <v>593</v>
      </c>
      <c r="C33" s="67">
        <v>2</v>
      </c>
      <c r="D33" s="67" t="s">
        <v>604</v>
      </c>
      <c r="E33" s="70" t="s">
        <v>608</v>
      </c>
      <c r="F33" s="67" t="s">
        <v>606</v>
      </c>
      <c r="G33" s="67"/>
      <c r="H33" s="67" t="s">
        <v>595</v>
      </c>
      <c r="I33" s="67">
        <v>2</v>
      </c>
      <c r="J33" s="67">
        <f>12*I33</f>
        <v>24</v>
      </c>
      <c r="K33" s="67">
        <f>36*I33</f>
        <v>72</v>
      </c>
      <c r="L33" s="67">
        <f>SUM(J33:K36)</f>
        <v>96</v>
      </c>
      <c r="M33" s="79" t="s">
        <v>649</v>
      </c>
      <c r="N33" s="70" t="s">
        <v>650</v>
      </c>
      <c r="O33" s="70" t="s">
        <v>617</v>
      </c>
      <c r="P33" s="70" t="s">
        <v>100</v>
      </c>
    </row>
    <row r="34" spans="1:17" ht="72" x14ac:dyDescent="0.3">
      <c r="A34" s="5" t="str">
        <f>_xlfn.XLOOKUP(B34,'Paso 3 Redacción RA '!I$3:I$8,'Paso 3 Redacción RA '!C$3:C$8,,0,1)</f>
        <v>Saberhacer</v>
      </c>
      <c r="B34" s="5" t="s">
        <v>629</v>
      </c>
      <c r="C34" s="68"/>
      <c r="D34" s="68"/>
      <c r="E34" s="71"/>
      <c r="F34" s="68"/>
      <c r="G34" s="68"/>
      <c r="H34" s="68"/>
      <c r="I34" s="68"/>
      <c r="J34" s="68"/>
      <c r="K34" s="68"/>
      <c r="L34" s="68"/>
      <c r="M34" s="80"/>
      <c r="N34" s="71"/>
      <c r="O34" s="71"/>
      <c r="P34" s="71"/>
    </row>
    <row r="35" spans="1:17" ht="54" x14ac:dyDescent="0.3">
      <c r="A35" s="5" t="str">
        <f>_xlfn.XLOOKUP(B35,'Paso 3 Redacción RA '!I$3:I$8,'Paso 3 Redacción RA '!C$3:C$8,,0,1)</f>
        <v>Saberhacer</v>
      </c>
      <c r="B35" s="5" t="s">
        <v>631</v>
      </c>
      <c r="C35" s="68"/>
      <c r="D35" s="68"/>
      <c r="E35" s="71"/>
      <c r="F35" s="68"/>
      <c r="G35" s="68"/>
      <c r="H35" s="68"/>
      <c r="I35" s="68"/>
      <c r="J35" s="68"/>
      <c r="K35" s="68"/>
      <c r="L35" s="68"/>
      <c r="M35" s="80"/>
      <c r="N35" s="71"/>
      <c r="O35" s="71"/>
      <c r="P35" s="71"/>
    </row>
    <row r="36" spans="1:17" ht="54.6" thickBot="1" x14ac:dyDescent="0.35">
      <c r="A36" s="34" t="str">
        <f>_xlfn.XLOOKUP(B36,'Paso 3 Redacción RA '!I$3:I$8,'Paso 3 Redacción RA '!C$3:C$8,,0,1)</f>
        <v>Saberser</v>
      </c>
      <c r="B36" s="34" t="s">
        <v>630</v>
      </c>
      <c r="C36" s="69"/>
      <c r="D36" s="69"/>
      <c r="E36" s="72"/>
      <c r="F36" s="69"/>
      <c r="G36" s="69"/>
      <c r="H36" s="69"/>
      <c r="I36" s="69"/>
      <c r="J36" s="69"/>
      <c r="K36" s="69"/>
      <c r="L36" s="69"/>
      <c r="M36" s="81"/>
      <c r="N36" s="72"/>
      <c r="O36" s="72"/>
      <c r="P36" s="72"/>
    </row>
    <row r="37" spans="1:17" ht="72" x14ac:dyDescent="0.3">
      <c r="A37" s="35" t="str">
        <f>_xlfn.XLOOKUP(B37,'Paso 3 Redacción RA '!I$3:I$8,'Paso 3 Redacción RA '!C$3:C$8,,0,1)</f>
        <v>Saber</v>
      </c>
      <c r="B37" s="35" t="s">
        <v>593</v>
      </c>
      <c r="C37" s="67">
        <v>2</v>
      </c>
      <c r="D37" s="67" t="s">
        <v>605</v>
      </c>
      <c r="E37" s="70" t="s">
        <v>609</v>
      </c>
      <c r="F37" s="67" t="s">
        <v>606</v>
      </c>
      <c r="G37" s="67"/>
      <c r="H37" s="67" t="s">
        <v>595</v>
      </c>
      <c r="I37" s="73">
        <v>3</v>
      </c>
      <c r="J37" s="73">
        <f>I37*12</f>
        <v>36</v>
      </c>
      <c r="K37" s="73">
        <f>I37*36</f>
        <v>108</v>
      </c>
      <c r="L37" s="73">
        <f>SUM(J37:K37)</f>
        <v>144</v>
      </c>
      <c r="M37" s="79" t="s">
        <v>643</v>
      </c>
      <c r="N37" s="70" t="s">
        <v>650</v>
      </c>
      <c r="O37" s="76" t="s">
        <v>617</v>
      </c>
      <c r="P37" s="70" t="s">
        <v>100</v>
      </c>
    </row>
    <row r="38" spans="1:17" ht="72" x14ac:dyDescent="0.3">
      <c r="A38" s="5" t="str">
        <f>_xlfn.XLOOKUP(B38,'Paso 3 Redacción RA '!I$3:I$8,'Paso 3 Redacción RA '!C$3:C$8,,0,1)</f>
        <v>Saberhacer</v>
      </c>
      <c r="B38" s="5" t="s">
        <v>629</v>
      </c>
      <c r="C38" s="68"/>
      <c r="D38" s="68"/>
      <c r="E38" s="71"/>
      <c r="F38" s="68"/>
      <c r="G38" s="68"/>
      <c r="H38" s="68"/>
      <c r="I38" s="74"/>
      <c r="J38" s="74"/>
      <c r="K38" s="74"/>
      <c r="L38" s="74"/>
      <c r="M38" s="80"/>
      <c r="N38" s="71"/>
      <c r="O38" s="77"/>
      <c r="P38" s="71"/>
    </row>
    <row r="39" spans="1:17" ht="54" x14ac:dyDescent="0.3">
      <c r="A39" s="5" t="str">
        <f>_xlfn.XLOOKUP(B39,'Paso 3 Redacción RA '!I$3:I$8,'Paso 3 Redacción RA '!C$3:C$8,,0,1)</f>
        <v>Saberhacer</v>
      </c>
      <c r="B39" s="5" t="s">
        <v>631</v>
      </c>
      <c r="C39" s="68"/>
      <c r="D39" s="68"/>
      <c r="E39" s="71"/>
      <c r="F39" s="68"/>
      <c r="G39" s="68"/>
      <c r="H39" s="68"/>
      <c r="I39" s="74"/>
      <c r="J39" s="74"/>
      <c r="K39" s="74"/>
      <c r="L39" s="74"/>
      <c r="M39" s="80"/>
      <c r="N39" s="71"/>
      <c r="O39" s="77"/>
      <c r="P39" s="71"/>
    </row>
    <row r="40" spans="1:17" ht="54.6" thickBot="1" x14ac:dyDescent="0.35">
      <c r="A40" s="34" t="str">
        <f>_xlfn.XLOOKUP(B40,'Paso 3 Redacción RA '!I$3:I$8,'Paso 3 Redacción RA '!C$3:C$8,,0,1)</f>
        <v>Saberser</v>
      </c>
      <c r="B40" s="34" t="s">
        <v>630</v>
      </c>
      <c r="C40" s="69" t="s">
        <v>104</v>
      </c>
      <c r="D40" s="69"/>
      <c r="E40" s="72"/>
      <c r="F40" s="69"/>
      <c r="G40" s="69"/>
      <c r="H40" s="69"/>
      <c r="I40" s="75"/>
      <c r="J40" s="75"/>
      <c r="K40" s="75"/>
      <c r="L40" s="75"/>
      <c r="M40" s="81"/>
      <c r="N40" s="72"/>
      <c r="O40" s="78"/>
      <c r="P40" s="72"/>
      <c r="Q40" s="5">
        <f>SUM(I21:I40)</f>
        <v>13</v>
      </c>
    </row>
    <row r="41" spans="1:17" ht="36" x14ac:dyDescent="0.3">
      <c r="C41" s="36" t="s">
        <v>105</v>
      </c>
      <c r="D41" s="7">
        <f>COUNTA(D3:D40)</f>
        <v>11</v>
      </c>
      <c r="H41" s="36" t="s">
        <v>106</v>
      </c>
      <c r="I41" s="7">
        <f>SUM(I3:I40)</f>
        <v>24</v>
      </c>
      <c r="J41" s="66" t="str">
        <f>IF(AND(I41&gt;=22,I41&lt;=25),"Correcto: Cumple la Política de Gestión, Evaluación e Innovación Curricular","Error: Revisar Política de Gestión, Evaluación e Innovación Curricular")</f>
        <v>Correcto: Cumple la Política de Gestión, Evaluación e Innovación Curricular</v>
      </c>
    </row>
    <row r="42" spans="1:17" ht="36" x14ac:dyDescent="0.3">
      <c r="H42" s="33" t="s">
        <v>107</v>
      </c>
      <c r="I42" s="7">
        <f>SUM(I3:I9,I21:I29)</f>
        <v>10</v>
      </c>
      <c r="J42" s="66" t="str">
        <f>IF(AND(I42&gt;=9,I42&lt;=12),"Correcto: Cumple la Política de Gestión, Evaluación e Innovación Curricular","Error: Revisar Política de Gestión, Evaluación e Innovación Curricular")</f>
        <v>Correcto: Cumple la Política de Gestión, Evaluación e Innovación Curricular</v>
      </c>
    </row>
    <row r="43" spans="1:17" ht="36" x14ac:dyDescent="0.3">
      <c r="H43" s="33" t="s">
        <v>108</v>
      </c>
      <c r="I43" s="7">
        <f>SUM(I10:I20,I30:I40)</f>
        <v>14</v>
      </c>
      <c r="J43" s="66" t="str">
        <f>IF(AND(I43&gt;=12,I43&lt;=14),"Correcto: Cumple la Política de Gestión, Evaluación e Innovación Curricular","Error: Revisar Política de Gestión, Evaluación e Innovación Curricular")</f>
        <v>Correcto: Cumple la Política de Gestión, Evaluación e Innovación Curricular</v>
      </c>
    </row>
  </sheetData>
  <mergeCells count="155">
    <mergeCell ref="C33:C36"/>
    <mergeCell ref="D33:D36"/>
    <mergeCell ref="E33:E36"/>
    <mergeCell ref="F33:F36"/>
    <mergeCell ref="G33:G36"/>
    <mergeCell ref="H33:H36"/>
    <mergeCell ref="I33:I36"/>
    <mergeCell ref="J33:J36"/>
    <mergeCell ref="K33:K36"/>
    <mergeCell ref="C17:C20"/>
    <mergeCell ref="D17:D20"/>
    <mergeCell ref="E17:E20"/>
    <mergeCell ref="G17:G20"/>
    <mergeCell ref="H17:H20"/>
    <mergeCell ref="I17:I20"/>
    <mergeCell ref="J17:J20"/>
    <mergeCell ref="K17:K20"/>
    <mergeCell ref="C27:C29"/>
    <mergeCell ref="D27:D29"/>
    <mergeCell ref="E27:E29"/>
    <mergeCell ref="G27:G29"/>
    <mergeCell ref="H27:H29"/>
    <mergeCell ref="I27:I29"/>
    <mergeCell ref="J27:J29"/>
    <mergeCell ref="K27:K29"/>
    <mergeCell ref="C24:C26"/>
    <mergeCell ref="D24:D26"/>
    <mergeCell ref="E24:E26"/>
    <mergeCell ref="F17:F20"/>
    <mergeCell ref="F21:F23"/>
    <mergeCell ref="F24:F26"/>
    <mergeCell ref="F27:F29"/>
    <mergeCell ref="D30:D32"/>
    <mergeCell ref="I30:I32"/>
    <mergeCell ref="P30:P32"/>
    <mergeCell ref="O30:O32"/>
    <mergeCell ref="N30:N32"/>
    <mergeCell ref="C21:C23"/>
    <mergeCell ref="D21:D23"/>
    <mergeCell ref="E21:E23"/>
    <mergeCell ref="G21:G23"/>
    <mergeCell ref="H21:H23"/>
    <mergeCell ref="I21:I23"/>
    <mergeCell ref="J21:J23"/>
    <mergeCell ref="K21:K23"/>
    <mergeCell ref="L21:L23"/>
    <mergeCell ref="M21:M23"/>
    <mergeCell ref="N21:N23"/>
    <mergeCell ref="C30:C32"/>
    <mergeCell ref="N27:N29"/>
    <mergeCell ref="O27:O29"/>
    <mergeCell ref="P27:P29"/>
    <mergeCell ref="N24:N26"/>
    <mergeCell ref="G30:G32"/>
    <mergeCell ref="H30:H32"/>
    <mergeCell ref="M30:M32"/>
    <mergeCell ref="E30:E32"/>
    <mergeCell ref="M13:M16"/>
    <mergeCell ref="L13:L16"/>
    <mergeCell ref="K13:K16"/>
    <mergeCell ref="J13:J16"/>
    <mergeCell ref="I13:I16"/>
    <mergeCell ref="H13:H16"/>
    <mergeCell ref="L17:L20"/>
    <mergeCell ref="M17:M20"/>
    <mergeCell ref="M27:M29"/>
    <mergeCell ref="K24:K26"/>
    <mergeCell ref="L24:L26"/>
    <mergeCell ref="L27:L29"/>
    <mergeCell ref="F13:F16"/>
    <mergeCell ref="F30:F32"/>
    <mergeCell ref="L30:L32"/>
    <mergeCell ref="K30:K32"/>
    <mergeCell ref="J30:J32"/>
    <mergeCell ref="G24:G26"/>
    <mergeCell ref="H24:H26"/>
    <mergeCell ref="I24:I26"/>
    <mergeCell ref="J24:J26"/>
    <mergeCell ref="M24:M26"/>
    <mergeCell ref="C13:C16"/>
    <mergeCell ref="D13:D16"/>
    <mergeCell ref="E13:E16"/>
    <mergeCell ref="G13:G16"/>
    <mergeCell ref="N10:N12"/>
    <mergeCell ref="N13:N16"/>
    <mergeCell ref="F3:F5"/>
    <mergeCell ref="G1:H1"/>
    <mergeCell ref="O13:O16"/>
    <mergeCell ref="L6:L9"/>
    <mergeCell ref="C6:C9"/>
    <mergeCell ref="D6:D9"/>
    <mergeCell ref="E6:E9"/>
    <mergeCell ref="G6:G9"/>
    <mergeCell ref="C10:C12"/>
    <mergeCell ref="D10:D12"/>
    <mergeCell ref="E10:E12"/>
    <mergeCell ref="G10:G12"/>
    <mergeCell ref="H10:H12"/>
    <mergeCell ref="I10:I12"/>
    <mergeCell ref="J10:J12"/>
    <mergeCell ref="K10:K12"/>
    <mergeCell ref="H6:H9"/>
    <mergeCell ref="I6:I9"/>
    <mergeCell ref="C3:C5"/>
    <mergeCell ref="D3:D5"/>
    <mergeCell ref="E3:E5"/>
    <mergeCell ref="G3:G5"/>
    <mergeCell ref="H3:H5"/>
    <mergeCell ref="I3:I5"/>
    <mergeCell ref="N3:N5"/>
    <mergeCell ref="M3:M5"/>
    <mergeCell ref="L10:L12"/>
    <mergeCell ref="M10:M12"/>
    <mergeCell ref="J3:J5"/>
    <mergeCell ref="K3:K5"/>
    <mergeCell ref="L3:L5"/>
    <mergeCell ref="J6:J9"/>
    <mergeCell ref="K6:K9"/>
    <mergeCell ref="F6:F9"/>
    <mergeCell ref="F10:F12"/>
    <mergeCell ref="P13:P16"/>
    <mergeCell ref="O10:O12"/>
    <mergeCell ref="P10:P12"/>
    <mergeCell ref="P6:P9"/>
    <mergeCell ref="P3:P5"/>
    <mergeCell ref="N6:N9"/>
    <mergeCell ref="M6:M9"/>
    <mergeCell ref="O6:O9"/>
    <mergeCell ref="O3:O5"/>
    <mergeCell ref="O21:O23"/>
    <mergeCell ref="P21:P23"/>
    <mergeCell ref="O17:O20"/>
    <mergeCell ref="P17:P20"/>
    <mergeCell ref="N17:N20"/>
    <mergeCell ref="O24:O26"/>
    <mergeCell ref="P24:P26"/>
    <mergeCell ref="L37:L40"/>
    <mergeCell ref="M37:M40"/>
    <mergeCell ref="N37:N40"/>
    <mergeCell ref="O37:O40"/>
    <mergeCell ref="P37:P40"/>
    <mergeCell ref="L33:L36"/>
    <mergeCell ref="M33:M36"/>
    <mergeCell ref="N33:N36"/>
    <mergeCell ref="O33:O36"/>
    <mergeCell ref="P33:P36"/>
    <mergeCell ref="C37:C40"/>
    <mergeCell ref="D37:D40"/>
    <mergeCell ref="E37:E40"/>
    <mergeCell ref="F37:F40"/>
    <mergeCell ref="G37:G40"/>
    <mergeCell ref="H37:H40"/>
    <mergeCell ref="I37:I40"/>
    <mergeCell ref="J37:J40"/>
    <mergeCell ref="K37:K40"/>
  </mergeCells>
  <dataValidations count="1">
    <dataValidation type="list" allowBlank="1" showInputMessage="1" showErrorMessage="1" sqref="B3:B54" xr:uid="{149936BB-E9F7-467B-9B8A-466861C21273}">
      <formula1>resultadoaprendizaje</formula1>
    </dataValidation>
  </dataValidations>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FCBD-ADC1-40F4-BFE8-98BA12AA9611}">
  <dimension ref="B1:D37"/>
  <sheetViews>
    <sheetView topLeftCell="A15" workbookViewId="0">
      <selection activeCell="B38" sqref="B38"/>
    </sheetView>
  </sheetViews>
  <sheetFormatPr baseColWidth="10" defaultColWidth="11.44140625" defaultRowHeight="14.4" x14ac:dyDescent="0.3"/>
  <cols>
    <col min="2" max="2" width="27.21875" customWidth="1"/>
    <col min="4" max="4" width="99.21875" customWidth="1"/>
  </cols>
  <sheetData>
    <row r="1" spans="2:4" ht="31.2" x14ac:dyDescent="0.5">
      <c r="B1" s="1" t="s">
        <v>109</v>
      </c>
      <c r="D1" s="26" t="s">
        <v>110</v>
      </c>
    </row>
    <row r="2" spans="2:4" ht="18" x14ac:dyDescent="0.5">
      <c r="B2" s="1" t="s">
        <v>111</v>
      </c>
    </row>
    <row r="3" spans="2:4" ht="18" x14ac:dyDescent="0.5">
      <c r="B3" s="1" t="s">
        <v>112</v>
      </c>
    </row>
    <row r="4" spans="2:4" ht="18" x14ac:dyDescent="0.5">
      <c r="B4" s="1" t="s">
        <v>113</v>
      </c>
    </row>
    <row r="5" spans="2:4" ht="18" x14ac:dyDescent="0.5">
      <c r="B5" s="1" t="s">
        <v>114</v>
      </c>
    </row>
    <row r="6" spans="2:4" ht="18" x14ac:dyDescent="0.5">
      <c r="B6" s="1" t="s">
        <v>115</v>
      </c>
    </row>
    <row r="7" spans="2:4" ht="18" x14ac:dyDescent="0.5">
      <c r="B7" s="1" t="s">
        <v>116</v>
      </c>
    </row>
    <row r="8" spans="2:4" ht="18" x14ac:dyDescent="0.5">
      <c r="B8" s="1" t="s">
        <v>117</v>
      </c>
    </row>
    <row r="9" spans="2:4" ht="18" x14ac:dyDescent="0.5">
      <c r="B9" s="1" t="s">
        <v>118</v>
      </c>
    </row>
    <row r="10" spans="2:4" ht="18" x14ac:dyDescent="0.5">
      <c r="B10" s="1" t="s">
        <v>119</v>
      </c>
    </row>
    <row r="11" spans="2:4" ht="18" x14ac:dyDescent="0.5">
      <c r="B11" s="1" t="s">
        <v>120</v>
      </c>
    </row>
    <row r="12" spans="2:4" ht="18" x14ac:dyDescent="0.5">
      <c r="B12" s="1" t="s">
        <v>121</v>
      </c>
    </row>
    <row r="13" spans="2:4" ht="18" x14ac:dyDescent="0.5">
      <c r="B13" s="1" t="s">
        <v>122</v>
      </c>
    </row>
    <row r="14" spans="2:4" ht="18" x14ac:dyDescent="0.5">
      <c r="B14" s="1" t="s">
        <v>123</v>
      </c>
    </row>
    <row r="15" spans="2:4" ht="18" x14ac:dyDescent="0.5">
      <c r="B15" s="1" t="s">
        <v>124</v>
      </c>
    </row>
    <row r="16" spans="2:4" ht="18" x14ac:dyDescent="0.5">
      <c r="B16" s="1" t="s">
        <v>125</v>
      </c>
    </row>
    <row r="17" spans="2:2" ht="18" x14ac:dyDescent="0.5">
      <c r="B17" s="1" t="s">
        <v>126</v>
      </c>
    </row>
    <row r="18" spans="2:2" ht="18" x14ac:dyDescent="0.5">
      <c r="B18" s="1" t="s">
        <v>127</v>
      </c>
    </row>
    <row r="19" spans="2:2" ht="18" x14ac:dyDescent="0.5">
      <c r="B19" s="1" t="s">
        <v>128</v>
      </c>
    </row>
    <row r="20" spans="2:2" ht="18" x14ac:dyDescent="0.5">
      <c r="B20" s="1" t="s">
        <v>129</v>
      </c>
    </row>
    <row r="21" spans="2:2" ht="18" x14ac:dyDescent="0.5">
      <c r="B21" s="1" t="s">
        <v>130</v>
      </c>
    </row>
    <row r="22" spans="2:2" ht="18" x14ac:dyDescent="0.5">
      <c r="B22" s="1" t="s">
        <v>131</v>
      </c>
    </row>
    <row r="23" spans="2:2" ht="18" x14ac:dyDescent="0.5">
      <c r="B23" s="1" t="s">
        <v>132</v>
      </c>
    </row>
    <row r="24" spans="2:2" ht="18" x14ac:dyDescent="0.5">
      <c r="B24" s="1" t="s">
        <v>133</v>
      </c>
    </row>
    <row r="25" spans="2:2" ht="18" x14ac:dyDescent="0.5">
      <c r="B25" s="1" t="s">
        <v>134</v>
      </c>
    </row>
    <row r="26" spans="2:2" ht="18" x14ac:dyDescent="0.5">
      <c r="B26" s="1" t="s">
        <v>135</v>
      </c>
    </row>
    <row r="27" spans="2:2" ht="18" x14ac:dyDescent="0.5">
      <c r="B27" s="1" t="s">
        <v>136</v>
      </c>
    </row>
    <row r="28" spans="2:2" ht="18" x14ac:dyDescent="0.5">
      <c r="B28" s="1" t="s">
        <v>137</v>
      </c>
    </row>
    <row r="29" spans="2:2" ht="18" x14ac:dyDescent="0.5">
      <c r="B29" s="1" t="s">
        <v>138</v>
      </c>
    </row>
    <row r="30" spans="2:2" ht="18" x14ac:dyDescent="0.5">
      <c r="B30" s="1" t="s">
        <v>139</v>
      </c>
    </row>
    <row r="31" spans="2:2" ht="18" x14ac:dyDescent="0.5">
      <c r="B31" s="1" t="s">
        <v>140</v>
      </c>
    </row>
    <row r="32" spans="2:2" ht="18" x14ac:dyDescent="0.5">
      <c r="B32" s="1" t="s">
        <v>141</v>
      </c>
    </row>
    <row r="33" spans="2:2" ht="18" x14ac:dyDescent="0.5">
      <c r="B33" s="1" t="s">
        <v>142</v>
      </c>
    </row>
    <row r="34" spans="2:2" ht="18" x14ac:dyDescent="0.5">
      <c r="B34" s="1" t="s">
        <v>143</v>
      </c>
    </row>
    <row r="35" spans="2:2" ht="18" x14ac:dyDescent="0.5">
      <c r="B35" s="1" t="s">
        <v>144</v>
      </c>
    </row>
    <row r="36" spans="2:2" ht="18" x14ac:dyDescent="0.5">
      <c r="B36" s="1" t="s">
        <v>145</v>
      </c>
    </row>
    <row r="37" spans="2:2" ht="18" x14ac:dyDescent="0.5">
      <c r="B37" s="1" t="s">
        <v>146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K108"/>
  <sheetViews>
    <sheetView topLeftCell="AG1" zoomScale="66" workbookViewId="0">
      <selection activeCell="AS24" sqref="AS24"/>
    </sheetView>
  </sheetViews>
  <sheetFormatPr baseColWidth="10" defaultColWidth="11.44140625" defaultRowHeight="18" x14ac:dyDescent="0.5"/>
  <cols>
    <col min="1" max="1" width="20.44140625" style="1" customWidth="1"/>
    <col min="2" max="2" width="14.21875" style="1" customWidth="1"/>
    <col min="3" max="3" width="22.21875" style="1" customWidth="1"/>
    <col min="4" max="4" width="21.5546875" style="1" customWidth="1"/>
    <col min="5" max="5" width="22.77734375" style="1" customWidth="1"/>
    <col min="6" max="6" width="16.77734375" style="1" customWidth="1"/>
    <col min="7" max="7" width="21.77734375" style="1" customWidth="1"/>
    <col min="8" max="8" width="26.21875" style="1" customWidth="1"/>
    <col min="9" max="9" width="25.21875" style="1" customWidth="1"/>
    <col min="10" max="10" width="24.44140625" style="1" customWidth="1"/>
    <col min="11" max="11" width="15.21875" style="1" customWidth="1"/>
    <col min="12" max="17" width="17.77734375" style="1" customWidth="1"/>
    <col min="18" max="18" width="22.5546875" style="1" customWidth="1"/>
    <col min="19" max="33" width="17.44140625" style="1" customWidth="1"/>
    <col min="34" max="36" width="13.21875" style="1" customWidth="1"/>
    <col min="37" max="37" width="14.5546875" style="1" customWidth="1"/>
    <col min="38" max="38" width="23.21875" style="1" bestFit="1" customWidth="1"/>
    <col min="39" max="39" width="18" style="1" customWidth="1"/>
    <col min="40" max="40" width="20.44140625" style="1" bestFit="1" customWidth="1"/>
    <col min="41" max="41" width="21.77734375" style="1" bestFit="1" customWidth="1"/>
    <col min="42" max="42" width="17.44140625" style="1" bestFit="1" customWidth="1"/>
    <col min="43" max="43" width="18.5546875" style="1" bestFit="1" customWidth="1"/>
    <col min="44" max="44" width="16.77734375" style="1" customWidth="1"/>
    <col min="45" max="45" width="26.5546875" style="1" bestFit="1" customWidth="1"/>
    <col min="46" max="46" width="21.5546875" style="1" bestFit="1" customWidth="1"/>
    <col min="47" max="47" width="19.21875" style="1" bestFit="1" customWidth="1"/>
    <col min="48" max="48" width="24.21875" style="1" bestFit="1" customWidth="1"/>
    <col min="49" max="49" width="24.77734375" style="1" bestFit="1" customWidth="1"/>
    <col min="50" max="50" width="23.21875" style="1" bestFit="1" customWidth="1"/>
    <col min="51" max="51" width="22.21875" style="1" bestFit="1" customWidth="1"/>
    <col min="52" max="52" width="32.21875" style="1" bestFit="1" customWidth="1"/>
    <col min="53" max="53" width="13.21875" style="1" customWidth="1"/>
    <col min="54" max="54" width="23.77734375" style="1" customWidth="1"/>
    <col min="55" max="55" width="22.5546875" style="1" customWidth="1"/>
    <col min="56" max="56" width="21.44140625" style="1" customWidth="1"/>
    <col min="57" max="57" width="25" style="1" customWidth="1"/>
    <col min="58" max="58" width="24.77734375" style="1" customWidth="1"/>
    <col min="59" max="59" width="22.77734375" style="1" customWidth="1"/>
    <col min="60" max="63" width="13.21875" style="1" customWidth="1"/>
    <col min="64" max="16384" width="11.44140625" style="1"/>
  </cols>
  <sheetData>
    <row r="1" spans="1:63" x14ac:dyDescent="0.5">
      <c r="S1" s="106" t="s">
        <v>147</v>
      </c>
      <c r="T1" s="106"/>
      <c r="U1" s="106"/>
      <c r="V1" s="106"/>
      <c r="W1" s="106"/>
      <c r="X1" s="106"/>
      <c r="Y1" s="106"/>
      <c r="Z1" s="106"/>
      <c r="AA1" s="106"/>
      <c r="AB1" s="106"/>
      <c r="AC1" s="106"/>
      <c r="AD1" s="106"/>
      <c r="AE1" s="106"/>
      <c r="AF1" s="106"/>
      <c r="AG1" s="106"/>
      <c r="AH1" s="9"/>
      <c r="AI1" s="9"/>
      <c r="AJ1" s="9"/>
      <c r="AL1" s="106" t="s">
        <v>148</v>
      </c>
      <c r="AM1" s="106"/>
      <c r="AN1" s="106"/>
      <c r="AO1" s="106"/>
      <c r="AP1" s="106"/>
      <c r="AQ1" s="106"/>
      <c r="AR1" s="106"/>
      <c r="AS1" s="106"/>
      <c r="AT1" s="106"/>
      <c r="AU1" s="106"/>
      <c r="AV1" s="106"/>
      <c r="AW1" s="106"/>
      <c r="AX1" s="106"/>
      <c r="AY1" s="106"/>
      <c r="AZ1" s="106"/>
      <c r="BA1" s="9"/>
      <c r="BB1" s="106" t="s">
        <v>149</v>
      </c>
      <c r="BC1" s="106"/>
      <c r="BD1" s="106"/>
      <c r="BE1" s="106"/>
      <c r="BF1" s="106"/>
      <c r="BG1" s="106"/>
      <c r="BH1" s="9"/>
      <c r="BK1" s="9"/>
    </row>
    <row r="2" spans="1:63" x14ac:dyDescent="0.5">
      <c r="L2" s="106" t="s">
        <v>150</v>
      </c>
      <c r="M2" s="106"/>
      <c r="N2" s="106"/>
      <c r="O2" s="106"/>
      <c r="P2" s="106"/>
      <c r="Q2" s="106"/>
      <c r="S2" s="107" t="s">
        <v>151</v>
      </c>
      <c r="T2" s="107"/>
      <c r="U2" s="107"/>
      <c r="V2" s="107"/>
      <c r="W2" s="107"/>
      <c r="X2" s="107"/>
      <c r="Y2" s="107" t="s">
        <v>152</v>
      </c>
      <c r="Z2" s="107"/>
      <c r="AA2" s="107"/>
      <c r="AB2" s="107"/>
      <c r="AC2" s="107" t="s">
        <v>153</v>
      </c>
      <c r="AD2" s="107"/>
      <c r="AE2" s="107"/>
      <c r="AF2" s="107"/>
      <c r="AG2" s="107"/>
      <c r="AH2" s="9"/>
      <c r="AI2" s="9"/>
      <c r="AJ2" s="9"/>
      <c r="AL2" s="106"/>
      <c r="AM2" s="106"/>
      <c r="AN2" s="106"/>
      <c r="AO2" s="106"/>
      <c r="AP2" s="106"/>
      <c r="AQ2" s="106"/>
      <c r="AR2" s="9"/>
      <c r="AS2" s="9"/>
      <c r="AT2" s="9"/>
      <c r="AU2" s="9"/>
      <c r="AV2" s="9"/>
      <c r="AW2" s="9"/>
      <c r="AX2" s="9"/>
      <c r="AY2" s="9"/>
      <c r="AZ2" s="9"/>
      <c r="BA2" s="9"/>
      <c r="BB2" s="9"/>
      <c r="BC2" s="9"/>
      <c r="BD2" s="9"/>
      <c r="BE2" s="9"/>
      <c r="BF2" s="9"/>
      <c r="BG2" s="9"/>
      <c r="BH2" s="9"/>
      <c r="BK2" s="9"/>
    </row>
    <row r="3" spans="1:63" x14ac:dyDescent="0.5">
      <c r="A3" s="1" t="s">
        <v>154</v>
      </c>
      <c r="C3" s="1" t="s">
        <v>155</v>
      </c>
      <c r="D3" s="1" t="s">
        <v>156</v>
      </c>
      <c r="E3" s="1" t="s">
        <v>157</v>
      </c>
      <c r="G3" s="1" t="s">
        <v>158</v>
      </c>
      <c r="H3" s="1" t="s">
        <v>159</v>
      </c>
      <c r="I3" s="1" t="s">
        <v>160</v>
      </c>
      <c r="L3" s="1" t="s">
        <v>161</v>
      </c>
      <c r="M3" s="1" t="s">
        <v>162</v>
      </c>
      <c r="N3" s="1" t="s">
        <v>163</v>
      </c>
      <c r="O3" s="1" t="s">
        <v>164</v>
      </c>
      <c r="P3" s="1" t="s">
        <v>165</v>
      </c>
      <c r="Q3" s="1" t="s">
        <v>166</v>
      </c>
      <c r="S3" s="1" t="s">
        <v>167</v>
      </c>
      <c r="T3" s="1" t="s">
        <v>168</v>
      </c>
      <c r="U3" s="1" t="s">
        <v>169</v>
      </c>
      <c r="V3" s="1" t="s">
        <v>170</v>
      </c>
      <c r="W3" s="1" t="s">
        <v>171</v>
      </c>
      <c r="X3" s="1" t="s">
        <v>172</v>
      </c>
      <c r="Y3" s="1" t="s">
        <v>173</v>
      </c>
      <c r="Z3" s="1" t="s">
        <v>174</v>
      </c>
      <c r="AA3" s="1" t="s">
        <v>175</v>
      </c>
      <c r="AB3" s="1" t="s">
        <v>176</v>
      </c>
      <c r="AC3" s="1" t="s">
        <v>177</v>
      </c>
      <c r="AD3" s="1" t="s">
        <v>178</v>
      </c>
      <c r="AE3" s="1" t="s">
        <v>179</v>
      </c>
      <c r="AF3" s="1" t="s">
        <v>180</v>
      </c>
      <c r="AG3" s="1" t="s">
        <v>181</v>
      </c>
      <c r="AL3" s="108" t="s">
        <v>182</v>
      </c>
      <c r="AM3" s="109"/>
      <c r="AN3" s="109"/>
      <c r="AO3" s="108" t="s">
        <v>183</v>
      </c>
      <c r="AP3" s="109"/>
      <c r="AQ3" s="109"/>
      <c r="AR3" s="108" t="s">
        <v>184</v>
      </c>
      <c r="AS3" s="109"/>
      <c r="AT3" s="109"/>
      <c r="AU3" s="110"/>
      <c r="AV3" s="108" t="s">
        <v>185</v>
      </c>
      <c r="AW3" s="109"/>
      <c r="AX3" s="109"/>
      <c r="AY3" s="109"/>
      <c r="AZ3" s="110"/>
      <c r="BA3" s="10"/>
      <c r="BB3" s="10"/>
      <c r="BC3" s="10"/>
      <c r="BD3" s="10"/>
      <c r="BE3" s="10"/>
      <c r="BF3" s="10"/>
      <c r="BG3" s="10"/>
      <c r="BH3" s="10"/>
      <c r="BK3" s="10"/>
    </row>
    <row r="4" spans="1:63" x14ac:dyDescent="0.5">
      <c r="A4" s="1" t="s">
        <v>186</v>
      </c>
      <c r="C4" s="1" t="s">
        <v>187</v>
      </c>
      <c r="D4" s="1" t="s">
        <v>188</v>
      </c>
      <c r="E4" s="1" t="s">
        <v>189</v>
      </c>
      <c r="G4" s="1" t="s">
        <v>161</v>
      </c>
      <c r="H4" s="1" t="s">
        <v>161</v>
      </c>
      <c r="I4" s="1" t="s">
        <v>161</v>
      </c>
      <c r="L4" s="1" t="s">
        <v>190</v>
      </c>
      <c r="M4" s="1" t="s">
        <v>116</v>
      </c>
      <c r="N4" s="1" t="s">
        <v>113</v>
      </c>
      <c r="O4" s="1" t="s">
        <v>191</v>
      </c>
      <c r="P4" s="1" t="s">
        <v>192</v>
      </c>
      <c r="Q4" s="1" t="s">
        <v>193</v>
      </c>
      <c r="S4" s="1" t="s">
        <v>190</v>
      </c>
      <c r="T4" s="1" t="s">
        <v>116</v>
      </c>
      <c r="U4" s="1" t="s">
        <v>113</v>
      </c>
      <c r="V4" s="1" t="s">
        <v>191</v>
      </c>
      <c r="W4" s="1" t="s">
        <v>192</v>
      </c>
      <c r="X4" s="1" t="s">
        <v>193</v>
      </c>
      <c r="Y4" s="1" t="s">
        <v>194</v>
      </c>
      <c r="Z4" s="1" t="s">
        <v>195</v>
      </c>
      <c r="AA4" s="1" t="s">
        <v>196</v>
      </c>
      <c r="AB4" s="1" t="s">
        <v>197</v>
      </c>
      <c r="AC4" s="1" t="s">
        <v>132</v>
      </c>
      <c r="AD4" s="1" t="s">
        <v>198</v>
      </c>
      <c r="AE4" s="1" t="s">
        <v>199</v>
      </c>
      <c r="AF4" s="1" t="s">
        <v>200</v>
      </c>
      <c r="AG4" s="1" t="s">
        <v>201</v>
      </c>
      <c r="AL4" s="11" t="s">
        <v>202</v>
      </c>
      <c r="AM4" s="11" t="s">
        <v>203</v>
      </c>
      <c r="AN4" s="11" t="s">
        <v>204</v>
      </c>
      <c r="AO4" s="11" t="s">
        <v>205</v>
      </c>
      <c r="AP4" s="12" t="s">
        <v>206</v>
      </c>
      <c r="AQ4" s="11" t="s">
        <v>207</v>
      </c>
      <c r="AR4" s="1" t="s">
        <v>173</v>
      </c>
      <c r="AS4" s="1" t="s">
        <v>174</v>
      </c>
      <c r="AT4" s="1" t="s">
        <v>175</v>
      </c>
      <c r="AU4" s="1" t="s">
        <v>176</v>
      </c>
      <c r="AV4" s="1" t="s">
        <v>177</v>
      </c>
      <c r="AW4" s="1" t="s">
        <v>178</v>
      </c>
      <c r="AX4" s="1" t="s">
        <v>179</v>
      </c>
      <c r="AY4" s="1" t="s">
        <v>180</v>
      </c>
      <c r="AZ4" s="1" t="s">
        <v>181</v>
      </c>
      <c r="BA4" s="10"/>
      <c r="BB4" s="1" t="s">
        <v>208</v>
      </c>
      <c r="BC4" s="1" t="s">
        <v>209</v>
      </c>
      <c r="BD4" s="1" t="s">
        <v>210</v>
      </c>
      <c r="BE4" s="1" t="s">
        <v>211</v>
      </c>
      <c r="BF4" s="1" t="s">
        <v>212</v>
      </c>
      <c r="BG4" s="1" t="s">
        <v>213</v>
      </c>
      <c r="BH4" s="10"/>
      <c r="BK4" s="10"/>
    </row>
    <row r="5" spans="1:63" x14ac:dyDescent="0.5">
      <c r="A5" s="1" t="s">
        <v>155</v>
      </c>
      <c r="C5" s="1" t="s">
        <v>214</v>
      </c>
      <c r="D5" s="1" t="s">
        <v>215</v>
      </c>
      <c r="E5" s="1" t="s">
        <v>216</v>
      </c>
      <c r="G5" s="1" t="s">
        <v>162</v>
      </c>
      <c r="H5" s="1" t="s">
        <v>162</v>
      </c>
      <c r="I5" s="1" t="s">
        <v>162</v>
      </c>
      <c r="L5" s="1" t="s">
        <v>217</v>
      </c>
      <c r="M5" s="1" t="s">
        <v>218</v>
      </c>
      <c r="N5" s="1" t="s">
        <v>219</v>
      </c>
      <c r="O5" s="1" t="s">
        <v>220</v>
      </c>
      <c r="P5" s="1" t="s">
        <v>112</v>
      </c>
      <c r="Q5" s="1" t="s">
        <v>221</v>
      </c>
      <c r="S5" s="1" t="s">
        <v>217</v>
      </c>
      <c r="T5" s="1" t="s">
        <v>218</v>
      </c>
      <c r="U5" s="1" t="s">
        <v>219</v>
      </c>
      <c r="V5" s="1" t="s">
        <v>220</v>
      </c>
      <c r="W5" s="1" t="s">
        <v>112</v>
      </c>
      <c r="X5" s="1" t="s">
        <v>221</v>
      </c>
      <c r="Y5" s="1" t="s">
        <v>192</v>
      </c>
      <c r="Z5" s="1" t="s">
        <v>222</v>
      </c>
      <c r="AA5" s="1" t="s">
        <v>137</v>
      </c>
      <c r="AB5" s="1" t="s">
        <v>223</v>
      </c>
      <c r="AC5" s="1" t="s">
        <v>118</v>
      </c>
      <c r="AD5" s="1" t="s">
        <v>224</v>
      </c>
      <c r="AE5" s="1" t="s">
        <v>198</v>
      </c>
      <c r="AF5" s="1" t="s">
        <v>225</v>
      </c>
      <c r="AG5" s="1" t="s">
        <v>226</v>
      </c>
      <c r="AL5" s="2" t="s">
        <v>227</v>
      </c>
      <c r="AM5" s="2" t="s">
        <v>228</v>
      </c>
      <c r="AN5" s="2" t="s">
        <v>229</v>
      </c>
      <c r="AO5" s="2" t="s">
        <v>230</v>
      </c>
      <c r="AP5" s="2" t="s">
        <v>192</v>
      </c>
      <c r="AQ5" s="2" t="s">
        <v>122</v>
      </c>
      <c r="AR5" s="1" t="s">
        <v>378</v>
      </c>
      <c r="AS5" s="1" t="s">
        <v>466</v>
      </c>
      <c r="AT5" s="1" t="s">
        <v>514</v>
      </c>
      <c r="AU5" s="1" t="s">
        <v>239</v>
      </c>
      <c r="AV5" s="1" t="s">
        <v>132</v>
      </c>
      <c r="AW5" s="1" t="s">
        <v>198</v>
      </c>
      <c r="AX5" s="1" t="s">
        <v>199</v>
      </c>
      <c r="AY5" s="1" t="s">
        <v>250</v>
      </c>
      <c r="AZ5" s="1" t="s">
        <v>201</v>
      </c>
      <c r="BA5" s="2"/>
      <c r="BB5" s="13" t="s">
        <v>227</v>
      </c>
      <c r="BC5" s="15" t="s">
        <v>116</v>
      </c>
      <c r="BD5" s="13" t="s">
        <v>230</v>
      </c>
      <c r="BE5" s="13" t="s">
        <v>229</v>
      </c>
      <c r="BF5" s="15" t="s">
        <v>231</v>
      </c>
      <c r="BG5" s="15" t="s">
        <v>231</v>
      </c>
      <c r="BH5" s="2"/>
      <c r="BK5" s="2"/>
    </row>
    <row r="6" spans="1:63" x14ac:dyDescent="0.5">
      <c r="A6" s="1" t="s">
        <v>156</v>
      </c>
      <c r="C6" s="1" t="s">
        <v>232</v>
      </c>
      <c r="D6" s="1" t="s">
        <v>233</v>
      </c>
      <c r="E6" s="1" t="s">
        <v>234</v>
      </c>
      <c r="G6" s="1" t="s">
        <v>163</v>
      </c>
      <c r="H6" s="1" t="s">
        <v>163</v>
      </c>
      <c r="I6" s="1" t="s">
        <v>163</v>
      </c>
      <c r="L6" s="1" t="s">
        <v>235</v>
      </c>
      <c r="M6" s="1" t="s">
        <v>236</v>
      </c>
      <c r="N6" s="1" t="s">
        <v>237</v>
      </c>
      <c r="O6" s="1" t="s">
        <v>238</v>
      </c>
      <c r="P6" s="1" t="s">
        <v>239</v>
      </c>
      <c r="Q6" s="1" t="s">
        <v>240</v>
      </c>
      <c r="S6" s="1" t="s">
        <v>235</v>
      </c>
      <c r="T6" s="1" t="s">
        <v>236</v>
      </c>
      <c r="U6" s="1" t="s">
        <v>237</v>
      </c>
      <c r="V6" s="1" t="s">
        <v>238</v>
      </c>
      <c r="W6" s="1" t="s">
        <v>239</v>
      </c>
      <c r="X6" s="1" t="s">
        <v>240</v>
      </c>
      <c r="Y6" s="1" t="s">
        <v>241</v>
      </c>
      <c r="Z6" s="1" t="s">
        <v>242</v>
      </c>
      <c r="AA6" s="1" t="s">
        <v>243</v>
      </c>
      <c r="AB6" s="1" t="s">
        <v>244</v>
      </c>
      <c r="AC6" s="1" t="s">
        <v>123</v>
      </c>
      <c r="AD6" s="1" t="s">
        <v>245</v>
      </c>
      <c r="AE6" s="1" t="s">
        <v>231</v>
      </c>
      <c r="AF6" s="1" t="s">
        <v>246</v>
      </c>
      <c r="AG6" s="1" t="s">
        <v>118</v>
      </c>
      <c r="AL6" s="2" t="s">
        <v>235</v>
      </c>
      <c r="AM6" s="2" t="s">
        <v>247</v>
      </c>
      <c r="AN6" s="2" t="s">
        <v>230</v>
      </c>
      <c r="AO6" s="2" t="s">
        <v>191</v>
      </c>
      <c r="AP6" s="2" t="s">
        <v>248</v>
      </c>
      <c r="AQ6" s="2" t="s">
        <v>249</v>
      </c>
      <c r="AR6" s="1" t="s">
        <v>192</v>
      </c>
      <c r="AS6" s="1" t="s">
        <v>191</v>
      </c>
      <c r="AT6" s="1" t="s">
        <v>229</v>
      </c>
      <c r="AU6" s="1" t="s">
        <v>551</v>
      </c>
      <c r="AV6" s="1" t="s">
        <v>118</v>
      </c>
      <c r="AW6" s="1" t="s">
        <v>224</v>
      </c>
      <c r="AX6" s="1" t="s">
        <v>198</v>
      </c>
      <c r="AY6" s="1" t="s">
        <v>220</v>
      </c>
      <c r="AZ6" s="1" t="s">
        <v>226</v>
      </c>
      <c r="BA6" s="2"/>
      <c r="BB6" s="14" t="s">
        <v>235</v>
      </c>
      <c r="BC6" s="16" t="s">
        <v>218</v>
      </c>
      <c r="BD6" s="15" t="s">
        <v>191</v>
      </c>
      <c r="BE6" s="14" t="s">
        <v>230</v>
      </c>
      <c r="BF6" s="16" t="s">
        <v>250</v>
      </c>
      <c r="BG6" s="15" t="s">
        <v>199</v>
      </c>
      <c r="BH6" s="2"/>
      <c r="BK6" s="2"/>
    </row>
    <row r="7" spans="1:63" x14ac:dyDescent="0.5">
      <c r="A7" s="1" t="s">
        <v>157</v>
      </c>
      <c r="D7" s="1" t="s">
        <v>251</v>
      </c>
      <c r="G7" s="1" t="s">
        <v>164</v>
      </c>
      <c r="H7" s="1" t="s">
        <v>164</v>
      </c>
      <c r="I7" s="1" t="s">
        <v>164</v>
      </c>
      <c r="L7" s="1" t="s">
        <v>252</v>
      </c>
      <c r="M7" s="1" t="s">
        <v>117</v>
      </c>
      <c r="N7" s="1" t="s">
        <v>253</v>
      </c>
      <c r="O7" s="1" t="s">
        <v>254</v>
      </c>
      <c r="P7" s="1" t="s">
        <v>239</v>
      </c>
      <c r="Q7" s="1" t="s">
        <v>255</v>
      </c>
      <c r="S7" s="1" t="s">
        <v>252</v>
      </c>
      <c r="T7" s="1" t="s">
        <v>117</v>
      </c>
      <c r="U7" s="1" t="s">
        <v>253</v>
      </c>
      <c r="V7" s="1" t="s">
        <v>254</v>
      </c>
      <c r="W7" s="1" t="s">
        <v>239</v>
      </c>
      <c r="X7" s="1" t="s">
        <v>255</v>
      </c>
      <c r="Y7" s="1" t="s">
        <v>256</v>
      </c>
      <c r="Z7" s="1" t="s">
        <v>257</v>
      </c>
      <c r="AA7" s="1" t="s">
        <v>258</v>
      </c>
      <c r="AB7" s="1" t="s">
        <v>259</v>
      </c>
      <c r="AC7" s="1" t="s">
        <v>195</v>
      </c>
      <c r="AD7" s="1" t="s">
        <v>227</v>
      </c>
      <c r="AE7" s="1" t="s">
        <v>227</v>
      </c>
      <c r="AF7" s="1" t="s">
        <v>250</v>
      </c>
      <c r="AG7" s="1" t="s">
        <v>260</v>
      </c>
      <c r="AL7" s="2" t="s">
        <v>261</v>
      </c>
      <c r="AM7" s="2" t="s">
        <v>262</v>
      </c>
      <c r="AN7" s="2" t="s">
        <v>238</v>
      </c>
      <c r="AO7" s="2" t="s">
        <v>263</v>
      </c>
      <c r="AP7" s="2" t="s">
        <v>264</v>
      </c>
      <c r="AQ7" s="2" t="s">
        <v>265</v>
      </c>
      <c r="AR7" s="1" t="s">
        <v>194</v>
      </c>
      <c r="AS7" s="1" t="s">
        <v>194</v>
      </c>
      <c r="AT7" s="1" t="s">
        <v>194</v>
      </c>
      <c r="AU7" s="1" t="s">
        <v>228</v>
      </c>
      <c r="AV7" s="1" t="s">
        <v>123</v>
      </c>
      <c r="AW7" s="1" t="s">
        <v>245</v>
      </c>
      <c r="AX7" s="1" t="s">
        <v>231</v>
      </c>
      <c r="AY7" s="1" t="s">
        <v>290</v>
      </c>
      <c r="AZ7" s="1" t="s">
        <v>118</v>
      </c>
      <c r="BA7" s="2"/>
      <c r="BB7" s="13" t="s">
        <v>261</v>
      </c>
      <c r="BC7" s="1" t="s">
        <v>228</v>
      </c>
      <c r="BD7" s="16" t="s">
        <v>220</v>
      </c>
      <c r="BE7" s="15" t="s">
        <v>113</v>
      </c>
      <c r="BF7" s="15" t="s">
        <v>199</v>
      </c>
      <c r="BG7" s="15" t="s">
        <v>266</v>
      </c>
      <c r="BH7" s="2"/>
      <c r="BK7" s="2"/>
    </row>
    <row r="8" spans="1:63" x14ac:dyDescent="0.5">
      <c r="G8" s="1" t="s">
        <v>165</v>
      </c>
      <c r="H8" s="1" t="s">
        <v>165</v>
      </c>
      <c r="I8" s="1" t="s">
        <v>165</v>
      </c>
      <c r="L8" s="1" t="s">
        <v>267</v>
      </c>
      <c r="M8" s="1" t="s">
        <v>268</v>
      </c>
      <c r="N8" s="1" t="s">
        <v>118</v>
      </c>
      <c r="O8" s="1" t="s">
        <v>247</v>
      </c>
      <c r="P8" s="1" t="s">
        <v>269</v>
      </c>
      <c r="Q8" s="1" t="s">
        <v>270</v>
      </c>
      <c r="S8" s="1" t="s">
        <v>267</v>
      </c>
      <c r="T8" s="1" t="s">
        <v>268</v>
      </c>
      <c r="U8" s="1" t="s">
        <v>118</v>
      </c>
      <c r="V8" s="1" t="s">
        <v>247</v>
      </c>
      <c r="W8" s="1" t="s">
        <v>269</v>
      </c>
      <c r="X8" s="1" t="s">
        <v>270</v>
      </c>
      <c r="Y8" s="1" t="s">
        <v>114</v>
      </c>
      <c r="Z8" s="1" t="s">
        <v>271</v>
      </c>
      <c r="AA8" s="1" t="s">
        <v>272</v>
      </c>
      <c r="AB8" s="1" t="s">
        <v>273</v>
      </c>
      <c r="AC8" s="1" t="s">
        <v>113</v>
      </c>
      <c r="AD8" s="1" t="s">
        <v>114</v>
      </c>
      <c r="AE8" s="1" t="s">
        <v>274</v>
      </c>
      <c r="AF8" s="1" t="s">
        <v>275</v>
      </c>
      <c r="AG8" s="1" t="s">
        <v>276</v>
      </c>
      <c r="AL8" s="2" t="s">
        <v>267</v>
      </c>
      <c r="AM8" s="2" t="s">
        <v>245</v>
      </c>
      <c r="AN8" s="2" t="s">
        <v>254</v>
      </c>
      <c r="AO8" s="2" t="s">
        <v>277</v>
      </c>
      <c r="AP8" s="2" t="s">
        <v>278</v>
      </c>
      <c r="AQ8" s="2" t="s">
        <v>279</v>
      </c>
      <c r="AR8" s="1" t="s">
        <v>255</v>
      </c>
      <c r="AS8" s="1" t="s">
        <v>542</v>
      </c>
      <c r="AT8" s="1" t="s">
        <v>243</v>
      </c>
      <c r="AU8" s="1" t="s">
        <v>581</v>
      </c>
      <c r="AV8" s="1" t="s">
        <v>195</v>
      </c>
      <c r="AW8" s="1" t="s">
        <v>227</v>
      </c>
      <c r="AX8" s="1" t="s">
        <v>227</v>
      </c>
      <c r="AY8" s="1" t="s">
        <v>239</v>
      </c>
      <c r="AZ8" s="1" t="s">
        <v>260</v>
      </c>
      <c r="BA8" s="2"/>
      <c r="BB8" s="14" t="s">
        <v>267</v>
      </c>
      <c r="BC8" s="15" t="s">
        <v>236</v>
      </c>
      <c r="BD8" s="15" t="s">
        <v>113</v>
      </c>
      <c r="BE8" s="13" t="s">
        <v>238</v>
      </c>
      <c r="BF8" s="16" t="s">
        <v>266</v>
      </c>
      <c r="BG8" s="15" t="s">
        <v>280</v>
      </c>
      <c r="BH8" s="2"/>
      <c r="BK8" s="2"/>
    </row>
    <row r="9" spans="1:63" x14ac:dyDescent="0.5">
      <c r="G9" s="1" t="s">
        <v>166</v>
      </c>
      <c r="H9" s="1" t="s">
        <v>166</v>
      </c>
      <c r="I9" s="1" t="s">
        <v>166</v>
      </c>
      <c r="L9" s="1" t="s">
        <v>121</v>
      </c>
      <c r="M9" s="1" t="s">
        <v>281</v>
      </c>
      <c r="N9" s="1" t="s">
        <v>282</v>
      </c>
      <c r="O9" s="1" t="s">
        <v>283</v>
      </c>
      <c r="P9" s="1" t="s">
        <v>284</v>
      </c>
      <c r="Q9" s="1" t="s">
        <v>114</v>
      </c>
      <c r="S9" s="1" t="s">
        <v>121</v>
      </c>
      <c r="T9" s="1" t="s">
        <v>281</v>
      </c>
      <c r="U9" s="1" t="s">
        <v>282</v>
      </c>
      <c r="V9" s="1" t="s">
        <v>283</v>
      </c>
      <c r="W9" s="1" t="s">
        <v>284</v>
      </c>
      <c r="X9" s="1" t="s">
        <v>114</v>
      </c>
      <c r="Y9" s="1" t="s">
        <v>255</v>
      </c>
      <c r="Z9" s="1" t="s">
        <v>285</v>
      </c>
      <c r="AA9" s="1" t="s">
        <v>286</v>
      </c>
      <c r="AB9" s="1" t="s">
        <v>287</v>
      </c>
      <c r="AC9" s="1" t="s">
        <v>288</v>
      </c>
      <c r="AD9" s="1" t="s">
        <v>132</v>
      </c>
      <c r="AE9" s="1" t="s">
        <v>289</v>
      </c>
      <c r="AF9" s="1" t="s">
        <v>290</v>
      </c>
      <c r="AG9" s="1" t="s">
        <v>266</v>
      </c>
      <c r="AL9" s="2" t="s">
        <v>121</v>
      </c>
      <c r="AM9" s="2" t="s">
        <v>291</v>
      </c>
      <c r="AN9" s="2" t="s">
        <v>292</v>
      </c>
      <c r="AO9" s="2" t="s">
        <v>254</v>
      </c>
      <c r="AP9" s="2" t="s">
        <v>293</v>
      </c>
      <c r="AQ9" s="2" t="s">
        <v>294</v>
      </c>
      <c r="AR9" s="1" t="s">
        <v>220</v>
      </c>
      <c r="AS9" s="1" t="s">
        <v>113</v>
      </c>
      <c r="AT9" s="1" t="s">
        <v>113</v>
      </c>
      <c r="AU9" s="1" t="s">
        <v>326</v>
      </c>
      <c r="AV9" s="1" t="s">
        <v>113</v>
      </c>
      <c r="AW9" s="1" t="s">
        <v>114</v>
      </c>
      <c r="AX9" s="1" t="s">
        <v>274</v>
      </c>
      <c r="AY9" s="1" t="s">
        <v>292</v>
      </c>
      <c r="AZ9" s="1" t="s">
        <v>276</v>
      </c>
      <c r="BA9" s="2"/>
      <c r="BB9" s="13" t="s">
        <v>121</v>
      </c>
      <c r="BC9" s="14" t="s">
        <v>247</v>
      </c>
      <c r="BD9" s="15" t="s">
        <v>263</v>
      </c>
      <c r="BE9" s="16" t="s">
        <v>219</v>
      </c>
      <c r="BF9" s="16" t="s">
        <v>227</v>
      </c>
      <c r="BG9" s="16" t="s">
        <v>295</v>
      </c>
      <c r="BH9" s="2"/>
      <c r="BK9" s="2"/>
    </row>
    <row r="10" spans="1:63" x14ac:dyDescent="0.5">
      <c r="L10" s="1" t="s">
        <v>296</v>
      </c>
      <c r="M10" s="1" t="s">
        <v>297</v>
      </c>
      <c r="N10" s="1" t="s">
        <v>245</v>
      </c>
      <c r="O10" s="1" t="s">
        <v>262</v>
      </c>
      <c r="P10" s="1" t="s">
        <v>238</v>
      </c>
      <c r="Q10" s="1" t="s">
        <v>115</v>
      </c>
      <c r="S10" s="1" t="s">
        <v>296</v>
      </c>
      <c r="T10" s="1" t="s">
        <v>297</v>
      </c>
      <c r="U10" s="1" t="s">
        <v>245</v>
      </c>
      <c r="V10" s="1" t="s">
        <v>262</v>
      </c>
      <c r="W10" s="1" t="s">
        <v>238</v>
      </c>
      <c r="X10" s="1" t="s">
        <v>115</v>
      </c>
      <c r="Y10" s="1" t="s">
        <v>220</v>
      </c>
      <c r="Z10" s="1" t="s">
        <v>132</v>
      </c>
      <c r="AA10" s="1" t="s">
        <v>298</v>
      </c>
      <c r="AB10" s="1" t="s">
        <v>299</v>
      </c>
      <c r="AC10" s="1" t="s">
        <v>300</v>
      </c>
      <c r="AD10" s="1" t="s">
        <v>117</v>
      </c>
      <c r="AE10" s="1" t="s">
        <v>301</v>
      </c>
      <c r="AF10" s="1" t="s">
        <v>302</v>
      </c>
      <c r="AG10" s="1" t="s">
        <v>303</v>
      </c>
      <c r="AL10" s="2" t="s">
        <v>296</v>
      </c>
      <c r="AM10" s="2" t="s">
        <v>304</v>
      </c>
      <c r="AN10" s="2" t="s">
        <v>305</v>
      </c>
      <c r="AO10" s="2" t="s">
        <v>306</v>
      </c>
      <c r="AP10" s="2" t="s">
        <v>237</v>
      </c>
      <c r="AQ10" s="2" t="s">
        <v>135</v>
      </c>
      <c r="AR10" s="1" t="s">
        <v>113</v>
      </c>
      <c r="AS10" s="1" t="s">
        <v>239</v>
      </c>
      <c r="AT10" s="1" t="s">
        <v>379</v>
      </c>
      <c r="AU10" s="1" t="s">
        <v>253</v>
      </c>
      <c r="AV10" s="1" t="s">
        <v>288</v>
      </c>
      <c r="AW10" s="1" t="s">
        <v>132</v>
      </c>
      <c r="AX10" s="1" t="s">
        <v>289</v>
      </c>
      <c r="AY10" s="1" t="s">
        <v>283</v>
      </c>
      <c r="AZ10" s="1" t="s">
        <v>266</v>
      </c>
      <c r="BA10" s="2"/>
      <c r="BB10" s="14" t="s">
        <v>296</v>
      </c>
      <c r="BC10" s="16" t="s">
        <v>117</v>
      </c>
      <c r="BD10" s="16" t="s">
        <v>277</v>
      </c>
      <c r="BE10" s="14" t="s">
        <v>254</v>
      </c>
      <c r="BF10" s="16" t="s">
        <v>280</v>
      </c>
      <c r="BG10" s="15" t="s">
        <v>307</v>
      </c>
      <c r="BH10" s="2"/>
      <c r="BK10" s="2"/>
    </row>
    <row r="11" spans="1:63" x14ac:dyDescent="0.5">
      <c r="G11" s="1" t="s">
        <v>308</v>
      </c>
      <c r="H11" s="1" t="s">
        <v>215</v>
      </c>
      <c r="I11" s="1" t="s">
        <v>309</v>
      </c>
      <c r="J11" s="1" t="s">
        <v>251</v>
      </c>
      <c r="L11" s="1" t="s">
        <v>245</v>
      </c>
      <c r="M11" s="1" t="s">
        <v>310</v>
      </c>
      <c r="N11" s="1" t="s">
        <v>311</v>
      </c>
      <c r="O11" s="1" t="s">
        <v>281</v>
      </c>
      <c r="P11" s="1" t="s">
        <v>253</v>
      </c>
      <c r="Q11" s="1" t="s">
        <v>312</v>
      </c>
      <c r="S11" s="1" t="s">
        <v>245</v>
      </c>
      <c r="T11" s="1" t="s">
        <v>310</v>
      </c>
      <c r="U11" s="1" t="s">
        <v>311</v>
      </c>
      <c r="V11" s="1" t="s">
        <v>281</v>
      </c>
      <c r="W11" s="1" t="s">
        <v>253</v>
      </c>
      <c r="X11" s="1" t="s">
        <v>312</v>
      </c>
      <c r="Y11" s="1" t="s">
        <v>113</v>
      </c>
      <c r="Z11" s="1" t="s">
        <v>200</v>
      </c>
      <c r="AA11" s="1" t="s">
        <v>313</v>
      </c>
      <c r="AB11" s="1" t="s">
        <v>132</v>
      </c>
      <c r="AC11" s="1" t="s">
        <v>314</v>
      </c>
      <c r="AD11" s="1" t="s">
        <v>315</v>
      </c>
      <c r="AE11" s="1" t="s">
        <v>280</v>
      </c>
      <c r="AF11" s="1" t="s">
        <v>316</v>
      </c>
      <c r="AG11" s="1" t="s">
        <v>317</v>
      </c>
      <c r="AL11" s="2" t="s">
        <v>318</v>
      </c>
      <c r="AM11" s="2" t="s">
        <v>319</v>
      </c>
      <c r="AN11" s="2" t="s">
        <v>245</v>
      </c>
      <c r="AO11" s="2" t="s">
        <v>247</v>
      </c>
      <c r="AP11" s="2" t="s">
        <v>247</v>
      </c>
      <c r="AQ11" s="2" t="s">
        <v>320</v>
      </c>
      <c r="AR11" s="1" t="s">
        <v>402</v>
      </c>
      <c r="AS11" s="1" t="s">
        <v>326</v>
      </c>
      <c r="AT11" s="1" t="s">
        <v>326</v>
      </c>
      <c r="AU11" s="1" t="s">
        <v>118</v>
      </c>
      <c r="AV11" s="1" t="s">
        <v>300</v>
      </c>
      <c r="AW11" s="1" t="s">
        <v>117</v>
      </c>
      <c r="AX11" s="1" t="s">
        <v>301</v>
      </c>
      <c r="AY11" s="1" t="s">
        <v>323</v>
      </c>
      <c r="AZ11" s="1" t="s">
        <v>303</v>
      </c>
      <c r="BA11" s="2"/>
      <c r="BB11" s="13" t="s">
        <v>318</v>
      </c>
      <c r="BC11" s="13" t="s">
        <v>262</v>
      </c>
      <c r="BD11" s="15" t="s">
        <v>238</v>
      </c>
      <c r="BE11" s="15" t="s">
        <v>237</v>
      </c>
      <c r="BF11" s="16" t="s">
        <v>295</v>
      </c>
      <c r="BG11" s="15" t="s">
        <v>290</v>
      </c>
      <c r="BH11" s="2"/>
      <c r="BK11" s="2"/>
    </row>
    <row r="12" spans="1:63" x14ac:dyDescent="0.5">
      <c r="G12" s="1" t="s">
        <v>321</v>
      </c>
      <c r="H12" s="1" t="s">
        <v>321</v>
      </c>
      <c r="I12" s="1" t="s">
        <v>321</v>
      </c>
      <c r="J12" s="1" t="s">
        <v>321</v>
      </c>
      <c r="L12" s="1" t="s">
        <v>322</v>
      </c>
      <c r="M12" s="1" t="s">
        <v>322</v>
      </c>
      <c r="N12" s="1" t="s">
        <v>271</v>
      </c>
      <c r="O12" s="1" t="s">
        <v>323</v>
      </c>
      <c r="P12" s="1" t="s">
        <v>324</v>
      </c>
      <c r="Q12" s="1" t="s">
        <v>238</v>
      </c>
      <c r="S12" s="1" t="s">
        <v>322</v>
      </c>
      <c r="T12" s="1" t="s">
        <v>322</v>
      </c>
      <c r="U12" s="1" t="s">
        <v>271</v>
      </c>
      <c r="V12" s="1" t="s">
        <v>323</v>
      </c>
      <c r="W12" s="1" t="s">
        <v>324</v>
      </c>
      <c r="X12" s="1" t="s">
        <v>238</v>
      </c>
      <c r="Y12" s="1" t="s">
        <v>239</v>
      </c>
      <c r="Z12" s="1" t="s">
        <v>325</v>
      </c>
      <c r="AA12" s="1" t="s">
        <v>326</v>
      </c>
      <c r="AB12" s="1" t="s">
        <v>327</v>
      </c>
      <c r="AC12" s="1" t="s">
        <v>328</v>
      </c>
      <c r="AD12" s="1" t="s">
        <v>291</v>
      </c>
      <c r="AE12" s="1" t="s">
        <v>329</v>
      </c>
      <c r="AF12" s="1" t="s">
        <v>330</v>
      </c>
      <c r="AG12" s="1" t="s">
        <v>331</v>
      </c>
      <c r="AL12" s="2" t="s">
        <v>332</v>
      </c>
      <c r="AM12" s="2" t="s">
        <v>333</v>
      </c>
      <c r="AN12" s="2" t="s">
        <v>122</v>
      </c>
      <c r="AO12" s="2" t="s">
        <v>334</v>
      </c>
      <c r="AP12" s="2" t="s">
        <v>335</v>
      </c>
      <c r="AQ12" s="2" t="s">
        <v>336</v>
      </c>
      <c r="AR12" s="1" t="s">
        <v>239</v>
      </c>
      <c r="AS12" s="1" t="s">
        <v>118</v>
      </c>
      <c r="AT12" s="1" t="s">
        <v>527</v>
      </c>
      <c r="AU12" s="1" t="s">
        <v>468</v>
      </c>
      <c r="AV12" s="1" t="s">
        <v>314</v>
      </c>
      <c r="AW12" s="1" t="s">
        <v>315</v>
      </c>
      <c r="AX12" s="1" t="s">
        <v>280</v>
      </c>
      <c r="AY12" s="1" t="s">
        <v>316</v>
      </c>
      <c r="AZ12" s="1" t="s">
        <v>317</v>
      </c>
      <c r="BA12" s="2"/>
      <c r="BB12" s="14" t="s">
        <v>332</v>
      </c>
      <c r="BC12" s="15" t="s">
        <v>268</v>
      </c>
      <c r="BD12" s="16" t="s">
        <v>228</v>
      </c>
      <c r="BE12" s="16" t="s">
        <v>253</v>
      </c>
      <c r="BF12" s="15" t="s">
        <v>307</v>
      </c>
      <c r="BG12" s="16" t="s">
        <v>289</v>
      </c>
      <c r="BH12" s="2"/>
      <c r="BK12" s="2"/>
    </row>
    <row r="13" spans="1:63" x14ac:dyDescent="0.5">
      <c r="G13" s="1" t="s">
        <v>337</v>
      </c>
      <c r="H13" s="1" t="s">
        <v>337</v>
      </c>
      <c r="I13" s="1" t="s">
        <v>337</v>
      </c>
      <c r="J13" s="1" t="s">
        <v>338</v>
      </c>
      <c r="L13" s="1" t="s">
        <v>332</v>
      </c>
      <c r="M13" s="1" t="s">
        <v>339</v>
      </c>
      <c r="N13" s="1" t="s">
        <v>340</v>
      </c>
      <c r="O13" s="1" t="s">
        <v>310</v>
      </c>
      <c r="P13" s="1" t="s">
        <v>341</v>
      </c>
      <c r="Q13" s="1" t="s">
        <v>342</v>
      </c>
      <c r="S13" s="1" t="s">
        <v>332</v>
      </c>
      <c r="T13" s="1" t="s">
        <v>339</v>
      </c>
      <c r="U13" s="1" t="s">
        <v>340</v>
      </c>
      <c r="V13" s="1" t="s">
        <v>310</v>
      </c>
      <c r="W13" s="1" t="s">
        <v>341</v>
      </c>
      <c r="X13" s="1" t="s">
        <v>342</v>
      </c>
      <c r="Y13" s="1" t="s">
        <v>343</v>
      </c>
      <c r="Z13" s="1" t="s">
        <v>344</v>
      </c>
      <c r="AA13" s="1" t="s">
        <v>126</v>
      </c>
      <c r="AB13" s="1" t="s">
        <v>345</v>
      </c>
      <c r="AC13" s="1" t="s">
        <v>231</v>
      </c>
      <c r="AD13" s="1" t="s">
        <v>346</v>
      </c>
      <c r="AE13" s="1" t="s">
        <v>347</v>
      </c>
      <c r="AF13" s="1" t="s">
        <v>121</v>
      </c>
      <c r="AG13" s="1" t="s">
        <v>346</v>
      </c>
      <c r="AL13" s="2" t="s">
        <v>348</v>
      </c>
      <c r="AM13" s="2" t="s">
        <v>349</v>
      </c>
      <c r="AN13" s="2" t="s">
        <v>242</v>
      </c>
      <c r="AO13" s="2" t="s">
        <v>350</v>
      </c>
      <c r="AP13" s="2" t="s">
        <v>253</v>
      </c>
      <c r="AQ13" s="2" t="s">
        <v>302</v>
      </c>
      <c r="AR13" s="1" t="s">
        <v>114</v>
      </c>
      <c r="AS13" s="1" t="s">
        <v>222</v>
      </c>
      <c r="AT13" s="1" t="s">
        <v>557</v>
      </c>
      <c r="AU13" s="1" t="s">
        <v>519</v>
      </c>
      <c r="AV13" s="1" t="s">
        <v>328</v>
      </c>
      <c r="AW13" s="1" t="s">
        <v>291</v>
      </c>
      <c r="AX13" s="1" t="s">
        <v>329</v>
      </c>
      <c r="AY13" s="1" t="s">
        <v>121</v>
      </c>
      <c r="AZ13" s="1" t="s">
        <v>331</v>
      </c>
      <c r="BA13" s="2"/>
      <c r="BB13" s="13" t="s">
        <v>348</v>
      </c>
      <c r="BC13" s="16" t="s">
        <v>281</v>
      </c>
      <c r="BD13" s="16" t="s">
        <v>254</v>
      </c>
      <c r="BE13" s="15" t="s">
        <v>118</v>
      </c>
      <c r="BF13" s="16" t="s">
        <v>290</v>
      </c>
      <c r="BG13" s="15" t="s">
        <v>198</v>
      </c>
      <c r="BH13" s="2"/>
      <c r="BK13" s="2"/>
    </row>
    <row r="14" spans="1:63" x14ac:dyDescent="0.5">
      <c r="G14" s="1" t="s">
        <v>351</v>
      </c>
      <c r="H14" s="1" t="s">
        <v>351</v>
      </c>
      <c r="I14" s="1" t="s">
        <v>351</v>
      </c>
      <c r="J14" s="1" t="s">
        <v>351</v>
      </c>
      <c r="L14" s="1" t="s">
        <v>352</v>
      </c>
      <c r="M14" s="1" t="s">
        <v>271</v>
      </c>
      <c r="N14" s="1" t="s">
        <v>124</v>
      </c>
      <c r="O14" s="1" t="s">
        <v>353</v>
      </c>
      <c r="P14" s="1" t="s">
        <v>292</v>
      </c>
      <c r="Q14" s="1" t="s">
        <v>354</v>
      </c>
      <c r="S14" s="1" t="s">
        <v>352</v>
      </c>
      <c r="T14" s="1" t="s">
        <v>271</v>
      </c>
      <c r="U14" s="1" t="s">
        <v>124</v>
      </c>
      <c r="V14" s="1" t="s">
        <v>353</v>
      </c>
      <c r="W14" s="1" t="s">
        <v>292</v>
      </c>
      <c r="X14" s="1" t="s">
        <v>354</v>
      </c>
      <c r="Y14" s="1" t="s">
        <v>355</v>
      </c>
      <c r="Z14" s="1" t="s">
        <v>352</v>
      </c>
      <c r="AA14" s="1" t="s">
        <v>356</v>
      </c>
      <c r="AB14" s="1" t="s">
        <v>357</v>
      </c>
      <c r="AC14" s="1" t="s">
        <v>358</v>
      </c>
      <c r="AD14" s="1" t="s">
        <v>359</v>
      </c>
      <c r="AE14" s="1" t="s">
        <v>360</v>
      </c>
      <c r="AF14" s="1" t="s">
        <v>311</v>
      </c>
      <c r="AG14" s="1" t="s">
        <v>359</v>
      </c>
      <c r="AL14" s="2" t="s">
        <v>361</v>
      </c>
      <c r="AM14" s="2" t="s">
        <v>362</v>
      </c>
      <c r="AN14" s="2" t="s">
        <v>332</v>
      </c>
      <c r="AO14" s="2" t="s">
        <v>363</v>
      </c>
      <c r="AP14" s="2" t="s">
        <v>282</v>
      </c>
      <c r="AQ14" s="2" t="s">
        <v>364</v>
      </c>
      <c r="AR14" s="1" t="s">
        <v>560</v>
      </c>
      <c r="AS14" s="1" t="s">
        <v>271</v>
      </c>
      <c r="AT14" s="1" t="s">
        <v>447</v>
      </c>
      <c r="AU14" s="1" t="s">
        <v>566</v>
      </c>
      <c r="AV14" s="1" t="s">
        <v>231</v>
      </c>
      <c r="AW14" s="1" t="s">
        <v>346</v>
      </c>
      <c r="AX14" s="1" t="s">
        <v>347</v>
      </c>
      <c r="AY14" s="1" t="s">
        <v>339</v>
      </c>
      <c r="AZ14" s="1" t="s">
        <v>346</v>
      </c>
      <c r="BA14" s="2"/>
      <c r="BB14" s="14" t="s">
        <v>361</v>
      </c>
      <c r="BC14" s="15" t="s">
        <v>297</v>
      </c>
      <c r="BD14" s="14" t="s">
        <v>306</v>
      </c>
      <c r="BE14" s="13" t="s">
        <v>292</v>
      </c>
      <c r="BF14" s="16" t="s">
        <v>264</v>
      </c>
      <c r="BG14" s="15" t="s">
        <v>365</v>
      </c>
      <c r="BH14" s="2"/>
      <c r="BK14" s="2"/>
    </row>
    <row r="15" spans="1:63" x14ac:dyDescent="0.5">
      <c r="G15" s="1" t="s">
        <v>366</v>
      </c>
      <c r="H15" s="1" t="s">
        <v>366</v>
      </c>
      <c r="I15" s="1" t="s">
        <v>366</v>
      </c>
      <c r="J15" s="1" t="s">
        <v>366</v>
      </c>
      <c r="L15" s="1" t="s">
        <v>348</v>
      </c>
      <c r="M15" s="1" t="s">
        <v>291</v>
      </c>
      <c r="N15" s="1" t="s">
        <v>242</v>
      </c>
      <c r="O15" s="1" t="s">
        <v>122</v>
      </c>
      <c r="P15" s="1" t="s">
        <v>282</v>
      </c>
      <c r="Q15" s="1" t="s">
        <v>228</v>
      </c>
      <c r="S15" s="1" t="s">
        <v>348</v>
      </c>
      <c r="T15" s="1" t="s">
        <v>291</v>
      </c>
      <c r="U15" s="1" t="s">
        <v>242</v>
      </c>
      <c r="V15" s="1" t="s">
        <v>122</v>
      </c>
      <c r="W15" s="1" t="s">
        <v>282</v>
      </c>
      <c r="X15" s="1" t="s">
        <v>228</v>
      </c>
      <c r="Y15" s="1" t="s">
        <v>196</v>
      </c>
      <c r="Z15" s="1" t="s">
        <v>118</v>
      </c>
      <c r="AA15" s="1" t="s">
        <v>367</v>
      </c>
      <c r="AB15" s="1" t="s">
        <v>118</v>
      </c>
      <c r="AC15" s="1" t="s">
        <v>127</v>
      </c>
      <c r="AD15" s="1" t="s">
        <v>368</v>
      </c>
      <c r="AE15" s="1" t="s">
        <v>295</v>
      </c>
      <c r="AF15" s="1" t="s">
        <v>283</v>
      </c>
      <c r="AG15" s="1" t="s">
        <v>340</v>
      </c>
      <c r="AL15" s="2" t="s">
        <v>369</v>
      </c>
      <c r="AM15" s="2" t="s">
        <v>370</v>
      </c>
      <c r="AN15" s="2" t="s">
        <v>328</v>
      </c>
      <c r="AO15" s="2" t="s">
        <v>371</v>
      </c>
      <c r="AP15" s="2" t="s">
        <v>372</v>
      </c>
      <c r="AQ15" s="2" t="s">
        <v>373</v>
      </c>
      <c r="AR15" s="1" t="s">
        <v>293</v>
      </c>
      <c r="AS15" s="1" t="s">
        <v>195</v>
      </c>
      <c r="AT15" s="1" t="s">
        <v>518</v>
      </c>
      <c r="AU15" s="1" t="s">
        <v>195</v>
      </c>
      <c r="AV15" s="1" t="s">
        <v>358</v>
      </c>
      <c r="AW15" s="1" t="s">
        <v>359</v>
      </c>
      <c r="AX15" s="1" t="s">
        <v>360</v>
      </c>
      <c r="AY15" s="1" t="s">
        <v>311</v>
      </c>
      <c r="AZ15" s="1" t="s">
        <v>359</v>
      </c>
      <c r="BA15" s="2"/>
      <c r="BB15" s="13" t="s">
        <v>369</v>
      </c>
      <c r="BC15" s="16" t="s">
        <v>310</v>
      </c>
      <c r="BD15" s="15" t="s">
        <v>237</v>
      </c>
      <c r="BE15" s="16" t="s">
        <v>282</v>
      </c>
      <c r="BF15" s="16" t="s">
        <v>289</v>
      </c>
      <c r="BG15" s="15" t="s">
        <v>360</v>
      </c>
      <c r="BH15" s="2"/>
      <c r="BK15" s="2"/>
    </row>
    <row r="16" spans="1:63" x14ac:dyDescent="0.5">
      <c r="G16" s="1" t="s">
        <v>374</v>
      </c>
      <c r="H16" s="1" t="s">
        <v>374</v>
      </c>
      <c r="I16" s="1" t="s">
        <v>374</v>
      </c>
      <c r="J16" s="1" t="s">
        <v>374</v>
      </c>
      <c r="L16" s="1" t="s">
        <v>126</v>
      </c>
      <c r="M16" s="1" t="s">
        <v>124</v>
      </c>
      <c r="N16" s="1" t="s">
        <v>375</v>
      </c>
      <c r="O16" s="1" t="s">
        <v>376</v>
      </c>
      <c r="P16" s="1" t="s">
        <v>377</v>
      </c>
      <c r="Q16" s="1" t="s">
        <v>324</v>
      </c>
      <c r="S16" s="1" t="s">
        <v>126</v>
      </c>
      <c r="T16" s="1" t="s">
        <v>124</v>
      </c>
      <c r="U16" s="1" t="s">
        <v>375</v>
      </c>
      <c r="V16" s="1" t="s">
        <v>376</v>
      </c>
      <c r="W16" s="1" t="s">
        <v>377</v>
      </c>
      <c r="X16" s="1" t="s">
        <v>324</v>
      </c>
      <c r="Y16" s="1" t="s">
        <v>378</v>
      </c>
      <c r="Z16" s="1" t="s">
        <v>123</v>
      </c>
      <c r="AA16" s="1" t="s">
        <v>379</v>
      </c>
      <c r="AB16" s="1" t="s">
        <v>195</v>
      </c>
      <c r="AC16" s="1" t="s">
        <v>145</v>
      </c>
      <c r="AD16" s="1" t="s">
        <v>380</v>
      </c>
      <c r="AE16" s="1" t="s">
        <v>307</v>
      </c>
      <c r="AF16" s="1" t="s">
        <v>381</v>
      </c>
      <c r="AG16" s="1" t="s">
        <v>371</v>
      </c>
      <c r="AL16" s="2" t="s">
        <v>286</v>
      </c>
      <c r="AM16" s="2" t="s">
        <v>382</v>
      </c>
      <c r="AN16" s="2" t="s">
        <v>352</v>
      </c>
      <c r="AO16" s="2" t="s">
        <v>383</v>
      </c>
      <c r="AP16" s="2" t="s">
        <v>377</v>
      </c>
      <c r="AQ16" s="2" t="s">
        <v>384</v>
      </c>
      <c r="AR16" s="1" t="s">
        <v>247</v>
      </c>
      <c r="AS16" s="1" t="s">
        <v>123</v>
      </c>
      <c r="AT16" s="1" t="s">
        <v>123</v>
      </c>
      <c r="AU16" s="1" t="s">
        <v>124</v>
      </c>
      <c r="AV16" s="1" t="s">
        <v>127</v>
      </c>
      <c r="AW16" s="1" t="s">
        <v>368</v>
      </c>
      <c r="AX16" s="1" t="s">
        <v>295</v>
      </c>
      <c r="AY16" s="1" t="s">
        <v>381</v>
      </c>
      <c r="AZ16" s="1" t="s">
        <v>340</v>
      </c>
      <c r="BA16" s="2"/>
      <c r="BB16" s="14" t="s">
        <v>286</v>
      </c>
      <c r="BC16" s="14" t="s">
        <v>245</v>
      </c>
      <c r="BD16" s="15" t="s">
        <v>247</v>
      </c>
      <c r="BE16" s="13" t="s">
        <v>245</v>
      </c>
      <c r="BF16" s="16" t="s">
        <v>198</v>
      </c>
      <c r="BG16" s="15" t="s">
        <v>385</v>
      </c>
      <c r="BH16" s="2"/>
      <c r="BK16" s="2"/>
    </row>
    <row r="17" spans="7:63" x14ac:dyDescent="0.5">
      <c r="G17" s="1" t="s">
        <v>386</v>
      </c>
      <c r="H17" s="1" t="s">
        <v>386</v>
      </c>
      <c r="I17" s="1" t="s">
        <v>386</v>
      </c>
      <c r="J17" s="1" t="s">
        <v>386</v>
      </c>
      <c r="L17" s="1" t="s">
        <v>387</v>
      </c>
      <c r="M17" s="1" t="s">
        <v>126</v>
      </c>
      <c r="N17" s="1" t="s">
        <v>332</v>
      </c>
      <c r="O17" s="1" t="s">
        <v>388</v>
      </c>
      <c r="P17" s="1" t="s">
        <v>389</v>
      </c>
      <c r="Q17" s="1" t="s">
        <v>341</v>
      </c>
      <c r="S17" s="1" t="s">
        <v>387</v>
      </c>
      <c r="T17" s="1" t="s">
        <v>126</v>
      </c>
      <c r="U17" s="1" t="s">
        <v>332</v>
      </c>
      <c r="V17" s="1" t="s">
        <v>388</v>
      </c>
      <c r="W17" s="1" t="s">
        <v>389</v>
      </c>
      <c r="X17" s="1" t="s">
        <v>341</v>
      </c>
      <c r="Y17" s="1" t="s">
        <v>131</v>
      </c>
      <c r="Z17" s="1" t="s">
        <v>288</v>
      </c>
      <c r="AA17" s="1" t="s">
        <v>390</v>
      </c>
      <c r="AB17" s="1" t="s">
        <v>391</v>
      </c>
      <c r="AC17" s="1" t="s">
        <v>289</v>
      </c>
      <c r="AD17" s="1" t="s">
        <v>392</v>
      </c>
      <c r="AE17" s="1" t="s">
        <v>393</v>
      </c>
      <c r="AF17" s="1" t="s">
        <v>394</v>
      </c>
      <c r="AG17" s="1" t="s">
        <v>254</v>
      </c>
      <c r="AL17" s="2" t="s">
        <v>395</v>
      </c>
      <c r="AM17" s="2" t="s">
        <v>396</v>
      </c>
      <c r="AN17" s="2" t="s">
        <v>397</v>
      </c>
      <c r="AO17" s="2" t="s">
        <v>332</v>
      </c>
      <c r="AP17" s="2" t="s">
        <v>281</v>
      </c>
      <c r="AQ17" s="2" t="s">
        <v>398</v>
      </c>
      <c r="AR17" s="1" t="s">
        <v>491</v>
      </c>
      <c r="AS17" s="1" t="s">
        <v>257</v>
      </c>
      <c r="AT17" s="1" t="s">
        <v>196</v>
      </c>
      <c r="AU17" s="1" t="s">
        <v>299</v>
      </c>
      <c r="AV17" s="1" t="s">
        <v>145</v>
      </c>
      <c r="AW17" s="1" t="s">
        <v>380</v>
      </c>
      <c r="AX17" s="1" t="s">
        <v>307</v>
      </c>
      <c r="AY17" s="1" t="s">
        <v>487</v>
      </c>
      <c r="AZ17" s="1" t="s">
        <v>371</v>
      </c>
      <c r="BA17" s="2"/>
      <c r="BB17" s="13" t="s">
        <v>395</v>
      </c>
      <c r="BC17" s="15" t="s">
        <v>322</v>
      </c>
      <c r="BD17" s="16" t="s">
        <v>253</v>
      </c>
      <c r="BE17" s="14" t="s">
        <v>122</v>
      </c>
      <c r="BF17" s="16" t="s">
        <v>239</v>
      </c>
      <c r="BG17" s="15" t="s">
        <v>254</v>
      </c>
      <c r="BH17" s="2"/>
      <c r="BK17" s="2"/>
    </row>
    <row r="18" spans="7:63" x14ac:dyDescent="0.5">
      <c r="L18" s="1" t="s">
        <v>399</v>
      </c>
      <c r="M18" s="1" t="s">
        <v>399</v>
      </c>
      <c r="N18" s="1" t="s">
        <v>400</v>
      </c>
      <c r="O18" s="1" t="s">
        <v>363</v>
      </c>
      <c r="P18" s="1" t="s">
        <v>353</v>
      </c>
      <c r="Q18" s="1" t="s">
        <v>401</v>
      </c>
      <c r="S18" s="1" t="s">
        <v>399</v>
      </c>
      <c r="T18" s="1" t="s">
        <v>399</v>
      </c>
      <c r="U18" s="1" t="s">
        <v>400</v>
      </c>
      <c r="V18" s="1" t="s">
        <v>363</v>
      </c>
      <c r="W18" s="1" t="s">
        <v>353</v>
      </c>
      <c r="X18" s="1" t="s">
        <v>401</v>
      </c>
      <c r="Y18" s="1" t="s">
        <v>402</v>
      </c>
      <c r="Z18" s="1" t="s">
        <v>300</v>
      </c>
      <c r="AA18" s="1" t="s">
        <v>288</v>
      </c>
      <c r="AB18" s="1" t="s">
        <v>253</v>
      </c>
      <c r="AC18" s="1" t="s">
        <v>347</v>
      </c>
      <c r="AD18" s="1" t="s">
        <v>267</v>
      </c>
      <c r="AE18" s="1" t="s">
        <v>403</v>
      </c>
      <c r="AF18" s="1" t="s">
        <v>404</v>
      </c>
      <c r="AG18" s="1" t="s">
        <v>405</v>
      </c>
      <c r="AL18" s="2" t="s">
        <v>406</v>
      </c>
      <c r="AM18" s="2" t="s">
        <v>407</v>
      </c>
      <c r="AN18" s="2" t="s">
        <v>408</v>
      </c>
      <c r="AO18" s="2" t="s">
        <v>313</v>
      </c>
      <c r="AP18" s="2" t="s">
        <v>310</v>
      </c>
      <c r="AQ18" s="2" t="s">
        <v>409</v>
      </c>
      <c r="AR18" s="1" t="s">
        <v>256</v>
      </c>
      <c r="AS18" s="1" t="s">
        <v>242</v>
      </c>
      <c r="AT18" s="1" t="s">
        <v>383</v>
      </c>
      <c r="AU18" s="1" t="s">
        <v>425</v>
      </c>
      <c r="AV18" s="1" t="s">
        <v>289</v>
      </c>
      <c r="AW18" s="1" t="s">
        <v>392</v>
      </c>
      <c r="AX18" s="1" t="s">
        <v>393</v>
      </c>
      <c r="AY18" s="1" t="s">
        <v>200</v>
      </c>
      <c r="AZ18" s="1" t="s">
        <v>254</v>
      </c>
      <c r="BA18" s="2"/>
      <c r="BB18" s="14" t="s">
        <v>406</v>
      </c>
      <c r="BC18" s="16" t="s">
        <v>339</v>
      </c>
      <c r="BD18" s="15" t="s">
        <v>118</v>
      </c>
      <c r="BE18" s="13" t="s">
        <v>311</v>
      </c>
      <c r="BF18" s="16" t="s">
        <v>365</v>
      </c>
      <c r="BG18" s="15" t="s">
        <v>228</v>
      </c>
      <c r="BH18" s="2"/>
      <c r="BK18" s="2"/>
    </row>
    <row r="19" spans="7:63" x14ac:dyDescent="0.5">
      <c r="G19" s="1" t="s">
        <v>189</v>
      </c>
      <c r="H19" s="1" t="s">
        <v>216</v>
      </c>
      <c r="I19" s="1" t="s">
        <v>234</v>
      </c>
      <c r="L19" s="1" t="s">
        <v>399</v>
      </c>
      <c r="M19" s="1" t="s">
        <v>333</v>
      </c>
      <c r="N19" s="1" t="s">
        <v>328</v>
      </c>
      <c r="O19" s="1" t="s">
        <v>381</v>
      </c>
      <c r="P19" s="1" t="s">
        <v>410</v>
      </c>
      <c r="Q19" s="1" t="s">
        <v>411</v>
      </c>
      <c r="S19" s="1" t="s">
        <v>399</v>
      </c>
      <c r="T19" s="1" t="s">
        <v>333</v>
      </c>
      <c r="U19" s="1" t="s">
        <v>328</v>
      </c>
      <c r="V19" s="1" t="s">
        <v>381</v>
      </c>
      <c r="W19" s="1" t="s">
        <v>410</v>
      </c>
      <c r="X19" s="1" t="s">
        <v>411</v>
      </c>
      <c r="Y19" s="1" t="s">
        <v>412</v>
      </c>
      <c r="Z19" s="1" t="s">
        <v>399</v>
      </c>
      <c r="AA19" s="1" t="s">
        <v>413</v>
      </c>
      <c r="AB19" s="1" t="s">
        <v>414</v>
      </c>
      <c r="AC19" s="1" t="s">
        <v>329</v>
      </c>
      <c r="AD19" s="1" t="s">
        <v>415</v>
      </c>
      <c r="AE19" s="1" t="s">
        <v>416</v>
      </c>
      <c r="AF19" s="1" t="s">
        <v>417</v>
      </c>
      <c r="AG19" s="1" t="s">
        <v>136</v>
      </c>
      <c r="AL19" s="2" t="s">
        <v>418</v>
      </c>
      <c r="AM19" s="2" t="s">
        <v>406</v>
      </c>
      <c r="AN19" s="2" t="s">
        <v>404</v>
      </c>
      <c r="AO19" s="2" t="s">
        <v>419</v>
      </c>
      <c r="AP19" s="2" t="s">
        <v>389</v>
      </c>
      <c r="AQ19" s="2" t="s">
        <v>420</v>
      </c>
      <c r="AR19" s="1" t="s">
        <v>118</v>
      </c>
      <c r="AS19" s="1" t="s">
        <v>425</v>
      </c>
      <c r="AT19" s="1" t="s">
        <v>425</v>
      </c>
      <c r="AU19" s="1" t="s">
        <v>259</v>
      </c>
      <c r="AV19" s="1" t="s">
        <v>347</v>
      </c>
      <c r="AW19" s="1" t="s">
        <v>267</v>
      </c>
      <c r="AX19" s="1" t="s">
        <v>403</v>
      </c>
      <c r="AY19" s="1" t="s">
        <v>275</v>
      </c>
      <c r="AZ19" s="1" t="s">
        <v>405</v>
      </c>
      <c r="BA19" s="2"/>
      <c r="BB19" s="13" t="s">
        <v>418</v>
      </c>
      <c r="BC19" s="15" t="s">
        <v>271</v>
      </c>
      <c r="BD19" s="16" t="s">
        <v>283</v>
      </c>
      <c r="BE19" s="13" t="s">
        <v>271</v>
      </c>
      <c r="BF19" s="15" t="s">
        <v>360</v>
      </c>
      <c r="BG19" s="15" t="s">
        <v>276</v>
      </c>
      <c r="BH19" s="2"/>
      <c r="BK19" s="2"/>
    </row>
    <row r="20" spans="7:63" x14ac:dyDescent="0.5">
      <c r="G20" s="1" t="s">
        <v>208</v>
      </c>
      <c r="H20" s="1" t="s">
        <v>208</v>
      </c>
      <c r="I20" s="1" t="s">
        <v>208</v>
      </c>
      <c r="L20" s="1" t="s">
        <v>421</v>
      </c>
      <c r="M20" s="1" t="s">
        <v>422</v>
      </c>
      <c r="N20" s="1" t="s">
        <v>319</v>
      </c>
      <c r="O20" s="1" t="s">
        <v>340</v>
      </c>
      <c r="P20" s="1" t="s">
        <v>122</v>
      </c>
      <c r="Q20" s="1" t="s">
        <v>423</v>
      </c>
      <c r="S20" s="1" t="s">
        <v>421</v>
      </c>
      <c r="T20" s="1" t="s">
        <v>422</v>
      </c>
      <c r="U20" s="1" t="s">
        <v>319</v>
      </c>
      <c r="V20" s="1" t="s">
        <v>340</v>
      </c>
      <c r="W20" s="1" t="s">
        <v>122</v>
      </c>
      <c r="X20" s="1" t="s">
        <v>423</v>
      </c>
      <c r="Y20" s="1" t="s">
        <v>424</v>
      </c>
      <c r="Z20" s="1" t="s">
        <v>425</v>
      </c>
      <c r="AA20" s="1" t="s">
        <v>426</v>
      </c>
      <c r="AB20" s="1" t="s">
        <v>398</v>
      </c>
      <c r="AC20" s="1" t="s">
        <v>427</v>
      </c>
      <c r="AD20" s="1" t="s">
        <v>428</v>
      </c>
      <c r="AE20" s="1" t="s">
        <v>385</v>
      </c>
      <c r="AF20" s="1" t="s">
        <v>129</v>
      </c>
      <c r="AG20" s="1" t="s">
        <v>385</v>
      </c>
      <c r="AL20" s="2" t="s">
        <v>429</v>
      </c>
      <c r="AM20" s="2" t="s">
        <v>429</v>
      </c>
      <c r="AN20" s="2" t="s">
        <v>407</v>
      </c>
      <c r="AO20" s="2" t="s">
        <v>126</v>
      </c>
      <c r="AP20" s="2" t="s">
        <v>353</v>
      </c>
      <c r="AQ20" s="2" t="s">
        <v>143</v>
      </c>
      <c r="AR20" s="1" t="s">
        <v>282</v>
      </c>
      <c r="AS20" s="1" t="s">
        <v>344</v>
      </c>
      <c r="AT20" s="1" t="s">
        <v>453</v>
      </c>
      <c r="AU20" s="1" t="s">
        <v>328</v>
      </c>
      <c r="AV20" s="1" t="s">
        <v>329</v>
      </c>
      <c r="AW20" s="1" t="s">
        <v>415</v>
      </c>
      <c r="AX20" s="1" t="s">
        <v>416</v>
      </c>
      <c r="AY20" s="1" t="s">
        <v>129</v>
      </c>
      <c r="AZ20" s="1" t="s">
        <v>136</v>
      </c>
      <c r="BA20" s="2"/>
      <c r="BB20" s="14" t="s">
        <v>429</v>
      </c>
      <c r="BC20" s="13" t="s">
        <v>291</v>
      </c>
      <c r="BD20" s="16" t="s">
        <v>282</v>
      </c>
      <c r="BE20" s="13" t="s">
        <v>340</v>
      </c>
      <c r="BF20" s="15" t="s">
        <v>385</v>
      </c>
      <c r="BG20" s="15" t="s">
        <v>301</v>
      </c>
      <c r="BH20" s="2"/>
      <c r="BK20" s="2"/>
    </row>
    <row r="21" spans="7:63" x14ac:dyDescent="0.5">
      <c r="G21" s="1" t="s">
        <v>209</v>
      </c>
      <c r="H21" s="1" t="s">
        <v>209</v>
      </c>
      <c r="I21" s="1" t="s">
        <v>209</v>
      </c>
      <c r="L21" s="1" t="s">
        <v>132</v>
      </c>
      <c r="M21" s="1" t="s">
        <v>349</v>
      </c>
      <c r="N21" s="1" t="s">
        <v>329</v>
      </c>
      <c r="O21" s="1" t="s">
        <v>371</v>
      </c>
      <c r="P21" s="1" t="s">
        <v>322</v>
      </c>
      <c r="Q21" s="1" t="s">
        <v>430</v>
      </c>
      <c r="S21" s="1" t="s">
        <v>132</v>
      </c>
      <c r="T21" s="1" t="s">
        <v>349</v>
      </c>
      <c r="U21" s="1" t="s">
        <v>329</v>
      </c>
      <c r="V21" s="1" t="s">
        <v>371</v>
      </c>
      <c r="W21" s="1" t="s">
        <v>322</v>
      </c>
      <c r="X21" s="1" t="s">
        <v>430</v>
      </c>
      <c r="Y21" s="1" t="s">
        <v>282</v>
      </c>
      <c r="Z21" s="1" t="s">
        <v>431</v>
      </c>
      <c r="AA21" s="1" t="s">
        <v>432</v>
      </c>
      <c r="AB21" s="1" t="s">
        <v>433</v>
      </c>
      <c r="AC21" s="1" t="s">
        <v>434</v>
      </c>
      <c r="AD21" s="1" t="s">
        <v>435</v>
      </c>
      <c r="AE21" s="1" t="s">
        <v>365</v>
      </c>
      <c r="AF21" s="1" t="s">
        <v>239</v>
      </c>
      <c r="AG21" s="1" t="s">
        <v>436</v>
      </c>
      <c r="AL21" s="2" t="s">
        <v>437</v>
      </c>
      <c r="AM21" s="2" t="s">
        <v>438</v>
      </c>
      <c r="AN21" s="2" t="s">
        <v>390</v>
      </c>
      <c r="AO21" s="2" t="s">
        <v>399</v>
      </c>
      <c r="AP21" s="2" t="s">
        <v>316</v>
      </c>
      <c r="AQ21" s="2" t="s">
        <v>439</v>
      </c>
      <c r="AR21" s="1" t="s">
        <v>485</v>
      </c>
      <c r="AS21" s="1" t="s">
        <v>450</v>
      </c>
      <c r="AT21" s="1" t="s">
        <v>506</v>
      </c>
      <c r="AU21" s="1" t="s">
        <v>543</v>
      </c>
      <c r="AV21" s="1" t="s">
        <v>427</v>
      </c>
      <c r="AW21" s="1" t="s">
        <v>428</v>
      </c>
      <c r="AX21" s="1" t="s">
        <v>385</v>
      </c>
      <c r="AY21" s="1" t="s">
        <v>404</v>
      </c>
      <c r="AZ21" s="1" t="s">
        <v>385</v>
      </c>
      <c r="BA21" s="2"/>
      <c r="BB21" s="13" t="s">
        <v>437</v>
      </c>
      <c r="BC21" s="15" t="s">
        <v>124</v>
      </c>
      <c r="BD21" s="15" t="s">
        <v>262</v>
      </c>
      <c r="BE21" s="13" t="s">
        <v>124</v>
      </c>
      <c r="BF21" s="16" t="s">
        <v>440</v>
      </c>
      <c r="BG21" s="15" t="s">
        <v>118</v>
      </c>
      <c r="BH21" s="2"/>
      <c r="BK21" s="2"/>
    </row>
    <row r="22" spans="7:63" x14ac:dyDescent="0.5">
      <c r="G22" s="1" t="s">
        <v>210</v>
      </c>
      <c r="H22" s="1" t="s">
        <v>210</v>
      </c>
      <c r="I22" s="1" t="s">
        <v>210</v>
      </c>
      <c r="L22" s="1" t="s">
        <v>404</v>
      </c>
      <c r="M22" s="1" t="s">
        <v>200</v>
      </c>
      <c r="N22" s="1" t="s">
        <v>441</v>
      </c>
      <c r="O22" s="1" t="s">
        <v>441</v>
      </c>
      <c r="P22" s="1" t="s">
        <v>442</v>
      </c>
      <c r="Q22" s="1" t="s">
        <v>443</v>
      </c>
      <c r="S22" s="1" t="s">
        <v>404</v>
      </c>
      <c r="T22" s="1" t="s">
        <v>200</v>
      </c>
      <c r="U22" s="1" t="s">
        <v>441</v>
      </c>
      <c r="V22" s="1" t="s">
        <v>441</v>
      </c>
      <c r="W22" s="1" t="s">
        <v>442</v>
      </c>
      <c r="X22" s="1" t="s">
        <v>443</v>
      </c>
      <c r="Y22" s="1" t="s">
        <v>444</v>
      </c>
      <c r="Z22" s="1" t="s">
        <v>349</v>
      </c>
      <c r="AA22" s="1" t="s">
        <v>383</v>
      </c>
      <c r="AB22" s="1" t="s">
        <v>326</v>
      </c>
      <c r="AC22" s="1" t="s">
        <v>445</v>
      </c>
      <c r="AD22" s="1" t="s">
        <v>140</v>
      </c>
      <c r="AE22" s="1" t="s">
        <v>446</v>
      </c>
      <c r="AF22" s="1" t="s">
        <v>427</v>
      </c>
      <c r="AG22" s="1" t="s">
        <v>447</v>
      </c>
      <c r="AL22" s="2" t="s">
        <v>448</v>
      </c>
      <c r="AM22" s="2" t="s">
        <v>449</v>
      </c>
      <c r="AN22" s="2" t="s">
        <v>343</v>
      </c>
      <c r="AO22" s="2" t="s">
        <v>382</v>
      </c>
      <c r="AP22" s="2" t="s">
        <v>245</v>
      </c>
      <c r="AR22" s="1" t="s">
        <v>262</v>
      </c>
      <c r="AS22" s="1" t="s">
        <v>352</v>
      </c>
      <c r="AT22" s="1" t="s">
        <v>506</v>
      </c>
      <c r="AU22" s="1" t="s">
        <v>507</v>
      </c>
      <c r="AV22" s="1" t="s">
        <v>434</v>
      </c>
      <c r="AW22" s="1" t="s">
        <v>435</v>
      </c>
      <c r="AX22" s="1" t="s">
        <v>365</v>
      </c>
      <c r="AY22" s="1" t="s">
        <v>394</v>
      </c>
      <c r="AZ22" s="1" t="s">
        <v>436</v>
      </c>
      <c r="BB22" s="13" t="s">
        <v>438</v>
      </c>
      <c r="BC22" s="15" t="s">
        <v>304</v>
      </c>
      <c r="BD22" s="16" t="s">
        <v>334</v>
      </c>
      <c r="BE22" s="13" t="s">
        <v>242</v>
      </c>
      <c r="BF22" s="16" t="s">
        <v>254</v>
      </c>
      <c r="BG22" s="15" t="s">
        <v>292</v>
      </c>
    </row>
    <row r="23" spans="7:63" x14ac:dyDescent="0.5">
      <c r="G23" s="1" t="s">
        <v>211</v>
      </c>
      <c r="H23" s="1" t="s">
        <v>211</v>
      </c>
      <c r="I23" s="1" t="s">
        <v>211</v>
      </c>
      <c r="L23" s="1" t="s">
        <v>370</v>
      </c>
      <c r="M23" s="1" t="s">
        <v>362</v>
      </c>
      <c r="N23" s="1" t="s">
        <v>441</v>
      </c>
      <c r="O23" s="1" t="s">
        <v>399</v>
      </c>
      <c r="P23" s="1" t="s">
        <v>123</v>
      </c>
      <c r="Q23" s="1" t="s">
        <v>281</v>
      </c>
      <c r="S23" s="1" t="s">
        <v>370</v>
      </c>
      <c r="T23" s="1" t="s">
        <v>362</v>
      </c>
      <c r="U23" s="1" t="s">
        <v>441</v>
      </c>
      <c r="V23" s="1" t="s">
        <v>399</v>
      </c>
      <c r="W23" s="1" t="s">
        <v>123</v>
      </c>
      <c r="X23" s="1" t="s">
        <v>281</v>
      </c>
      <c r="Y23" s="1" t="s">
        <v>132</v>
      </c>
      <c r="Z23" s="1" t="s">
        <v>450</v>
      </c>
      <c r="AA23" s="1" t="s">
        <v>451</v>
      </c>
      <c r="AB23" s="1" t="s">
        <v>298</v>
      </c>
      <c r="AC23" s="1" t="s">
        <v>452</v>
      </c>
      <c r="AD23" s="1" t="s">
        <v>378</v>
      </c>
      <c r="AE23" s="1" t="s">
        <v>332</v>
      </c>
      <c r="AF23" s="1" t="s">
        <v>323</v>
      </c>
      <c r="AG23" s="1" t="s">
        <v>453</v>
      </c>
      <c r="AL23" s="2" t="s">
        <v>392</v>
      </c>
      <c r="AM23" s="2" t="s">
        <v>427</v>
      </c>
      <c r="AN23" s="2" t="s">
        <v>137</v>
      </c>
      <c r="AO23" s="2" t="s">
        <v>454</v>
      </c>
      <c r="AP23" s="2" t="s">
        <v>455</v>
      </c>
      <c r="AR23" s="1" t="s">
        <v>430</v>
      </c>
      <c r="AS23" s="1" t="s">
        <v>399</v>
      </c>
      <c r="AT23" s="1" t="s">
        <v>550</v>
      </c>
      <c r="AU23" s="1" t="s">
        <v>357</v>
      </c>
      <c r="AV23" s="1" t="s">
        <v>445</v>
      </c>
      <c r="AW23" s="1" t="s">
        <v>140</v>
      </c>
      <c r="AX23" s="1" t="s">
        <v>446</v>
      </c>
      <c r="AY23" s="1" t="s">
        <v>427</v>
      </c>
      <c r="AZ23" s="1" t="s">
        <v>447</v>
      </c>
      <c r="BB23" s="14" t="s">
        <v>448</v>
      </c>
      <c r="BC23" s="15" t="s">
        <v>319</v>
      </c>
      <c r="BD23" s="16" t="s">
        <v>281</v>
      </c>
      <c r="BE23" s="15" t="s">
        <v>375</v>
      </c>
      <c r="BF23" s="15" t="s">
        <v>228</v>
      </c>
      <c r="BG23" s="15" t="s">
        <v>283</v>
      </c>
    </row>
    <row r="24" spans="7:63" x14ac:dyDescent="0.5">
      <c r="G24" s="1" t="s">
        <v>212</v>
      </c>
      <c r="H24" s="1" t="s">
        <v>212</v>
      </c>
      <c r="I24" s="1" t="s">
        <v>212</v>
      </c>
      <c r="L24" s="1" t="s">
        <v>369</v>
      </c>
      <c r="M24" s="1" t="s">
        <v>132</v>
      </c>
      <c r="N24" s="1" t="s">
        <v>127</v>
      </c>
      <c r="O24" s="1" t="s">
        <v>456</v>
      </c>
      <c r="P24" s="1" t="s">
        <v>124</v>
      </c>
      <c r="Q24" s="1" t="s">
        <v>323</v>
      </c>
      <c r="S24" s="1" t="s">
        <v>369</v>
      </c>
      <c r="T24" s="1" t="s">
        <v>132</v>
      </c>
      <c r="U24" s="1" t="s">
        <v>127</v>
      </c>
      <c r="V24" s="1" t="s">
        <v>456</v>
      </c>
      <c r="W24" s="1" t="s">
        <v>124</v>
      </c>
      <c r="X24" s="1" t="s">
        <v>323</v>
      </c>
      <c r="Y24" s="1" t="s">
        <v>285</v>
      </c>
      <c r="Z24" s="1" t="s">
        <v>194</v>
      </c>
      <c r="AA24" s="1" t="s">
        <v>457</v>
      </c>
      <c r="AB24" s="1" t="s">
        <v>425</v>
      </c>
      <c r="AC24" s="1" t="s">
        <v>385</v>
      </c>
      <c r="AD24" s="1" t="s">
        <v>458</v>
      </c>
      <c r="AE24" s="1" t="s">
        <v>458</v>
      </c>
      <c r="AF24" s="1" t="s">
        <v>459</v>
      </c>
      <c r="AG24" s="1" t="s">
        <v>357</v>
      </c>
      <c r="AL24" s="2" t="s">
        <v>417</v>
      </c>
      <c r="AM24" s="2" t="s">
        <v>459</v>
      </c>
      <c r="AN24" s="2" t="s">
        <v>460</v>
      </c>
      <c r="AO24" s="2" t="s">
        <v>461</v>
      </c>
      <c r="AP24" s="2" t="s">
        <v>124</v>
      </c>
      <c r="AR24" s="1" t="s">
        <v>120</v>
      </c>
      <c r="AS24" s="1" t="s">
        <v>431</v>
      </c>
      <c r="AT24" s="1" t="s">
        <v>313</v>
      </c>
      <c r="AU24" s="1" t="s">
        <v>501</v>
      </c>
      <c r="AV24" s="1" t="s">
        <v>452</v>
      </c>
      <c r="AW24" s="1" t="s">
        <v>378</v>
      </c>
      <c r="AX24" s="1" t="s">
        <v>332</v>
      </c>
      <c r="AY24" s="1" t="s">
        <v>246</v>
      </c>
      <c r="AZ24" s="1" t="s">
        <v>453</v>
      </c>
      <c r="BB24" s="13" t="s">
        <v>392</v>
      </c>
      <c r="BC24" s="15" t="s">
        <v>126</v>
      </c>
      <c r="BD24" s="15" t="s">
        <v>323</v>
      </c>
      <c r="BE24" s="14" t="s">
        <v>332</v>
      </c>
      <c r="BF24" s="15" t="s">
        <v>359</v>
      </c>
      <c r="BG24" s="15" t="s">
        <v>462</v>
      </c>
    </row>
    <row r="25" spans="7:63" x14ac:dyDescent="0.5">
      <c r="G25" s="1" t="s">
        <v>213</v>
      </c>
      <c r="H25" s="1" t="s">
        <v>213</v>
      </c>
      <c r="I25" s="1" t="s">
        <v>213</v>
      </c>
      <c r="L25" s="1" t="s">
        <v>463</v>
      </c>
      <c r="M25" s="1" t="s">
        <v>404</v>
      </c>
      <c r="N25" s="1" t="s">
        <v>456</v>
      </c>
      <c r="O25" s="1" t="s">
        <v>454</v>
      </c>
      <c r="P25" s="1" t="s">
        <v>453</v>
      </c>
      <c r="Q25" s="1" t="s">
        <v>464</v>
      </c>
      <c r="S25" s="1" t="s">
        <v>463</v>
      </c>
      <c r="T25" s="1" t="s">
        <v>404</v>
      </c>
      <c r="U25" s="1" t="s">
        <v>456</v>
      </c>
      <c r="V25" s="1" t="s">
        <v>454</v>
      </c>
      <c r="W25" s="1" t="s">
        <v>453</v>
      </c>
      <c r="X25" s="1" t="s">
        <v>464</v>
      </c>
      <c r="Y25" s="1" t="s">
        <v>465</v>
      </c>
      <c r="Z25" s="1" t="s">
        <v>466</v>
      </c>
      <c r="AA25" s="1" t="s">
        <v>467</v>
      </c>
      <c r="AB25" s="1" t="s">
        <v>468</v>
      </c>
      <c r="AC25" s="1" t="s">
        <v>436</v>
      </c>
      <c r="AD25" s="1" t="s">
        <v>332</v>
      </c>
      <c r="AE25" s="1" t="s">
        <v>469</v>
      </c>
      <c r="AF25" s="1" t="s">
        <v>292</v>
      </c>
      <c r="AG25" s="1" t="s">
        <v>264</v>
      </c>
      <c r="AL25" s="2" t="s">
        <v>459</v>
      </c>
      <c r="AM25" s="2" t="s">
        <v>225</v>
      </c>
      <c r="AN25" s="2" t="s">
        <v>140</v>
      </c>
      <c r="AO25" s="2" t="s">
        <v>470</v>
      </c>
      <c r="AP25" s="2" t="s">
        <v>329</v>
      </c>
      <c r="AR25" s="1" t="s">
        <v>557</v>
      </c>
      <c r="AS25" s="1" t="s">
        <v>349</v>
      </c>
      <c r="AT25" s="1" t="s">
        <v>571</v>
      </c>
      <c r="AU25" s="1" t="s">
        <v>497</v>
      </c>
      <c r="AV25" s="1" t="s">
        <v>385</v>
      </c>
      <c r="AW25" s="1" t="s">
        <v>458</v>
      </c>
      <c r="AX25" s="1" t="s">
        <v>458</v>
      </c>
      <c r="AY25" s="1" t="s">
        <v>302</v>
      </c>
      <c r="AZ25" s="1" t="s">
        <v>357</v>
      </c>
      <c r="BB25" s="14" t="s">
        <v>417</v>
      </c>
      <c r="BC25" s="15" t="s">
        <v>399</v>
      </c>
      <c r="BD25" s="16" t="s">
        <v>310</v>
      </c>
      <c r="BE25" s="15" t="s">
        <v>400</v>
      </c>
      <c r="BF25" s="15" t="s">
        <v>471</v>
      </c>
      <c r="BG25" s="15" t="s">
        <v>331</v>
      </c>
    </row>
    <row r="26" spans="7:63" x14ac:dyDescent="0.5">
      <c r="L26" s="1" t="s">
        <v>418</v>
      </c>
      <c r="M26" s="1" t="s">
        <v>472</v>
      </c>
      <c r="N26" s="1" t="s">
        <v>370</v>
      </c>
      <c r="O26" s="1" t="s">
        <v>473</v>
      </c>
      <c r="P26" s="1" t="s">
        <v>412</v>
      </c>
      <c r="Q26" s="1" t="s">
        <v>310</v>
      </c>
      <c r="S26" s="1" t="s">
        <v>418</v>
      </c>
      <c r="T26" s="1" t="s">
        <v>472</v>
      </c>
      <c r="U26" s="1" t="s">
        <v>370</v>
      </c>
      <c r="V26" s="1" t="s">
        <v>473</v>
      </c>
      <c r="W26" s="1" t="s">
        <v>412</v>
      </c>
      <c r="X26" s="1" t="s">
        <v>310</v>
      </c>
      <c r="Y26" s="1" t="s">
        <v>293</v>
      </c>
      <c r="Z26" s="1" t="s">
        <v>239</v>
      </c>
      <c r="AA26" s="1" t="s">
        <v>241</v>
      </c>
      <c r="AB26" s="1" t="s">
        <v>474</v>
      </c>
      <c r="AC26" s="1" t="s">
        <v>475</v>
      </c>
      <c r="AD26" s="1" t="s">
        <v>469</v>
      </c>
      <c r="AE26" s="1" t="s">
        <v>228</v>
      </c>
      <c r="AF26" s="1" t="s">
        <v>476</v>
      </c>
      <c r="AG26" s="1" t="s">
        <v>477</v>
      </c>
      <c r="AL26" s="2" t="s">
        <v>459</v>
      </c>
      <c r="AM26" s="2" t="s">
        <v>478</v>
      </c>
      <c r="AN26" s="2" t="s">
        <v>225</v>
      </c>
      <c r="AO26" s="2" t="s">
        <v>429</v>
      </c>
      <c r="AP26" s="2" t="s">
        <v>127</v>
      </c>
      <c r="AR26" s="1" t="s">
        <v>546</v>
      </c>
      <c r="AS26" s="1" t="s">
        <v>200</v>
      </c>
      <c r="AT26" s="1" t="s">
        <v>554</v>
      </c>
      <c r="AU26" s="1" t="s">
        <v>287</v>
      </c>
      <c r="AV26" s="1" t="s">
        <v>436</v>
      </c>
      <c r="AW26" s="1" t="s">
        <v>332</v>
      </c>
      <c r="AX26" s="1" t="s">
        <v>469</v>
      </c>
      <c r="AY26" s="1" t="s">
        <v>330</v>
      </c>
      <c r="AZ26" s="1" t="s">
        <v>264</v>
      </c>
      <c r="BB26" s="13" t="s">
        <v>459</v>
      </c>
      <c r="BC26" s="15" t="s">
        <v>333</v>
      </c>
      <c r="BD26" s="15" t="s">
        <v>353</v>
      </c>
      <c r="BE26" s="16" t="s">
        <v>328</v>
      </c>
      <c r="BF26" s="15" t="s">
        <v>276</v>
      </c>
      <c r="BG26" s="15" t="s">
        <v>323</v>
      </c>
    </row>
    <row r="27" spans="7:63" x14ac:dyDescent="0.5">
      <c r="L27" s="1" t="s">
        <v>479</v>
      </c>
      <c r="M27" s="1" t="s">
        <v>382</v>
      </c>
      <c r="N27" s="1" t="s">
        <v>472</v>
      </c>
      <c r="O27" s="1" t="s">
        <v>461</v>
      </c>
      <c r="P27" s="1" t="s">
        <v>348</v>
      </c>
      <c r="Q27" s="1" t="s">
        <v>389</v>
      </c>
      <c r="S27" s="1" t="s">
        <v>479</v>
      </c>
      <c r="T27" s="1" t="s">
        <v>382</v>
      </c>
      <c r="U27" s="1" t="s">
        <v>472</v>
      </c>
      <c r="V27" s="1" t="s">
        <v>461</v>
      </c>
      <c r="W27" s="1" t="s">
        <v>348</v>
      </c>
      <c r="X27" s="1" t="s">
        <v>389</v>
      </c>
      <c r="Y27" s="1" t="s">
        <v>241</v>
      </c>
      <c r="Z27" s="1" t="s">
        <v>279</v>
      </c>
      <c r="AA27" s="1" t="s">
        <v>194</v>
      </c>
      <c r="AB27" s="1" t="s">
        <v>288</v>
      </c>
      <c r="AC27" s="1" t="s">
        <v>332</v>
      </c>
      <c r="AD27" s="1" t="s">
        <v>228</v>
      </c>
      <c r="AE27" s="1" t="s">
        <v>480</v>
      </c>
      <c r="AF27" s="1" t="s">
        <v>481</v>
      </c>
      <c r="AG27" s="1" t="s">
        <v>146</v>
      </c>
      <c r="AL27" s="2" t="s">
        <v>482</v>
      </c>
      <c r="AM27" s="2" t="s">
        <v>345</v>
      </c>
      <c r="AN27" s="2" t="s">
        <v>458</v>
      </c>
      <c r="AO27" s="2" t="s">
        <v>355</v>
      </c>
      <c r="AP27" s="2" t="s">
        <v>456</v>
      </c>
      <c r="AR27" s="1" t="s">
        <v>245</v>
      </c>
      <c r="AS27" s="1" t="s">
        <v>300</v>
      </c>
      <c r="AT27" s="1" t="s">
        <v>126</v>
      </c>
      <c r="AU27" s="1" t="s">
        <v>132</v>
      </c>
      <c r="AV27" s="1" t="s">
        <v>475</v>
      </c>
      <c r="AW27" s="1" t="s">
        <v>469</v>
      </c>
      <c r="AX27" s="1" t="s">
        <v>228</v>
      </c>
      <c r="AY27" s="1" t="s">
        <v>417</v>
      </c>
      <c r="AZ27" s="1" t="s">
        <v>477</v>
      </c>
      <c r="BB27" s="18" t="s">
        <v>482</v>
      </c>
      <c r="BC27" s="15" t="s">
        <v>422</v>
      </c>
      <c r="BD27" s="15" t="s">
        <v>245</v>
      </c>
      <c r="BE27" s="14" t="s">
        <v>352</v>
      </c>
      <c r="BF27" s="16" t="s">
        <v>260</v>
      </c>
      <c r="BG27" s="15" t="s">
        <v>416</v>
      </c>
    </row>
    <row r="28" spans="7:63" x14ac:dyDescent="0.5">
      <c r="L28" s="1" t="s">
        <v>429</v>
      </c>
      <c r="M28" s="1" t="s">
        <v>407</v>
      </c>
      <c r="N28" s="1" t="s">
        <v>407</v>
      </c>
      <c r="O28" s="1" t="s">
        <v>369</v>
      </c>
      <c r="P28" s="1" t="s">
        <v>126</v>
      </c>
      <c r="Q28" s="1" t="s">
        <v>353</v>
      </c>
      <c r="S28" s="1" t="s">
        <v>429</v>
      </c>
      <c r="T28" s="1" t="s">
        <v>407</v>
      </c>
      <c r="U28" s="1" t="s">
        <v>407</v>
      </c>
      <c r="V28" s="1" t="s">
        <v>369</v>
      </c>
      <c r="W28" s="1" t="s">
        <v>126</v>
      </c>
      <c r="X28" s="1" t="s">
        <v>353</v>
      </c>
      <c r="Y28" s="1" t="s">
        <v>143</v>
      </c>
      <c r="Z28" s="1" t="s">
        <v>390</v>
      </c>
      <c r="AA28" s="1" t="s">
        <v>483</v>
      </c>
      <c r="AB28" s="1" t="s">
        <v>484</v>
      </c>
      <c r="AC28" s="1" t="s">
        <v>469</v>
      </c>
      <c r="AD28" s="1" t="s">
        <v>485</v>
      </c>
      <c r="AE28" s="1" t="s">
        <v>486</v>
      </c>
      <c r="AF28" s="1" t="s">
        <v>487</v>
      </c>
      <c r="AG28" s="1" t="s">
        <v>462</v>
      </c>
      <c r="AL28" s="2"/>
      <c r="AM28" s="2"/>
      <c r="AN28" s="2" t="s">
        <v>488</v>
      </c>
      <c r="AO28" s="2" t="s">
        <v>427</v>
      </c>
      <c r="AP28" s="2" t="s">
        <v>333</v>
      </c>
      <c r="AR28" s="1" t="s">
        <v>376</v>
      </c>
      <c r="AS28" s="1" t="s">
        <v>132</v>
      </c>
      <c r="AT28" s="1" t="s">
        <v>578</v>
      </c>
      <c r="AU28" s="1" t="s">
        <v>133</v>
      </c>
      <c r="AV28" s="1" t="s">
        <v>332</v>
      </c>
      <c r="AW28" s="1" t="s">
        <v>228</v>
      </c>
      <c r="AX28" s="1" t="s">
        <v>480</v>
      </c>
      <c r="AY28" s="1" t="s">
        <v>459</v>
      </c>
      <c r="AZ28" s="1" t="s">
        <v>146</v>
      </c>
      <c r="BB28" s="18"/>
      <c r="BC28" s="15" t="s">
        <v>349</v>
      </c>
      <c r="BD28" s="16" t="s">
        <v>122</v>
      </c>
      <c r="BE28" s="13" t="s">
        <v>397</v>
      </c>
      <c r="BF28" s="15" t="s">
        <v>301</v>
      </c>
      <c r="BG28" s="15" t="s">
        <v>447</v>
      </c>
    </row>
    <row r="29" spans="7:63" x14ac:dyDescent="0.5">
      <c r="L29" s="1" t="s">
        <v>489</v>
      </c>
      <c r="M29" s="1" t="s">
        <v>473</v>
      </c>
      <c r="N29" s="1" t="s">
        <v>461</v>
      </c>
      <c r="O29" s="1" t="s">
        <v>413</v>
      </c>
      <c r="P29" s="1" t="s">
        <v>490</v>
      </c>
      <c r="Q29" s="1" t="s">
        <v>316</v>
      </c>
      <c r="S29" s="1" t="s">
        <v>489</v>
      </c>
      <c r="T29" s="1" t="s">
        <v>473</v>
      </c>
      <c r="U29" s="1" t="s">
        <v>461</v>
      </c>
      <c r="V29" s="1" t="s">
        <v>413</v>
      </c>
      <c r="W29" s="1" t="s">
        <v>490</v>
      </c>
      <c r="X29" s="1" t="s">
        <v>316</v>
      </c>
      <c r="Y29" s="1" t="s">
        <v>491</v>
      </c>
      <c r="Z29" s="1" t="s">
        <v>492</v>
      </c>
      <c r="AA29" s="1" t="s">
        <v>492</v>
      </c>
      <c r="AB29" s="1" t="s">
        <v>493</v>
      </c>
      <c r="AC29" s="1" t="s">
        <v>458</v>
      </c>
      <c r="AD29" s="1" t="s">
        <v>494</v>
      </c>
      <c r="AE29" s="1" t="s">
        <v>412</v>
      </c>
      <c r="AF29" s="1" t="s">
        <v>339</v>
      </c>
      <c r="AG29" s="1" t="s">
        <v>430</v>
      </c>
      <c r="AL29" s="2"/>
      <c r="AN29" s="2" t="s">
        <v>495</v>
      </c>
      <c r="AO29" s="2" t="s">
        <v>496</v>
      </c>
      <c r="AP29" s="2" t="s">
        <v>497</v>
      </c>
      <c r="AR29" s="1" t="s">
        <v>195</v>
      </c>
      <c r="AS29" s="1" t="s">
        <v>404</v>
      </c>
      <c r="AT29" s="1" t="s">
        <v>272</v>
      </c>
      <c r="AU29" s="1" t="s">
        <v>580</v>
      </c>
      <c r="AV29" s="1" t="s">
        <v>469</v>
      </c>
      <c r="AW29" s="1" t="s">
        <v>485</v>
      </c>
      <c r="AX29" s="1" t="s">
        <v>486</v>
      </c>
      <c r="AY29" s="1" t="s">
        <v>476</v>
      </c>
      <c r="AZ29" s="1" t="s">
        <v>462</v>
      </c>
      <c r="BC29" s="15" t="s">
        <v>200</v>
      </c>
      <c r="BD29" s="15" t="s">
        <v>350</v>
      </c>
      <c r="BE29" s="15" t="s">
        <v>319</v>
      </c>
      <c r="BF29" s="15" t="s">
        <v>118</v>
      </c>
      <c r="BG29" s="15" t="s">
        <v>316</v>
      </c>
    </row>
    <row r="30" spans="7:63" x14ac:dyDescent="0.5">
      <c r="L30" s="1" t="s">
        <v>355</v>
      </c>
      <c r="M30" s="1" t="s">
        <v>286</v>
      </c>
      <c r="N30" s="1" t="s">
        <v>369</v>
      </c>
      <c r="O30" s="1" t="s">
        <v>137</v>
      </c>
      <c r="P30" s="1" t="s">
        <v>498</v>
      </c>
      <c r="Q30" s="1" t="s">
        <v>316</v>
      </c>
      <c r="S30" s="1" t="s">
        <v>355</v>
      </c>
      <c r="T30" s="1" t="s">
        <v>286</v>
      </c>
      <c r="U30" s="1" t="s">
        <v>369</v>
      </c>
      <c r="V30" s="1" t="s">
        <v>137</v>
      </c>
      <c r="W30" s="1" t="s">
        <v>498</v>
      </c>
      <c r="X30" s="1" t="s">
        <v>316</v>
      </c>
      <c r="Y30" s="1" t="s">
        <v>146</v>
      </c>
      <c r="Z30" s="1" t="s">
        <v>404</v>
      </c>
      <c r="AA30" s="1" t="s">
        <v>131</v>
      </c>
      <c r="AB30" s="1" t="s">
        <v>133</v>
      </c>
      <c r="AC30" s="1" t="s">
        <v>499</v>
      </c>
      <c r="AD30" s="1" t="s">
        <v>472</v>
      </c>
      <c r="AE30" s="1" t="s">
        <v>136</v>
      </c>
      <c r="AL30" s="2"/>
      <c r="AN30" s="2" t="s">
        <v>486</v>
      </c>
      <c r="AO30" s="2" t="s">
        <v>500</v>
      </c>
      <c r="AP30" s="2" t="s">
        <v>129</v>
      </c>
      <c r="AR30" s="1" t="s">
        <v>196</v>
      </c>
      <c r="AS30" s="1" t="s">
        <v>454</v>
      </c>
      <c r="AT30" s="1" t="s">
        <v>200</v>
      </c>
      <c r="AU30" s="1" t="s">
        <v>454</v>
      </c>
      <c r="AV30" s="1" t="s">
        <v>458</v>
      </c>
      <c r="AW30" s="1" t="s">
        <v>494</v>
      </c>
      <c r="AX30" s="1" t="s">
        <v>412</v>
      </c>
      <c r="AY30" s="1" t="s">
        <v>225</v>
      </c>
      <c r="AZ30" s="1" t="s">
        <v>430</v>
      </c>
      <c r="BC30" s="15" t="s">
        <v>362</v>
      </c>
      <c r="BD30" s="15" t="s">
        <v>376</v>
      </c>
      <c r="BE30" s="16" t="s">
        <v>329</v>
      </c>
      <c r="BF30" s="16" t="s">
        <v>292</v>
      </c>
      <c r="BG30" s="15" t="s">
        <v>311</v>
      </c>
    </row>
    <row r="31" spans="7:63" x14ac:dyDescent="0.5">
      <c r="L31" s="1" t="s">
        <v>343</v>
      </c>
      <c r="M31" s="1" t="s">
        <v>428</v>
      </c>
      <c r="N31" s="1" t="s">
        <v>390</v>
      </c>
      <c r="O31" s="1" t="s">
        <v>427</v>
      </c>
      <c r="P31" s="1" t="s">
        <v>129</v>
      </c>
      <c r="Q31" s="1" t="s">
        <v>311</v>
      </c>
      <c r="S31" s="1" t="s">
        <v>343</v>
      </c>
      <c r="T31" s="1" t="s">
        <v>428</v>
      </c>
      <c r="U31" s="1" t="s">
        <v>390</v>
      </c>
      <c r="V31" s="1" t="s">
        <v>427</v>
      </c>
      <c r="W31" s="1" t="s">
        <v>129</v>
      </c>
      <c r="X31" s="1" t="s">
        <v>311</v>
      </c>
      <c r="Y31" s="1" t="s">
        <v>430</v>
      </c>
      <c r="Z31" s="1" t="s">
        <v>454</v>
      </c>
      <c r="AA31" s="1" t="s">
        <v>201</v>
      </c>
      <c r="AB31" s="1" t="s">
        <v>501</v>
      </c>
      <c r="AC31" s="1" t="s">
        <v>502</v>
      </c>
      <c r="AD31" s="1" t="s">
        <v>371</v>
      </c>
      <c r="AE31" s="1" t="s">
        <v>440</v>
      </c>
      <c r="AL31" s="2"/>
      <c r="AN31" s="2" t="s">
        <v>503</v>
      </c>
      <c r="AO31" s="2" t="s">
        <v>504</v>
      </c>
      <c r="AP31" s="2" t="s">
        <v>505</v>
      </c>
      <c r="AR31" s="1" t="s">
        <v>444</v>
      </c>
      <c r="AS31" s="1" t="s">
        <v>526</v>
      </c>
      <c r="AT31" s="1" t="s">
        <v>582</v>
      </c>
      <c r="AU31" s="1" t="s">
        <v>474</v>
      </c>
      <c r="AV31" s="1" t="s">
        <v>499</v>
      </c>
      <c r="AW31" s="1" t="s">
        <v>472</v>
      </c>
      <c r="AX31" s="1" t="s">
        <v>136</v>
      </c>
      <c r="AY31" s="1" t="s">
        <v>481</v>
      </c>
      <c r="BC31" s="15" t="s">
        <v>132</v>
      </c>
      <c r="BD31" s="16" t="s">
        <v>311</v>
      </c>
      <c r="BE31" s="15" t="s">
        <v>441</v>
      </c>
      <c r="BF31" s="16" t="s">
        <v>283</v>
      </c>
      <c r="BG31" s="15" t="s">
        <v>381</v>
      </c>
    </row>
    <row r="32" spans="7:63" x14ac:dyDescent="0.5">
      <c r="L32" s="1" t="s">
        <v>427</v>
      </c>
      <c r="M32" s="1" t="s">
        <v>438</v>
      </c>
      <c r="N32" s="1" t="s">
        <v>135</v>
      </c>
      <c r="O32" s="1" t="s">
        <v>500</v>
      </c>
      <c r="P32" s="1" t="s">
        <v>130</v>
      </c>
      <c r="Q32" s="1" t="s">
        <v>291</v>
      </c>
      <c r="S32" s="1" t="s">
        <v>427</v>
      </c>
      <c r="T32" s="1" t="s">
        <v>438</v>
      </c>
      <c r="U32" s="1" t="s">
        <v>135</v>
      </c>
      <c r="V32" s="1" t="s">
        <v>500</v>
      </c>
      <c r="W32" s="1" t="s">
        <v>130</v>
      </c>
      <c r="X32" s="1" t="s">
        <v>291</v>
      </c>
      <c r="Y32" s="1" t="s">
        <v>262</v>
      </c>
      <c r="Z32" s="1" t="s">
        <v>478</v>
      </c>
      <c r="AA32" s="1" t="s">
        <v>506</v>
      </c>
      <c r="AB32" s="1" t="s">
        <v>507</v>
      </c>
      <c r="AC32" s="1" t="s">
        <v>429</v>
      </c>
      <c r="AD32" s="1" t="s">
        <v>476</v>
      </c>
      <c r="AE32" s="1" t="s">
        <v>508</v>
      </c>
      <c r="AL32" s="2"/>
      <c r="AO32" s="2" t="s">
        <v>509</v>
      </c>
      <c r="AP32" s="2" t="s">
        <v>510</v>
      </c>
      <c r="AR32" s="1" t="s">
        <v>412</v>
      </c>
      <c r="AS32" s="1" t="s">
        <v>473</v>
      </c>
      <c r="AT32" s="1" t="s">
        <v>131</v>
      </c>
      <c r="AU32" s="1" t="s">
        <v>288</v>
      </c>
      <c r="AV32" s="1" t="s">
        <v>502</v>
      </c>
      <c r="AW32" s="1" t="s">
        <v>371</v>
      </c>
      <c r="AX32" s="1" t="s">
        <v>440</v>
      </c>
      <c r="BC32" s="15" t="s">
        <v>404</v>
      </c>
      <c r="BD32" s="16" t="s">
        <v>388</v>
      </c>
      <c r="BE32" s="15" t="s">
        <v>127</v>
      </c>
      <c r="BF32" s="15" t="s">
        <v>462</v>
      </c>
      <c r="BG32" s="15" t="s">
        <v>340</v>
      </c>
    </row>
    <row r="33" spans="12:59" x14ac:dyDescent="0.5">
      <c r="L33" s="1" t="s">
        <v>511</v>
      </c>
      <c r="M33" s="1" t="s">
        <v>511</v>
      </c>
      <c r="N33" s="1" t="s">
        <v>512</v>
      </c>
      <c r="O33" s="1" t="s">
        <v>417</v>
      </c>
      <c r="P33" s="1" t="s">
        <v>131</v>
      </c>
      <c r="Q33" s="1" t="s">
        <v>332</v>
      </c>
      <c r="S33" s="1" t="s">
        <v>511</v>
      </c>
      <c r="T33" s="1" t="s">
        <v>511</v>
      </c>
      <c r="U33" s="1" t="s">
        <v>512</v>
      </c>
      <c r="V33" s="1" t="s">
        <v>417</v>
      </c>
      <c r="W33" s="1" t="s">
        <v>131</v>
      </c>
      <c r="X33" s="1" t="s">
        <v>332</v>
      </c>
      <c r="Y33" s="1" t="s">
        <v>485</v>
      </c>
      <c r="Z33" s="1" t="s">
        <v>513</v>
      </c>
      <c r="AA33" s="1" t="s">
        <v>514</v>
      </c>
      <c r="AB33" s="1" t="s">
        <v>436</v>
      </c>
      <c r="AC33" s="1" t="s">
        <v>447</v>
      </c>
      <c r="AD33" s="1" t="s">
        <v>119</v>
      </c>
      <c r="AE33" s="1" t="s">
        <v>272</v>
      </c>
      <c r="AO33" s="2" t="s">
        <v>515</v>
      </c>
      <c r="AP33" s="2" t="s">
        <v>516</v>
      </c>
      <c r="AR33" s="1" t="s">
        <v>469</v>
      </c>
      <c r="AS33" s="1" t="s">
        <v>288</v>
      </c>
      <c r="AT33" s="1" t="s">
        <v>421</v>
      </c>
      <c r="AU33" s="1" t="s">
        <v>579</v>
      </c>
      <c r="AV33" s="1" t="s">
        <v>429</v>
      </c>
      <c r="AW33" s="1" t="s">
        <v>476</v>
      </c>
      <c r="AX33" s="1" t="s">
        <v>508</v>
      </c>
      <c r="BC33" s="15" t="s">
        <v>370</v>
      </c>
      <c r="BD33" s="15" t="s">
        <v>271</v>
      </c>
      <c r="BE33" s="16" t="s">
        <v>456</v>
      </c>
      <c r="BF33" s="15" t="s">
        <v>331</v>
      </c>
      <c r="BG33" s="15" t="s">
        <v>371</v>
      </c>
    </row>
    <row r="34" spans="12:59" x14ac:dyDescent="0.5">
      <c r="L34" s="1" t="s">
        <v>500</v>
      </c>
      <c r="M34" s="1" t="s">
        <v>476</v>
      </c>
      <c r="N34" s="1" t="s">
        <v>343</v>
      </c>
      <c r="O34" s="1" t="s">
        <v>459</v>
      </c>
      <c r="P34" s="1" t="s">
        <v>132</v>
      </c>
      <c r="Q34" s="1" t="s">
        <v>412</v>
      </c>
      <c r="S34" s="1" t="s">
        <v>500</v>
      </c>
      <c r="T34" s="1" t="s">
        <v>476</v>
      </c>
      <c r="U34" s="1" t="s">
        <v>343</v>
      </c>
      <c r="V34" s="1" t="s">
        <v>459</v>
      </c>
      <c r="W34" s="1" t="s">
        <v>132</v>
      </c>
      <c r="X34" s="1" t="s">
        <v>412</v>
      </c>
      <c r="Y34" s="1" t="s">
        <v>517</v>
      </c>
      <c r="Z34" s="1" t="s">
        <v>417</v>
      </c>
      <c r="AA34" s="1" t="s">
        <v>518</v>
      </c>
      <c r="AB34" s="1" t="s">
        <v>519</v>
      </c>
      <c r="AC34" s="1" t="s">
        <v>399</v>
      </c>
      <c r="AE34" s="1" t="s">
        <v>520</v>
      </c>
      <c r="AO34" s="2" t="s">
        <v>521</v>
      </c>
      <c r="AP34" s="2" t="s">
        <v>522</v>
      </c>
      <c r="AR34" s="1" t="s">
        <v>525</v>
      </c>
      <c r="AS34" s="1" t="s">
        <v>492</v>
      </c>
      <c r="AT34" s="1" t="s">
        <v>132</v>
      </c>
      <c r="AU34" s="1" t="s">
        <v>483</v>
      </c>
      <c r="AV34" s="1" t="s">
        <v>447</v>
      </c>
      <c r="AW34" s="1" t="s">
        <v>119</v>
      </c>
      <c r="AX34" s="1" t="s">
        <v>272</v>
      </c>
      <c r="BC34" s="15" t="s">
        <v>472</v>
      </c>
      <c r="BD34" s="15" t="s">
        <v>363</v>
      </c>
      <c r="BE34" s="14" t="s">
        <v>408</v>
      </c>
      <c r="BF34" s="15" t="s">
        <v>520</v>
      </c>
      <c r="BG34" s="15" t="s">
        <v>453</v>
      </c>
    </row>
    <row r="35" spans="12:59" x14ac:dyDescent="0.5">
      <c r="L35" s="1" t="s">
        <v>314</v>
      </c>
      <c r="M35" s="1" t="s">
        <v>523</v>
      </c>
      <c r="N35" s="1" t="s">
        <v>524</v>
      </c>
      <c r="O35" s="1" t="s">
        <v>521</v>
      </c>
      <c r="P35" s="1" t="s">
        <v>382</v>
      </c>
      <c r="Q35" s="1" t="s">
        <v>469</v>
      </c>
      <c r="S35" s="1" t="s">
        <v>314</v>
      </c>
      <c r="T35" s="1" t="s">
        <v>523</v>
      </c>
      <c r="U35" s="1" t="s">
        <v>524</v>
      </c>
      <c r="V35" s="1" t="s">
        <v>521</v>
      </c>
      <c r="W35" s="1" t="s">
        <v>382</v>
      </c>
      <c r="X35" s="1" t="s">
        <v>469</v>
      </c>
      <c r="Y35" s="1" t="s">
        <v>525</v>
      </c>
      <c r="Z35" s="1" t="s">
        <v>526</v>
      </c>
      <c r="AA35" s="1" t="s">
        <v>527</v>
      </c>
      <c r="AB35" s="1" t="s">
        <v>528</v>
      </c>
      <c r="AC35" s="1" t="s">
        <v>503</v>
      </c>
      <c r="AE35" s="1" t="s">
        <v>529</v>
      </c>
      <c r="AO35" s="2" t="s">
        <v>373</v>
      </c>
      <c r="AP35" s="2" t="s">
        <v>405</v>
      </c>
      <c r="AR35" s="1" t="s">
        <v>131</v>
      </c>
      <c r="AS35" s="1" t="s">
        <v>390</v>
      </c>
      <c r="AT35" s="1" t="s">
        <v>356</v>
      </c>
      <c r="AU35" s="1" t="s">
        <v>355</v>
      </c>
      <c r="AV35" s="1" t="s">
        <v>399</v>
      </c>
      <c r="AW35" s="1" t="s">
        <v>113</v>
      </c>
      <c r="AX35" s="1" t="s">
        <v>520</v>
      </c>
      <c r="BC35" s="15" t="s">
        <v>382</v>
      </c>
      <c r="BD35" s="16" t="s">
        <v>381</v>
      </c>
      <c r="BE35" s="13" t="s">
        <v>404</v>
      </c>
      <c r="BF35" s="16" t="s">
        <v>430</v>
      </c>
      <c r="BG35" s="15" t="s">
        <v>332</v>
      </c>
    </row>
    <row r="36" spans="12:59" x14ac:dyDescent="0.5">
      <c r="L36" s="1" t="s">
        <v>417</v>
      </c>
      <c r="M36" s="1" t="s">
        <v>225</v>
      </c>
      <c r="N36" s="1" t="s">
        <v>460</v>
      </c>
      <c r="O36" s="1" t="s">
        <v>530</v>
      </c>
      <c r="P36" s="1" t="s">
        <v>526</v>
      </c>
      <c r="Q36" s="1" t="s">
        <v>126</v>
      </c>
      <c r="S36" s="1" t="s">
        <v>417</v>
      </c>
      <c r="T36" s="1" t="s">
        <v>225</v>
      </c>
      <c r="U36" s="1" t="s">
        <v>460</v>
      </c>
      <c r="V36" s="1" t="s">
        <v>530</v>
      </c>
      <c r="W36" s="1" t="s">
        <v>526</v>
      </c>
      <c r="X36" s="1" t="s">
        <v>126</v>
      </c>
      <c r="Y36" s="1" t="s">
        <v>469</v>
      </c>
      <c r="Z36" s="1" t="s">
        <v>531</v>
      </c>
      <c r="AA36" s="1" t="s">
        <v>512</v>
      </c>
      <c r="AB36" s="1" t="s">
        <v>228</v>
      </c>
      <c r="AC36" s="1" t="s">
        <v>267</v>
      </c>
      <c r="AE36" s="1" t="s">
        <v>471</v>
      </c>
      <c r="AP36" s="2" t="s">
        <v>413</v>
      </c>
      <c r="AR36" s="1" t="s">
        <v>132</v>
      </c>
      <c r="AS36" s="1" t="s">
        <v>279</v>
      </c>
      <c r="AT36" s="1" t="s">
        <v>576</v>
      </c>
      <c r="AU36" s="1" t="s">
        <v>577</v>
      </c>
      <c r="AV36" s="1" t="s">
        <v>503</v>
      </c>
      <c r="AX36" s="1" t="s">
        <v>529</v>
      </c>
      <c r="BC36" s="15" t="s">
        <v>396</v>
      </c>
      <c r="BD36" s="15" t="s">
        <v>340</v>
      </c>
      <c r="BE36" s="15" t="s">
        <v>370</v>
      </c>
      <c r="BF36" s="16" t="s">
        <v>480</v>
      </c>
      <c r="BG36" s="15" t="s">
        <v>469</v>
      </c>
    </row>
    <row r="37" spans="12:59" x14ac:dyDescent="0.5">
      <c r="L37" s="1" t="s">
        <v>532</v>
      </c>
      <c r="M37" s="1" t="s">
        <v>478</v>
      </c>
      <c r="N37" s="1" t="s">
        <v>533</v>
      </c>
      <c r="P37" s="1" t="s">
        <v>407</v>
      </c>
      <c r="Q37" s="1" t="s">
        <v>329</v>
      </c>
      <c r="S37" s="1" t="s">
        <v>532</v>
      </c>
      <c r="T37" s="1" t="s">
        <v>478</v>
      </c>
      <c r="U37" s="1" t="s">
        <v>533</v>
      </c>
      <c r="W37" s="1" t="s">
        <v>407</v>
      </c>
      <c r="X37" s="1" t="s">
        <v>329</v>
      </c>
      <c r="Y37" s="1" t="s">
        <v>533</v>
      </c>
      <c r="Z37" s="1" t="s">
        <v>326</v>
      </c>
      <c r="AA37" s="1" t="s">
        <v>123</v>
      </c>
      <c r="AB37" s="1" t="s">
        <v>355</v>
      </c>
      <c r="AC37" s="1" t="s">
        <v>289</v>
      </c>
      <c r="AE37" s="1" t="s">
        <v>264</v>
      </c>
      <c r="AP37" s="2" t="s">
        <v>534</v>
      </c>
      <c r="AR37" s="1" t="s">
        <v>454</v>
      </c>
      <c r="AS37" s="1" t="s">
        <v>325</v>
      </c>
      <c r="AT37" s="1" t="s">
        <v>537</v>
      </c>
      <c r="AU37" s="1" t="s">
        <v>427</v>
      </c>
      <c r="AV37" s="1" t="s">
        <v>267</v>
      </c>
      <c r="AX37" s="1" t="s">
        <v>471</v>
      </c>
      <c r="BC37" s="15" t="s">
        <v>407</v>
      </c>
      <c r="BD37" s="15" t="s">
        <v>124</v>
      </c>
      <c r="BE37" s="16" t="s">
        <v>472</v>
      </c>
      <c r="BF37" s="16" t="s">
        <v>346</v>
      </c>
      <c r="BG37" s="15" t="s">
        <v>329</v>
      </c>
    </row>
    <row r="38" spans="12:59" x14ac:dyDescent="0.5">
      <c r="L38" s="1" t="s">
        <v>513</v>
      </c>
      <c r="M38" s="1" t="s">
        <v>458</v>
      </c>
      <c r="N38" s="1" t="s">
        <v>459</v>
      </c>
      <c r="P38" s="1" t="s">
        <v>535</v>
      </c>
      <c r="Q38" s="1" t="s">
        <v>127</v>
      </c>
      <c r="S38" s="1" t="s">
        <v>513</v>
      </c>
      <c r="T38" s="1" t="s">
        <v>458</v>
      </c>
      <c r="U38" s="1" t="s">
        <v>459</v>
      </c>
      <c r="W38" s="1" t="s">
        <v>535</v>
      </c>
      <c r="X38" s="1" t="s">
        <v>127</v>
      </c>
      <c r="Y38" s="1" t="s">
        <v>536</v>
      </c>
      <c r="Z38" s="1" t="s">
        <v>473</v>
      </c>
      <c r="AA38" s="1" t="s">
        <v>537</v>
      </c>
      <c r="AB38" s="1" t="s">
        <v>239</v>
      </c>
      <c r="AC38" s="1" t="s">
        <v>371</v>
      </c>
      <c r="AE38" s="1" t="s">
        <v>477</v>
      </c>
      <c r="AP38" s="2" t="s">
        <v>538</v>
      </c>
      <c r="AR38" s="1" t="s">
        <v>540</v>
      </c>
      <c r="AS38" s="1" t="s">
        <v>531</v>
      </c>
      <c r="AT38" s="1" t="s">
        <v>407</v>
      </c>
      <c r="AU38" s="1" t="s">
        <v>500</v>
      </c>
      <c r="AV38" s="1" t="s">
        <v>289</v>
      </c>
      <c r="AX38" s="1" t="s">
        <v>264</v>
      </c>
      <c r="BC38" s="15" t="s">
        <v>473</v>
      </c>
      <c r="BD38" s="13" t="s">
        <v>371</v>
      </c>
      <c r="BE38" s="13" t="s">
        <v>407</v>
      </c>
      <c r="BF38" s="16" t="s">
        <v>393</v>
      </c>
      <c r="BG38" s="15" t="s">
        <v>272</v>
      </c>
    </row>
    <row r="39" spans="12:59" x14ac:dyDescent="0.5">
      <c r="L39" s="1" t="s">
        <v>459</v>
      </c>
      <c r="M39" s="1" t="s">
        <v>521</v>
      </c>
      <c r="N39" s="1" t="s">
        <v>523</v>
      </c>
      <c r="P39" s="1" t="s">
        <v>539</v>
      </c>
      <c r="Q39" s="1" t="s">
        <v>127</v>
      </c>
      <c r="S39" s="1" t="s">
        <v>459</v>
      </c>
      <c r="T39" s="1" t="s">
        <v>521</v>
      </c>
      <c r="U39" s="1" t="s">
        <v>523</v>
      </c>
      <c r="W39" s="1" t="s">
        <v>539</v>
      </c>
      <c r="X39" s="1" t="s">
        <v>127</v>
      </c>
      <c r="Y39" s="1" t="s">
        <v>540</v>
      </c>
      <c r="Z39" s="1" t="s">
        <v>191</v>
      </c>
      <c r="AA39" s="1" t="s">
        <v>343</v>
      </c>
      <c r="AB39" s="1" t="s">
        <v>497</v>
      </c>
      <c r="AC39" s="1" t="s">
        <v>376</v>
      </c>
      <c r="AP39" s="2" t="s">
        <v>394</v>
      </c>
      <c r="AR39" s="1" t="s">
        <v>517</v>
      </c>
      <c r="AS39" s="1" t="s">
        <v>417</v>
      </c>
      <c r="AT39" s="1" t="s">
        <v>258</v>
      </c>
      <c r="AU39" s="1" t="s">
        <v>223</v>
      </c>
      <c r="AV39" s="1" t="s">
        <v>371</v>
      </c>
      <c r="AX39" s="1" t="s">
        <v>477</v>
      </c>
      <c r="BC39" s="15" t="s">
        <v>286</v>
      </c>
      <c r="BD39" s="14" t="s">
        <v>383</v>
      </c>
      <c r="BE39" s="16" t="s">
        <v>461</v>
      </c>
      <c r="BF39" s="16" t="s">
        <v>323</v>
      </c>
      <c r="BG39" s="15" t="s">
        <v>487</v>
      </c>
    </row>
    <row r="40" spans="12:59" x14ac:dyDescent="0.5">
      <c r="L40" s="1" t="s">
        <v>476</v>
      </c>
      <c r="M40" s="1" t="s">
        <v>345</v>
      </c>
      <c r="N40" s="1" t="s">
        <v>140</v>
      </c>
      <c r="P40" s="1" t="s">
        <v>540</v>
      </c>
      <c r="Q40" s="1" t="s">
        <v>541</v>
      </c>
      <c r="S40" s="1" t="s">
        <v>476</v>
      </c>
      <c r="T40" s="1" t="s">
        <v>345</v>
      </c>
      <c r="U40" s="1" t="s">
        <v>140</v>
      </c>
      <c r="W40" s="1" t="s">
        <v>540</v>
      </c>
      <c r="X40" s="1" t="s">
        <v>541</v>
      </c>
      <c r="Y40" s="1" t="s">
        <v>247</v>
      </c>
      <c r="Z40" s="1" t="s">
        <v>542</v>
      </c>
      <c r="AA40" s="1" t="s">
        <v>355</v>
      </c>
      <c r="AB40" s="1" t="s">
        <v>543</v>
      </c>
      <c r="AC40" s="1" t="s">
        <v>228</v>
      </c>
      <c r="AP40" s="2" t="s">
        <v>544</v>
      </c>
      <c r="AR40" s="1" t="s">
        <v>241</v>
      </c>
      <c r="AS40" s="1" t="s">
        <v>513</v>
      </c>
      <c r="AT40" s="1" t="s">
        <v>286</v>
      </c>
      <c r="AU40" s="1" t="s">
        <v>417</v>
      </c>
      <c r="AV40" s="1" t="s">
        <v>376</v>
      </c>
      <c r="BC40" s="15" t="s">
        <v>406</v>
      </c>
      <c r="BD40" s="16" t="s">
        <v>242</v>
      </c>
      <c r="BE40" s="15" t="s">
        <v>369</v>
      </c>
      <c r="BF40" s="16" t="s">
        <v>416</v>
      </c>
      <c r="BG40" s="15" t="s">
        <v>200</v>
      </c>
    </row>
    <row r="41" spans="12:59" x14ac:dyDescent="0.5">
      <c r="L41" s="1" t="s">
        <v>327</v>
      </c>
      <c r="M41" s="1" t="s">
        <v>143</v>
      </c>
      <c r="N41" s="1" t="s">
        <v>495</v>
      </c>
      <c r="P41" s="1" t="s">
        <v>390</v>
      </c>
      <c r="Q41" s="1" t="s">
        <v>545</v>
      </c>
      <c r="S41" s="1" t="s">
        <v>327</v>
      </c>
      <c r="T41" s="1" t="s">
        <v>143</v>
      </c>
      <c r="U41" s="1" t="s">
        <v>495</v>
      </c>
      <c r="W41" s="1" t="s">
        <v>390</v>
      </c>
      <c r="X41" s="1" t="s">
        <v>545</v>
      </c>
      <c r="Y41" s="1" t="s">
        <v>546</v>
      </c>
      <c r="AA41" s="1" t="s">
        <v>478</v>
      </c>
      <c r="AB41" s="1" t="s">
        <v>427</v>
      </c>
      <c r="AP41" s="2" t="s">
        <v>547</v>
      </c>
      <c r="AR41" s="1" t="s">
        <v>241</v>
      </c>
      <c r="AS41" s="1" t="s">
        <v>478</v>
      </c>
      <c r="AT41" s="1" t="s">
        <v>288</v>
      </c>
      <c r="AU41" s="1" t="s">
        <v>414</v>
      </c>
      <c r="AV41" s="1" t="s">
        <v>228</v>
      </c>
      <c r="BC41" s="15" t="s">
        <v>428</v>
      </c>
      <c r="BD41" s="15" t="s">
        <v>375</v>
      </c>
      <c r="BE41" s="16" t="s">
        <v>390</v>
      </c>
      <c r="BF41" s="15" t="s">
        <v>447</v>
      </c>
      <c r="BG41" s="15" t="s">
        <v>129</v>
      </c>
    </row>
    <row r="42" spans="12:59" x14ac:dyDescent="0.5">
      <c r="L42" s="1" t="s">
        <v>478</v>
      </c>
      <c r="M42" s="1" t="s">
        <v>298</v>
      </c>
      <c r="N42" s="1" t="s">
        <v>503</v>
      </c>
      <c r="P42" s="1" t="s">
        <v>279</v>
      </c>
      <c r="Q42" s="1" t="s">
        <v>522</v>
      </c>
      <c r="S42" s="1" t="s">
        <v>478</v>
      </c>
      <c r="T42" s="1" t="s">
        <v>298</v>
      </c>
      <c r="U42" s="1" t="s">
        <v>503</v>
      </c>
      <c r="W42" s="1" t="s">
        <v>279</v>
      </c>
      <c r="X42" s="1" t="s">
        <v>522</v>
      </c>
      <c r="Y42" s="1" t="s">
        <v>118</v>
      </c>
      <c r="AA42" s="1" t="s">
        <v>548</v>
      </c>
      <c r="AB42" s="1" t="s">
        <v>483</v>
      </c>
      <c r="AP42" s="2" t="s">
        <v>500</v>
      </c>
      <c r="AR42" s="1" t="s">
        <v>355</v>
      </c>
      <c r="AS42" s="1" t="s">
        <v>285</v>
      </c>
      <c r="AT42" s="1" t="s">
        <v>492</v>
      </c>
      <c r="AU42" s="1" t="s">
        <v>197</v>
      </c>
      <c r="AV42" s="1" t="s">
        <v>113</v>
      </c>
      <c r="BC42" s="15" t="s">
        <v>429</v>
      </c>
      <c r="BD42" s="13" t="s">
        <v>332</v>
      </c>
      <c r="BE42" s="15" t="s">
        <v>135</v>
      </c>
      <c r="BF42" s="16" t="s">
        <v>316</v>
      </c>
      <c r="BG42" s="15" t="s">
        <v>404</v>
      </c>
    </row>
    <row r="43" spans="12:59" x14ac:dyDescent="0.5">
      <c r="L43" s="1" t="s">
        <v>549</v>
      </c>
      <c r="N43" s="1" t="s">
        <v>145</v>
      </c>
      <c r="P43" s="1" t="s">
        <v>241</v>
      </c>
      <c r="Q43" s="1" t="s">
        <v>405</v>
      </c>
      <c r="S43" s="1" t="s">
        <v>549</v>
      </c>
      <c r="U43" s="1" t="s">
        <v>145</v>
      </c>
      <c r="W43" s="1" t="s">
        <v>241</v>
      </c>
      <c r="X43" s="1" t="s">
        <v>405</v>
      </c>
      <c r="Y43" s="1" t="s">
        <v>195</v>
      </c>
      <c r="AA43" s="1" t="s">
        <v>550</v>
      </c>
      <c r="AB43" s="1" t="s">
        <v>551</v>
      </c>
      <c r="AP43" s="2" t="s">
        <v>552</v>
      </c>
      <c r="AR43" s="1" t="s">
        <v>343</v>
      </c>
      <c r="AT43" s="1" t="s">
        <v>390</v>
      </c>
      <c r="AU43" s="1" t="s">
        <v>391</v>
      </c>
      <c r="BC43" s="15" t="s">
        <v>449</v>
      </c>
      <c r="BD43" s="15" t="s">
        <v>400</v>
      </c>
      <c r="BE43" s="16" t="s">
        <v>512</v>
      </c>
      <c r="BF43" s="16" t="s">
        <v>121</v>
      </c>
      <c r="BG43" s="15" t="s">
        <v>405</v>
      </c>
    </row>
    <row r="44" spans="12:59" x14ac:dyDescent="0.5">
      <c r="L44" s="1" t="s">
        <v>458</v>
      </c>
      <c r="P44" s="1" t="s">
        <v>479</v>
      </c>
      <c r="Q44" s="1" t="s">
        <v>553</v>
      </c>
      <c r="S44" s="1" t="s">
        <v>458</v>
      </c>
      <c r="W44" s="1" t="s">
        <v>479</v>
      </c>
      <c r="X44" s="1" t="s">
        <v>553</v>
      </c>
      <c r="Y44" s="1" t="s">
        <v>454</v>
      </c>
      <c r="AA44" s="1" t="s">
        <v>554</v>
      </c>
      <c r="AB44" s="1" t="s">
        <v>417</v>
      </c>
      <c r="AP44" s="2" t="s">
        <v>458</v>
      </c>
      <c r="AR44" s="1" t="s">
        <v>465</v>
      </c>
      <c r="AT44" s="1" t="s">
        <v>413</v>
      </c>
      <c r="AU44" s="1" t="s">
        <v>433</v>
      </c>
      <c r="BC44" s="15" t="s">
        <v>427</v>
      </c>
      <c r="BD44" s="16" t="s">
        <v>328</v>
      </c>
      <c r="BE44" s="15" t="s">
        <v>343</v>
      </c>
      <c r="BF44" s="16" t="s">
        <v>339</v>
      </c>
      <c r="BG44" s="15" t="s">
        <v>201</v>
      </c>
    </row>
    <row r="45" spans="12:59" x14ac:dyDescent="0.5">
      <c r="L45" s="1" t="s">
        <v>555</v>
      </c>
      <c r="P45" s="1" t="s">
        <v>489</v>
      </c>
      <c r="Q45" s="1" t="s">
        <v>553</v>
      </c>
      <c r="S45" s="1" t="s">
        <v>555</v>
      </c>
      <c r="W45" s="1" t="s">
        <v>489</v>
      </c>
      <c r="X45" s="1" t="s">
        <v>553</v>
      </c>
      <c r="Y45" s="1" t="s">
        <v>120</v>
      </c>
      <c r="AA45" s="1" t="s">
        <v>556</v>
      </c>
      <c r="AB45" s="1" t="s">
        <v>454</v>
      </c>
      <c r="AP45" s="2" t="s">
        <v>420</v>
      </c>
      <c r="AR45" s="1" t="s">
        <v>500</v>
      </c>
      <c r="AT45" s="1" t="s">
        <v>457</v>
      </c>
      <c r="AU45" s="1" t="s">
        <v>327</v>
      </c>
      <c r="BC45" s="15" t="s">
        <v>511</v>
      </c>
      <c r="BD45" s="14" t="s">
        <v>313</v>
      </c>
      <c r="BE45" s="16" t="s">
        <v>524</v>
      </c>
      <c r="BF45" s="15" t="s">
        <v>311</v>
      </c>
      <c r="BG45" s="15" t="s">
        <v>226</v>
      </c>
    </row>
    <row r="46" spans="12:59" x14ac:dyDescent="0.5">
      <c r="P46" s="1" t="s">
        <v>355</v>
      </c>
      <c r="Q46" s="1" t="s">
        <v>413</v>
      </c>
      <c r="W46" s="1" t="s">
        <v>355</v>
      </c>
      <c r="X46" s="1" t="s">
        <v>413</v>
      </c>
      <c r="Y46" s="1" t="s">
        <v>557</v>
      </c>
      <c r="AA46" s="1" t="s">
        <v>314</v>
      </c>
      <c r="AB46" s="1" t="s">
        <v>124</v>
      </c>
      <c r="AP46" s="2" t="s">
        <v>145</v>
      </c>
      <c r="AR46" s="1" t="s">
        <v>536</v>
      </c>
      <c r="AT46" s="1" t="s">
        <v>585</v>
      </c>
      <c r="AU46" s="1" t="s">
        <v>140</v>
      </c>
      <c r="BC46" s="15" t="s">
        <v>459</v>
      </c>
      <c r="BD46" s="13" t="s">
        <v>419</v>
      </c>
      <c r="BE46" s="13" t="s">
        <v>137</v>
      </c>
      <c r="BF46" s="15" t="s">
        <v>381</v>
      </c>
      <c r="BG46" s="15" t="s">
        <v>136</v>
      </c>
    </row>
    <row r="47" spans="12:59" x14ac:dyDescent="0.5">
      <c r="P47" s="1" t="s">
        <v>343</v>
      </c>
      <c r="Q47" s="1" t="s">
        <v>241</v>
      </c>
      <c r="W47" s="1" t="s">
        <v>343</v>
      </c>
      <c r="X47" s="1" t="s">
        <v>241</v>
      </c>
      <c r="Y47" s="1" t="s">
        <v>558</v>
      </c>
      <c r="AA47" s="1" t="s">
        <v>132</v>
      </c>
      <c r="AB47" s="1" t="s">
        <v>559</v>
      </c>
      <c r="AP47" s="2"/>
      <c r="AR47" s="1" t="s">
        <v>533</v>
      </c>
      <c r="AT47" s="1" t="s">
        <v>241</v>
      </c>
      <c r="AU47" s="1" t="s">
        <v>273</v>
      </c>
      <c r="BC47" s="15" t="s">
        <v>476</v>
      </c>
      <c r="BD47" s="15" t="s">
        <v>319</v>
      </c>
      <c r="BE47" s="15" t="s">
        <v>460</v>
      </c>
      <c r="BF47" s="16" t="s">
        <v>340</v>
      </c>
      <c r="BG47" s="15" t="s">
        <v>394</v>
      </c>
    </row>
    <row r="48" spans="12:59" x14ac:dyDescent="0.5">
      <c r="P48" s="1" t="s">
        <v>343</v>
      </c>
      <c r="Q48" s="1" t="s">
        <v>479</v>
      </c>
      <c r="W48" s="1" t="s">
        <v>343</v>
      </c>
      <c r="X48" s="1" t="s">
        <v>479</v>
      </c>
      <c r="Y48" s="1" t="s">
        <v>560</v>
      </c>
      <c r="AA48" s="1" t="s">
        <v>425</v>
      </c>
      <c r="AB48" s="1" t="s">
        <v>146</v>
      </c>
      <c r="AR48" s="1" t="s">
        <v>558</v>
      </c>
      <c r="AT48" s="1" t="s">
        <v>483</v>
      </c>
      <c r="AU48" s="1" t="s">
        <v>478</v>
      </c>
      <c r="BC48" s="15" t="s">
        <v>523</v>
      </c>
      <c r="BD48" s="14" t="s">
        <v>126</v>
      </c>
      <c r="BE48" s="16" t="s">
        <v>533</v>
      </c>
      <c r="BF48" s="15" t="s">
        <v>371</v>
      </c>
      <c r="BG48" s="15" t="s">
        <v>427</v>
      </c>
    </row>
    <row r="49" spans="16:59" x14ac:dyDescent="0.5">
      <c r="P49" s="1" t="s">
        <v>561</v>
      </c>
      <c r="Q49" s="1" t="s">
        <v>562</v>
      </c>
      <c r="W49" s="1" t="s">
        <v>561</v>
      </c>
      <c r="X49" s="1" t="s">
        <v>562</v>
      </c>
      <c r="Y49" s="1" t="s">
        <v>245</v>
      </c>
      <c r="AA49" s="1" t="s">
        <v>447</v>
      </c>
      <c r="AB49" s="1" t="s">
        <v>144</v>
      </c>
      <c r="AR49" s="1" t="s">
        <v>424</v>
      </c>
      <c r="AT49" s="1" t="s">
        <v>201</v>
      </c>
      <c r="AU49" s="1" t="s">
        <v>484</v>
      </c>
      <c r="BC49" s="15" t="s">
        <v>225</v>
      </c>
      <c r="BD49" s="16" t="s">
        <v>329</v>
      </c>
      <c r="BE49" s="15" t="s">
        <v>459</v>
      </c>
      <c r="BF49" s="16" t="s">
        <v>453</v>
      </c>
      <c r="BG49" s="15" t="s">
        <v>246</v>
      </c>
    </row>
    <row r="50" spans="16:59" x14ac:dyDescent="0.5">
      <c r="P50" s="1" t="s">
        <v>137</v>
      </c>
      <c r="Q50" s="1" t="s">
        <v>449</v>
      </c>
      <c r="W50" s="1" t="s">
        <v>137</v>
      </c>
      <c r="X50" s="1" t="s">
        <v>449</v>
      </c>
      <c r="Y50" s="1" t="s">
        <v>376</v>
      </c>
      <c r="AA50" s="1" t="s">
        <v>229</v>
      </c>
      <c r="AB50" s="1" t="s">
        <v>478</v>
      </c>
      <c r="AR50" s="1" t="s">
        <v>565</v>
      </c>
      <c r="AT50" s="1" t="s">
        <v>512</v>
      </c>
      <c r="AU50" s="1" t="s">
        <v>436</v>
      </c>
      <c r="BC50" s="15" t="s">
        <v>478</v>
      </c>
      <c r="BD50" s="15" t="s">
        <v>441</v>
      </c>
      <c r="BE50" s="16" t="s">
        <v>523</v>
      </c>
      <c r="BF50" s="16" t="s">
        <v>332</v>
      </c>
      <c r="BG50" s="15" t="s">
        <v>302</v>
      </c>
    </row>
    <row r="51" spans="16:59" x14ac:dyDescent="0.5">
      <c r="P51" s="1" t="s">
        <v>563</v>
      </c>
      <c r="Q51" s="1" t="s">
        <v>564</v>
      </c>
      <c r="W51" s="1" t="s">
        <v>563</v>
      </c>
      <c r="X51" s="1" t="s">
        <v>564</v>
      </c>
      <c r="Y51" s="1" t="s">
        <v>565</v>
      </c>
      <c r="AA51" s="1" t="s">
        <v>453</v>
      </c>
      <c r="AB51" s="1" t="s">
        <v>500</v>
      </c>
      <c r="AR51" s="1" t="s">
        <v>143</v>
      </c>
      <c r="AT51" s="1" t="s">
        <v>355</v>
      </c>
      <c r="AU51" s="1" t="s">
        <v>559</v>
      </c>
      <c r="BC51" s="15" t="s">
        <v>458</v>
      </c>
      <c r="BD51" s="15" t="s">
        <v>127</v>
      </c>
      <c r="BE51" s="15" t="s">
        <v>140</v>
      </c>
      <c r="BF51" s="16" t="s">
        <v>412</v>
      </c>
      <c r="BG51" s="15" t="s">
        <v>508</v>
      </c>
    </row>
    <row r="52" spans="16:59" x14ac:dyDescent="0.5">
      <c r="P52" s="1" t="s">
        <v>531</v>
      </c>
      <c r="Q52" s="1" t="s">
        <v>552</v>
      </c>
      <c r="W52" s="1" t="s">
        <v>531</v>
      </c>
      <c r="X52" s="1" t="s">
        <v>552</v>
      </c>
      <c r="Y52" s="1" t="s">
        <v>500</v>
      </c>
      <c r="AA52" s="1" t="s">
        <v>407</v>
      </c>
      <c r="AB52" s="1" t="s">
        <v>566</v>
      </c>
      <c r="AR52" s="1" t="s">
        <v>285</v>
      </c>
      <c r="AT52" s="1" t="s">
        <v>343</v>
      </c>
      <c r="AU52" s="1" t="s">
        <v>528</v>
      </c>
      <c r="BC52" s="15" t="s">
        <v>521</v>
      </c>
      <c r="BD52" s="13" t="s">
        <v>399</v>
      </c>
      <c r="BE52" s="14" t="s">
        <v>225</v>
      </c>
      <c r="BF52" s="15" t="s">
        <v>357</v>
      </c>
      <c r="BG52" s="15" t="s">
        <v>529</v>
      </c>
    </row>
    <row r="53" spans="16:59" x14ac:dyDescent="0.5">
      <c r="P53" s="1" t="s">
        <v>449</v>
      </c>
      <c r="Q53" s="1" t="s">
        <v>451</v>
      </c>
      <c r="W53" s="1" t="s">
        <v>449</v>
      </c>
      <c r="X53" s="1" t="s">
        <v>451</v>
      </c>
      <c r="AA53" s="1" t="s">
        <v>567</v>
      </c>
      <c r="AB53" s="1" t="s">
        <v>568</v>
      </c>
      <c r="AR53" s="1" t="s">
        <v>146</v>
      </c>
      <c r="AT53" s="1" t="s">
        <v>556</v>
      </c>
      <c r="AU53" s="1" t="s">
        <v>244</v>
      </c>
      <c r="BC53" s="15" t="s">
        <v>345</v>
      </c>
      <c r="BD53" s="15" t="s">
        <v>456</v>
      </c>
      <c r="BE53" s="13" t="s">
        <v>458</v>
      </c>
      <c r="BF53" s="16" t="s">
        <v>469</v>
      </c>
      <c r="BG53" s="15" t="s">
        <v>417</v>
      </c>
    </row>
    <row r="54" spans="16:59" x14ac:dyDescent="0.5">
      <c r="P54" s="1" t="s">
        <v>465</v>
      </c>
      <c r="Q54" s="1" t="s">
        <v>140</v>
      </c>
      <c r="W54" s="1" t="s">
        <v>465</v>
      </c>
      <c r="X54" s="1" t="s">
        <v>140</v>
      </c>
      <c r="AA54" s="1" t="s">
        <v>569</v>
      </c>
      <c r="AB54" s="1" t="s">
        <v>140</v>
      </c>
      <c r="AT54" s="1" t="s">
        <v>137</v>
      </c>
      <c r="AU54" s="1" t="s">
        <v>398</v>
      </c>
      <c r="BC54" s="15" t="s">
        <v>143</v>
      </c>
      <c r="BD54" s="15" t="s">
        <v>370</v>
      </c>
      <c r="BE54" s="14" t="s">
        <v>488</v>
      </c>
      <c r="BF54" s="15" t="s">
        <v>329</v>
      </c>
      <c r="BG54" s="15" t="s">
        <v>459</v>
      </c>
    </row>
    <row r="55" spans="16:59" x14ac:dyDescent="0.5">
      <c r="P55" s="1" t="s">
        <v>139</v>
      </c>
      <c r="Q55" s="1" t="s">
        <v>424</v>
      </c>
      <c r="W55" s="1" t="s">
        <v>139</v>
      </c>
      <c r="X55" s="1" t="s">
        <v>424</v>
      </c>
      <c r="AA55" s="1" t="s">
        <v>460</v>
      </c>
      <c r="AB55" s="1" t="s">
        <v>570</v>
      </c>
      <c r="AT55" s="1" t="s">
        <v>467</v>
      </c>
      <c r="AU55" s="1" t="s">
        <v>570</v>
      </c>
      <c r="BC55" s="15" t="s">
        <v>298</v>
      </c>
      <c r="BD55" s="16" t="s">
        <v>472</v>
      </c>
      <c r="BE55" s="16" t="s">
        <v>495</v>
      </c>
      <c r="BF55" s="16" t="s">
        <v>272</v>
      </c>
      <c r="BG55" s="15" t="s">
        <v>225</v>
      </c>
    </row>
    <row r="56" spans="16:59" x14ac:dyDescent="0.5">
      <c r="P56" s="1" t="s">
        <v>302</v>
      </c>
      <c r="Q56" s="1" t="s">
        <v>478</v>
      </c>
      <c r="W56" s="1" t="s">
        <v>302</v>
      </c>
      <c r="X56" s="1" t="s">
        <v>478</v>
      </c>
      <c r="AA56" s="1" t="s">
        <v>571</v>
      </c>
      <c r="AB56" s="1" t="s">
        <v>503</v>
      </c>
      <c r="AT56" s="1" t="s">
        <v>460</v>
      </c>
      <c r="AU56" s="1" t="s">
        <v>345</v>
      </c>
      <c r="BC56" s="17"/>
      <c r="BD56" s="14" t="s">
        <v>382</v>
      </c>
      <c r="BE56" s="14" t="s">
        <v>486</v>
      </c>
      <c r="BF56" s="15" t="s">
        <v>487</v>
      </c>
      <c r="BG56" s="15" t="s">
        <v>458</v>
      </c>
    </row>
    <row r="57" spans="16:59" x14ac:dyDescent="0.5">
      <c r="P57" s="1" t="s">
        <v>572</v>
      </c>
      <c r="Q57" s="1" t="s">
        <v>458</v>
      </c>
      <c r="W57" s="1" t="s">
        <v>572</v>
      </c>
      <c r="X57" s="1" t="s">
        <v>458</v>
      </c>
      <c r="AA57" s="1" t="s">
        <v>421</v>
      </c>
      <c r="AB57" s="1" t="s">
        <v>328</v>
      </c>
      <c r="AT57" s="1" t="s">
        <v>511</v>
      </c>
      <c r="AU57" s="1" t="s">
        <v>568</v>
      </c>
      <c r="BD57" s="16" t="s">
        <v>454</v>
      </c>
      <c r="BE57" s="15" t="s">
        <v>503</v>
      </c>
      <c r="BF57" s="15" t="s">
        <v>200</v>
      </c>
      <c r="BG57" s="15" t="s">
        <v>403</v>
      </c>
    </row>
    <row r="58" spans="16:59" x14ac:dyDescent="0.5">
      <c r="P58" s="1" t="s">
        <v>140</v>
      </c>
      <c r="Q58" s="1" t="s">
        <v>141</v>
      </c>
      <c r="W58" s="1" t="s">
        <v>140</v>
      </c>
      <c r="X58" s="1" t="s">
        <v>141</v>
      </c>
      <c r="AA58" s="1" t="s">
        <v>573</v>
      </c>
      <c r="AB58" s="1" t="s">
        <v>574</v>
      </c>
      <c r="AT58" s="1" t="s">
        <v>139</v>
      </c>
      <c r="AU58" s="1" t="s">
        <v>493</v>
      </c>
      <c r="BD58" s="15" t="s">
        <v>407</v>
      </c>
      <c r="BE58" s="13"/>
      <c r="BF58" s="15" t="s">
        <v>275</v>
      </c>
      <c r="BG58" s="15" t="s">
        <v>486</v>
      </c>
    </row>
    <row r="59" spans="16:59" x14ac:dyDescent="0.5">
      <c r="P59" s="1" t="s">
        <v>424</v>
      </c>
      <c r="Q59" s="1" t="s">
        <v>575</v>
      </c>
      <c r="W59" s="1" t="s">
        <v>424</v>
      </c>
      <c r="X59" s="1" t="s">
        <v>575</v>
      </c>
      <c r="AA59" s="1" t="s">
        <v>576</v>
      </c>
      <c r="AB59" s="1" t="s">
        <v>577</v>
      </c>
      <c r="AT59" s="1" t="s">
        <v>426</v>
      </c>
      <c r="AU59" s="1" t="s">
        <v>298</v>
      </c>
      <c r="BC59" s="2"/>
      <c r="BD59" s="15" t="s">
        <v>473</v>
      </c>
      <c r="BE59" s="13"/>
      <c r="BF59" s="15" t="s">
        <v>129</v>
      </c>
      <c r="BG59" s="15" t="s">
        <v>145</v>
      </c>
    </row>
    <row r="60" spans="16:59" x14ac:dyDescent="0.5">
      <c r="P60" s="1" t="s">
        <v>565</v>
      </c>
      <c r="Q60" s="1" t="s">
        <v>347</v>
      </c>
      <c r="W60" s="1" t="s">
        <v>565</v>
      </c>
      <c r="X60" s="1" t="s">
        <v>347</v>
      </c>
      <c r="AA60" s="1" t="s">
        <v>578</v>
      </c>
      <c r="AB60" s="1" t="s">
        <v>579</v>
      </c>
      <c r="AT60" s="1" t="s">
        <v>314</v>
      </c>
      <c r="AU60" s="1" t="s">
        <v>503</v>
      </c>
      <c r="BD60" s="16" t="s">
        <v>461</v>
      </c>
      <c r="BE60" s="13"/>
      <c r="BF60" s="15" t="s">
        <v>404</v>
      </c>
      <c r="BG60" s="15"/>
    </row>
    <row r="61" spans="16:59" x14ac:dyDescent="0.5">
      <c r="P61" s="1" t="s">
        <v>373</v>
      </c>
      <c r="Q61" s="1" t="s">
        <v>317</v>
      </c>
      <c r="W61" s="1" t="s">
        <v>373</v>
      </c>
      <c r="X61" s="1" t="s">
        <v>317</v>
      </c>
      <c r="AA61" s="1" t="s">
        <v>200</v>
      </c>
      <c r="AB61" s="1" t="s">
        <v>580</v>
      </c>
      <c r="AT61" s="1" t="s">
        <v>584</v>
      </c>
      <c r="AU61" s="1" t="s">
        <v>574</v>
      </c>
      <c r="BD61" s="15" t="s">
        <v>369</v>
      </c>
      <c r="BE61" s="13"/>
      <c r="BF61" s="15" t="s">
        <v>405</v>
      </c>
      <c r="BG61" s="15"/>
    </row>
    <row r="62" spans="16:59" x14ac:dyDescent="0.5">
      <c r="P62" s="1" t="s">
        <v>530</v>
      </c>
      <c r="Q62" s="1" t="s">
        <v>486</v>
      </c>
      <c r="W62" s="1" t="s">
        <v>530</v>
      </c>
      <c r="X62" s="1" t="s">
        <v>486</v>
      </c>
      <c r="AA62" s="1" t="s">
        <v>139</v>
      </c>
      <c r="AB62" s="1" t="s">
        <v>581</v>
      </c>
      <c r="AT62" s="1" t="s">
        <v>451</v>
      </c>
      <c r="AU62" s="1" t="s">
        <v>144</v>
      </c>
      <c r="BD62" s="16" t="s">
        <v>390</v>
      </c>
      <c r="BE62" s="13"/>
      <c r="BF62" s="15" t="s">
        <v>201</v>
      </c>
      <c r="BG62" s="15"/>
    </row>
    <row r="63" spans="16:59" x14ac:dyDescent="0.5">
      <c r="P63" s="1" t="s">
        <v>384</v>
      </c>
      <c r="Q63" s="1" t="s">
        <v>144</v>
      </c>
      <c r="W63" s="1" t="s">
        <v>384</v>
      </c>
      <c r="X63" s="1" t="s">
        <v>144</v>
      </c>
      <c r="AA63" s="1" t="s">
        <v>582</v>
      </c>
      <c r="AT63" s="1" t="s">
        <v>548</v>
      </c>
      <c r="AU63" s="1" t="s">
        <v>146</v>
      </c>
      <c r="BC63" s="2"/>
      <c r="BD63" s="16" t="s">
        <v>413</v>
      </c>
      <c r="BE63" s="13"/>
      <c r="BF63" s="16" t="s">
        <v>226</v>
      </c>
      <c r="BG63" s="15"/>
    </row>
    <row r="64" spans="16:59" x14ac:dyDescent="0.5">
      <c r="Q64" s="1" t="s">
        <v>145</v>
      </c>
      <c r="X64" s="1" t="s">
        <v>145</v>
      </c>
      <c r="AA64" s="1" t="s">
        <v>511</v>
      </c>
      <c r="AT64" s="1" t="s">
        <v>569</v>
      </c>
      <c r="BD64" s="15" t="s">
        <v>135</v>
      </c>
      <c r="BE64" s="13"/>
      <c r="BF64" s="15" t="s">
        <v>136</v>
      </c>
      <c r="BG64" s="15"/>
    </row>
    <row r="65" spans="17:59" x14ac:dyDescent="0.5">
      <c r="Q65" s="1" t="s">
        <v>146</v>
      </c>
      <c r="X65" s="1" t="s">
        <v>146</v>
      </c>
      <c r="AA65" s="1" t="s">
        <v>557</v>
      </c>
      <c r="AT65" s="1" t="s">
        <v>478</v>
      </c>
      <c r="BD65" s="13" t="s">
        <v>470</v>
      </c>
      <c r="BE65" s="13"/>
      <c r="BF65" s="16" t="s">
        <v>394</v>
      </c>
      <c r="BG65" s="15"/>
    </row>
    <row r="66" spans="17:59" x14ac:dyDescent="0.5">
      <c r="Q66" s="1" t="s">
        <v>583</v>
      </c>
      <c r="X66" s="1" t="s">
        <v>583</v>
      </c>
      <c r="AA66" s="1" t="s">
        <v>584</v>
      </c>
      <c r="AT66" s="1" t="s">
        <v>573</v>
      </c>
      <c r="BD66" s="14" t="s">
        <v>429</v>
      </c>
      <c r="BE66" s="13"/>
      <c r="BF66" s="15" t="s">
        <v>427</v>
      </c>
      <c r="BG66" s="15"/>
    </row>
    <row r="67" spans="17:59" x14ac:dyDescent="0.5">
      <c r="AA67" s="1" t="s">
        <v>585</v>
      </c>
      <c r="AT67" s="1" t="s">
        <v>432</v>
      </c>
      <c r="BD67" s="16" t="s">
        <v>512</v>
      </c>
      <c r="BE67" s="13"/>
      <c r="BF67" s="15" t="s">
        <v>446</v>
      </c>
      <c r="BG67" s="15"/>
    </row>
    <row r="68" spans="17:59" x14ac:dyDescent="0.5">
      <c r="AA68" s="1" t="s">
        <v>506</v>
      </c>
      <c r="AT68" s="1" t="s">
        <v>367</v>
      </c>
      <c r="BD68" s="13" t="s">
        <v>355</v>
      </c>
      <c r="BE68" s="13"/>
      <c r="BF68" s="15" t="s">
        <v>246</v>
      </c>
      <c r="BG68" s="15"/>
    </row>
    <row r="69" spans="17:59" x14ac:dyDescent="0.5">
      <c r="AT69" s="1" t="s">
        <v>567</v>
      </c>
      <c r="BD69" s="15" t="s">
        <v>343</v>
      </c>
      <c r="BE69" s="13"/>
      <c r="BF69" s="15" t="s">
        <v>302</v>
      </c>
      <c r="BG69" s="15"/>
    </row>
    <row r="70" spans="17:59" x14ac:dyDescent="0.5">
      <c r="AT70" s="1" t="s">
        <v>298</v>
      </c>
      <c r="BD70" s="16" t="s">
        <v>524</v>
      </c>
      <c r="BE70" s="18"/>
      <c r="BF70" s="15" t="s">
        <v>508</v>
      </c>
      <c r="BG70" s="15"/>
    </row>
    <row r="71" spans="17:59" x14ac:dyDescent="0.5">
      <c r="AT71" s="1" t="s">
        <v>503</v>
      </c>
      <c r="BD71" s="15" t="s">
        <v>137</v>
      </c>
      <c r="BF71" s="15" t="s">
        <v>330</v>
      </c>
      <c r="BG71" s="15"/>
    </row>
    <row r="72" spans="17:59" x14ac:dyDescent="0.5">
      <c r="BD72" s="15" t="s">
        <v>460</v>
      </c>
      <c r="BF72" s="16" t="s">
        <v>529</v>
      </c>
      <c r="BG72" s="15"/>
    </row>
    <row r="73" spans="17:59" x14ac:dyDescent="0.5">
      <c r="BD73" s="16" t="s">
        <v>427</v>
      </c>
      <c r="BF73" s="15" t="s">
        <v>274</v>
      </c>
      <c r="BG73" s="15"/>
    </row>
    <row r="74" spans="17:59" x14ac:dyDescent="0.5">
      <c r="BD74" s="13" t="s">
        <v>496</v>
      </c>
      <c r="BF74" s="16" t="s">
        <v>417</v>
      </c>
      <c r="BG74" s="15"/>
    </row>
    <row r="75" spans="17:59" x14ac:dyDescent="0.5">
      <c r="BD75" s="14" t="s">
        <v>500</v>
      </c>
      <c r="BF75" s="15" t="s">
        <v>459</v>
      </c>
      <c r="BG75" s="15"/>
    </row>
    <row r="76" spans="17:59" x14ac:dyDescent="0.5">
      <c r="BD76" s="13" t="s">
        <v>504</v>
      </c>
      <c r="BF76" s="15" t="s">
        <v>476</v>
      </c>
      <c r="BG76" s="15"/>
    </row>
    <row r="77" spans="17:59" x14ac:dyDescent="0.5">
      <c r="BD77" s="16" t="s">
        <v>533</v>
      </c>
      <c r="BF77" s="16" t="s">
        <v>225</v>
      </c>
      <c r="BG77" s="15"/>
    </row>
    <row r="78" spans="17:59" x14ac:dyDescent="0.5">
      <c r="BD78" s="16" t="s">
        <v>417</v>
      </c>
      <c r="BF78" s="16" t="s">
        <v>481</v>
      </c>
      <c r="BG78" s="15"/>
    </row>
    <row r="79" spans="17:59" x14ac:dyDescent="0.5">
      <c r="BD79" s="15" t="s">
        <v>459</v>
      </c>
      <c r="BF79" s="15" t="s">
        <v>458</v>
      </c>
      <c r="BG79" s="15"/>
    </row>
    <row r="80" spans="17:59" x14ac:dyDescent="0.5">
      <c r="BD80" s="14" t="s">
        <v>509</v>
      </c>
      <c r="BF80" s="15" t="s">
        <v>403</v>
      </c>
      <c r="BG80" s="15"/>
    </row>
    <row r="81" spans="56:59" x14ac:dyDescent="0.5">
      <c r="BD81" s="16" t="s">
        <v>523</v>
      </c>
      <c r="BF81" s="16" t="s">
        <v>436</v>
      </c>
      <c r="BG81" s="16"/>
    </row>
    <row r="82" spans="56:59" x14ac:dyDescent="0.5">
      <c r="BD82" s="13" t="s">
        <v>515</v>
      </c>
      <c r="BF82" s="15" t="s">
        <v>477</v>
      </c>
      <c r="BG82" s="15"/>
    </row>
    <row r="83" spans="56:59" x14ac:dyDescent="0.5">
      <c r="BD83" s="15" t="s">
        <v>140</v>
      </c>
      <c r="BF83" s="16" t="s">
        <v>347</v>
      </c>
      <c r="BG83" s="16"/>
    </row>
    <row r="84" spans="56:59" x14ac:dyDescent="0.5">
      <c r="BD84" s="16" t="s">
        <v>521</v>
      </c>
      <c r="BF84" s="16" t="s">
        <v>317</v>
      </c>
      <c r="BG84" s="15"/>
    </row>
    <row r="85" spans="56:59" x14ac:dyDescent="0.5">
      <c r="BD85" s="13" t="s">
        <v>373</v>
      </c>
      <c r="BF85" s="15" t="s">
        <v>486</v>
      </c>
      <c r="BG85" s="15"/>
    </row>
    <row r="86" spans="56:59" x14ac:dyDescent="0.5">
      <c r="BD86" s="15" t="s">
        <v>530</v>
      </c>
      <c r="BF86" s="19" t="s">
        <v>145</v>
      </c>
      <c r="BG86" s="15"/>
    </row>
    <row r="87" spans="56:59" x14ac:dyDescent="0.5">
      <c r="BD87" s="16" t="s">
        <v>495</v>
      </c>
      <c r="BF87" s="16" t="s">
        <v>146</v>
      </c>
      <c r="BG87" s="19"/>
    </row>
    <row r="88" spans="56:59" x14ac:dyDescent="0.5">
      <c r="BD88" s="15" t="s">
        <v>503</v>
      </c>
      <c r="BF88" s="16" t="s">
        <v>126</v>
      </c>
    </row>
    <row r="89" spans="56:59" x14ac:dyDescent="0.5">
      <c r="BD89" s="16"/>
      <c r="BF89" s="16" t="s">
        <v>407</v>
      </c>
    </row>
    <row r="90" spans="56:59" x14ac:dyDescent="0.5">
      <c r="BD90" s="16"/>
      <c r="BF90" s="16"/>
    </row>
    <row r="91" spans="56:59" x14ac:dyDescent="0.5">
      <c r="BD91" s="15"/>
      <c r="BF91" s="16"/>
    </row>
    <row r="92" spans="56:59" x14ac:dyDescent="0.5">
      <c r="BD92" s="16"/>
      <c r="BF92" s="19"/>
    </row>
    <row r="93" spans="56:59" x14ac:dyDescent="0.5">
      <c r="BD93" s="16"/>
    </row>
    <row r="94" spans="56:59" x14ac:dyDescent="0.5">
      <c r="BD94" s="16"/>
    </row>
    <row r="95" spans="56:59" x14ac:dyDescent="0.5">
      <c r="BD95" s="16"/>
    </row>
    <row r="96" spans="56:59" x14ac:dyDescent="0.5">
      <c r="BD96" s="16"/>
    </row>
    <row r="97" spans="56:56" x14ac:dyDescent="0.5">
      <c r="BD97" s="15"/>
    </row>
    <row r="98" spans="56:56" x14ac:dyDescent="0.5">
      <c r="BD98" s="16"/>
    </row>
    <row r="99" spans="56:56" x14ac:dyDescent="0.5">
      <c r="BD99" s="16"/>
    </row>
    <row r="100" spans="56:56" x14ac:dyDescent="0.5">
      <c r="BD100" s="16"/>
    </row>
    <row r="101" spans="56:56" x14ac:dyDescent="0.5">
      <c r="BD101" s="16"/>
    </row>
    <row r="102" spans="56:56" x14ac:dyDescent="0.5">
      <c r="BD102" s="16"/>
    </row>
    <row r="103" spans="56:56" x14ac:dyDescent="0.5">
      <c r="BD103" s="14"/>
    </row>
    <row r="104" spans="56:56" x14ac:dyDescent="0.5">
      <c r="BD104" s="16"/>
    </row>
    <row r="105" spans="56:56" x14ac:dyDescent="0.5">
      <c r="BD105" s="16"/>
    </row>
    <row r="106" spans="56:56" x14ac:dyDescent="0.5">
      <c r="BD106" s="16"/>
    </row>
    <row r="107" spans="56:56" x14ac:dyDescent="0.5">
      <c r="BD107" s="16"/>
    </row>
    <row r="108" spans="56:56" x14ac:dyDescent="0.5">
      <c r="BD108" s="19"/>
    </row>
  </sheetData>
  <sortState xmlns:xlrd2="http://schemas.microsoft.com/office/spreadsheetml/2017/richdata2" ref="BC6:BC66">
    <sortCondition ref="BC5:BC66"/>
  </sortState>
  <mergeCells count="12">
    <mergeCell ref="AV3:AZ3"/>
    <mergeCell ref="AR3:AU3"/>
    <mergeCell ref="AL3:AN3"/>
    <mergeCell ref="AO3:AQ3"/>
    <mergeCell ref="BB1:BG1"/>
    <mergeCell ref="AL2:AQ2"/>
    <mergeCell ref="AL1:AZ1"/>
    <mergeCell ref="S1:AG1"/>
    <mergeCell ref="L2:Q2"/>
    <mergeCell ref="S2:X2"/>
    <mergeCell ref="Y2:AB2"/>
    <mergeCell ref="AC2:AG2"/>
  </mergeCells>
  <pageMargins left="0.7" right="0.7" top="0.75" bottom="0.75" header="0.3" footer="0.3"/>
  <legacyDrawing r:id="rId1"/>
  <tableParts count="5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61</vt:i4>
      </vt:variant>
    </vt:vector>
  </HeadingPairs>
  <TitlesOfParts>
    <vt:vector size="68" baseType="lpstr">
      <vt:lpstr>Paso1 Analisis perfil egreso</vt:lpstr>
      <vt:lpstr>Paso 2 Redacción competen</vt:lpstr>
      <vt:lpstr>Paso 3 Redacción RA </vt:lpstr>
      <vt:lpstr>Paso 4 Estrategias mesocurricu</vt:lpstr>
      <vt:lpstr>Paso 5 Estrategias micro</vt:lpstr>
      <vt:lpstr>Taxonomía para competencias</vt:lpstr>
      <vt:lpstr>Taxonomias para RA</vt:lpstr>
      <vt:lpstr>actitudinalB</vt:lpstr>
      <vt:lpstr>ActitudinalBAK</vt:lpstr>
      <vt:lpstr>AK</vt:lpstr>
      <vt:lpstr>AnálisisB</vt:lpstr>
      <vt:lpstr>AnálisisBAK</vt:lpstr>
      <vt:lpstr>AnálisisMK</vt:lpstr>
      <vt:lpstr>AnalizarLK</vt:lpstr>
      <vt:lpstr>AplicaciónB</vt:lpstr>
      <vt:lpstr>AplicaciónBAK</vt:lpstr>
      <vt:lpstr>AplicarLK</vt:lpstr>
      <vt:lpstr>BAK</vt:lpstr>
      <vt:lpstr>Bloom</vt:lpstr>
      <vt:lpstr>CaracterizarBAK</vt:lpstr>
      <vt:lpstr>Cognitivo</vt:lpstr>
      <vt:lpstr>CognitivoAK</vt:lpstr>
      <vt:lpstr>cognitivoB</vt:lpstr>
      <vt:lpstr>CognitivoBAK</vt:lpstr>
      <vt:lpstr>competencias</vt:lpstr>
      <vt:lpstr>ComprenderLK</vt:lpstr>
      <vt:lpstr>ComprensionB</vt:lpstr>
      <vt:lpstr>ComprensiónBAK</vt:lpstr>
      <vt:lpstr>ComprensiónMK</vt:lpstr>
      <vt:lpstr>ConceptosLK</vt:lpstr>
      <vt:lpstr>ConocimientoB</vt:lpstr>
      <vt:lpstr>ConocimientoBAK</vt:lpstr>
      <vt:lpstr>Conocimientos</vt:lpstr>
      <vt:lpstr>ControlBAK</vt:lpstr>
      <vt:lpstr>CrearLK</vt:lpstr>
      <vt:lpstr>dominios</vt:lpstr>
      <vt:lpstr>EvaluaciónB</vt:lpstr>
      <vt:lpstr>EvaluaciónBAK</vt:lpstr>
      <vt:lpstr>EvaluarLK</vt:lpstr>
      <vt:lpstr>HechosLK</vt:lpstr>
      <vt:lpstr>ImitaciónBAK</vt:lpstr>
      <vt:lpstr>ManipulaciónBAK</vt:lpstr>
      <vt:lpstr>MetacogniciónLK</vt:lpstr>
      <vt:lpstr>MetacogniciónMK</vt:lpstr>
      <vt:lpstr>MetocogniciónAK</vt:lpstr>
      <vt:lpstr>MK</vt:lpstr>
      <vt:lpstr>OrganizarBAK</vt:lpstr>
      <vt:lpstr>PercepciónBAK</vt:lpstr>
      <vt:lpstr>PrecisiónBAK</vt:lpstr>
      <vt:lpstr>procedimentalB</vt:lpstr>
      <vt:lpstr>ProcedimentalBAK</vt:lpstr>
      <vt:lpstr>ProcedimientosMK</vt:lpstr>
      <vt:lpstr>ProcesosAK</vt:lpstr>
      <vt:lpstr>PsicomotorMK</vt:lpstr>
      <vt:lpstr>RecordarLK</vt:lpstr>
      <vt:lpstr>RecuperaciónMK</vt:lpstr>
      <vt:lpstr>ResponderBAK</vt:lpstr>
      <vt:lpstr>resultadoaprendizaje</vt:lpstr>
      <vt:lpstr>Saber</vt:lpstr>
      <vt:lpstr>Saberhacer</vt:lpstr>
      <vt:lpstr>saberser</vt:lpstr>
      <vt:lpstr>SíntesisB</vt:lpstr>
      <vt:lpstr>SíntesisBAK</vt:lpstr>
      <vt:lpstr>SistemadelYoMK</vt:lpstr>
      <vt:lpstr>taxonomiasra</vt:lpstr>
      <vt:lpstr>UsoConocimientoMK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Ximena Silva</cp:lastModifiedBy>
  <cp:revision/>
  <dcterms:created xsi:type="dcterms:W3CDTF">2021-03-03T13:22:18Z</dcterms:created>
  <dcterms:modified xsi:type="dcterms:W3CDTF">2026-05-08T05:40:59Z</dcterms:modified>
  <cp:category/>
  <cp:contentStatus/>
</cp:coreProperties>
</file>