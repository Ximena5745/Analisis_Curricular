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always"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01_FormatosRA_ReformaCurricular/"/>
    </mc:Choice>
  </mc:AlternateContent>
  <xr:revisionPtr revIDLastSave="1" documentId="13_ncr:1_{E645EDC1-6D4C-4C70-A4B0-729CE347402A}" xr6:coauthVersionLast="47" xr6:coauthVersionMax="47" xr10:uidLastSave="{7C353111-EC5B-4ACE-B04F-AC5C0A980985}"/>
  <bookViews>
    <workbookView xWindow="-110" yWindow="-110" windowWidth="19420" windowHeight="10300" firstSheet="2"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10" r:id="rId5"/>
    <sheet name="Taxonomia para Competencias" sheetId="11" r:id="rId6"/>
    <sheet name="Taxonomias para RA" sheetId="9" r:id="rId7"/>
  </sheets>
  <externalReferences>
    <externalReference r:id="rId8"/>
  </externalReferences>
  <definedNames>
    <definedName name="_xlnm._FilterDatabase" localSheetId="2" hidden="1">'Paso 3 Redacción RA '!$A$2:$I$15</definedName>
    <definedName name="_xlnm._FilterDatabase" localSheetId="3" hidden="1">'Paso 4 Estrategias mesocurricu'!$A$2:$E$9</definedName>
    <definedName name="_xlnm._FilterDatabase" localSheetId="4" hidden="1">'Paso 5 Estrategias micro'!$A$2:$Q$141</definedName>
    <definedName name="actitudinalB" localSheetId="4">Tabla5785[ActitudinalB]</definedName>
    <definedName name="actitudinalB">Tabla5785[ActitudinalB]</definedName>
    <definedName name="ActitudinalBAK">'Taxonomias para RA'!$AC$3:$AG$3</definedName>
    <definedName name="AK" localSheetId="4">Tabla6088[AK]</definedName>
    <definedName name="AK">Tabla6088[AK]</definedName>
    <definedName name="AnálisisAK" localSheetId="4">Tabla99[AnálisisAK]</definedName>
    <definedName name="AnálisisAK">Tabla99[AnálisisAK]</definedName>
    <definedName name="AnálisisB" localSheetId="4">Tabla385280[AnálisisB]</definedName>
    <definedName name="AnálisisB">Tabla385280[AnálisisB]</definedName>
    <definedName name="AnálisisBAK" localSheetId="4">Tabla3865[AnálisisBAK]</definedName>
    <definedName name="AnálisisBAK">Tabla3865[AnálisisBAK]</definedName>
    <definedName name="AnalizarLK" localSheetId="4">Tabla2129[AnalizarLK]</definedName>
    <definedName name="AnalizarLK">Tabla2129[AnalizarLK]</definedName>
    <definedName name="AplicaciónB" localSheetId="4">Tabla375179[AplicaciónB]</definedName>
    <definedName name="AplicaciónB">Tabla375179[AplicaciónB]</definedName>
    <definedName name="AplicaciónBAK" localSheetId="4">Tabla3764[AplicaciónBAK]</definedName>
    <definedName name="AplicaciónBAK">Tabla3764[AplicaciónBAK]</definedName>
    <definedName name="AplicarLK" localSheetId="4">Tabla2028[AplicarLK]</definedName>
    <definedName name="AplicarLK">Tabla2028[AplicarLK]</definedName>
    <definedName name="áreasprofesionales" localSheetId="4">'Paso1 Analisis perfil egreso'!$H$3:$H$14</definedName>
    <definedName name="áreasprofesionales">'Paso1 Analisis perfil egreso'!$H$3:$H$14</definedName>
    <definedName name="BAK" localSheetId="4">Tabla5886[BAK]</definedName>
    <definedName name="BAK">Tabla5886[BAK]</definedName>
    <definedName name="Bloom">'Taxonomias para RA'!$G$3:$I$3</definedName>
    <definedName name="CaracterizarBAK" localSheetId="4">Tabla4776[CaracterizarBAK]</definedName>
    <definedName name="CaracterizarBAK">Tabla4776[CaracterizarBAK]</definedName>
    <definedName name="Cognitivo" localSheetId="4">'Paso1 Analisis perfil egreso'!$E$3:$E$15</definedName>
    <definedName name="Cognitivo">'Paso1 Analisis perfil egreso'!$E$3:$E$15</definedName>
    <definedName name="cognitivoB" localSheetId="4">Tabla5583[CognitivoB]</definedName>
    <definedName name="cognitivoB">Tabla5583[CognitivoB]</definedName>
    <definedName name="CognitivoBAK">'Taxonomias para RA'!$S$3:$X$3</definedName>
    <definedName name="competencias">'Paso 2 Redacción competen'!$F$4:$F$13</definedName>
    <definedName name="ComponentesCompetencias">'[1]Paso1 Analisis perfil egreso'!$E$2:$G$2</definedName>
    <definedName name="ComprenderLK">'Taxonomias para RA'!$AM$5:$AM$27</definedName>
    <definedName name="ComprensiónAK" localSheetId="4">Tabla98[ComprensiónAK]</definedName>
    <definedName name="ComprensiónAK">Tabla98[ComprensiónAK]</definedName>
    <definedName name="ComprensionB" localSheetId="4">Tabla365078[ComprensiónB]</definedName>
    <definedName name="ComprensionB">Tabla365078[ComprensiónB]</definedName>
    <definedName name="ComprensiónBAK" localSheetId="4">Tabla3663[ComprensiónBAK]</definedName>
    <definedName name="ComprensiónBAK">Tabla3663[ComprensiónBAK]</definedName>
    <definedName name="ConceptosLK" localSheetId="4">Tabla91[ConceptosLK]</definedName>
    <definedName name="ConceptosLK">Tabla91[ConceptosLK]</definedName>
    <definedName name="ConocimientoB" localSheetId="4">Tabla354977[ConocimientoB]</definedName>
    <definedName name="ConocimientoB">Tabla354977[ConocimientoB]</definedName>
    <definedName name="ConocimientoBAK" localSheetId="4">Tabla3555[ConocimientoBAK]</definedName>
    <definedName name="ConocimientoBAK">Tabla3555[ConocimientoBAK]</definedName>
    <definedName name="Conocimientos" localSheetId="4">'Paso1 Analisis perfil egreso'!$E$3:$E$15</definedName>
    <definedName name="Conocimientos">'Paso1 Analisis perfil egreso'!$E$3:$E$15</definedName>
    <definedName name="ControlBAK" localSheetId="4">Tabla4271[ControlBAK]</definedName>
    <definedName name="ControlBAK">Tabla4271[ControlBAK]</definedName>
    <definedName name="CrearLK" localSheetId="4">Tabla2333[CrearLK]</definedName>
    <definedName name="CrearLK">Tabla2333[CrearLK]</definedName>
    <definedName name="dominios">'Paso1 Analisis perfil egreso'!$E$2:$G$2</definedName>
    <definedName name="EvaluaciónB" localSheetId="4">Tabla405482[EvaluaciónB]</definedName>
    <definedName name="EvaluaciónB">Tabla405482[EvaluaciónB]</definedName>
    <definedName name="EvaluaciónBAK" localSheetId="4">Tabla4067[EvaluaciónBAK]</definedName>
    <definedName name="EvaluaciónBAK">Tabla4067[EvaluaciónBAK]</definedName>
    <definedName name="EvaluarLK">'Taxonomias para RA'!$AP$5:$AP$46</definedName>
    <definedName name="HechosLK" localSheetId="4">Tabla90[HechosLK]</definedName>
    <definedName name="HechosLK">Tabla90[HechosLK]</definedName>
    <definedName name="ImitaciónBAK" localSheetId="4">Tabla1168[ImitaciónBAK]</definedName>
    <definedName name="ImitaciónBAK">Tabla1168[ImitaciónBAK]</definedName>
    <definedName name="InformaciónAK" localSheetId="4">Tabla94[InformaciónAK]</definedName>
    <definedName name="InformaciónAK">Tabla94[InformaciónAK]</definedName>
    <definedName name="LK" localSheetId="4">Tabla5987[LK]</definedName>
    <definedName name="LK">Tabla5987[LK]</definedName>
    <definedName name="ManipulaciónBAK" localSheetId="4">Tabla3069[ManipulaciónBAK]</definedName>
    <definedName name="ManipulaciónBAK">Tabla3069[ManipulaciónBAK]</definedName>
    <definedName name="MetacogniciónAK" localSheetId="4">Tabla101[MetacogniciónAK]</definedName>
    <definedName name="MetacogniciónAK">Tabla101[MetacogniciónAK]</definedName>
    <definedName name="MetacogniciónLK" localSheetId="4">Tabla93[MetacogniciónLK]</definedName>
    <definedName name="MetacogniciónLK">Tabla93[MetacogniciónLK]</definedName>
    <definedName name="MetocogniciónAK" localSheetId="4">Tabla101[MetacogniciónAK]</definedName>
    <definedName name="MetocogniciónAK">Tabla101[MetacogniciónAK]</definedName>
    <definedName name="ocupacional">'Paso1 Analisis perfil egreso'!$H$2:$J$2</definedName>
    <definedName name="OrganizarBAK" localSheetId="4">Tabla4675[OrganizarBAK]</definedName>
    <definedName name="OrganizarBAK">Tabla4675[OrganizarBAK]</definedName>
    <definedName name="PercepciónBAK">'Taxonomias para RA'!$AC$4:$AC$40</definedName>
    <definedName name="poblacionactuacion" localSheetId="4">'Paso1 Analisis perfil egreso'!$J$3:$J$8</definedName>
    <definedName name="poblacionactuacion">'Paso1 Analisis perfil egreso'!$J$3:$J$8</definedName>
    <definedName name="poblaciones" localSheetId="4">'Paso1 Analisis perfil egreso'!$J$3:$J$8</definedName>
    <definedName name="poblaciones">'Paso1 Analisis perfil egreso'!$J$3:$J$8</definedName>
    <definedName name="poblacionesactuación" localSheetId="4">'Paso1 Analisis perfil egreso'!$J$3:$J$8</definedName>
    <definedName name="poblacionesactuación">'Paso1 Analisis perfil egreso'!$J$3:$J$8</definedName>
    <definedName name="PrecisiónBAK" localSheetId="4">Tabla4170[PrecisiónBAK]</definedName>
    <definedName name="PrecisiónBAK">Tabla4170[PrecisiónBAK]</definedName>
    <definedName name="procedimentalB" localSheetId="4">Tabla5684[ProcedimentalB]</definedName>
    <definedName name="procedimentalB">Tabla5684[ProcedimentalB]</definedName>
    <definedName name="ProcedimentalBAK">'Taxonomias para RA'!$Y$3:$AB$3</definedName>
    <definedName name="ProcedimientosLK" localSheetId="4">Tabla92[ProcedimientosLK]</definedName>
    <definedName name="ProcedimientosLK">Tabla92[ProcedimientosLK]</definedName>
    <definedName name="ProcesosAK" localSheetId="4">Tabla95[ProcesosAK]</definedName>
    <definedName name="ProcesosAK">Tabla95[ProcesosAK]</definedName>
    <definedName name="PsicomotorAK" localSheetId="4">Tabla96[PsicomotorAK]</definedName>
    <definedName name="PsicomotorAK">Tabla96[PsicomotorAK]</definedName>
    <definedName name="RecordarLK">'Taxonomias para RA'!$AL$5:$AL$27</definedName>
    <definedName name="RecuperaciónAK">'Taxonomias para RA'!$AT$4:$AT$27</definedName>
    <definedName name="ResponderBAK" localSheetId="4">Tabla4473[ResponderBAK]</definedName>
    <definedName name="ResponderBAK">Tabla4473[ResponderBAK]</definedName>
    <definedName name="resultadoaprendizaje">'Paso 3 Redacción RA '!$I$3:$I$16</definedName>
    <definedName name="Saber">'Paso1 Analisis perfil egreso'!$E$3:$E$7</definedName>
    <definedName name="Saberhacer" localSheetId="4">'Paso1 Analisis perfil egreso'!$F$3:$F$15</definedName>
    <definedName name="Saberhacer">'Paso1 Analisis perfil egreso'!$F$3:$F$15</definedName>
    <definedName name="saberser" localSheetId="4">'Paso1 Analisis perfil egreso'!$G$3:$G$15</definedName>
    <definedName name="saberser">'Paso1 Analisis perfil egreso'!$G$3:$G$15</definedName>
    <definedName name="SíntesisB" localSheetId="4">Tabla395381[SíntesisB]</definedName>
    <definedName name="SíntesisB">Tabla395381[SíntesisB]</definedName>
    <definedName name="SíntesisBAK" localSheetId="4">Tabla3966[SíntesisBAK]</definedName>
    <definedName name="SíntesisBAK">Tabla3966[SíntesisBAK]</definedName>
    <definedName name="tareas" localSheetId="4">'Paso1 Analisis perfil egreso'!$I$3:$I$14</definedName>
    <definedName name="tareas">'Paso1 Analisis perfil egreso'!$I$3:$I$14</definedName>
    <definedName name="tareasprofesionales" localSheetId="4">'Paso1 Analisis perfil egreso'!$I$3:$I$14</definedName>
    <definedName name="tareasprofesionales">'Paso1 Analisis perfil egreso'!$I$3:$I$14</definedName>
    <definedName name="taxonomiasra" localSheetId="4">Tabla1715[Taxonomías]</definedName>
    <definedName name="taxonomiasra">Tabla1715[Taxonomías]</definedName>
    <definedName name="UsoConocimientoAK">'Taxonomias para RA'!$AW$4:$AW$70</definedName>
    <definedName name="Valoragregado" localSheetId="4">'Paso1 Analisis perfil egreso'!$K$3:$K$8</definedName>
    <definedName name="Valoragregado">'Paso1 Analisis perfil egreso'!$K$3:$K$8</definedName>
    <definedName name="ValorarBAK" localSheetId="4">Tabla4574[ValorarBAK]</definedName>
    <definedName name="ValorarBAK">Tabla4574[ValorarBAK]</definedName>
    <definedName name="VerbosCompetencias">'Taxonomia para Competencias'!$B:$B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2" i="10" l="1"/>
  <c r="A107" i="10"/>
  <c r="A108" i="10"/>
  <c r="A94" i="10"/>
  <c r="A86" i="10"/>
  <c r="A87" i="10"/>
  <c r="A81" i="10"/>
  <c r="A77" i="10"/>
  <c r="A78" i="10"/>
  <c r="A73" i="10"/>
  <c r="A63" i="10"/>
  <c r="A59" i="10"/>
  <c r="A45" i="10"/>
  <c r="A36" i="10"/>
  <c r="A29" i="10"/>
  <c r="A25" i="10"/>
  <c r="A20" i="10"/>
  <c r="A21" i="10"/>
  <c r="A15" i="10"/>
  <c r="A16" i="10"/>
  <c r="A11" i="10"/>
  <c r="A7" i="10"/>
  <c r="A8" i="10"/>
  <c r="A132" i="10"/>
  <c r="A131" i="10"/>
  <c r="L130" i="10"/>
  <c r="K130" i="10"/>
  <c r="A130" i="10"/>
  <c r="M130" i="10" l="1"/>
  <c r="A129" i="10"/>
  <c r="A128" i="10"/>
  <c r="L127" i="10"/>
  <c r="K127" i="10"/>
  <c r="A127" i="10"/>
  <c r="A124" i="10"/>
  <c r="A123" i="10"/>
  <c r="A122" i="10"/>
  <c r="L121" i="10"/>
  <c r="K121" i="10"/>
  <c r="A121" i="10"/>
  <c r="A120" i="10"/>
  <c r="A119" i="10"/>
  <c r="L118" i="10"/>
  <c r="K118" i="10"/>
  <c r="A118" i="10"/>
  <c r="A114" i="10"/>
  <c r="A113" i="10"/>
  <c r="L111" i="10"/>
  <c r="K111" i="10"/>
  <c r="A111" i="10"/>
  <c r="M118" i="10" l="1"/>
  <c r="M127" i="10"/>
  <c r="M121" i="10"/>
  <c r="M111" i="10"/>
  <c r="A27" i="10" l="1"/>
  <c r="A26" i="10"/>
  <c r="L24" i="10"/>
  <c r="K24" i="10"/>
  <c r="A24" i="10"/>
  <c r="A12" i="10"/>
  <c r="A17" i="10"/>
  <c r="A30" i="10"/>
  <c r="A33" i="10"/>
  <c r="A37" i="10"/>
  <c r="A40" i="10"/>
  <c r="A47" i="10"/>
  <c r="A49" i="10"/>
  <c r="A52" i="10"/>
  <c r="A56" i="10"/>
  <c r="A70" i="10"/>
  <c r="A74" i="10"/>
  <c r="A82" i="10"/>
  <c r="A83" i="10"/>
  <c r="A88" i="10"/>
  <c r="A91" i="10"/>
  <c r="A95" i="10"/>
  <c r="A104" i="10"/>
  <c r="A109" i="10"/>
  <c r="A116" i="10"/>
  <c r="A134" i="10"/>
  <c r="K125" i="10"/>
  <c r="J141" i="10"/>
  <c r="J140" i="10"/>
  <c r="J139" i="10"/>
  <c r="J138" i="10"/>
  <c r="D138" i="10"/>
  <c r="M24" i="10" l="1"/>
  <c r="L137" i="10"/>
  <c r="K137" i="10"/>
  <c r="L136" i="10"/>
  <c r="K136" i="10"/>
  <c r="L126" i="10"/>
  <c r="K126" i="10"/>
  <c r="L125" i="10"/>
  <c r="L133" i="10"/>
  <c r="K133" i="10"/>
  <c r="L115" i="10"/>
  <c r="K115" i="10"/>
  <c r="L106" i="10"/>
  <c r="K106" i="10"/>
  <c r="L103" i="10"/>
  <c r="K103" i="10"/>
  <c r="L100" i="10"/>
  <c r="K100" i="10"/>
  <c r="L97" i="10"/>
  <c r="K97" i="10"/>
  <c r="L93" i="10"/>
  <c r="K93" i="10"/>
  <c r="L90" i="10"/>
  <c r="K90" i="10"/>
  <c r="L85" i="10"/>
  <c r="K85" i="10"/>
  <c r="L80" i="10"/>
  <c r="K80" i="10"/>
  <c r="L76" i="10"/>
  <c r="K76" i="10"/>
  <c r="L72" i="10"/>
  <c r="K72" i="10"/>
  <c r="L69" i="10"/>
  <c r="K69" i="10"/>
  <c r="L66" i="10"/>
  <c r="K66" i="10"/>
  <c r="L62" i="10"/>
  <c r="K62" i="10"/>
  <c r="L58" i="10"/>
  <c r="K58" i="10"/>
  <c r="L54" i="10"/>
  <c r="L51" i="10"/>
  <c r="L48" i="10"/>
  <c r="L44" i="10"/>
  <c r="K44" i="10"/>
  <c r="K54" i="10"/>
  <c r="K51" i="10"/>
  <c r="K48" i="10"/>
  <c r="L39" i="10"/>
  <c r="L35" i="10"/>
  <c r="L32" i="10"/>
  <c r="L28" i="10"/>
  <c r="K39" i="10"/>
  <c r="K35" i="10"/>
  <c r="K32" i="10"/>
  <c r="K28" i="10"/>
  <c r="L19" i="10"/>
  <c r="L14" i="10"/>
  <c r="L10" i="10"/>
  <c r="L5" i="10"/>
  <c r="K19" i="10"/>
  <c r="K14" i="10"/>
  <c r="K10" i="10"/>
  <c r="K5" i="10"/>
  <c r="L57" i="10"/>
  <c r="K57" i="10"/>
  <c r="L43" i="10"/>
  <c r="K43" i="10"/>
  <c r="L42" i="10"/>
  <c r="K42" i="10"/>
  <c r="L23" i="10"/>
  <c r="K23" i="10"/>
  <c r="L4" i="10"/>
  <c r="K4" i="10"/>
  <c r="L3" i="10"/>
  <c r="K3" i="10"/>
  <c r="A57" i="10"/>
  <c r="A43" i="10"/>
  <c r="A42" i="10"/>
  <c r="A23" i="10"/>
  <c r="A3" i="10"/>
  <c r="A4" i="10"/>
  <c r="A135" i="10"/>
  <c r="A133" i="10"/>
  <c r="A117" i="10"/>
  <c r="A115" i="10"/>
  <c r="A110" i="10"/>
  <c r="A106" i="10"/>
  <c r="A105" i="10"/>
  <c r="A103" i="10"/>
  <c r="A102" i="10"/>
  <c r="A101" i="10"/>
  <c r="A100" i="10"/>
  <c r="A99" i="10"/>
  <c r="A98" i="10"/>
  <c r="A97" i="10"/>
  <c r="A96" i="10"/>
  <c r="A93" i="10"/>
  <c r="A92" i="10"/>
  <c r="A90" i="10"/>
  <c r="A89" i="10"/>
  <c r="A85" i="10"/>
  <c r="A84" i="10"/>
  <c r="A80" i="10"/>
  <c r="A79" i="10"/>
  <c r="A76" i="10"/>
  <c r="A75" i="10"/>
  <c r="A72" i="10"/>
  <c r="A71" i="10"/>
  <c r="A69" i="10"/>
  <c r="A68" i="10"/>
  <c r="A67" i="10"/>
  <c r="A66" i="10"/>
  <c r="A65" i="10"/>
  <c r="A64" i="10"/>
  <c r="A62" i="10"/>
  <c r="A61" i="10"/>
  <c r="A60" i="10"/>
  <c r="A58" i="10"/>
  <c r="A55" i="10"/>
  <c r="A54" i="10"/>
  <c r="A53" i="10"/>
  <c r="A51" i="10"/>
  <c r="A50" i="10"/>
  <c r="A48" i="10"/>
  <c r="A46" i="10"/>
  <c r="A44" i="10"/>
  <c r="A41" i="10"/>
  <c r="A39" i="10"/>
  <c r="A38" i="10"/>
  <c r="A35" i="10"/>
  <c r="A34" i="10"/>
  <c r="A32" i="10"/>
  <c r="A31" i="10"/>
  <c r="A28" i="10"/>
  <c r="A22" i="10"/>
  <c r="A19" i="10"/>
  <c r="A18" i="10"/>
  <c r="A14" i="10"/>
  <c r="A13" i="10"/>
  <c r="A10" i="10"/>
  <c r="A6" i="10"/>
  <c r="A9" i="10"/>
  <c r="A5" i="10"/>
  <c r="M5" i="10" l="1"/>
  <c r="M57" i="10"/>
  <c r="M14" i="10"/>
  <c r="M32" i="10"/>
  <c r="M62" i="10"/>
  <c r="M72" i="10"/>
  <c r="M90" i="10"/>
  <c r="M97" i="10"/>
  <c r="M103" i="10"/>
  <c r="M106" i="10"/>
  <c r="M115" i="10"/>
  <c r="M35" i="10"/>
  <c r="M28" i="10"/>
  <c r="M54" i="10"/>
  <c r="M133" i="10"/>
  <c r="M125" i="10"/>
  <c r="M10" i="10"/>
  <c r="M44" i="10"/>
  <c r="M58" i="10"/>
  <c r="M69" i="10"/>
  <c r="M85" i="10"/>
  <c r="M126" i="10"/>
  <c r="M66" i="10"/>
  <c r="M80" i="10"/>
  <c r="M137" i="10"/>
  <c r="M19" i="10"/>
  <c r="M48" i="10"/>
  <c r="M51" i="10"/>
  <c r="M100" i="10"/>
  <c r="M39" i="10"/>
  <c r="M76" i="10"/>
  <c r="M93" i="10"/>
  <c r="M136" i="10"/>
  <c r="M42" i="10" l="1"/>
  <c r="M43" i="10"/>
  <c r="M23" i="10"/>
  <c r="M3" i="10"/>
  <c r="M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338DED5-79E3-45EA-817F-66D8D3C549D2}">
      <text>
        <r>
          <rPr>
            <sz val="11"/>
            <color theme="1"/>
            <rFont val="Calibri"/>
            <family val="2"/>
            <scheme val="minor"/>
          </rPr>
          <t>Diana Shirley Velásquez Rojas:
Escriba el perfil del egresado que tiene el programa en su documento maestro o el que se haya ajustado de acuerdo con las tendencias o necesidades del entorno que lo hayan generado.</t>
        </r>
      </text>
    </comment>
    <comment ref="E2" authorId="0" shapeId="0" xr:uid="{12792177-0D62-47E7-9BFF-318A4AB271E4}">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F061F63A-3635-4989-89F1-6CCF984D96A3}">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389D3840-7D6C-4F77-AE2B-C83F9926A6C6}">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91F787E4-9F42-4666-B6D1-66DE9D88CA79}">
      <text>
        <r>
          <rPr>
            <b/>
            <sz val="9"/>
            <color indexed="81"/>
            <rFont val="Tahoma"/>
            <family val="2"/>
          </rPr>
          <t>Dir. Currículo:</t>
        </r>
        <r>
          <rPr>
            <sz val="9"/>
            <color indexed="81"/>
            <rFont val="Tahoma"/>
            <family val="2"/>
          </rPr>
          <t xml:space="preserve">
Áreas en las que podrá laborar el profesional.</t>
        </r>
      </text>
    </comment>
    <comment ref="I2" authorId="0" shapeId="0" xr:uid="{4990A9C5-31E1-4BCB-81EB-7C14549AB462}">
      <text>
        <r>
          <rPr>
            <b/>
            <sz val="9"/>
            <color indexed="81"/>
            <rFont val="Tahoma"/>
            <family val="2"/>
          </rPr>
          <t>Dir. Currículo:</t>
        </r>
        <r>
          <rPr>
            <sz val="9"/>
            <color indexed="81"/>
            <rFont val="Tahoma"/>
            <family val="2"/>
          </rPr>
          <t xml:space="preserve">
Tareas potenciales que hará el profesional.</t>
        </r>
      </text>
    </comment>
    <comment ref="J2" authorId="0" shapeId="0" xr:uid="{7BF9192D-7FC7-43E0-A6DE-5F1A0C0CB845}">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5AD7F-64EB-4A95-94F5-CEFC52E18578}">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3EF9953-5C1D-409D-ADCD-293F780FDCB1}">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89B1F064-85DD-446C-A9DE-35C70EC4764C}">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845B80FF-0F7D-4D93-B3F5-84DCA285350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DA64038A-6099-4D22-9EF8-C8D9FC3F33E7}">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7AD9CEF8-C620-4D74-A493-6111E862964C}">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1DDC73BF-6D66-45D6-8CC2-D2CCBDED89EA}">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D3F143C3-D231-4875-B93F-43DD53FE5195}">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B1FB04BB-65D6-44B8-8F8C-4AC9B8A95942}">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958DBB57-68B3-466F-A186-1D6CED4E13CE}">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179B26A7-FC6E-4158-A82B-747AD08A87C0}">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DC2391F0-23C2-4858-A4CC-DE1159046B6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A81069A-F375-4BBA-B338-1D6EDE5CE274}">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14680C8-A08A-49DA-998F-2218755A6E23}">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C91CCBA1-C27D-4136-A997-8392C8F3ED69}">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F53F5B1-B1E3-4596-A9B1-55041ACD33EB}">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C011BE17-7130-44E8-AB43-A7ABB726547F}">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866CD5F0-AA71-406A-BF4F-2F8088056BD6}">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70784CBA-9D53-4A90-B97A-05E3615D36F9}">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<sst xmlns="http://schemas.openxmlformats.org/spreadsheetml/2006/main" count="2473" uniqueCount="805">
  <si>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</si>
  <si>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</si>
  <si>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</si>
  <si>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</si>
  <si>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</si>
  <si>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</si>
  <si>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</si>
  <si>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</si>
  <si>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</si>
  <si>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</si>
  <si>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</si>
  <si>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</si>
  <si>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</si>
  <si>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</si>
  <si>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</si>
  <si>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</si>
  <si>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</si>
  <si>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</si>
  <si>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Licenciatura en Educación Infantil</t>
  </si>
  <si>
    <t>Virtual</t>
  </si>
  <si>
    <t>El Licenciado o Licenciada en Educación Infantil del Politécnico Grancolombiano integra conocimientos pedagógicos, didácticos y del desarrollo integral de niños y niñas de 0 a 6 años, orientando su práctica pedagógica desde enfoques de diversidad, inclusión y perspectiva interdisciplinaria. Diseña propuestas curriculares en el marco de la educación inicial y preescolar mediante la indagación, planificación, implementación y evaluación de experiencias pedagógicas que articulan las expresiones de los niños y las niñas, como el juego, el arte, la exploración y la literatura, incorporando recursos lúdicos, comunicativos y científicos en contextos familiares, comunitarios e institucionales. Participa en equipos interdisciplinarios, establece relaciones de colaboración con familias y comunidades, organiza su práctica pedagógica según las características del entorno y fortalece sus estrategias pedagógicas en respuesta a las dinámicas del contexto social, comunitario y educativo.</t>
  </si>
  <si>
    <t>El Licenciado o Licenciada en Educación Infantil del Politécnico Grancolombiano se desempeña en instituciones oficiales, privadas, comunitarias y en espacios no formales vinculados a la atención y educación de la primera infancia. Desarrolla funciones de planeación, implementación y evaluación de experiencias pedagógicas, diseño de ambientes educativos, selección y uso de recursos didácticos y seguimiento al desarrollo de los niños y niñas de 0 a 6 años. Participa en equipos interdisciplinarios, acompaña procesos formativos en familia, comunidad y escuela, y adapta su intervención pedagógica según el contexto. Su formación le permite participar en programas institucionales de educación inicial y preescolar en entornos rurales y urbanos, y en iniciativas de acompañamiento comunitario, aportando a la organización y desarrollo de propuestas centradas en las expresiones propias de la infancia como el juego, el arte, la literatura y la exploración del medio.</t>
  </si>
  <si>
    <t>enfoques pedagógicos y epistemológicos sobre las infancias, así como los aportes conceptuales y metodológicos contemporáneos</t>
  </si>
  <si>
    <t>diseñar prácticas educativas contextualizadas que resignifiquen las múltiples formas de ser niño y niña</t>
  </si>
  <si>
    <t>considerando las condiciones socioculturales, institucionales y territoriales del entorno</t>
  </si>
  <si>
    <t>1. Educación inicial y preescolar: Educador infantil/Diseñador de ambientes educativos para la primera infancia/Pedagogo en primera infancia/Licenciado en educación inicial y preescolar/Coordinador pedagógico en educación inicial y preescolar.
 2. Gestión y coordinación de proyectos educativos: Coordinador de programas pedagógicos para la primera infancia/Asesor pedagógico en políticas de primera infancia/Consultor pedagógico en educación inicial y preescolar. 
 3. Diseño curricular y producción de recursos pedagógicos: Diseñador curricular para educación inicial y preescolar/Creador de contenidos pedagógicos para educación inicial y preescolar.
 4. Formación, orientación y acompañamiento familiar o comunitario: Formador de agentes educativos y cuidadores/Coordinador de procesos de orientación familiar.</t>
  </si>
  <si>
    <t>1. Educación inicial y preescolar: Proyectar experiencias pedagógicas centradas en el desarrollo integral de niños y niñas/Implementar experiencias pedagógicas y educativas que favorezcan las expresiones de la infancia (actividades rectoras)/Valorar el proceso de desarrollo infantil a partir de registros, técnicas e instrumentos pertinentes/Establecer estrategias pedagógicas acordes con las necesidades, intereses y contextos de los niños y niñas/Documentar los procesos de aprendizaje y desarrollo de los niños y niñas para su análisis y realimentación/Diseñar ambientes de aula seguros, diversos, accesibles e inclusivos, ajustando los recursos pedagógicos según las características del grupo.
2. Gestión y coordinación de proyectos educativos: Elaborar propuestas pedagógicas y planes de acción para programas dirigidos a los niños y niñas de educación inicial y preescolar/Coordinar equipos de trabajo en la implementación de proyectos pedagógicos, educativos, comunitarios e institucionales/Analizar contextos sociales, institucionales y familiares para ajustar la planeación estratégica de los procesos educativos/Asesorar entidades educativas en el diseño de políticas o estrategias dirigidas a la primera infancia.
3. Diseño curricular y producción de recursos pedagógicos: Diseñar ambientes pedagógicos contextualizados a las realidades de los niños y niñas y su entorno/Elaborar materiales educativos impresos, digitales o manipulativos con propósitos pedagógicos/Adaptar recursos pedagógicos para poblaciones diversas, teniendo en cuenta criterios de inclusión y accesibilidad/Diseñar propuestas innovadoras de mediación pedagógica que integren arte, ciencia y tecnología/Valorar la pertinencia pedagógica y el impacto formativo de los materiales diseñados/Documentar las decisiones curriculares y didácticas tomadas, justificándolas con fundamentos pedagógicos.
4. Formación, orientación y acompañamiento familiar o comunitario: Diseñar estrategias formativas dirigidas a familias, cuidadores y agentes educativos sobre desarrollo infantil/Facilitar espacios de diálogo y orientación sobre prácticas de crianza, bienestar y aprendizaje de los niños y niñas/Describir los contextos para identificar las necesidades familiares y comunitarias en relación con el desarrollo y aprendizaje de los niños y niñas/Promover procesos de corresponsabilidad educativa entre escuela, familia y comunidad/Elaborar materiales pedagógicos para formación en entornos familiares o rurales/Coordinar redes de apoyo comunitario para fortalecer entornos protectores de la infancia.</t>
  </si>
  <si>
    <t>Instituciones educativas formales: Jardines infantiles públicos y privados/Instituciones educativas con nivel preescolar y/o educación inicial/Establecimientos educativos con programas integrados para la infancia.
Entornos de atención integral a la primera infancia: Unidades de servicio del ICBF en todas sus modalidades: Centros de Desarrollo Infantil (CDI), hogares comunitarios, modalidad familiar y modalidad itinerante/Unidades de servicios de las secretarias de educación con atención a la primera infancia/Instituciones y escenarios aliadas a programas como “De Cero a Siempre”/Centros de atención para la educación inicial rural y urbana.
Programas y entidades gubernamentales o no gubernamentales: Secretarías de Educación, Salud o Integración Social/Alcaldías locales y gobiernos departamentales/ONGs dedicadas a infancia y educación/Agencias de cooperación nacional e internacional con enfoque en niñez/Entidades territoriales que ejecutan políticas públicas de infancia.
Escenarios comunitarios y familiares: Comunidades rurales, indígenas o afrodescendientes/Entornos de formación familiar y comunitaria/Proyectos de orientación a cuidadores, madres comunitarias y agentes educativos/Espacios no convencionales de formación y estimulación infantil/Programas itinerantes de atención en zonas dispersas o de difícil acceso.
Instituciones de producción pedagógica, investigación y desarrollo educativo: Centros de investigación educativa y desarrollo infantil/Editoriales o empresas de contenido pedagógico para la infancia.</t>
  </si>
  <si>
    <t>El programa de Licenciatura en Educación Infantil del Politécnico Grancolombiano incorpora una formación con enfoque territorial, que prepara al estudiante para reconocer, comprender y actuar pedagógicamente desde las realidades sociales, culturales y geográficas de los entornos en los que se forma. Este enfoque le permite diseñar recursos y ambientes educativos pertinentes, adaptar estrategias pedagógicas a contextos específicos y participar activamente en procesos de construcción educativa en escenarios institucionales y comunitarios. Esta orientación fortalece su capacidad de intervención en programas formales y no formales dirigidos a la primera infancia, con propuestas ajustadas a las dinámicas locales y a las necesidades de niños y niñas de 0 a 6 años, sus familias y comunidades.</t>
  </si>
  <si>
    <t>propuestas formativas fundamentadas en el saber pedagógico de la educación inicial y preescolar, la reflexión y documentación pedagógica</t>
  </si>
  <si>
    <t>estructurar experiencias orientadas al desarrollo integral infantil mediante procesos pedagógicos secuenciales de indagación, proyección, vivencia, valoración y las didácticas propias de la educación infantil</t>
  </si>
  <si>
    <t>organizando los componentes pedagógicos de acuerdo con los objetivos formativos, las características del grupo y las condiciones del contexto educativo</t>
  </si>
  <si>
    <t>experiencias educativas basadas en el arte, el juego, la literatura y la exploración del medio</t>
  </si>
  <si>
    <t>desarrollar la creatividad, la sensibilidad estética y el desarrollo integral de los niños y niñas de 0 a 6 años</t>
  </si>
  <si>
    <t>seleccionando recursos lúdicos, expresivos y comunicativos en función de los objetivos formativos y las características del contexto educativo teniendo en cuenta referentes de la investigación</t>
  </si>
  <si>
    <t>políticas públicas, marcos normativos y lineamientos curriculares de la educación inicial y preescolar</t>
  </si>
  <si>
    <t>aplicar criterios técnicos en la planificación de experiencias educativas contextualizadas</t>
  </si>
  <si>
    <t>analizando los referentes normativos y las condiciones del entorno en función de los derechos de la infancia y la calidad educativa</t>
  </si>
  <si>
    <t>Fenómenos contemporáneos</t>
  </si>
  <si>
    <t>reconocer sus afectaciones o contribuciones en el marco de las ciudadanías globales y de una sociedad responsable y sostenible.</t>
  </si>
  <si>
    <t>desde una perspectiva glocal, soportada en datos, con una mirada ética y crítica</t>
  </si>
  <si>
    <t xml:space="preserve">
</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</si>
  <si>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</si>
  <si>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</si>
  <si>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</si>
  <si>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</si>
  <si>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</si>
  <si>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</si>
  <si>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</si>
  <si>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</si>
  <si>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</si>
  <si>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</si>
  <si>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</si>
  <si>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</si>
  <si>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</si>
  <si>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</si>
  <si>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</si>
  <si>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Analizar</t>
  </si>
  <si>
    <t>Analizar enfoques pedagógicos y epistemológicos sobre las infancias, así como los aportes conceptuales y metodológicos contemporáneos, para diseñar prácticas educativas contextualizadas que resignifiquen las múltiples formas de ser niño y niña, considerando las condiciones socioculturales, institucionales y territoriales del entorno.</t>
  </si>
  <si>
    <t>Específica</t>
  </si>
  <si>
    <t>Diseñar</t>
  </si>
  <si>
    <t>Diseñar propuestas formativas fundamentadas en el saber pedagógico de la educación inicial y preescolar, la reflexión y documentación pedagógica, para estructurar experiencias orientadas al desarrollo integral infantil mediante procesos pedagógicos secuenciales de indagación, proyección, vivencia, valoración y, las didácticas propias de la educación infantil,  organizando los componentes pedagógicos de acuerdo con los objetivos formativos, las características del grupo y las condiciones del contexto educativo.</t>
  </si>
  <si>
    <t>Implementar</t>
  </si>
  <si>
    <t>Implementar experiencias educativas basadas en el arte, el juego, la literatura y la exploración del medio, para desarrollar la creatividad, la sensibilidad estética y el desarrollo integral de los niños y niñas de 0 a 6 años, seleccionando recursos lúdicos, expresivos y comunicativos en función de los objetivos formativos y, el análisis sistemático de las características del contexto educativo teniendo en cuenta referentes de la investigación.</t>
  </si>
  <si>
    <t>Evaluar</t>
  </si>
  <si>
    <t>Evaluar políticas públicas, marcos normativos y lineamientos curriculares de la educación inicial y preescolar, para aplicar criterios técnicos en la planificación de experiencias educativas contextualizadas, analizando los referentes normativos y las condiciones del entorno en función de los derechos de la infancia y la calidad educativa.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</si>
  <si>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</si>
  <si>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</si>
  <si>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</si>
  <si>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</si>
  <si>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</si>
  <si>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</si>
  <si>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</si>
  <si>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</si>
  <si>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</si>
  <si>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</si>
  <si>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</si>
  <si>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</si>
  <si>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</si>
  <si>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</si>
  <si>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</si>
  <si>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</si>
  <si>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</si>
  <si>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</si>
  <si>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</si>
  <si>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</si>
  <si>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Analizar enfoques pedagógicos y epistemológicos sobre las infancias, así como los aportes conceptuales y metodológicos contemporáneos, para diseñar prácticas educativas contextualizadas que resignifiquen las múltiples formas de ser niño y niña, considerando las condiciones socioculturales, institucionales y territoriales del entorno.</t>
  </si>
  <si>
    <t>Bloom</t>
  </si>
  <si>
    <t>CognitivoB</t>
  </si>
  <si>
    <t>AnálisisB</t>
  </si>
  <si>
    <t>Analiza enfoques pedagógicos, epistemológicos y fundamentos del saber educativo en la educación inicial y preescolar, para diseñar experiencias pedagógicas contextualizadas según las condiciones socioculturales, institucionales y territoriales del entorno.</t>
  </si>
  <si>
    <t>ProcedimentalB</t>
  </si>
  <si>
    <t>AplicaciónB</t>
  </si>
  <si>
    <t>Diseña experiencias educativas orientadas al desarrollo integral infantil, para estructurar ambientes pedagógicos situados mediante la integración de recursos lúdicos, expresivos y comunicativos acordes con los objetivos formativos y las características del contexto.</t>
  </si>
  <si>
    <t>ActitudinalB</t>
  </si>
  <si>
    <t>EvaluaciónB</t>
  </si>
  <si>
    <t>Evalúa el proceso de diseño y planificación pedagógica, para establecer la coherencia entre las propuestas, los objetivos del desarrollo integral, el protagonismo de los niños y las niñas, y las condiciones del entorno.</t>
  </si>
  <si>
    <t>Diseñar propuestas formativas fundamentadas en el saber pedagógico de la educación inicial y preescolar, para estructurar experiencias orientadas al desarrollo integral infantil mediante procesos pedagógicos secuenciales de indagación, proyección, vivencia y valoración, organizando los componentes pedagógicos de acuerdo con los objetivos formativos, las características del grupo y las condiciones del contexto educativo.</t>
  </si>
  <si>
    <t>Implementar experiencias educativas basadas en el arte, el juego, la literatura y la exploración del medio, para desarrollar la creatividad, la sensibilidad estética y el desarrollo integral de los niños y niñas de 0 a 6 años, seleccionando recursos lúdicos, expresivos y comunicativos en función de los objetivos formativos y las características del contexto educativo.</t>
  </si>
  <si>
    <t>Analiza fundamentos pedagógicos del arte, el juego, la literatura y la exploración del medio, para explicar su contribución al desarrollo integral de niños y niñas de 0 a 6 años.</t>
  </si>
  <si>
    <t>Aplicar</t>
  </si>
  <si>
    <t>Aplica estrategias y recursos formativos basados en el arte, el juego, la literatura y la exploración del medio, para elaborar actividades pedagógicas orientadas al aprendizaje, la creatividad, la sensibilidad estética y la participación integral de niños y niñas de 0 a 6 años, de acuerdo con los objetivos formativos y las características del contexto.</t>
  </si>
  <si>
    <t>Evaluar políticas públicas, marcos normativos y lineamientos curriculares de la educación inicial y preescolar, para aplicar criterios técnicos en la planificación de experiencias educativas contextualizadas, analizando los referentes normativos y las condiciones del entorno en función de los derechos de la infancia y la calidad educativa.</t>
  </si>
  <si>
    <t>Analiza políticas públicas, marcos normativos y lineamientos curriculares de educación inicial y preescolar, para explicar su influencia en la planificación de experiencias educativas situadas.</t>
  </si>
  <si>
    <t>Aplica criterios técnicos derivados de referentes normativos, para planificar experiencias educativas orientadas al respeto de los niñas y las niñas como sujetos sociales y de derecho, ajustadas a las condiciones del contexto.</t>
  </si>
  <si>
    <t>ComprensiónB</t>
  </si>
  <si>
    <t>Identificar</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</si>
  <si>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</si>
  <si>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</si>
  <si>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</si>
  <si>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</si>
  <si>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</si>
  <si>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</si>
  <si>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</si>
  <si>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</si>
  <si>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</si>
  <si>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</si>
  <si>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</si>
  <si>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</si>
  <si>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</si>
  <si>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Clases Espejo</t>
  </si>
  <si>
    <t>Estrategia de internacionalización del currículo que utiliza plataformas digitales compartidas entre profesores y estudiantes de dos o más universidades. Permite la participación de un docente extranjero en sesiones sincrónicas, ampliando la visión académica del estudiante y fomentando la interacción con pares y docentes de diversas instituciones en proyectos colaborativos.</t>
  </si>
  <si>
    <t>Valoración de la estrategia respecto al nivel de aporte a los resultados de aprendizaje del programa.</t>
  </si>
  <si>
    <t>Informar y formar a los estudiantes sobre los propósitos y dinámicas de las sesiones internacionales, fomentando su participación activa, el intercambio académico y la valoración de la diversidad cultural como fuente de aprendizaje y desarrollo profesional.</t>
  </si>
  <si>
    <t>Encuestas de valoración por parte de los profesores de prácticas</t>
  </si>
  <si>
    <t xml:space="preserve">Número de estudiantes que participan en la estrategia. </t>
  </si>
  <si>
    <t>Listados de participación de los estudiantes</t>
  </si>
  <si>
    <t>Número de clases espejo realizadas en el periodo de tiempo establecido por el programa.</t>
  </si>
  <si>
    <t>Informe o Reporte</t>
  </si>
  <si>
    <t>Seminario y Diplomado Internacional</t>
  </si>
  <si>
    <t>Procesos de formación especializada con enfoque internacional que abordan temáticas relevantes para la educación contemporánea, fortaleciendo el perfil profesional del estudiante como educador global y actualizado.</t>
  </si>
  <si>
    <t>Formar y ayudar a decidir a los estudiantes en la selección y aprovechamiento de experiencias internacionales de formación, fortaleciendo su mirada global, el pensamiento crítico y la comprensión de las tendencias educativas contemporáneas.</t>
  </si>
  <si>
    <t>Encuesta de valoración para los estudiantes y profesores</t>
  </si>
  <si>
    <t xml:space="preserve">Número de estudiantes y profesores que participan en la estrategia. </t>
  </si>
  <si>
    <t>Listados de participación de los estudiantes y profesores</t>
  </si>
  <si>
    <t>Número de seminarios y diplomados desarrollados en el periodo de tiempo establecido por el programa.</t>
  </si>
  <si>
    <t>Aulas Abiertas de Investigación</t>
  </si>
  <si>
    <t>Espacios de socialización de avances investigativos de los estudiantes con retroalimentación de docentes y pares. Favorecen el diálogo académico, la mejora continua y el fortalecimiento de la escritura investigativa.</t>
  </si>
  <si>
    <t>Formar y prevenir a los estudiantes en la socialización de avances investigativos, acompañándolos en la construcción argumentativa, la claridad expositiva y la recepción de retroalimentación constructiva que fortalezca su producción académica.</t>
  </si>
  <si>
    <t>Encuesta de valoración para los estudiantes</t>
  </si>
  <si>
    <t>Número de aulas abiertas de investigación desarrolladas en el periodo de tiempo establecido por el programa.</t>
  </si>
  <si>
    <t>Semilleros y Asistentes de Investigación</t>
  </si>
  <si>
    <t>Espacios donde los estudiantes fortalecen sus saberes, desarrollan competencias investigativas, pensamiento crítico y capacidad de sistematización de experiencias pedagógicas, participando en proyectos de investigación guiados por docentes.</t>
  </si>
  <si>
    <t>Formar y prevenir a los estudiantes en la consolidación de competencias investigativas, orientándolos en la formulación de problemas, el diseño metodológico y la escritura académica, anticipándose a las dificultades propias del proceso investigativo.</t>
  </si>
  <si>
    <t>Número de estudiantes del programa que participan en los semilleros de investigación.</t>
  </si>
  <si>
    <t>Número de veces que se aplicó la estrategia en los periodos que determine el programa.</t>
  </si>
  <si>
    <t>Jornadas de Investigación de Pregrado</t>
  </si>
  <si>
    <t>Espacio académico para socialización de proyectos de investigación desarrollados por estudiantes, fomentando la cultura investigativa, el pensamiento científico y la sistematización de experiencias pedagógicas.</t>
  </si>
  <si>
    <t>Informar y formar a los estudiantes sobre los criterios y etapas de participación en las jornadas, promoviendo la reflexión crítica sobre los resultados de investigación y la comunicación efectiva de sus hallazgos ante la comunidad académica.</t>
  </si>
  <si>
    <t>Número de estudiantes del programa que participan en la estrategia.</t>
  </si>
  <si>
    <t>Número de jornadas de investigación desarrolladas en el periodo de tiempo establecido por el programa.</t>
  </si>
  <si>
    <t>Congreso Internacional de Investigación en Innovación Educativa</t>
  </si>
  <si>
    <t>Evento académico que reúne investigadores, docentes y estudiantes para compartir avances en innovación educativa. Incluye seminarios, simposios y conferencias, fortaleciendo la vinculación con redes académicas y la capacidad propositiva de los estudiantes.</t>
  </si>
  <si>
    <t>Formar e informar a los estudiantes sobre las tendencias y debates actuales en innovación educativa, promoviendo su participación en espacios de intercambio académico que amplíen su visión profesional y potencien su pensamiento propositivo.</t>
  </si>
  <si>
    <t>Centro de Investigación e Innovación Educativa (CIIE)</t>
  </si>
  <si>
    <t>Instancia que articula la investigación en educación con los programas académicos, promoviendo proyectos, redes y publicaciones que vinculan a estudiantes y docentes en procesos de innovación pedagógica y producción de conocimiento.</t>
  </si>
  <si>
    <t>Formar y ayudar a decidir a los estudiantes en la vinculación a proyectos del CIIE, orientándolos sobre las líneas de investigación y oportunidades de publicación, para fortalecer su desarrollo como investigadores y su contribución al conocimiento pedagógico.</t>
  </si>
  <si>
    <t>Expediciones Pedagógicas</t>
  </si>
  <si>
    <t>Actividades de inmersión en contextos educativos diversos (rurales, urbanos, étnicos) que permiten observar, dialogar y reflexionar sobre prácticas pedagógicas. Promueven una educación situada y pertinente.</t>
  </si>
  <si>
    <t>Formar y prevenir a los estudiantes en la preparación y desarrollo de las experiencias de campo, promoviendo la reflexión crítica sobre la diversidad de contextos educativos y anticipando situaciones que puedan incidir en la comprensión o intervención pedagógica.</t>
  </si>
  <si>
    <t>Poli Radio programa "A la pizarra"</t>
  </si>
  <si>
    <t>Permite a los estudiantes producir y difundir contenidos radiales con enfoque educativo, social y cultural. Los contenidos se transmiten a través de POLI RADIO, emisora institucional y miembro de la RRUC. Fortalece competencias comunicativas y creativas, y permite compartir ideas y experiencias con la comunidad educativa y público general.</t>
  </si>
  <si>
    <t>Formar e informar a los estudiantes sobre la producción de contenidos radiales educativos, fortaleciendo sus competencias comunicativas y creativas, y promoviendo la divulgación responsable de ideas y experiencias pedagógicas.</t>
  </si>
  <si>
    <t>Escuela Internacional de Infancias</t>
  </si>
  <si>
    <t xml:space="preserve">Dirigido a todos los estudiantes de pregrado en países de América Latina en Educación Infantil o afines. Tiene como propósito presentar algunas de las discusiones vinculadas con el problema de la participación política, la construcción de ciudadanías y el mundo escolar de los niños y niñas, así como otras conceptualizaciones alrededor de las infancias  y  sus fenómenos sociales  de incidencia en Latinoamérica. </t>
  </si>
  <si>
    <t>Formar y ayudar a decidir a los estudiantes en la participación en espacios internacionales de diálogo sobre las infancias, orientándolos en la comprensión de las problemáticas sociopolíticas y pedagógicas de la región latinoamericana.</t>
  </si>
  <si>
    <t>Ciclo de Conferencias</t>
  </si>
  <si>
    <t>Ciclo de conferencias con actores del sistema educativo (docentes, directivos, investigadores) que propicia la reflexión sobre la práctica pedagógica y la identidad docente. Promueve el pensamiento crítico y el diálogo con las realidades escolares.</t>
  </si>
  <si>
    <t>Informar y formar a los estudiantes sobre los ejes temáticos y ponentes invitados, promoviendo la reflexión sobre la práctica docente, la identidad profesional y la construcción de saber pedagógico desde la experiencia.</t>
  </si>
  <si>
    <t>Participación en Redes Académicas</t>
  </si>
  <si>
    <t>Estrategia que promueve la vinculación de docentes y estudiantes a redes académicas nacionales e internacionales, como la Asociación Colombiana de Facultades de Educación (ASCOFADE) y la Red de Movilidad Académica en Infancias (RedMAIN). A través de estas alianzas se fomenta la participación en proyectos colaborativos, encuentros y debates sobre políticas, tendencias y problemáticas educativas, fortaleciendo la proyección del programa y el perfil profesional de los futuros educadores infantiles.</t>
  </si>
  <si>
    <t>Informar y formar a los estudiantes sobre las redes académicas de educación infantil, fomentando su vinculación activa a proyectos colaborativos, encuentros y debates que fortalezcan su actualización profesional y proyección académica.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</si>
  <si>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</si>
  <si>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</si>
  <si>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</si>
  <si>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</si>
  <si>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</si>
  <si>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</si>
  <si>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</si>
  <si>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</si>
  <si>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</si>
  <si>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</si>
  <si>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</si>
  <si>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</si>
  <si>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</si>
  <si>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</si>
  <si>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</si>
  <si>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</si>
  <si>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</si>
  <si>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</si>
  <si>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</si>
  <si>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</si>
  <si>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</si>
  <si>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</si>
  <si>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</si>
  <si>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</si>
  <si>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</si>
  <si>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</si>
  <si>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</si>
  <si>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</si>
  <si>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</si>
  <si>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</si>
  <si>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</si>
  <si>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</si>
  <si>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</si>
  <si>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</si>
  <si>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</si>
  <si>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</si>
  <si>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Encuentros sincrónicos
Mensajería interna
Anuncios
Trabajo independiente:
Lecturas fundamentales y complementarias
Material de trabajo
Participación en foros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</si>
  <si>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evaluativa: Cuestionario de, mínimo, cinco preguntas, que da cuenta del desarrollo total o parcial de los indicadores de logro y el desarrollo de los temas vistos hasta la unidad 3. 
Examen final: Cuestionario de, mínimo, quince preguntas, que da cuenta del desarrollo total o parcial de los indicadores de logro y el desarrollo de los temas vistos en el módulo. 
Autoevaluación: Cuestionario final de, mínimo, cinco preguntas, en el cual el estudiante reflexiona sobre su propio desempeño, habilidades y resultados en un contexto específico. </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</si>
  <si>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</si>
  <si>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</si>
  <si>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</si>
  <si>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</si>
  <si>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1. Evaluación diagnóstica escenario 1: Cuestionario inicial de mínimo cinco preguntas que recopila información sobre el conocimiento previo y las habilidades del estudiante.
2. Actividad formativa escenario 2: Foro individual o grupal, creado para que el estudiante participe activamente en la construcción de su conocimiento y desarrollo de habilidades. Varía entre una actividad entregable y la participación en un foro.
3. Actividad de entrega 1 escenario 4: Actividad individual o grupal, diseñada para evaluar de manera integral el nivel de conocimiento, comprensión y el desempeño de los indicadores de logro. Varía entre entregas independientes o secuenciales.
4. Actividad formativa escenario 5: Foro individual o grupal, creado para que el estudiante participe activamente en la construcción de su conocimiento y desarrollo de habilidades. Varía entre una actividad entregable y la participación en un foro.
5. Actividad evaluativa escenario 6: Cuestionario de, mínimo, cinco preguntas, que da cuenta del desarrollo total o parcial de los indicadores de logro y el desarrollo de los temas vistos hasta la unidad 3.
6. Actividad de entrega 2 escenario 7: Actividad individual o grupal, diseñada para evaluar de manera integral el nivel de conocimiento, comprensión y el desempeño de los indicadores de logro. Varía entre entregas independientes o secuenciales.
7. Autoevaluación escenario 8: Cuestionario final de mínimo cinco preguntas en el cual el estudiante reflexiona sobre su propio desempeño, habilidades y resultados en un contexto específico.</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</si>
  <si>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</si>
  <si>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Diversidad e Inclusión</t>
  </si>
  <si>
    <t>Analiza referentes conceptuales, metodológicos y normativos sobre interculturalidad, género e inclusión, para aplicar principios pedagógicos que promuevan el reconocimiento y la participación de los niños y niñas en contextos educativos diversos.</t>
  </si>
  <si>
    <t>1. Diversidad cultural en Colombia: reconocimiento desde el campo educativo.
2. Infancias en Colombia: configuraciones sociales y culturales.
3. Inclusión social: una educación para todos.
4. Infancias e inclusión educativa: una apuesta hacia el reconocimiento de la diferencia.</t>
  </si>
  <si>
    <t>Trabajo directo: 
Encuentros sincrónicos 
Mensajería interna 
Anuncios
Trabajo independiente: 
Lecturas fundamentales y complementarias 
Recursos de apoyo
Trabajo Colaborativo   
Foros de discusión grupal</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</si>
  <si>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</si>
  <si>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Taller: El Maestro y la Subjetividad</t>
  </si>
  <si>
    <t>Analiza las dimensiones afectivas y subjetivas que inciden en la construcción de la identidad docente, para proponer estrategias de cuidado de sí y de los otros en contextos educativos.</t>
  </si>
  <si>
    <t>1. Lo afectivo y las emociones en los procesos socializadores de las infancias.
2. Las relaciones afectivas y las expresiones emocionales.
3. Valoración cultural de las emociones.
4. Importancia de las emociones en el cuidado de sí y de los otros.</t>
  </si>
  <si>
    <t>Legislación y Gestión de la Atención a la Primera Infancia</t>
  </si>
  <si>
    <t>Aplica las disposiciones legales y políticas públicas de atención integral a la primera infancia en Colombia, para establecer acciones de corresponsabilidad entre los distintos actores del entorno educativo.</t>
  </si>
  <si>
    <t>1. Recorrido histórico por los derechos.
2. Leyes que promueven la atención integral en Colombia. 
3. Facetas de desarrollo en la atención integral para la primera infancia.
4. La atención integral en Colombia en la actualidad.</t>
  </si>
  <si>
    <t>Trabajo directo:
Desarrollo de actividades propuestas en los encuentros sincrónicos y conferencias, resolución de problemas.
Trabajo independiente:
Desarrollo de las actividades propuestas en los escenarios.
Realizar las lecturas (fundamentales y complementarias) propuestas en los escenarios, actividades de refuerzo y resolución de problemas.</t>
  </si>
  <si>
    <t>Introducción a la Educación y la Pedagogía</t>
  </si>
  <si>
    <t>Aplica los fundamentos de la educación y la pedagogía, para interpretar prácticas educativas que promuevan la formación y participación de los sujetos en distintos contextos.</t>
  </si>
  <si>
    <t xml:space="preserve">1. Historia de la educación.
2. Pedagogía y democracia.
3. PEI, currículo y evaluación.
4. Nuevos horizontes educativos.  </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</si>
  <si>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</si>
  <si>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</si>
  <si>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</si>
  <si>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Tecnologías Digitales para la Educación</t>
  </si>
  <si>
    <t>Integra herramientas digitales y enfoques pedagógicos, para diseñar contenidos educativos mediados por tecnologías digitales.</t>
  </si>
  <si>
    <t xml:space="preserve">1. Conceptualización y marcos de referencia de las tecnologías digitales en la educación. 
2. Enfoques pedagógicos y tendencias educativas mediadas por tecnologías digitales.  
3. Herramientas digitales / tecnológicas para la educación. 
4. Creación de contenidos digitales para educación. </t>
  </si>
  <si>
    <t xml:space="preserve">Actividad de puntos evaluables (semana 2 – Cuestionario de 5 preguntas) 
Entrega previa I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 </t>
  </si>
  <si>
    <t>Sentir y Pensar las Infancias</t>
  </si>
  <si>
    <t>Analiza las concepciones históricas y contemporáneas de infancia, junto con las perspectivas pedagógicas desarrolladas en Colombia, para interpretar las transformaciones conceptuales y su incidencia en las comprensiones actuales sobre las infancias en contextos nacionales e internacionales.</t>
  </si>
  <si>
    <t>T</t>
  </si>
  <si>
    <t>1. Concepciones naturalizadas de infancia. 
2. La infancia y la pedagogía en Colombia.
3. La mirada monolítica y universal sobre la infancia. 
4. Narrativas actuales y contextos particulares sobre las infancias en Colombia y en el mundo.</t>
  </si>
  <si>
    <t>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t>
  </si>
  <si>
    <t>Juego y Lúdica</t>
  </si>
  <si>
    <t>Analiza los fundamentos teóricos y pedagógicos del juego, para aplicar estrategias lúdicas que integren el desarrollo y el aprendizaje infantil.</t>
  </si>
  <si>
    <t>1. Fundamentos teóricos del juego y la lúdica, en el contexto educativo, social, cultural y político.
2. Juego como uno de los pilares de la didáctica de la educación inicial y preescolar.
3. El juego, subjetivación y participación de las infancias.
4. Territorio, juego e infancias.</t>
  </si>
  <si>
    <t>Fundamentos Generales del​ Desarrollo en la Primera Infancia</t>
  </si>
  <si>
    <t>Analiza las dimensiones del desarrollo infantil y su interacción con factores contextuales para explicar su incidencia en los procesos de aprendizaje y socialización.</t>
  </si>
  <si>
    <t>1. Concepciones del desarrollo.
2. Crecimiento físico y neurodesarrollo en la primera infancia.
3. Desarrollo psicomotor en los primeros años.
4. Desarrollo cognitivo en la primera infancia.</t>
  </si>
  <si>
    <t>Expresión y Comunicación</t>
  </si>
  <si>
    <t>Analiza los fundamentos pedagógicos y expresivos del lenguaje corporal, para aplicar recursos y estrategias de expresión que favorezcan la comunicación, la participación y el desarrollo integral de las niñas y los niños en la educación infantil.</t>
  </si>
  <si>
    <t>1. El lenguaje corporal. 
2. La dimensión corporal en la educación infantil.
3. La expresión corporal en la educación infantil.
4. Recursos didácticos para la expresión corporal.</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</si>
  <si>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</si>
  <si>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</si>
  <si>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</si>
  <si>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</si>
  <si>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</si>
  <si>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</si>
  <si>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</si>
  <si>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1. Actividad de puntos evaluables escenario 1 (diagnóstica) - Cuestionario de 5 preguntas.
2. Entrega escenario 2 (formativa)
3. Entrega escenario 4 (formativa)
4. Entrega escenario 5 (formativa)
5. Quiz escenario 6 (sumativa.)</t>
  </si>
  <si>
    <t>Infancia y Familia LEI</t>
  </si>
  <si>
    <t>Analiza las configuraciones históricas y socioculturales de la infancia y la familia, para explicar cómo las prácticas de crianza, el juego y las relaciones familiares influyen en el desarrollo y la socialización de las niñas y los niños.</t>
  </si>
  <si>
    <t>1. Emergencia de la infancia y la familia en la modernidad.
2. Desarrollo infantil y Prácticas de cuidado y crianza.
3. El juego, el ocio y la recreación en la niñez y las familias.
4. Relaciones infancia, familia, escuela.</t>
  </si>
  <si>
    <t>Arte</t>
  </si>
  <si>
    <t xml:space="preserve">Analiza los fundamentos estéticos y expresivos del arte en la educación infantil, para diseñar experiencias de aprendizaje que promueven la creatividad y el desarrollo integral de los niños y las niñas. </t>
  </si>
  <si>
    <t>1. Arte y educación infantil: generalidades. 
2. Expresión dramática.
3. Expresión musical.
4. Expresión plástica y visual.</t>
  </si>
  <si>
    <t>Analiza los componentes físicos, cognitivos y socioemocionales del desarrollo infantil, para explicar su relación con las estrategias pedagógicas de atención integral.</t>
  </si>
  <si>
    <t>1. Concepciones del desarrollo.
2. Crecimiento físico, neurodesarrollo y desarrollo psicomotor en la infancia temprana e intermedia.
3. Desarrollo cognitivo, comunicativo y del lenguaje en la infancia temprana e intermedia.
4. Desarrollo afectivo y social en la infancia temprana e intermedia.</t>
  </si>
  <si>
    <t>Historia y Epistemología de la Pedagogía</t>
  </si>
  <si>
    <t>Analiza los procesos históricos y epistemológicos que han configurado la pedagogía como campo de conocimiento, para aplicar sus fundamentos en la comprensión de las prácticas educativas contemporáneas.</t>
  </si>
  <si>
    <t>1. Conocimiento de la pedagogía.
2. De los griegos y la tradición de los pueblos, a destacarse en la vida pública.
3. Convertirse en ciudadano y formar ciudadanos.
4. Conocimiento sobre el aprendizaje, la enseñanza y la formación en el ámbito contemporáneo.</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</si>
  <si>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</si>
  <si>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</si>
  <si>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</si>
  <si>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</si>
  <si>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El Maestro Arqueólogo</t>
  </si>
  <si>
    <t>Organiza procesos de observación pedagógica, para caracterizar los espacios y contextos que habitan los niños y las niñas de 0 a 6 años en la educación inicial.</t>
  </si>
  <si>
    <t>P</t>
  </si>
  <si>
    <t xml:space="preserve">1. Observación y escucha pedagógica. 
2. Documentación. 
3. Revisión de fuentes, análisis de situaciones y escenarios. 
4. Indagación y caracterización. </t>
  </si>
  <si>
    <t>Evaluación diagnóstica (semana 1 – Cuestionario de 5 preguntas).
Actividad formativa (semanas 2 a 7 - Foro de carácter individual o grupal según las características del módulo).
Informe inicial (semana 5 - Escrito expositivo parcial en el que se explican y describen los aspectos referidos al ejercicio investigativo o de estudio en su primera fase de implementación).
Informe final (semana 7 - Escrito expositivo de consolidación en el que se explica y describe el desarrollo del ejercicio investigativo o de estudio a partir de las realimentaciones obtenidas en las entregas parciales).
Autoevaluación (semana 8 - Cuestionario de 5 preguntas).</t>
  </si>
  <si>
    <t>Metodología de la Investigación Pedagógica y Educativa</t>
  </si>
  <si>
    <t>Analiza problemas de la investigación pedagógica y educativa, para diseñar estrategias metodológicas que orienten procesos de indagación en contextos educativos.</t>
  </si>
  <si>
    <t xml:space="preserve">1. Algunos problemas de la investigación pedagógica y educativa.
2. Realidad educativa o pedagógica: comprensión, interpretación y explicación.
3. Métodos de investigación educativa y pedagógica.
4. Sistematización y socialización de experiencias de investigación. </t>
  </si>
  <si>
    <t>Literatura Infantil LEI</t>
  </si>
  <si>
    <t>Analiza criterios estéticos, axiológicos y pedagógicos de la literatura infantil, para diseñar experiencias lectoras que estimulen la imaginación, la apreciación estética y el desarrollo comunicativo en la primera infancia.</t>
  </si>
  <si>
    <t>1. El campo de la literatura infantil.
2. El discurso poético para niños.
3. El libro álbum: un género propio de la literatura infantil.
4. Los cuentos y las novelas para niños.</t>
  </si>
  <si>
    <t>Enfoque STEAM y Educación Inicial</t>
  </si>
  <si>
    <t>Aplica los principios del enfoque STEAM en contextos educativos, para diseñar experiencias pedagógicas que integren pensamiento crítico, resolución de problemas y creatividad en la educación inicial.</t>
  </si>
  <si>
    <t>1. Introducción al pensamiento STEAM y enfoque de género.
2. Acciones pedagógicas y educación inicial con enfoque STEAM+G.
3. Diseño de actividades STEAM con enfoque de diversidad, inclusión y equidad de género.
4. STEAM+G y otros lenguajes.</t>
  </si>
  <si>
    <t>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t>
  </si>
  <si>
    <t>Corrientes Pedagógicas</t>
  </si>
  <si>
    <t>Identifica las corrientes pedagógicas clásicas y críticas, para evaluar su aplicabilidad en contextos escolares y comunitarios.</t>
  </si>
  <si>
    <t>1. Acercamiento a corrientes pedagógicas y pedagogía conductista.   
2. Pedagogía cognitiva. 
3. Pedagogía constructivista. 
4. Teoría humanista y pedagogía de la liberación o crítica.</t>
  </si>
  <si>
    <t>Cátedra Educación Infantil</t>
  </si>
  <si>
    <t>Desarrolla proyectos educativos contextualizados basados en investigación, creatividad y trabajo colaborativo, para proponer experiencias pedagógicas acordes con las necesidades y realidades de la educación infantil en Colombia.</t>
  </si>
  <si>
    <t xml:space="preserve">1. Elección. 
2. Preparación.  
3. Ejecución.  
4. Evaluación. </t>
  </si>
  <si>
    <t>El Maestro Creador</t>
  </si>
  <si>
    <t>Aplica estrategias de análisis del contexto educativo, para formular alternativas pedagógicas que respondan a las necesidades y tensiones del entorno en la educación inicial.</t>
  </si>
  <si>
    <t>1.Registro y rastreo de información sobre el contexto educativo.
2. Instrumentos para recoger los relatos de los actores educativos y el proceso de triangulación de la información.
3. Política pública y el sentido de la educación infantil.
4. Contextualización y problematización del escenario educativo.</t>
  </si>
  <si>
    <t>Claves para Leer la Realidad en Educación Inicial</t>
  </si>
  <si>
    <t>Analiza situaciones educativas mediante categorías socioeducativas y fuentes de información, para formular diagnósticos fundamentados que orienten decisiones pedagógicas en educación infantil.</t>
  </si>
  <si>
    <t>1. Campos de pensamiento que se relacionan con hitos del desarrollo infantil y oportunidades de aprendizaje.
2. Características de la investigación del profesor en el aula.
3. Maneras apropiadas de realizar la observación sistemática, la indagación o la caracterización de los niños, de su actividad y de sus contextos.
4. Diseño de espacios educativos significativos en educación inicial con base en la observación, indagación y caracterización de niños, de su actividad y de su contexto.</t>
  </si>
  <si>
    <t>Exploración del Medio</t>
  </si>
  <si>
    <t>Aplica principios pedagógicos de la exploración del medio en los procesos de formación integral de niños y niñas de 0 a 6 años, para diseñar experiencias de aprendizaje que estimulen el desarrollo del pensamiento científico y creativo.</t>
  </si>
  <si>
    <t xml:space="preserve">1. Concepciones del ambiente como un segundo maestro. 
2. Diversidad de materiales y objetos para el diseño de ambientes. 
3. El desarrollo de pensamiento científico en los ambientes intencionados.
4. Diseño de ambientes enriquecidos e intencionados.  </t>
  </si>
  <si>
    <t>Valoración y Fortalecimiento del Desarrollo en la Primera Infancia</t>
  </si>
  <si>
    <t>Caracteriza dimensiones del desarrollo infantil con base en referentes técnicos y contextuales, para elaborar perfiles de seguimiento que orienten decisiones pedagógicas y la articulación con las familias y redes de apoyo.</t>
  </si>
  <si>
    <t>1. Concepciones del desarrollo y del seguimiento y la valoración. Marco legal colombiano sobre evaluación.
2. Modelos y escalas de valoración y medición de los procesos de desarrollo infantil.
3. Mecanismos preponderantes para realizar seguimiento y valoración al desarrollo.
4. Medios y formas de registrar, captar e interpretar el seguimiento y la valoración al desarrollo.</t>
  </si>
  <si>
    <t>Didáctica de la Matemática LEI</t>
  </si>
  <si>
    <t>Aplica principios del desarrollo del pensamiento matemático, numérico, métrico y geométrico, para planificar proyectos de aula fundamentados en la didáctica de la matemática en educación inicial y preescolar.</t>
  </si>
  <si>
    <t>1. Desarrollo del pensamiento matemático en Educación Inicial y Preescolar.
2. Pensamiento numérico y pensamiento métrico. 
3. Pensamiento geométrico.
4. El proyecto de aula en el desarrollo del pensamiento matemático.</t>
  </si>
  <si>
    <t>Didáctica de la Lengua Extranjera Inglés LEI</t>
  </si>
  <si>
    <t>Diseña microsecuencias didácticas de la lengua inglesa con apoyos multimodales, para desarrollar actividades de interacción oral y comprensión auditiva inicial en educación infantil.</t>
  </si>
  <si>
    <t>1. De la didáctica general a la didáctica de la lengua extranjera. 
2. Teorías, enfoques metodológicos y factores que influyen en la enseñanza de la lengua extranjera.
3. Enfoques metodológicos en la didáctica de una lengua extranjera y su aplicación en educación inicial y preescolar.
4. Diseña actividades, materiales y recursos didácticos para el aprendizaje de una lengua extranjera en educación inicial y preescolar.</t>
  </si>
  <si>
    <t>El Maestro Artesano</t>
  </si>
  <si>
    <t>Diseña propuestas pedagógicas que articulen propósitos, estrategias, recursos didácticos y referentes del contexto, para desarrollar procesos educativos orientados al aprendizaje, al desarrollo integral y a la participación en la educación inicial.</t>
  </si>
  <si>
    <t xml:space="preserve">1.Intencionalidad pedagógica.
2. Estrategias pedagógicas.
3. Construcción de la propuesta pedagógica.
4. Impacto pedagógico. </t>
  </si>
  <si>
    <t>Comprender para Transformar la Educación Inicial</t>
  </si>
  <si>
    <t>Analiza problemáticas pedagógicas y educativas relacionadas con el desarrollo integral de niños y niñas de 0 a 6 años, con base en referentes teóricos, metodológicos y de investigación, para elaborar propuestas de mejora orientadas a la inclusión y la participación infantil.</t>
  </si>
  <si>
    <t>1. Aspectos clave del uso de evidencia de observación, indagación y caracterización de niños, de su actividad y de su contexto.
2. Formas de seguimiento reflexivo apoyado en la investigación del profesor en su trabajo en educación inicial.
3. Estrategias de recolección de información relevante como la observación participante y la etnografía.
4. Estrategias de recolección de información relevante como la observación no participante, la investigación-acción y los métodos experimentales.</t>
  </si>
  <si>
    <t>Educación Inicial Intercultural</t>
  </si>
  <si>
    <t>Diseña actividades pedagógicas interculturales básicas, para integrar saberes locales, lenguajes diversos y principios de cuidado en experiencias de educación inicial.</t>
  </si>
  <si>
    <t xml:space="preserve">1. Infancias: territorio y diversidad cultural. 
2. Interculturalidad crítica y educación. 
3. Lenguajes, expresiones y narrativas interculturales.
4. Éticas del cuidado y pedagogías del encuentro. </t>
  </si>
  <si>
    <t>Estrategias Pedagógicas para la Educación Inicial y Preescolar</t>
  </si>
  <si>
    <t>Aplica estrategias pedagógicas de la educación inicial y preescolar, para diseñar experiencias pedagógicas situadas e intencionadas, orientadas al desarrollo integral y fundamentadas en enfoques didácticos de la educación infantil.</t>
  </si>
  <si>
    <t xml:space="preserve">1. El Espacio-ambiente y sus posibilidades. 
2. Los ambientes y la intencionalidad pedagógica.
3. Estrategias pedagógicas en la educación inicial.
4. Experiencias pedagógicas en la educación inicial. </t>
  </si>
  <si>
    <t>El Maestro Investigador y Reflexivo</t>
  </si>
  <si>
    <t>Desarrolla procesos de investigación pedagógica en el contexto educativo, mediante la implementación, registro y documentación, para evaluar los resultados obtenidos a partir de las evidencias recolectadas.</t>
  </si>
  <si>
    <t xml:space="preserve">1.Implementación de la propuesta pedagógica.
2. Registro y valoración de la propuesta.
3. Documentación pedagógica.
4. Impacto pedagógico. </t>
  </si>
  <si>
    <t>Seminario de Profundización LEI</t>
  </si>
  <si>
    <t>Aplica fundamentos teóricos y metodológicos de la investigación educativa, para diseñar propuestas educativas y pedagógicas que aborden problemas del contexto en el marco de la educación inicial y preescolar.</t>
  </si>
  <si>
    <t>1. Investigación educativa, reflexión y acción. 
2. El lugar y su multidimensionalidad en la investigación educativa.
3. Diseño y metodología de la investigación en educación.
4. La propuesta de investigación y su planeación final.</t>
  </si>
  <si>
    <t>Electiva I</t>
  </si>
  <si>
    <t>Electiva 2</t>
  </si>
  <si>
    <t>El Maestro Escritor y Transformador</t>
  </si>
  <si>
    <t>Desarrolla procesos de sistematización pedagógica a partir de su experiencia docente en educación inicial y preescolar, para elaborar textos académicos y reflexivos que documenten y fundamenten su experiencia educativa con base en la investigación y la práctica.</t>
  </si>
  <si>
    <t>1. Relación enseñanza- Investigación (Elliot).
2. La observación y reflexión: Freire-Schön.
3. Dilemas y problemáticas sobre fenómenos. educativos y pedagógicos en contexto
4. Problematización de contextos educativos.</t>
  </si>
  <si>
    <t>Seminario de Construcción de Conocimiento LEI</t>
  </si>
  <si>
    <t>Analiza enfoques teóricos y metodológicos de la investigación educativa, para estructurar fundamentos conceptuales, metodológicos y problemáticos que orienten la construcción de conocimiento en la educación infantil.</t>
  </si>
  <si>
    <t>1. La ética en la investigación en educación inicial y preescolar.
2. Sistematización y reflexión sobre la acción.
3. El retorno de conocimiento investigativo a las comunidades educativas.
4. Socialización de resultados de investigación y sistema de ciencia en Colombia.</t>
  </si>
  <si>
    <t>Didáctica de la Lengua, la Literatura y otros Procesos de Comunicación</t>
  </si>
  <si>
    <t>Diseña estrategias didácticas integradas de lenguaje y literatura, para desarrollar procesos de oralidad, lectura y escritura inicial mediante experiencias comunicativas significativas en la educación infantil.</t>
  </si>
  <si>
    <t>1. Enfoques de la enseñanza de la lengua y la literatura. 
2. Procesos de enseñanza de la oralidad y la escritura. 
3. Enseñanza de la lectura. 
4. Enseñanza de la literatura.</t>
  </si>
  <si>
    <t>Electiva 3</t>
  </si>
  <si>
    <t>Electiva 4</t>
  </si>
  <si>
    <t>Total módulos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</si>
  <si>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</si>
  <si>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</si>
  <si>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</si>
  <si>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</si>
  <si>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</si>
  <si>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</si>
  <si>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</si>
  <si>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</si>
  <si>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</si>
  <si>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</si>
  <si>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</si>
  <si>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</si>
  <si>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</si>
  <si>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</si>
  <si>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</si>
  <si>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Desarrollar</t>
  </si>
  <si>
    <t>Dirigir</t>
  </si>
  <si>
    <t>Dominar</t>
  </si>
  <si>
    <t>Establecer</t>
  </si>
  <si>
    <t>Fiscalizar</t>
  </si>
  <si>
    <t>Formular</t>
  </si>
  <si>
    <t>Generar</t>
  </si>
  <si>
    <t>Gestionar</t>
  </si>
  <si>
    <t>Hacer</t>
  </si>
  <si>
    <t>Liderar</t>
  </si>
  <si>
    <t>Modelar</t>
  </si>
  <si>
    <t>Participar</t>
  </si>
  <si>
    <t>Planear</t>
  </si>
  <si>
    <t>Presidir</t>
  </si>
  <si>
    <t>Producir</t>
  </si>
  <si>
    <t>Resolver</t>
  </si>
  <si>
    <t>Sistematizar</t>
  </si>
  <si>
    <t>Supervisar</t>
  </si>
  <si>
    <t>Transformar</t>
  </si>
  <si>
    <t>Usar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</si>
  <si>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</si>
  <si>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</si>
  <si>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</si>
  <si>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</si>
  <si>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</si>
  <si>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</si>
  <si>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</si>
  <si>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</si>
  <si>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</si>
  <si>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</si>
  <si>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BAK</t>
  </si>
  <si>
    <t>LK</t>
  </si>
  <si>
    <t>AK</t>
  </si>
  <si>
    <t>ConocimientoB</t>
  </si>
  <si>
    <t>SíntesisB</t>
  </si>
  <si>
    <t>ConocimientoBAK</t>
  </si>
  <si>
    <t>ComprensiónBAK</t>
  </si>
  <si>
    <t>AplicaciónBAK</t>
  </si>
  <si>
    <t>AnálisisBAK</t>
  </si>
  <si>
    <t>SíntesisBAK</t>
  </si>
  <si>
    <t>EvaluaciónBAK</t>
  </si>
  <si>
    <t>ImitaciónBAK</t>
  </si>
  <si>
    <t>ManipulaciónBAK</t>
  </si>
  <si>
    <t>PrecisiónBAK</t>
  </si>
  <si>
    <t>ControlBAK</t>
  </si>
  <si>
    <t>PercepciónBAK</t>
  </si>
  <si>
    <t>ResponderBAK</t>
  </si>
  <si>
    <t>ValorarBAK</t>
  </si>
  <si>
    <t>OrganizarBAK</t>
  </si>
  <si>
    <t>CaracterizarBAK</t>
  </si>
  <si>
    <t>Procesos cognitivos de orden inferior</t>
  </si>
  <si>
    <t>Procesos cognitivos de orden superior</t>
  </si>
  <si>
    <t>CognitivoBAK</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</si>
  <si>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</si>
  <si>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</si>
  <si>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</si>
  <si>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</si>
  <si>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</si>
  <si>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</si>
  <si>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</si>
  <si>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</si>
  <si>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</si>
  <si>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</si>
  <si>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</si>
  <si>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</si>
  <si>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</si>
  <si>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</si>
  <si>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</si>
  <si>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</si>
  <si>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</si>
  <si>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</si>
  <si>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</si>
  <si>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</si>
  <si>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</si>
  <si>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</si>
  <si>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</si>
  <si>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</si>
  <si>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</si>
  <si>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ProcedimentalBAK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</si>
  <si>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</si>
  <si>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</si>
  <si>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</si>
  <si>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</si>
  <si>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</si>
  <si>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</si>
  <si>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</si>
  <si>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</si>
  <si>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</si>
  <si>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</si>
  <si>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</si>
  <si>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</si>
  <si>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</si>
  <si>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</si>
  <si>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</si>
  <si>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</si>
  <si>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ActitudinalBAK</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</si>
  <si>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</si>
  <si>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</si>
  <si>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</si>
  <si>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</si>
  <si>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</si>
  <si>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</si>
  <si>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</si>
  <si>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</si>
  <si>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</si>
  <si>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</si>
  <si>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</si>
  <si>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</si>
  <si>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</si>
  <si>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</si>
  <si>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</si>
  <si>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</si>
  <si>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</si>
  <si>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</si>
  <si>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</si>
  <si>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Apalancar</t>
  </si>
  <si>
    <t>Codificar</t>
  </si>
  <si>
    <t>Agradecer</t>
  </si>
  <si>
    <t>Conectar</t>
  </si>
  <si>
    <t>Atender</t>
  </si>
  <si>
    <t>Copiar</t>
  </si>
  <si>
    <t>Contrastar</t>
  </si>
  <si>
    <t>Asumir</t>
  </si>
  <si>
    <t>Maximizar</t>
  </si>
  <si>
    <t>Decir</t>
  </si>
  <si>
    <t>Convertir</t>
  </si>
  <si>
    <t>Articular</t>
  </si>
  <si>
    <t>Arbitrar</t>
  </si>
  <si>
    <t>Bajar</t>
  </si>
  <si>
    <t>Colocar</t>
  </si>
  <si>
    <t>Apreciar</t>
  </si>
  <si>
    <t>Aprobar</t>
  </si>
  <si>
    <t>Ambicionar</t>
  </si>
  <si>
    <t>Considerar</t>
  </si>
  <si>
    <t>Demostrar</t>
  </si>
  <si>
    <t>Buscar similitudes</t>
  </si>
  <si>
    <t>Argumentar</t>
  </si>
  <si>
    <t>Mejorar</t>
  </si>
  <si>
    <t>Criticar</t>
  </si>
  <si>
    <t>Construir</t>
  </si>
  <si>
    <t>Aumentar</t>
  </si>
  <si>
    <t>Anhelar</t>
  </si>
  <si>
    <t>Cuestionar</t>
  </si>
  <si>
    <t>Colaborar</t>
  </si>
  <si>
    <t>Discutir</t>
  </si>
  <si>
    <t>Cambiar</t>
  </si>
  <si>
    <t>Minimizar</t>
  </si>
  <si>
    <t>Deletrear</t>
  </si>
  <si>
    <t>Dar ejemplos</t>
  </si>
  <si>
    <t>Armar</t>
  </si>
  <si>
    <t>Comenzar</t>
  </si>
  <si>
    <t>Asisitir</t>
  </si>
  <si>
    <t>Autorizar</t>
  </si>
  <si>
    <t>Defender</t>
  </si>
  <si>
    <t>Completar</t>
  </si>
  <si>
    <t>Ejemplificar</t>
  </si>
  <si>
    <t xml:space="preserve">Construir </t>
  </si>
  <si>
    <t>Centrarse</t>
  </si>
  <si>
    <t>ProcedimientosLK</t>
  </si>
  <si>
    <t>Debatir</t>
  </si>
  <si>
    <t>Determinar</t>
  </si>
  <si>
    <t>Atar</t>
  </si>
  <si>
    <t>Desmontar</t>
  </si>
  <si>
    <t>Cortar</t>
  </si>
  <si>
    <t>Correr</t>
  </si>
  <si>
    <t>Comportarse bajo condiciones</t>
  </si>
  <si>
    <t xml:space="preserve">Duplicar </t>
  </si>
  <si>
    <t>Esquematizar</t>
  </si>
  <si>
    <t>Pensar</t>
  </si>
  <si>
    <t>Describir</t>
  </si>
  <si>
    <t>Dibujar</t>
  </si>
  <si>
    <t>Computar</t>
  </si>
  <si>
    <t>Cumplir</t>
  </si>
  <si>
    <t>Coser</t>
  </si>
  <si>
    <t>Desplegar</t>
  </si>
  <si>
    <t>Elegir</t>
  </si>
  <si>
    <t>Explicar</t>
  </si>
  <si>
    <t>Correlacionar</t>
  </si>
  <si>
    <t>Compilar</t>
  </si>
  <si>
    <t xml:space="preserve">Planear </t>
  </si>
  <si>
    <t>Discriminar</t>
  </si>
  <si>
    <t>Concluir</t>
  </si>
  <si>
    <t>Calificar</t>
  </si>
  <si>
    <t>Bailar</t>
  </si>
  <si>
    <t>Direccionar</t>
  </si>
  <si>
    <t>Destapar</t>
  </si>
  <si>
    <t>Difundir</t>
  </si>
  <si>
    <t>Asistir</t>
  </si>
  <si>
    <t>Constatar</t>
  </si>
  <si>
    <t>Escribir</t>
  </si>
  <si>
    <t>Expresar</t>
  </si>
  <si>
    <t>Dramatizar</t>
  </si>
  <si>
    <t>Descomponer</t>
  </si>
  <si>
    <t>Proponer</t>
  </si>
  <si>
    <t>Enseñar</t>
  </si>
  <si>
    <t>Deducir</t>
  </si>
  <si>
    <t>Censurar</t>
  </si>
  <si>
    <t>Aspirar</t>
  </si>
  <si>
    <t>Discernir</t>
  </si>
  <si>
    <t>Contextualizar</t>
  </si>
  <si>
    <t>Leer</t>
  </si>
  <si>
    <t>Generalizar</t>
  </si>
  <si>
    <t>Diferenciar</t>
  </si>
  <si>
    <t>Reescribir</t>
  </si>
  <si>
    <t>Docificar</t>
  </si>
  <si>
    <t>Disponer</t>
  </si>
  <si>
    <t>Contar</t>
  </si>
  <si>
    <t>Exteriorizar</t>
  </si>
  <si>
    <t>Controlar</t>
  </si>
  <si>
    <t>Listar</t>
  </si>
  <si>
    <t>Ilustrar</t>
  </si>
  <si>
    <t>Emplear</t>
  </si>
  <si>
    <t>Distinguir</t>
  </si>
  <si>
    <t>Convencer</t>
  </si>
  <si>
    <t>Simplificar</t>
  </si>
  <si>
    <t>Duplicar</t>
  </si>
  <si>
    <t>Detectar</t>
  </si>
  <si>
    <t>Crear</t>
  </si>
  <si>
    <t>Comprobar</t>
  </si>
  <si>
    <t>Dividir</t>
  </si>
  <si>
    <t>Disipar</t>
  </si>
  <si>
    <t>Cooperar</t>
  </si>
  <si>
    <t>Aunar</t>
  </si>
  <si>
    <t>Extraer</t>
  </si>
  <si>
    <t>Localizar</t>
  </si>
  <si>
    <t>Inferir</t>
  </si>
  <si>
    <t>Suponer</t>
  </si>
  <si>
    <t>Etiquetar</t>
  </si>
  <si>
    <t>Diagramar</t>
  </si>
  <si>
    <t>Decidir</t>
  </si>
  <si>
    <t>Concretar</t>
  </si>
  <si>
    <t>Ejecutar</t>
  </si>
  <si>
    <t>Fomentar</t>
  </si>
  <si>
    <t>Memorizar</t>
  </si>
  <si>
    <t xml:space="preserve">Informar </t>
  </si>
  <si>
    <t>Entrevistar</t>
  </si>
  <si>
    <t>Sustituir</t>
  </si>
  <si>
    <t>Examinar</t>
  </si>
  <si>
    <t>Emparejar</t>
  </si>
  <si>
    <t>Conformar</t>
  </si>
  <si>
    <t>Ejercitar</t>
  </si>
  <si>
    <t>Ejercer</t>
  </si>
  <si>
    <t>Eliminar</t>
  </si>
  <si>
    <t>Compartir</t>
  </si>
  <si>
    <t>Mostrar</t>
  </si>
  <si>
    <t>Interpretar</t>
  </si>
  <si>
    <t>Hacer uso</t>
  </si>
  <si>
    <t>Encontrar</t>
  </si>
  <si>
    <t>Teorizar</t>
  </si>
  <si>
    <t>ProcesosAK</t>
  </si>
  <si>
    <t>Derivar</t>
  </si>
  <si>
    <t>Constrastar</t>
  </si>
  <si>
    <t>Encajar</t>
  </si>
  <si>
    <t>Emitir</t>
  </si>
  <si>
    <t>Comprender</t>
  </si>
  <si>
    <t>Nombrar</t>
  </si>
  <si>
    <t>Encuestar</t>
  </si>
  <si>
    <t>Testar</t>
  </si>
  <si>
    <t>Grabar</t>
  </si>
  <si>
    <t>Exponer</t>
  </si>
  <si>
    <t>Contabilizar</t>
  </si>
  <si>
    <t>Ensanchar</t>
  </si>
  <si>
    <t>Contribuir</t>
  </si>
  <si>
    <t>Percibir</t>
  </si>
  <si>
    <t>Observar</t>
  </si>
  <si>
    <t>Estimar</t>
  </si>
  <si>
    <t>Empaquetar</t>
  </si>
  <si>
    <t>Entallar</t>
  </si>
  <si>
    <t>Convocar</t>
  </si>
  <si>
    <t>Preguntar</t>
  </si>
  <si>
    <t>Entregar</t>
  </si>
  <si>
    <t>Omitir</t>
  </si>
  <si>
    <t>Parafrasear</t>
  </si>
  <si>
    <t>Manipular</t>
  </si>
  <si>
    <t>Visualizar</t>
  </si>
  <si>
    <t>Estructurar</t>
  </si>
  <si>
    <t>Desempeñar</t>
  </si>
  <si>
    <t>Corregir</t>
  </si>
  <si>
    <t>Explorar</t>
  </si>
  <si>
    <t>Escoger</t>
  </si>
  <si>
    <t>Enumerar</t>
  </si>
  <si>
    <t>Creer</t>
  </si>
  <si>
    <t>Promover</t>
  </si>
  <si>
    <t>Juzgar</t>
  </si>
  <si>
    <t>Rastrear</t>
  </si>
  <si>
    <t>Predecir</t>
  </si>
  <si>
    <t>Organizar</t>
  </si>
  <si>
    <t>Entrenar</t>
  </si>
  <si>
    <t>Esculpir</t>
  </si>
  <si>
    <t>Escuchar</t>
  </si>
  <si>
    <t>Cuidar</t>
  </si>
  <si>
    <t>Negociar</t>
  </si>
  <si>
    <t>Recitar</t>
  </si>
  <si>
    <t>Inspeccionar</t>
  </si>
  <si>
    <t>Descubrir</t>
  </si>
  <si>
    <t>Experimentar</t>
  </si>
  <si>
    <t>Envasar</t>
  </si>
  <si>
    <t>Extender</t>
  </si>
  <si>
    <t>Hablar</t>
  </si>
  <si>
    <t>Proteger</t>
  </si>
  <si>
    <t>Ofrecer</t>
  </si>
  <si>
    <t>Reconocer</t>
  </si>
  <si>
    <t>Relacionar</t>
  </si>
  <si>
    <t>Practicar</t>
  </si>
  <si>
    <t>Investigar</t>
  </si>
  <si>
    <t>AutoSistemaAK</t>
  </si>
  <si>
    <t>Mostar</t>
  </si>
  <si>
    <t>Culminar</t>
  </si>
  <si>
    <t>Cotejar</t>
  </si>
  <si>
    <t>Guiar</t>
  </si>
  <si>
    <t>Extirpar</t>
  </si>
  <si>
    <t>Ensamblar</t>
  </si>
  <si>
    <t>Resumir</t>
  </si>
  <si>
    <t>Motivar</t>
  </si>
  <si>
    <t>Indicar</t>
  </si>
  <si>
    <t>Inventariar</t>
  </si>
  <si>
    <t>Estampar</t>
  </si>
  <si>
    <t>Servir</t>
  </si>
  <si>
    <t>Revisar</t>
  </si>
  <si>
    <t>Numerar</t>
  </si>
  <si>
    <t>Estimular</t>
  </si>
  <si>
    <t>Informar</t>
  </si>
  <si>
    <t>Relatar</t>
  </si>
  <si>
    <t>Soportar</t>
  </si>
  <si>
    <t>Repetir</t>
  </si>
  <si>
    <t>Traducir</t>
  </si>
  <si>
    <t>Seleccionar</t>
  </si>
  <si>
    <t>Ordenar</t>
  </si>
  <si>
    <t>Industrializar</t>
  </si>
  <si>
    <t>Narrar</t>
  </si>
  <si>
    <t>Terminar</t>
  </si>
  <si>
    <t>Simular</t>
  </si>
  <si>
    <t>Obtener</t>
  </si>
  <si>
    <t>Medir</t>
  </si>
  <si>
    <t>Estudiar</t>
  </si>
  <si>
    <t>Instalar</t>
  </si>
  <si>
    <t>Interrogar</t>
  </si>
  <si>
    <t>Obrar recíprocamente</t>
  </si>
  <si>
    <t>Revelar</t>
  </si>
  <si>
    <t>Transferir</t>
  </si>
  <si>
    <t>Priorizar</t>
  </si>
  <si>
    <t>Figurar</t>
  </si>
  <si>
    <t>Edificar</t>
  </si>
  <si>
    <t>Fabricar</t>
  </si>
  <si>
    <t>Llevar</t>
  </si>
  <si>
    <t>Manejar</t>
  </si>
  <si>
    <t>Preocuparse de o por</t>
  </si>
  <si>
    <t>Unir</t>
  </si>
  <si>
    <t>Probar</t>
  </si>
  <si>
    <t>Referir</t>
  </si>
  <si>
    <t>Proporcionar</t>
  </si>
  <si>
    <t>Razonar</t>
  </si>
  <si>
    <t>Hipotetizar</t>
  </si>
  <si>
    <t>Maniobrar</t>
  </si>
  <si>
    <t>Mecanizar</t>
  </si>
  <si>
    <t>Ocupar</t>
  </si>
  <si>
    <t>Provocar</t>
  </si>
  <si>
    <t>Reorganizar</t>
  </si>
  <si>
    <t>Influir</t>
  </si>
  <si>
    <t>Presentar</t>
  </si>
  <si>
    <t>Operar</t>
  </si>
  <si>
    <t>Filtrar</t>
  </si>
  <si>
    <t>Mover</t>
  </si>
  <si>
    <t>Ratificar</t>
  </si>
  <si>
    <t>Resaltar</t>
  </si>
  <si>
    <t>Innovar</t>
  </si>
  <si>
    <t>Hallar</t>
  </si>
  <si>
    <t>Publicar</t>
  </si>
  <si>
    <t>Separar</t>
  </si>
  <si>
    <t>Justificar</t>
  </si>
  <si>
    <t>Realizar</t>
  </si>
  <si>
    <t>Reportar</t>
  </si>
  <si>
    <t>Patronar</t>
  </si>
  <si>
    <t>Perforar</t>
  </si>
  <si>
    <t>Imprimir</t>
  </si>
  <si>
    <t>Ponderar</t>
  </si>
  <si>
    <t>Ser partidario de</t>
  </si>
  <si>
    <t>Subdividir</t>
  </si>
  <si>
    <t>Poner</t>
  </si>
  <si>
    <t>Impulsar</t>
  </si>
  <si>
    <t>Recordar</t>
  </si>
  <si>
    <t>Recoger</t>
  </si>
  <si>
    <t>Juntar</t>
  </si>
  <si>
    <t>Tasar</t>
  </si>
  <si>
    <t>Opinar</t>
  </si>
  <si>
    <t>Registrar</t>
  </si>
  <si>
    <t>Introducir</t>
  </si>
  <si>
    <t>Limpiar</t>
  </si>
  <si>
    <t>Levantar</t>
  </si>
  <si>
    <t>Quitar</t>
  </si>
  <si>
    <t>Originar</t>
  </si>
  <si>
    <t>Inventar</t>
  </si>
  <si>
    <t>Modificar</t>
  </si>
  <si>
    <t>Finalizar</t>
  </si>
  <si>
    <t>Trazar</t>
  </si>
  <si>
    <t>Reemplazar</t>
  </si>
  <si>
    <t>Valorar</t>
  </si>
  <si>
    <t>Persuadir</t>
  </si>
  <si>
    <t>Reproducir</t>
  </si>
  <si>
    <t>Formar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</si>
  <si>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</si>
  <si>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</si>
  <si>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</si>
  <si>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</si>
  <si>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</si>
  <si>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</si>
  <si>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</si>
  <si>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</si>
  <si>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</si>
  <si>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</si>
  <si>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</si>
  <si>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</si>
  <si>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</si>
  <si>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</si>
  <si>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</si>
  <si>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</si>
  <si>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</si>
  <si>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</si>
  <si>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</si>
  <si>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</si>
  <si>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</si>
  <si>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</si>
  <si>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</si>
  <si>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</si>
  <si>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</si>
  <si>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</si>
  <si>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</si>
  <si>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</si>
  <si>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</si>
  <si>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</si>
  <si>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</si>
  <si>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</si>
  <si>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Sugerir</t>
  </si>
  <si>
    <t>Racionar</t>
  </si>
  <si>
    <t>Utilizar</t>
  </si>
  <si>
    <t>Reducir</t>
  </si>
  <si>
    <t>Repasar</t>
  </si>
  <si>
    <t>Representar</t>
  </si>
  <si>
    <t>Vincular</t>
  </si>
  <si>
    <t>Sacar</t>
  </si>
  <si>
    <t>Separer</t>
  </si>
  <si>
    <t>Situar</t>
  </si>
  <si>
    <t>Tocar</t>
  </si>
  <si>
    <t>Fundamentos Específicos del Desarrollo en la Primera Infancia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</si>
</sst>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1"/>
      <name val="Gill Sans MT"/>
      <family val="2"/>
    </font>
    <font>
      <sz val="10"/>
      <color theme="1"/>
      <name val="Gill Sans MT"/>
      <family val="2"/>
    </font>
    <font>
      <sz val="10"/>
      <color rgb="FF000000"/>
      <name val="Gill Sans MT"/>
      <family val="2"/>
    </font>
    <font>
      <sz val="10"/>
      <name val="Gill Sans MT"/>
      <family val="2"/>
    </font>
    <font>
      <sz val="10"/>
      <color rgb="FF000000"/>
      <name val="Candara"/>
      <family val="2"/>
    </font>
    <font>
      <sz val="10"/>
      <color theme="1"/>
      <name val="Candara"/>
      <family val="2"/>
    </font>
    <font>
      <sz val="11"/>
      <color rgb="FFFF0000"/>
      <name val="Gill Sans MT"/>
      <family val="2"/>
    </font>
    <font>
      <sz val="8"/>
      <color rgb="FFFFFFFF"/>
      <name val="Gill Sans MT"/>
      <family val="2"/>
    </font>
    <font>
      <b/>
      <sz val="11"/>
      <color rgb="FFFFFFFF"/>
      <name val="Gill Sans MT"/>
      <family val="2"/>
    </font>
    <font>
      <b/>
      <sz val="8"/>
      <color theme="0"/>
      <name val="Gill Sans MT"/>
      <family val="2"/>
    </font>
    <font>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b/>
      <sz val="10"/>
      <color rgb="FFFFFFFF"/>
      <name val="Gill Sans MT"/>
      <family val="2"/>
    </font>
    <font>
      <b/>
      <sz val="10"/>
      <color rgb="FF000000"/>
      <name val="Gill Sans MT"/>
      <family val="2"/>
    </font>
  </fonts>
  <fills count="14">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theme="7" tint="0.79998168889431442"/>
        <bgColor indexed="64"/>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
      <patternFill patternType="solid">
        <fgColor theme="2"/>
        <bgColor indexed="64"/>
      </patternFill>
    </fill>
    <fill>
      <patternFill patternType="solid">
        <fgColor rgb="FFFFC7CE"/>
        <bgColor indexed="64"/>
      </patternFill>
    </fill>
    <fill>
      <patternFill patternType="solid">
        <fgColor theme="5" tint="0.79998168889431442"/>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indexed="64"/>
      </top>
      <bottom/>
      <diagonal/>
    </border>
    <border>
      <left/>
      <right/>
      <top style="thin">
        <color auto="1"/>
      </top>
      <bottom/>
      <diagonal/>
    </border>
    <border>
      <left/>
      <right/>
      <top/>
      <bottom style="medium">
        <color indexed="64"/>
      </bottom>
      <diagonal/>
    </border>
    <border>
      <left/>
      <right/>
      <top/>
      <bottom style="medium">
        <color rgb="FF000000"/>
      </bottom>
      <diagonal/>
    </border>
    <border>
      <left style="thin">
        <color auto="1"/>
      </left>
      <right style="thin">
        <color auto="1"/>
      </right>
      <top/>
      <bottom style="thin">
        <color auto="1"/>
      </bottom>
      <diagonal/>
    </border>
    <border>
      <left style="thin">
        <color rgb="FF1FB2DE"/>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theme="1" tint="0.499984740745262"/>
      </left>
      <right style="hair">
        <color theme="1" tint="0.499984740745262"/>
      </right>
      <top/>
      <bottom/>
      <diagonal/>
    </border>
    <border>
      <left style="hair">
        <color theme="1" tint="0.499984740745262"/>
      </left>
      <right/>
      <top style="hair">
        <color theme="1" tint="0.499984740745262"/>
      </top>
      <bottom style="hair">
        <color theme="1" tint="0.499984740745262"/>
      </bottom>
      <diagonal/>
    </border>
    <border>
      <left/>
      <right/>
      <top style="hair">
        <color theme="1" tint="0.499984740745262"/>
      </top>
      <bottom style="hair">
        <color theme="1" tint="0.499984740745262"/>
      </bottom>
      <diagonal/>
    </border>
    <border>
      <left style="hair">
        <color theme="1" tint="0.499984740745262"/>
      </left>
      <right style="hair">
        <color theme="1" tint="0.499984740745262"/>
      </right>
      <top style="medium">
        <color indexed="64"/>
      </top>
      <bottom/>
      <diagonal/>
    </border>
    <border>
      <left style="hair">
        <color theme="1" tint="0.499984740745262"/>
      </left>
      <right style="hair">
        <color theme="1" tint="0.499984740745262"/>
      </right>
      <top/>
      <bottom style="medium">
        <color indexed="64"/>
      </bottom>
      <diagonal/>
    </border>
    <border>
      <left style="hair">
        <color theme="1" tint="0.499984740745262"/>
      </left>
      <right style="hair">
        <color theme="1" tint="0.499984740745262"/>
      </right>
      <top style="medium">
        <color indexed="64"/>
      </top>
      <bottom style="medium">
        <color indexed="64"/>
      </bottom>
      <diagonal/>
    </border>
    <border>
      <left style="hair">
        <color theme="1" tint="0.499984740745262"/>
      </left>
      <right style="hair">
        <color theme="1" tint="0.499984740745262"/>
      </right>
      <top style="medium">
        <color indexed="64"/>
      </top>
      <bottom style="medium">
        <color rgb="FF000000"/>
      </bottom>
      <diagonal/>
    </border>
    <border>
      <left style="hair">
        <color theme="1" tint="0.499984740745262"/>
      </left>
      <right style="hair">
        <color theme="1" tint="0.499984740745262"/>
      </right>
      <top/>
      <bottom style="medium">
        <color rgb="FF000000"/>
      </bottom>
      <diagonal/>
    </border>
    <border>
      <left/>
      <right/>
      <top style="medium">
        <color indexed="64"/>
      </top>
      <bottom style="hair">
        <color theme="1" tint="0.499984740745262"/>
      </bottom>
      <diagonal/>
    </border>
    <border>
      <left style="hair">
        <color theme="1" tint="0.499984740745262"/>
      </left>
      <right/>
      <top style="medium">
        <color indexed="64"/>
      </top>
      <bottom style="hair">
        <color theme="1" tint="0.499984740745262"/>
      </bottom>
      <diagonal/>
    </border>
    <border>
      <left style="hair">
        <color theme="1" tint="0.499984740745262"/>
      </left>
      <right/>
      <top style="thin">
        <color auto="1"/>
      </top>
      <bottom/>
      <diagonal/>
    </border>
    <border>
      <left style="hair">
        <color theme="1" tint="0.499984740745262"/>
      </left>
      <right/>
      <top/>
      <bottom/>
      <diagonal/>
    </border>
    <border>
      <left style="hair">
        <color theme="1" tint="0.499984740745262"/>
      </left>
      <right/>
      <top/>
      <bottom style="medium">
        <color indexed="64"/>
      </bottom>
      <diagonal/>
    </border>
  </borders>
  <cellStyleXfs count="1">
    <xf numFmtId="0" fontId="0" fillId="0" borderId="0"/>
  </cellStyleXfs>
  <cellXfs count="191">
    <xf numFmtId="0" fontId="0" fillId="0" borderId="0" xfId="0"/>
    <xf numFmtId="0" fontId="3" fillId="0" borderId="0" xfId="0" applyFont="1"/>
    <xf numFmtId="0" fontId="4" fillId="0" borderId="0" xfId="0" applyFont="1" applyAlignment="1">
      <alignment vertical="center"/>
    </xf>
    <xf numFmtId="0" fontId="6" fillId="0" borderId="0" xfId="0" applyFont="1" applyAlignment="1">
      <alignment horizontal="center"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xf>
    <xf numFmtId="0" fontId="16" fillId="6"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5" xfId="0" applyFont="1" applyBorder="1" applyAlignment="1">
      <alignment vertical="center" wrapText="1"/>
    </xf>
    <xf numFmtId="0" fontId="16" fillId="6" borderId="0" xfId="0" applyFont="1" applyFill="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left" vertical="center"/>
    </xf>
    <xf numFmtId="0" fontId="15" fillId="0" borderId="0" xfId="0" applyFont="1" applyAlignment="1">
      <alignment horizontal="left" vertical="center" wrapText="1"/>
    </xf>
    <xf numFmtId="0" fontId="20" fillId="9" borderId="1" xfId="0" applyFont="1" applyFill="1" applyBorder="1" applyAlignment="1">
      <alignment horizontal="center" vertical="center" wrapText="1"/>
    </xf>
    <xf numFmtId="0" fontId="21" fillId="0" borderId="0" xfId="0" applyFont="1" applyAlignment="1">
      <alignment horizontal="center" vertical="center" wrapText="1"/>
    </xf>
    <xf numFmtId="0" fontId="22" fillId="9" borderId="1" xfId="0" applyFont="1" applyFill="1" applyBorder="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17" fillId="6" borderId="1" xfId="0" applyFont="1" applyFill="1" applyBorder="1" applyAlignment="1">
      <alignment horizontal="center" vertical="center" wrapText="1"/>
    </xf>
    <xf numFmtId="0" fontId="21" fillId="0" borderId="0" xfId="0" applyFont="1" applyAlignment="1">
      <alignment horizontal="left" vertical="center" wrapText="1"/>
    </xf>
    <xf numFmtId="0" fontId="17" fillId="6" borderId="0" xfId="0" applyFont="1" applyFill="1" applyAlignment="1">
      <alignment horizontal="center" vertical="center" wrapText="1"/>
    </xf>
    <xf numFmtId="0" fontId="8" fillId="0" borderId="0" xfId="0" applyFont="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xf>
    <xf numFmtId="0" fontId="3" fillId="0" borderId="6" xfId="0" applyFont="1" applyBorder="1" applyAlignment="1">
      <alignment vertical="center" wrapText="1"/>
    </xf>
    <xf numFmtId="0" fontId="3" fillId="0" borderId="6" xfId="0" applyFont="1" applyBorder="1" applyAlignment="1">
      <alignment vertical="center"/>
    </xf>
    <xf numFmtId="0" fontId="4" fillId="0" borderId="6" xfId="0" applyFont="1" applyBorder="1" applyAlignment="1">
      <alignment vertical="center" wrapText="1"/>
    </xf>
    <xf numFmtId="0" fontId="9" fillId="0" borderId="0" xfId="0" applyFont="1" applyAlignment="1">
      <alignment vertical="center" wrapText="1"/>
    </xf>
    <xf numFmtId="0" fontId="9" fillId="0" borderId="5" xfId="0" applyFont="1" applyBorder="1" applyAlignment="1">
      <alignment vertical="center" wrapText="1"/>
    </xf>
    <xf numFmtId="0" fontId="9" fillId="0" borderId="6" xfId="0" applyFont="1" applyBorder="1" applyAlignment="1">
      <alignment vertical="center" wrapText="1"/>
    </xf>
    <xf numFmtId="0" fontId="9" fillId="0" borderId="4" xfId="0" applyFont="1" applyBorder="1" applyAlignment="1">
      <alignment vertical="center" wrapText="1"/>
    </xf>
    <xf numFmtId="0" fontId="3" fillId="0" borderId="4" xfId="0" applyFont="1" applyBorder="1" applyAlignment="1">
      <alignment vertical="center" wrapText="1"/>
    </xf>
    <xf numFmtId="0" fontId="3"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pplyProtection="1">
      <alignment horizontal="left" vertical="center" wrapText="1"/>
      <protection locked="0"/>
    </xf>
    <xf numFmtId="0" fontId="10" fillId="0" borderId="0" xfId="0" applyFont="1" applyAlignment="1" applyProtection="1">
      <alignment horizontal="center" vertical="center" wrapText="1"/>
      <protection locked="0"/>
    </xf>
    <xf numFmtId="0" fontId="11"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pplyProtection="1">
      <alignment horizontal="left" vertical="center"/>
      <protection locked="0"/>
    </xf>
    <xf numFmtId="0" fontId="14" fillId="0" borderId="0" xfId="0" applyFont="1" applyAlignment="1">
      <alignment horizontal="left" vertical="center" wrapText="1"/>
    </xf>
    <xf numFmtId="0" fontId="14" fillId="0" borderId="0" xfId="0" applyFont="1" applyAlignment="1">
      <alignment horizontal="center" vertical="center" wrapText="1"/>
    </xf>
    <xf numFmtId="0" fontId="12" fillId="0" borderId="0" xfId="0" applyFont="1" applyAlignment="1">
      <alignment horizontal="left" vertical="center" wrapText="1"/>
    </xf>
    <xf numFmtId="0" fontId="10" fillId="0" borderId="0" xfId="0" applyFont="1" applyAlignment="1">
      <alignment horizontal="left" vertical="center"/>
    </xf>
    <xf numFmtId="0" fontId="11" fillId="0" borderId="0" xfId="0" applyFont="1" applyAlignment="1" applyProtection="1">
      <alignment horizontal="left" vertical="center" wrapText="1"/>
      <protection locked="0"/>
    </xf>
    <xf numFmtId="0" fontId="4" fillId="0" borderId="0" xfId="0" applyFont="1"/>
    <xf numFmtId="0" fontId="3" fillId="0" borderId="0" xfId="0" applyFont="1" applyAlignment="1" applyProtection="1">
      <alignment horizontal="left" vertical="center" wrapText="1"/>
      <protection locked="0"/>
    </xf>
    <xf numFmtId="0" fontId="3" fillId="0" borderId="0" xfId="0" applyFont="1" applyAlignment="1" applyProtection="1">
      <alignment horizontal="center" vertical="center" wrapText="1"/>
      <protection locked="0"/>
    </xf>
    <xf numFmtId="0" fontId="4" fillId="0" borderId="0" xfId="0" applyFont="1" applyAlignment="1" applyProtection="1">
      <alignment horizontal="left" vertical="center" wrapText="1"/>
      <protection locked="0"/>
    </xf>
    <xf numFmtId="0" fontId="3" fillId="0" borderId="0" xfId="0" applyFont="1" applyAlignment="1" applyProtection="1">
      <alignment horizontal="left" vertical="center"/>
      <protection locked="0"/>
    </xf>
    <xf numFmtId="0" fontId="23" fillId="0" borderId="0" xfId="0" applyFont="1" applyAlignment="1">
      <alignment horizontal="center" vertical="center" wrapText="1"/>
    </xf>
    <xf numFmtId="0" fontId="20" fillId="0" borderId="0" xfId="0" applyFont="1" applyAlignment="1">
      <alignment horizontal="center" vertical="center" wrapText="1"/>
    </xf>
    <xf numFmtId="0" fontId="15" fillId="0" borderId="0" xfId="0" applyFont="1" applyAlignment="1">
      <alignment vertical="center" wrapText="1"/>
    </xf>
    <xf numFmtId="0" fontId="23"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20" fillId="8" borderId="8" xfId="0" applyFont="1" applyFill="1" applyBorder="1" applyAlignment="1">
      <alignment horizontal="center" vertical="center" wrapText="1"/>
    </xf>
    <xf numFmtId="0" fontId="20" fillId="9" borderId="11" xfId="0" applyFont="1" applyFill="1" applyBorder="1" applyAlignment="1">
      <alignment horizontal="center" vertical="center" wrapText="1"/>
    </xf>
    <xf numFmtId="0" fontId="16" fillId="6" borderId="11" xfId="0" applyFont="1" applyFill="1" applyBorder="1" applyAlignment="1">
      <alignment horizontal="center" vertical="center" wrapText="1"/>
    </xf>
    <xf numFmtId="0" fontId="22" fillId="8" borderId="8" xfId="0" applyFont="1" applyFill="1" applyBorder="1" applyAlignment="1">
      <alignment horizontal="center" vertical="center" wrapText="1"/>
    </xf>
    <xf numFmtId="0" fontId="22" fillId="9" borderId="11" xfId="0" applyFont="1" applyFill="1" applyBorder="1" applyAlignment="1">
      <alignment horizontal="center" vertical="center" wrapText="1"/>
    </xf>
    <xf numFmtId="0" fontId="17" fillId="6" borderId="11" xfId="0" applyFont="1" applyFill="1" applyBorder="1" applyAlignment="1">
      <alignment horizontal="center" vertical="center" wrapText="1"/>
    </xf>
    <xf numFmtId="0" fontId="3" fillId="7" borderId="16" xfId="0" applyFont="1" applyFill="1" applyBorder="1" applyAlignment="1">
      <alignment horizontal="left" vertical="center"/>
    </xf>
    <xf numFmtId="0" fontId="3" fillId="7" borderId="17" xfId="0" applyFont="1" applyFill="1" applyBorder="1" applyAlignment="1">
      <alignment horizontal="left" vertical="center" wrapText="1"/>
    </xf>
    <xf numFmtId="0" fontId="3" fillId="7" borderId="15" xfId="0" applyFont="1" applyFill="1" applyBorder="1" applyAlignment="1">
      <alignment horizontal="center" vertical="center" wrapText="1"/>
    </xf>
    <xf numFmtId="0" fontId="4" fillId="7" borderId="15" xfId="0" applyFont="1" applyFill="1" applyBorder="1" applyAlignment="1">
      <alignment horizontal="center" vertical="center" wrapText="1"/>
    </xf>
    <xf numFmtId="0" fontId="3" fillId="7" borderId="15" xfId="0" applyFont="1" applyFill="1" applyBorder="1" applyAlignment="1">
      <alignment horizontal="left" vertical="center" wrapText="1"/>
    </xf>
    <xf numFmtId="49" fontId="3" fillId="7" borderId="15" xfId="0" applyNumberFormat="1" applyFont="1" applyFill="1" applyBorder="1" applyAlignment="1">
      <alignment horizontal="left" vertical="center" wrapText="1"/>
    </xf>
    <xf numFmtId="0" fontId="4" fillId="7" borderId="17" xfId="0" applyFont="1" applyFill="1" applyBorder="1" applyAlignment="1">
      <alignment horizontal="left" vertical="center" wrapText="1"/>
    </xf>
    <xf numFmtId="0" fontId="3" fillId="7" borderId="17" xfId="0" applyFont="1" applyFill="1" applyBorder="1" applyAlignment="1">
      <alignment horizontal="center" vertical="center" wrapText="1"/>
    </xf>
    <xf numFmtId="0" fontId="4" fillId="7" borderId="17" xfId="0" applyFont="1" applyFill="1" applyBorder="1" applyAlignment="1">
      <alignment horizontal="center" vertical="center" wrapText="1"/>
    </xf>
    <xf numFmtId="0" fontId="3" fillId="7" borderId="18"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horizontal="left" vertical="center" wrapText="1"/>
    </xf>
    <xf numFmtId="0" fontId="3" fillId="0" borderId="19" xfId="0" applyFont="1" applyBorder="1" applyAlignment="1">
      <alignment horizontal="left" vertical="center"/>
    </xf>
    <xf numFmtId="0" fontId="3" fillId="0" borderId="16" xfId="0" applyFont="1" applyBorder="1" applyAlignment="1">
      <alignment horizontal="left" vertical="center" wrapText="1"/>
    </xf>
    <xf numFmtId="0" fontId="4" fillId="7" borderId="15" xfId="0" applyFont="1" applyFill="1" applyBorder="1" applyAlignment="1">
      <alignment horizontal="left" vertical="center" wrapText="1"/>
    </xf>
    <xf numFmtId="0" fontId="3" fillId="7" borderId="15" xfId="0" applyFont="1" applyFill="1" applyBorder="1" applyAlignment="1">
      <alignment horizontal="center" vertical="center"/>
    </xf>
    <xf numFmtId="0" fontId="3" fillId="7" borderId="15" xfId="0" applyFont="1" applyFill="1" applyBorder="1" applyAlignment="1" applyProtection="1">
      <alignment horizontal="center" vertical="center" wrapText="1"/>
      <protection locked="0"/>
    </xf>
    <xf numFmtId="0" fontId="4" fillId="7" borderId="15" xfId="0" applyFont="1" applyFill="1" applyBorder="1" applyAlignment="1">
      <alignment vertical="center" wrapText="1"/>
    </xf>
    <xf numFmtId="0" fontId="4" fillId="7" borderId="17" xfId="0" applyFont="1" applyFill="1" applyBorder="1" applyAlignment="1">
      <alignment vertical="center" wrapText="1"/>
    </xf>
    <xf numFmtId="0" fontId="4" fillId="7" borderId="15" xfId="0" applyFont="1" applyFill="1" applyBorder="1" applyAlignment="1" applyProtection="1">
      <alignment horizontal="left" vertical="center" wrapText="1"/>
      <protection locked="0"/>
    </xf>
    <xf numFmtId="0" fontId="3" fillId="10" borderId="17" xfId="0" applyFont="1" applyFill="1" applyBorder="1" applyAlignment="1">
      <alignment horizontal="left" vertical="center" wrapText="1"/>
    </xf>
    <xf numFmtId="0" fontId="3" fillId="10" borderId="17" xfId="0" applyFont="1" applyFill="1" applyBorder="1" applyAlignment="1">
      <alignment horizontal="center" vertical="center"/>
    </xf>
    <xf numFmtId="0" fontId="3" fillId="10" borderId="17" xfId="0" applyFont="1" applyFill="1" applyBorder="1" applyAlignment="1">
      <alignment horizontal="center" vertical="center" wrapText="1"/>
    </xf>
    <xf numFmtId="0" fontId="3" fillId="10" borderId="17" xfId="0" applyFont="1" applyFill="1" applyBorder="1" applyAlignment="1" applyProtection="1">
      <alignment horizontal="left" vertical="center"/>
      <protection locked="0"/>
    </xf>
    <xf numFmtId="0" fontId="3" fillId="10" borderId="17" xfId="0" applyFont="1" applyFill="1" applyBorder="1" applyAlignment="1" applyProtection="1">
      <alignment horizontal="center" vertical="center" wrapText="1"/>
      <protection locked="0"/>
    </xf>
    <xf numFmtId="0" fontId="4" fillId="10" borderId="17" xfId="0" applyFont="1" applyFill="1" applyBorder="1" applyAlignment="1">
      <alignment horizontal="left" vertical="center" wrapText="1"/>
    </xf>
    <xf numFmtId="0" fontId="4" fillId="10" borderId="17" xfId="0" applyFont="1" applyFill="1" applyBorder="1" applyAlignment="1" applyProtection="1">
      <alignment horizontal="left" vertical="center" wrapText="1"/>
      <protection locked="0"/>
    </xf>
    <xf numFmtId="0" fontId="3" fillId="10" borderId="15" xfId="0" applyFont="1" applyFill="1" applyBorder="1" applyAlignment="1">
      <alignment horizontal="left" vertical="center" wrapText="1"/>
    </xf>
    <xf numFmtId="0" fontId="3" fillId="10" borderId="15" xfId="0" applyFont="1" applyFill="1" applyBorder="1" applyAlignment="1">
      <alignment horizontal="center" vertical="center"/>
    </xf>
    <xf numFmtId="0" fontId="3" fillId="10" borderId="15" xfId="0" applyFont="1" applyFill="1" applyBorder="1" applyAlignment="1">
      <alignment horizontal="center" vertical="center" wrapText="1"/>
    </xf>
    <xf numFmtId="0" fontId="4" fillId="10" borderId="15" xfId="0" applyFont="1" applyFill="1" applyBorder="1" applyAlignment="1" applyProtection="1">
      <alignment horizontal="left" vertical="center" wrapText="1"/>
      <protection locked="0"/>
    </xf>
    <xf numFmtId="0" fontId="24" fillId="6" borderId="20" xfId="0" applyFont="1" applyFill="1" applyBorder="1" applyAlignment="1">
      <alignment horizontal="center" vertical="center" wrapText="1"/>
    </xf>
    <xf numFmtId="0" fontId="24" fillId="6" borderId="14" xfId="0" applyFont="1" applyFill="1" applyBorder="1" applyAlignment="1">
      <alignment horizontal="center" vertical="center" wrapText="1"/>
    </xf>
    <xf numFmtId="0" fontId="25" fillId="11" borderId="21" xfId="0" applyFont="1" applyFill="1" applyBorder="1" applyAlignment="1">
      <alignment horizontal="center" vertical="center" wrapText="1"/>
    </xf>
    <xf numFmtId="0" fontId="25" fillId="11" borderId="13" xfId="0" applyFont="1" applyFill="1" applyBorder="1" applyAlignment="1">
      <alignment horizontal="center" vertical="center" wrapText="1"/>
    </xf>
    <xf numFmtId="0" fontId="0" fillId="0" borderId="0" xfId="0" applyAlignment="1">
      <alignment horizontal="center" vertical="center"/>
    </xf>
    <xf numFmtId="0" fontId="9" fillId="7" borderId="15" xfId="0" applyFont="1" applyFill="1" applyBorder="1" applyAlignment="1">
      <alignment horizontal="left" vertical="center" wrapText="1"/>
    </xf>
    <xf numFmtId="0" fontId="3" fillId="0" borderId="16" xfId="0" applyFont="1" applyBorder="1" applyAlignment="1">
      <alignment horizontal="left" vertical="center"/>
    </xf>
    <xf numFmtId="0" fontId="3" fillId="7" borderId="16" xfId="0" applyFont="1" applyFill="1" applyBorder="1" applyAlignment="1">
      <alignment horizontal="left" vertical="center" wrapText="1"/>
    </xf>
    <xf numFmtId="0" fontId="3" fillId="10" borderId="17" xfId="0" applyFont="1" applyFill="1" applyBorder="1" applyAlignment="1">
      <alignment horizontal="left" vertical="center"/>
    </xf>
    <xf numFmtId="0" fontId="3" fillId="10" borderId="16" xfId="0" applyFont="1" applyFill="1" applyBorder="1" applyAlignment="1">
      <alignment horizontal="center" vertical="center" wrapText="1"/>
    </xf>
    <xf numFmtId="0" fontId="9" fillId="0" borderId="6" xfId="0" applyFont="1" applyBorder="1" applyAlignment="1">
      <alignment horizontal="left" vertical="center" wrapText="1"/>
    </xf>
    <xf numFmtId="0" fontId="4" fillId="0" borderId="4" xfId="0" applyFont="1" applyBorder="1" applyAlignment="1">
      <alignment horizontal="center" vertical="center" wrapText="1"/>
    </xf>
    <xf numFmtId="0" fontId="3" fillId="0" borderId="4" xfId="0" applyFont="1" applyBorder="1" applyAlignment="1">
      <alignment horizontal="center" vertical="center" wrapText="1"/>
    </xf>
    <xf numFmtId="0" fontId="9" fillId="0" borderId="0" xfId="0" applyFont="1" applyAlignment="1">
      <alignment horizontal="left" vertical="center" wrapText="1"/>
    </xf>
    <xf numFmtId="0" fontId="3" fillId="0" borderId="6" xfId="0" applyFont="1" applyBorder="1" applyAlignment="1">
      <alignment horizontal="left" vertical="center" wrapText="1"/>
    </xf>
    <xf numFmtId="0" fontId="18"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3" fillId="0" borderId="22" xfId="0" applyFont="1" applyBorder="1" applyAlignment="1">
      <alignment horizontal="center" vertical="center" wrapText="1"/>
    </xf>
    <xf numFmtId="0" fontId="3" fillId="0" borderId="5" xfId="0" applyFont="1" applyBorder="1" applyAlignment="1">
      <alignment vertical="center"/>
    </xf>
    <xf numFmtId="0" fontId="4" fillId="0" borderId="5" xfId="0" applyFont="1" applyBorder="1" applyAlignment="1">
      <alignment vertical="center" wrapText="1"/>
    </xf>
    <xf numFmtId="0" fontId="4"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4" fillId="0" borderId="6" xfId="0" applyFont="1" applyBorder="1" applyAlignment="1">
      <alignment vertical="center"/>
    </xf>
    <xf numFmtId="0" fontId="4" fillId="0" borderId="4" xfId="0" applyFont="1" applyBorder="1" applyAlignment="1">
      <alignment horizontal="left" vertical="center" wrapText="1"/>
    </xf>
    <xf numFmtId="0" fontId="4" fillId="0" borderId="4" xfId="0" applyFont="1" applyBorder="1" applyAlignment="1">
      <alignment vertical="center" wrapText="1"/>
    </xf>
    <xf numFmtId="0" fontId="3" fillId="0" borderId="5" xfId="0" applyFont="1" applyBorder="1" applyAlignment="1">
      <alignment horizontal="center" vertical="center" wrapText="1"/>
    </xf>
    <xf numFmtId="0" fontId="3" fillId="0" borderId="5" xfId="0" applyFont="1" applyBorder="1" applyAlignment="1">
      <alignment horizontal="left" vertical="center" wrapText="1"/>
    </xf>
    <xf numFmtId="0" fontId="4" fillId="0" borderId="4" xfId="0" applyFont="1" applyBorder="1" applyAlignment="1">
      <alignment vertical="center"/>
    </xf>
    <xf numFmtId="0" fontId="3" fillId="0" borderId="4" xfId="0" applyFont="1" applyBorder="1" applyAlignment="1">
      <alignment horizontal="left" vertical="center" wrapText="1"/>
    </xf>
    <xf numFmtId="0" fontId="3" fillId="0" borderId="4" xfId="0" applyFont="1" applyBorder="1" applyAlignment="1">
      <alignment vertical="center"/>
    </xf>
    <xf numFmtId="0" fontId="9" fillId="0" borderId="4" xfId="0" applyFont="1" applyBorder="1" applyAlignment="1">
      <alignment horizontal="left" vertical="center" wrapText="1"/>
    </xf>
    <xf numFmtId="0" fontId="9" fillId="0" borderId="6" xfId="0" applyFont="1" applyBorder="1" applyAlignment="1">
      <alignment horizontal="center" vertical="center" wrapText="1"/>
    </xf>
    <xf numFmtId="0" fontId="9" fillId="0" borderId="0" xfId="0" applyFont="1" applyAlignment="1">
      <alignment vertical="center"/>
    </xf>
    <xf numFmtId="0" fontId="9" fillId="0" borderId="7" xfId="0" applyFont="1" applyBorder="1" applyAlignment="1">
      <alignment vertical="center" wrapText="1"/>
    </xf>
    <xf numFmtId="0" fontId="17" fillId="6" borderId="7" xfId="0" applyFont="1" applyFill="1" applyBorder="1" applyAlignment="1">
      <alignment horizontal="center" vertical="center" wrapText="1"/>
    </xf>
    <xf numFmtId="0" fontId="3" fillId="0" borderId="15" xfId="0" applyFont="1" applyBorder="1" applyAlignment="1" applyProtection="1">
      <alignment horizontal="left" vertical="center" wrapText="1"/>
      <protection locked="0"/>
    </xf>
    <xf numFmtId="0" fontId="3" fillId="12" borderId="12" xfId="0" applyFont="1" applyFill="1" applyBorder="1" applyAlignment="1" applyProtection="1">
      <alignment horizontal="left" vertical="center" wrapText="1"/>
      <protection locked="0"/>
    </xf>
    <xf numFmtId="0" fontId="3" fillId="12" borderId="16" xfId="0" applyFont="1" applyFill="1" applyBorder="1" applyAlignment="1" applyProtection="1">
      <alignment horizontal="left" vertical="center" wrapText="1"/>
      <protection locked="0"/>
    </xf>
    <xf numFmtId="0" fontId="3" fillId="0" borderId="15"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2" xfId="0" applyFont="1" applyBorder="1" applyAlignment="1" applyProtection="1">
      <alignment horizontal="left" vertical="center" wrapText="1"/>
      <protection locked="0"/>
    </xf>
    <xf numFmtId="0" fontId="3" fillId="0" borderId="16" xfId="0" applyFont="1" applyBorder="1" applyAlignment="1" applyProtection="1">
      <alignment horizontal="left" vertical="center" wrapText="1"/>
      <protection locked="0"/>
    </xf>
    <xf numFmtId="0" fontId="3" fillId="0" borderId="19" xfId="0" applyFont="1" applyBorder="1" applyAlignment="1">
      <alignment horizontal="center" vertical="center" wrapText="1"/>
    </xf>
    <xf numFmtId="0" fontId="4" fillId="0" borderId="15" xfId="0" applyFont="1" applyBorder="1" applyAlignment="1" applyProtection="1">
      <alignment horizontal="left" vertical="center" wrapText="1"/>
      <protection locked="0"/>
    </xf>
    <xf numFmtId="0" fontId="4" fillId="0" borderId="12" xfId="0" applyFont="1" applyBorder="1" applyAlignment="1" applyProtection="1">
      <alignment horizontal="left" vertical="center" wrapText="1"/>
      <protection locked="0"/>
    </xf>
    <xf numFmtId="0" fontId="4" fillId="0" borderId="19" xfId="0" applyFont="1" applyBorder="1" applyAlignment="1" applyProtection="1">
      <alignment horizontal="left" vertical="center" wrapText="1"/>
      <protection locked="0"/>
    </xf>
    <xf numFmtId="0" fontId="3" fillId="0" borderId="19" xfId="0" applyFont="1" applyBorder="1" applyAlignment="1" applyProtection="1">
      <alignment horizontal="left" vertical="center" wrapText="1"/>
      <protection locked="0"/>
    </xf>
    <xf numFmtId="0" fontId="3" fillId="13" borderId="12" xfId="0" applyFont="1" applyFill="1" applyBorder="1" applyAlignment="1" applyProtection="1">
      <alignment horizontal="left" vertical="center" wrapText="1"/>
      <protection locked="0"/>
    </xf>
    <xf numFmtId="0" fontId="3" fillId="13" borderId="16" xfId="0" applyFont="1" applyFill="1" applyBorder="1" applyAlignment="1" applyProtection="1">
      <alignment horizontal="left" vertical="center" wrapText="1"/>
      <protection locked="0"/>
    </xf>
    <xf numFmtId="0" fontId="4" fillId="0" borderId="16" xfId="0" applyFont="1" applyBorder="1" applyAlignment="1" applyProtection="1">
      <alignment horizontal="left" vertical="center" wrapText="1"/>
      <protection locked="0"/>
    </xf>
    <xf numFmtId="0" fontId="9" fillId="0" borderId="15" xfId="0" applyFont="1" applyBorder="1" applyAlignment="1">
      <alignment horizontal="center" vertical="center" wrapText="1"/>
    </xf>
    <xf numFmtId="0" fontId="9" fillId="0" borderId="12" xfId="0" applyFont="1" applyBorder="1" applyAlignment="1">
      <alignment horizontal="center" vertical="center" wrapText="1"/>
    </xf>
    <xf numFmtId="0" fontId="3" fillId="0" borderId="15" xfId="0" applyFont="1" applyBorder="1" applyAlignment="1">
      <alignment horizontal="center" vertical="center"/>
    </xf>
    <xf numFmtId="0" fontId="3" fillId="0" borderId="12" xfId="0" applyFont="1" applyBorder="1" applyAlignment="1">
      <alignment horizontal="center" vertical="center"/>
    </xf>
    <xf numFmtId="0" fontId="3" fillId="0" borderId="15" xfId="0" applyFont="1" applyBorder="1" applyAlignment="1">
      <alignment horizontal="left" vertical="center" wrapText="1"/>
    </xf>
    <xf numFmtId="0" fontId="3" fillId="0" borderId="12" xfId="0" applyFont="1" applyBorder="1" applyAlignment="1">
      <alignment horizontal="left" vertical="center" wrapText="1"/>
    </xf>
    <xf numFmtId="0" fontId="3" fillId="0" borderId="16" xfId="0" applyFont="1" applyBorder="1" applyAlignment="1">
      <alignment horizontal="center" vertical="center"/>
    </xf>
    <xf numFmtId="0" fontId="16" fillId="6" borderId="0" xfId="0" applyFont="1" applyFill="1" applyAlignment="1">
      <alignment horizontal="center" vertical="center" wrapText="1"/>
    </xf>
    <xf numFmtId="0" fontId="3" fillId="0" borderId="0" xfId="0" applyFont="1" applyAlignment="1">
      <alignment horizontal="left" vertical="center" wrapText="1"/>
    </xf>
    <xf numFmtId="0" fontId="18" fillId="2" borderId="1" xfId="0" applyFont="1" applyFill="1" applyBorder="1" applyAlignment="1">
      <alignment horizontal="center" vertical="center" wrapText="1"/>
    </xf>
    <xf numFmtId="0" fontId="3" fillId="0" borderId="0" xfId="0" applyFont="1" applyAlignment="1">
      <alignment horizontal="center" vertical="center" wrapText="1"/>
    </xf>
    <xf numFmtId="0" fontId="17" fillId="6" borderId="9" xfId="0" applyFont="1" applyFill="1" applyBorder="1" applyAlignment="1">
      <alignment horizontal="center" vertical="center" wrapText="1"/>
    </xf>
    <xf numFmtId="0" fontId="17" fillId="6" borderId="10" xfId="0" applyFont="1" applyFill="1" applyBorder="1" applyAlignment="1">
      <alignment horizontal="center" vertical="center" wrapText="1"/>
    </xf>
    <xf numFmtId="0" fontId="9" fillId="0" borderId="5" xfId="0" applyFont="1" applyBorder="1" applyAlignment="1">
      <alignment horizontal="center" vertical="center" wrapText="1"/>
    </xf>
    <xf numFmtId="0" fontId="9" fillId="0" borderId="0" xfId="0" applyFont="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vertical="center" wrapText="1"/>
    </xf>
    <xf numFmtId="0" fontId="9" fillId="0" borderId="0" xfId="0" applyFont="1" applyAlignment="1">
      <alignment vertical="center" wrapText="1"/>
    </xf>
    <xf numFmtId="0" fontId="9" fillId="0" borderId="4" xfId="0" applyFont="1" applyBorder="1" applyAlignment="1">
      <alignment vertical="center" wrapText="1"/>
    </xf>
    <xf numFmtId="0" fontId="9" fillId="0" borderId="6" xfId="0" applyFont="1" applyBorder="1" applyAlignment="1">
      <alignment horizontal="center" vertical="center" wrapText="1"/>
    </xf>
    <xf numFmtId="0" fontId="9" fillId="0" borderId="4" xfId="0" applyFont="1" applyBorder="1" applyAlignment="1">
      <alignment horizontal="left" vertical="center" wrapText="1"/>
    </xf>
    <xf numFmtId="0" fontId="9" fillId="0" borderId="0" xfId="0" applyFont="1" applyAlignment="1">
      <alignment horizontal="left" vertical="center" wrapText="1"/>
    </xf>
    <xf numFmtId="0" fontId="9" fillId="0" borderId="6" xfId="0" applyFont="1" applyBorder="1" applyAlignment="1">
      <alignment horizontal="left" vertical="center" wrapText="1"/>
    </xf>
    <xf numFmtId="0" fontId="9" fillId="0" borderId="4" xfId="0" applyFont="1" applyBorder="1" applyAlignment="1">
      <alignment horizontal="center" vertical="center"/>
    </xf>
    <xf numFmtId="0" fontId="9" fillId="0" borderId="0" xfId="0" applyFont="1" applyAlignment="1">
      <alignment horizontal="center" vertical="center"/>
    </xf>
    <xf numFmtId="0" fontId="9" fillId="0" borderId="7" xfId="0" applyFont="1" applyBorder="1" applyAlignment="1">
      <alignment horizontal="center" vertical="center"/>
    </xf>
    <xf numFmtId="0" fontId="9" fillId="0" borderId="7" xfId="0" applyFont="1" applyBorder="1" applyAlignment="1">
      <alignment horizontal="left" vertical="center" wrapText="1"/>
    </xf>
    <xf numFmtId="0" fontId="9" fillId="0" borderId="7" xfId="0" applyFont="1" applyBorder="1" applyAlignment="1">
      <alignment horizontal="center" vertical="center" wrapText="1"/>
    </xf>
    <xf numFmtId="0" fontId="22" fillId="0" borderId="0" xfId="0" applyFont="1" applyAlignment="1">
      <alignment horizontal="center" vertical="center"/>
    </xf>
    <xf numFmtId="0" fontId="8" fillId="11" borderId="0" xfId="0" applyFont="1" applyFill="1" applyAlignment="1">
      <alignment horizontal="center"/>
    </xf>
    <xf numFmtId="0" fontId="5" fillId="4" borderId="1" xfId="0" applyFont="1" applyFill="1" applyBorder="1" applyAlignment="1">
      <alignment horizontal="center"/>
    </xf>
    <xf numFmtId="0" fontId="3" fillId="0" borderId="0" xfId="0" applyFont="1" applyAlignment="1">
      <alignment horizontal="center"/>
    </xf>
  </cellXfs>
  <cellStyles count="1">
    <cellStyle name="Normal" xfId="0" builtinId="0"/>
  </cellStyles>
  <dxfs count="113">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12"/>
    </tableStyle>
    <tableStyle name="Estilo de tabla 2" pivot="0" count="1" xr9:uid="{C6F8D6C6-DD7E-42E8-8328-19C722F9F97F}">
      <tableStyleElement type="wholeTable" dxfId="111"/>
    </tableStyle>
    <tableStyle name="Estilo de tabla 3" pivot="0" count="1" xr9:uid="{BD8219D8-F95E-4ADD-BD98-5883EDA7E91C}">
      <tableStyleElement type="headerRow" dxfId="110"/>
    </tableStyle>
  </tableStyles>
  <colors>
    <mruColors>
      <color rgb="FFF5B0B0"/>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poligran-my.sharepoint.com/personal/dvelasquez_poligran_edu_co/Documents/02_Curriculo_Virtual/05_Documentos_Reforzamiento%20curricular/ReforzamientoCurricular2022/03_Entregables/Nivel%20Micro/06_FormatosRA2024_AC/01_Renovacion/FormatoRA_TecProfJudicial_VNAL.xlsx" TargetMode="External"/><Relationship Id="rId2" Type="http://schemas.microsoft.com/office/2019/04/relationships/externalLinkLongPath" Target="/personal/dvelasquez_poligran_edu_co/Documents/02_Curriculo_Virtual/05_Documentos_Reforzamiento%20curricular/ReforzamientoCurricular2022/03_Entregables/Nivel%20Micro/06_FormatosRA2024_AC/01_Renovacion/FormatoRA_TecProfJudicial_VNAL.xlsx?0A18EC3A" TargetMode="External"/><Relationship Id="rId1" Type="http://schemas.openxmlformats.org/officeDocument/2006/relationships/externalLinkPath" Target="file:///\\0A18EC3A\FormatoRA_TecProfJudicial_VNAL.xlsx" TargetMode="External"/><Relationship Id="rId4" Type="http://schemas.openxmlformats.org/officeDocument/2006/relationships/externalLinkPath" Target="../../../../dvelasquez_poligran_edu_co/Documents/02_Curriculo_Virtual/05_Documentos_Reforzamiento%20curricular/ReforzamientoCurricular2022/03_Entregables/Nivel%20Micro/06_FormatosRA2024_AC/01_Renovacion/FormatoRA_TecProfJudicial_V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ni8NL5dwkaGySQFxD1mpD9Up9Jq245OlXEFAEVxh_yGpr5orbeXS77QVIKZKnPK" itemId="012I3KOA5EEP7EY6FKXFEKPBOGH5NVIR4O">
      <xxl21:absoluteUrl r:id="rId3"/>
      <xxl21:relativeUrl r:id="rId4"/>
    </xxl21:alternateUrls>
    <sheetNames>
      <sheetName val="Paso1 Analisis perfil egreso"/>
      <sheetName val="Paso 2 Redacción competen"/>
      <sheetName val="Paso 3 Redacción RA "/>
      <sheetName val="Paso 4 Estrategias mesocurricu"/>
      <sheetName val="Paso 5 Estrategias microcurricu"/>
      <sheetName val="Taxonomía para competencias"/>
      <sheetName val="Taxonomias para RA"/>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770C3-071D-499F-9BF2-620169EB50C6}" name="Tabla33103" displayName="Tabla33103" ref="B1:B38" totalsRowShown="0" headerRowDxfId="109" dataDxfId="108">
  <autoFilter ref="B1:B38" xr:uid="{5C8770C3-071D-499F-9BF2-620169EB50C6}"/>
  <sortState xmlns:xlrd2="http://schemas.microsoft.com/office/spreadsheetml/2017/richdata2" ref="B2:B38">
    <sortCondition ref="B1:B38"/>
  </sortState>
  <tableColumns count="1">
    <tableColumn id="1" xr3:uid="{4942F65A-DE34-45AD-8AFA-EDFC3B88631B}" name="Verbos Competencias" dataDxfId="10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autoFilter ref="A3:A7" xr:uid="{48FC5A9A-4920-4623-A07A-3CF9371DCF4A}"/>
  <tableColumns count="1">
    <tableColumn id="1" xr3:uid="{63D540FA-82EB-4145-8DC7-B519D8CD7CC0}" name="Taxonomías"/>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06" dataDxfId="105">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0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03" dataDxfId="102">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0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00" dataDxfId="99">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9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97" dataDxfId="96">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9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94" dataDxfId="93">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9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91" dataDxfId="90">
  <autoFilter ref="AQ4:AQ21" xr:uid="{1D29FBDA-C4C7-4802-9945-B1136AA1A5B6}"/>
  <sortState xmlns:xlrd2="http://schemas.microsoft.com/office/spreadsheetml/2017/richdata2" ref="AQ5:AQ21">
    <sortCondition ref="AQ5:AQ21"/>
  </sortState>
  <tableColumns count="1">
    <tableColumn id="1" xr3:uid="{695E3FF0-9053-4D06-82E6-12950FD1BCA1}" name="CrearLK" dataDxfId="8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88" dataDxfId="87">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8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85" dataDxfId="84">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83"/>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82" dataDxfId="81">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8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79" dataDxfId="78">
  <autoFilter ref="V3:V36" xr:uid="{2AA761F5-FCA1-4A0B-90D8-1C642DDF1D1A}"/>
  <sortState xmlns:xlrd2="http://schemas.microsoft.com/office/spreadsheetml/2017/richdata2" ref="V4:V36">
    <sortCondition ref="V4:V36"/>
  </sortState>
  <tableColumns count="1">
    <tableColumn id="1" xr3:uid="{AF14FE7A-A899-43F9-A3C0-8119863088B1}" name="AnálisisBAK" dataDxfId="77"/>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76" dataDxfId="75">
  <autoFilter ref="W3:W63" xr:uid="{F6A45780-86A0-4428-88DB-1A555C4970E6}"/>
  <sortState xmlns:xlrd2="http://schemas.microsoft.com/office/spreadsheetml/2017/richdata2" ref="W4:W63">
    <sortCondition ref="W4:W63"/>
  </sortState>
  <tableColumns count="1">
    <tableColumn id="1" xr3:uid="{8D1F3CAA-A929-411E-B3AB-90C77CB5BC14}" name="SíntesisBAK" dataDxfId="7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73" dataDxfId="72">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71"/>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70" dataDxfId="69">
  <autoFilter ref="Y3:Y52" xr:uid="{0C46EE9B-0911-4522-BB5D-1931406AB4AB}"/>
  <sortState xmlns:xlrd2="http://schemas.microsoft.com/office/spreadsheetml/2017/richdata2" ref="Y4:Y52">
    <sortCondition ref="Y3:Y52"/>
  </sortState>
  <tableColumns count="1">
    <tableColumn id="1" xr3:uid="{CDE7758F-9A83-44EB-B2E4-CC670F5593B8}" name="ImitaciónBAK" dataDxfId="68"/>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67" dataDxfId="66">
  <autoFilter ref="Z3:Z40" xr:uid="{300A78DD-9219-4A2F-A2DA-93669B9B6AF3}"/>
  <sortState xmlns:xlrd2="http://schemas.microsoft.com/office/spreadsheetml/2017/richdata2" ref="Z4:Z40">
    <sortCondition ref="Z3:Z40"/>
  </sortState>
  <tableColumns count="1">
    <tableColumn id="1" xr3:uid="{3C407CCE-B486-4656-BA81-116BE1090143}" name="ManipulaciónBAK" dataDxfId="65"/>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70" totalsRowShown="0" headerRowDxfId="64" dataDxfId="63">
  <autoFilter ref="AA3:AA70" xr:uid="{6877FA86-1F49-4E2D-9448-AFF0346B8BB8}"/>
  <sortState xmlns:xlrd2="http://schemas.microsoft.com/office/spreadsheetml/2017/richdata2" ref="AA4:AA70">
    <sortCondition ref="AA3:AA70"/>
  </sortState>
  <tableColumns count="1">
    <tableColumn id="1" xr3:uid="{D21AF291-1BAF-43EA-AFD3-DAFB2D955E09}" name="PrecisiónBAK" dataDxfId="62"/>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61" dataDxfId="60">
  <autoFilter ref="AB3:AB62" xr:uid="{FD38FA61-1361-4EA5-A764-8E58B96581E9}"/>
  <sortState xmlns:xlrd2="http://schemas.microsoft.com/office/spreadsheetml/2017/richdata2" ref="AB4:AB62">
    <sortCondition ref="AB3:AB62"/>
  </sortState>
  <tableColumns count="1">
    <tableColumn id="1" xr3:uid="{982D722A-3D7A-4AAD-A2DF-5EE8DF5E4D9D}" name="ControlBAK" dataDxfId="59"/>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58" dataDxfId="57">
  <autoFilter ref="AC3:AC43" xr:uid="{503448E5-D0D5-4B82-B461-0CD544CE9D23}"/>
  <sortState xmlns:xlrd2="http://schemas.microsoft.com/office/spreadsheetml/2017/richdata2" ref="AC4:AC43">
    <sortCondition ref="AC3:AC43"/>
  </sortState>
  <tableColumns count="1">
    <tableColumn id="1" xr3:uid="{03441D59-E383-407F-99E2-74596636CEF0}" name="PercepciónBAK" dataDxfId="56"/>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4" totalsRowShown="0" headerRowDxfId="55" dataDxfId="54">
  <autoFilter ref="AD3:AD34" xr:uid="{08B46976-D2F4-4AEA-B0BA-6ECF06521BA8}"/>
  <sortState xmlns:xlrd2="http://schemas.microsoft.com/office/spreadsheetml/2017/richdata2" ref="AD4:AD34">
    <sortCondition ref="AD3:AD34"/>
  </sortState>
  <tableColumns count="1">
    <tableColumn id="1" xr3:uid="{0C49A45E-6C59-4AAB-BD6C-F53324766649}" name="ResponderBAK" dataDxfId="53"/>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9" totalsRowShown="0" headerRowDxfId="52" dataDxfId="51">
  <autoFilter ref="AE3:AE39" xr:uid="{49448539-0C4F-43C9-9924-5A219B16757C}"/>
  <sortState xmlns:xlrd2="http://schemas.microsoft.com/office/spreadsheetml/2017/richdata2" ref="AE4:AE38">
    <sortCondition ref="AE3:AE38"/>
  </sortState>
  <tableColumns count="1">
    <tableColumn id="1" xr3:uid="{E2890547-6570-4474-811E-70109D5F5465}" name="ValorarBAK" dataDxfId="50"/>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49" dataDxfId="48">
  <autoFilter ref="AF3:AF29" xr:uid="{21E76DB2-0E8B-466D-A413-2ABD524DDEEA}"/>
  <sortState xmlns:xlrd2="http://schemas.microsoft.com/office/spreadsheetml/2017/richdata2" ref="AF4:AF29">
    <sortCondition ref="AF3:AF29"/>
  </sortState>
  <tableColumns count="1">
    <tableColumn id="1" xr3:uid="{674DA899-A4D0-4618-B839-C8613BA61338}" name="OrganizarBAK" dataDxfId="47"/>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46" dataDxfId="45">
  <autoFilter ref="AG3:AG29" xr:uid="{835318B2-CEAD-4A84-8E6B-21115489F3F9}"/>
  <sortState xmlns:xlrd2="http://schemas.microsoft.com/office/spreadsheetml/2017/richdata2" ref="AG4:AG29">
    <sortCondition ref="AG3:AG29"/>
  </sortState>
  <tableColumns count="1">
    <tableColumn id="1" xr3:uid="{C98AB4FD-C9CE-4966-B509-E36C390C09C7}" name="CaracterizarBAK" dataDxfId="44"/>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43" dataDxfId="42">
  <autoFilter ref="L3:L45" xr:uid="{9E4643CC-87B6-4485-9E83-A8ED35E11905}"/>
  <sortState xmlns:xlrd2="http://schemas.microsoft.com/office/spreadsheetml/2017/richdata2" ref="L4:L45">
    <sortCondition ref="L4:L45"/>
  </sortState>
  <tableColumns count="1">
    <tableColumn id="1" xr3:uid="{29725637-71B1-4F7E-96A8-CB90D5C646B2}" name="ConocimientoB" dataDxfId="41"/>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40" dataDxfId="39">
  <autoFilter ref="M3:M42" xr:uid="{C726BD4C-A167-44A9-8F1B-6936952A7A59}"/>
  <sortState xmlns:xlrd2="http://schemas.microsoft.com/office/spreadsheetml/2017/richdata2" ref="M4:M42">
    <sortCondition ref="M4:M42"/>
  </sortState>
  <tableColumns count="1">
    <tableColumn id="1" xr3:uid="{302CEF3F-D9B7-44E2-B341-CAA4B0E1BEB1}" name="ComprensiónB" dataDxfId="38"/>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37" dataDxfId="36">
  <autoFilter ref="N3:N43" xr:uid="{85965F80-D722-4217-9624-BAE055366227}"/>
  <sortState xmlns:xlrd2="http://schemas.microsoft.com/office/spreadsheetml/2017/richdata2" ref="N4:N43">
    <sortCondition ref="N4:N43"/>
  </sortState>
  <tableColumns count="1">
    <tableColumn id="1" xr3:uid="{8CDFD0B2-187A-490F-B898-52C789C626A8}" name="AplicaciónB" dataDxfId="35"/>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34" dataDxfId="33">
  <autoFilter ref="O3:O36" xr:uid="{4F44782F-9CE2-445E-8EAA-F5D6BC4CE9FF}"/>
  <sortState xmlns:xlrd2="http://schemas.microsoft.com/office/spreadsheetml/2017/richdata2" ref="O4:O36">
    <sortCondition ref="O4:O36"/>
  </sortState>
  <tableColumns count="1">
    <tableColumn id="1" xr3:uid="{7941CE9F-DC23-4AFF-A5EC-374F0F21BBEB}" name="AnálisisB" dataDxfId="32"/>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31" dataDxfId="30">
  <autoFilter ref="P3:P63" xr:uid="{8357A631-F2AC-40DB-8ACA-80F00DED06A3}"/>
  <sortState xmlns:xlrd2="http://schemas.microsoft.com/office/spreadsheetml/2017/richdata2" ref="P4:P63">
    <sortCondition ref="P4:P63"/>
  </sortState>
  <tableColumns count="1">
    <tableColumn id="1" xr3:uid="{E9C49887-DB96-4751-9494-F1CFAE7E02AD}" name="SíntesisB" dataDxfId="29"/>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28" dataDxfId="27">
  <autoFilter ref="Q3:Q66" xr:uid="{141F631B-4F40-430C-9880-8A1F264F50D0}"/>
  <sortState xmlns:xlrd2="http://schemas.microsoft.com/office/spreadsheetml/2017/richdata2" ref="Q4:Q66">
    <sortCondition ref="Q4:Q66"/>
  </sortState>
  <tableColumns count="1">
    <tableColumn id="1" xr3:uid="{42FB5979-4CFB-474A-948A-4C9E2A15A2FA}" name="EvaluaciónB" dataDxfId="26"/>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25">
  <autoFilter ref="E3:E6" xr:uid="{284779C2-7F70-4C90-85C0-9E3404733D87}"/>
  <tableColumns count="1">
    <tableColumn id="1" xr3:uid="{CE47A420-A4CC-4416-8E2B-4A40C2078194}" name="AK"/>
  </tableColumns>
  <tableStyleInfo name="TableStyleMedium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24">
  <autoFilter ref="D3:D7" xr:uid="{0359C141-9677-47C3-845D-242D3C20A7BD}"/>
  <tableColumns count="1">
    <tableColumn id="1" xr3:uid="{027F3234-EBF7-434A-A95C-3D90248F7600}" name="LK"/>
  </tableColumns>
  <tableStyleInfo name="TableStyleMedium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23">
  <autoFilter ref="C3:C6" xr:uid="{60F5C8CF-3F5B-45A8-90A3-91960BC0CC3F}"/>
  <tableColumns count="1">
    <tableColumn id="1" xr3:uid="{7261A279-5B41-48E2-A232-E66D4B2C997C}" name="BAK"/>
  </tableColumns>
  <tableStyleInfo name="TableStyleMedium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autoFilter ref="I3:I9" xr:uid="{46409B6B-E133-4AC9-A20A-4A73C6DBD813}"/>
  <tableColumns count="1">
    <tableColumn id="1" xr3:uid="{12B3014A-6B1D-4C6D-9FA4-0161E9656EA6}" name="ActitudinalB"/>
  </tableColumns>
  <tableStyleInfo name="TableStyleMedium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autoFilter ref="H3:H9" xr:uid="{4FBECC47-261F-41D0-B554-ADEA02FBDD3E}"/>
  <tableColumns count="1">
    <tableColumn id="1" xr3:uid="{D263AD73-E936-424B-80A9-E791CCE4D60C}" name="ProcedimentalB"/>
  </tableColumns>
  <tableStyleInfo name="TableStyleMedium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autoFilter ref="G3:G9" xr:uid="{E7A59938-F7EA-457A-87F1-AA0873A8FDA8}"/>
  <tableColumns count="1">
    <tableColumn id="1" xr3:uid="{9BE87125-AAAE-4780-B69A-FA583B2B341A}" name="CognitivoB"/>
  </tableColumns>
  <tableStyleInfo name="TableStyleMedium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autoFilter ref="G11:G17" xr:uid="{FB5563E9-3423-496B-A7C6-740A8638246F}"/>
  <tableColumns count="1">
    <tableColumn id="1" xr3:uid="{D2F8054E-C594-43A9-96F5-5294D078E620}" name="HechosLK"/>
  </tableColumns>
  <tableStyleInfo name="TableStyleMedium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autoFilter ref="H11:H17" xr:uid="{5235961D-4B2F-4CB8-AC75-46CF8A859099}"/>
  <tableColumns count="1">
    <tableColumn id="1" xr3:uid="{DF3A0232-2B49-4FF7-B62E-7F56B2A16095}" name="ConceptosLK"/>
  </tableColumns>
  <tableStyleInfo name="TableStyleMedium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autoFilter ref="I11:I17" xr:uid="{74EFBE03-70FE-4E61-AF1A-7CAE74394FB0}"/>
  <tableColumns count="1">
    <tableColumn id="1" xr3:uid="{02D20833-4DB8-415C-A919-A0178DA3CC95}" name="ProcedimientosLK"/>
  </tableColumns>
  <tableStyleInfo name="TableStyleMedium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autoFilter ref="J11:J17" xr:uid="{01D445B2-006B-45B1-9326-AB65B144ABD8}"/>
  <tableColumns count="1">
    <tableColumn id="1" xr3:uid="{B548BB39-2B40-4E98-AE24-D564B24A0831}" name="MetacogniciónLK"/>
  </tableColumns>
  <tableStyleInfo name="TableStyleMedium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Tabla94" displayName="Tabla94" ref="G19:G25" totalsRowShown="0">
  <autoFilter ref="G19:G25" xr:uid="{8F99EDF7-BECB-4CB8-94CB-15DEF8DBE8E0}"/>
  <tableColumns count="1">
    <tableColumn id="1" xr3:uid="{995D4B7F-2557-48EF-AE97-D4FE09E63D59}" name="InformaciónAK"/>
  </tableColumns>
  <tableStyleInfo name="TableStyleMedium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autoFilter ref="H19:H25" xr:uid="{DFB0C1EA-F7F7-4443-9626-BCD7D06ACAA7}"/>
  <tableColumns count="1">
    <tableColumn id="1" xr3:uid="{977268A2-A618-4E2F-BE67-44E018AA2B3D}" name="ProcesosAK"/>
  </tableColumns>
  <tableStyleInfo name="TableStyleMedium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autoFilter ref="I19:I25" xr:uid="{AC2042AB-A078-4FDF-91CA-322668C40EBE}"/>
  <tableColumns count="1">
    <tableColumn id="1" xr3:uid="{AAE35896-9168-4715-8D56-25997B0AB9C8}" name="PsicomotorAK"/>
  </tableColumns>
  <tableStyleInfo name="TableStyleMedium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6.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15"/>
  <sheetViews>
    <sheetView zoomScaleNormal="100" workbookViewId="0"/>
  </sheetViews>
  <sheetFormatPr baseColWidth="10" defaultColWidth="76.26953125" defaultRowHeight="16.5" x14ac:dyDescent="0.35"/>
  <cols>
    <col min="1" max="1" width="23.1796875" style="20" customWidth="1"/>
    <col min="2" max="2" width="17.1796875" style="20" customWidth="1"/>
    <col min="3" max="4" width="63.453125" style="20" customWidth="1"/>
    <col min="5" max="5" width="36.453125" style="20" customWidth="1"/>
    <col min="6" max="6" width="35.453125" style="11" customWidth="1"/>
    <col min="7" max="7" width="51" style="20" customWidth="1"/>
    <col min="8" max="8" width="63.1796875" style="20" customWidth="1"/>
    <col min="9" max="9" width="75.81640625" style="20" customWidth="1"/>
    <col min="10" max="10" width="73.1796875" style="20" customWidth="1"/>
    <col min="11" max="16384" width="76.26953125" style="20"/>
  </cols>
  <sheetData>
    <row r="1" spans="1:11" s="18" customFormat="1" ht="42.5" x14ac:dyDescent="0.35">
      <c r="A1" s="14" t="s">
        <v>0</v>
      </c>
      <c r="B1" s="14" t="s">
        <v>1</v>
      </c>
      <c r="C1" s="14" t="s">
        <v>2</v>
      </c>
      <c r="D1" s="14" t="s">
        <v>3</v>
      </c>
      <c r="E1" s="168" t="s">
        <v>4</v>
      </c>
      <c r="F1" s="168"/>
      <c r="G1" s="168"/>
      <c r="H1" s="168" t="s">
        <v>5</v>
      </c>
      <c r="I1" s="168"/>
      <c r="J1" s="168"/>
      <c r="K1" s="122" t="s">
        <v>6</v>
      </c>
    </row>
    <row r="2" spans="1:11" s="18" customFormat="1" x14ac:dyDescent="0.35">
      <c r="A2" s="123" t="s">
        <v>7</v>
      </c>
      <c r="B2" s="123" t="s">
        <v>8</v>
      </c>
      <c r="C2" s="123" t="s">
        <v>9</v>
      </c>
      <c r="D2" s="123" t="s">
        <v>10</v>
      </c>
      <c r="E2" s="124" t="s">
        <v>11</v>
      </c>
      <c r="F2" s="124" t="s">
        <v>12</v>
      </c>
      <c r="G2" s="124" t="s">
        <v>13</v>
      </c>
      <c r="H2" s="124" t="s">
        <v>14</v>
      </c>
      <c r="I2" s="124" t="s">
        <v>15</v>
      </c>
      <c r="J2" s="124" t="s">
        <v>16</v>
      </c>
      <c r="K2" s="124" t="s">
        <v>17</v>
      </c>
    </row>
    <row r="3" spans="1:11" ht="90.75" customHeight="1" x14ac:dyDescent="0.35">
      <c r="A3" s="169" t="s">
        <v>18</v>
      </c>
      <c r="B3" s="169" t="s">
        <v>19</v>
      </c>
      <c r="C3" s="167" t="s">
        <v>20</v>
      </c>
      <c r="D3" s="167" t="s">
        <v>21</v>
      </c>
      <c r="E3" s="15" t="s">
        <v>22</v>
      </c>
      <c r="F3" s="19" t="s">
        <v>23</v>
      </c>
      <c r="G3" s="19" t="s">
        <v>24</v>
      </c>
      <c r="H3" s="167" t="s">
        <v>25</v>
      </c>
      <c r="I3" s="167" t="s">
        <v>26</v>
      </c>
      <c r="J3" s="167" t="s">
        <v>27</v>
      </c>
      <c r="K3" s="167" t="s">
        <v>28</v>
      </c>
    </row>
    <row r="4" spans="1:11" ht="99" x14ac:dyDescent="0.35">
      <c r="A4" s="169"/>
      <c r="B4" s="169"/>
      <c r="C4" s="167"/>
      <c r="D4" s="167"/>
      <c r="E4" s="21" t="s">
        <v>29</v>
      </c>
      <c r="F4" s="21" t="s">
        <v>30</v>
      </c>
      <c r="G4" s="21" t="s">
        <v>31</v>
      </c>
      <c r="H4" s="167"/>
      <c r="I4" s="167"/>
      <c r="J4" s="167"/>
      <c r="K4" s="167"/>
    </row>
    <row r="5" spans="1:11" ht="90.75" customHeight="1" x14ac:dyDescent="0.35">
      <c r="A5" s="169"/>
      <c r="B5" s="169"/>
      <c r="C5" s="167"/>
      <c r="D5" s="167"/>
      <c r="E5" s="120" t="s">
        <v>32</v>
      </c>
      <c r="F5" s="21" t="s">
        <v>33</v>
      </c>
      <c r="G5" s="21" t="s">
        <v>34</v>
      </c>
      <c r="H5" s="167"/>
      <c r="I5" s="167"/>
      <c r="J5" s="167"/>
      <c r="K5" s="167"/>
    </row>
    <row r="6" spans="1:11" ht="90.75" customHeight="1" thickBot="1" x14ac:dyDescent="0.4">
      <c r="A6" s="169"/>
      <c r="B6" s="169"/>
      <c r="C6" s="167"/>
      <c r="D6" s="167"/>
      <c r="E6" s="121" t="s">
        <v>35</v>
      </c>
      <c r="F6" s="121" t="s">
        <v>36</v>
      </c>
      <c r="G6" s="121" t="s">
        <v>37</v>
      </c>
      <c r="H6" s="167"/>
      <c r="I6" s="167"/>
      <c r="J6" s="167"/>
      <c r="K6" s="167"/>
    </row>
    <row r="7" spans="1:11" ht="66" x14ac:dyDescent="0.35">
      <c r="A7" s="169"/>
      <c r="B7" s="169"/>
      <c r="C7" s="167"/>
      <c r="D7" s="167"/>
      <c r="E7" s="20" t="s">
        <v>38</v>
      </c>
      <c r="F7" s="20" t="s">
        <v>39</v>
      </c>
      <c r="G7" s="19" t="s">
        <v>40</v>
      </c>
    </row>
    <row r="8" spans="1:11" x14ac:dyDescent="0.35">
      <c r="C8" s="19"/>
      <c r="H8" s="15"/>
    </row>
    <row r="9" spans="1:11" ht="33" x14ac:dyDescent="0.35">
      <c r="E9" s="21"/>
      <c r="F9" s="15"/>
      <c r="G9" s="21"/>
      <c r="H9" s="15"/>
      <c r="I9" s="20" t="s">
        <v>41</v>
      </c>
    </row>
    <row r="10" spans="1:11" x14ac:dyDescent="0.35">
      <c r="E10" s="15"/>
      <c r="F10" s="15"/>
      <c r="G10" s="15"/>
      <c r="H10" s="15"/>
    </row>
    <row r="11" spans="1:11" x14ac:dyDescent="0.35">
      <c r="E11" s="21"/>
      <c r="F11" s="21"/>
      <c r="G11" s="21"/>
      <c r="H11" s="15"/>
    </row>
    <row r="12" spans="1:11" x14ac:dyDescent="0.35">
      <c r="E12" s="21"/>
      <c r="F12" s="21"/>
      <c r="G12" s="21"/>
      <c r="H12" s="15"/>
    </row>
    <row r="13" spans="1:11" x14ac:dyDescent="0.35">
      <c r="E13" s="15"/>
      <c r="F13" s="15"/>
      <c r="H13" s="15"/>
    </row>
    <row r="14" spans="1:11" x14ac:dyDescent="0.35">
      <c r="E14" s="15"/>
      <c r="F14" s="15"/>
      <c r="H14" s="15"/>
      <c r="I14" s="19"/>
    </row>
    <row r="15" spans="1:11" x14ac:dyDescent="0.35">
      <c r="E15" s="15"/>
      <c r="F15" s="15"/>
    </row>
  </sheetData>
  <mergeCells count="10">
    <mergeCell ref="K3:K6"/>
    <mergeCell ref="E1:G1"/>
    <mergeCell ref="H1:J1"/>
    <mergeCell ref="A3:A7"/>
    <mergeCell ref="B3:B7"/>
    <mergeCell ref="C3:C7"/>
    <mergeCell ref="D3:D7"/>
    <mergeCell ref="H3:H6"/>
    <mergeCell ref="I3:I6"/>
    <mergeCell ref="J3:J6"/>
  </mergeCells>
  <dataValidations count="1">
    <dataValidation allowBlank="1" showInputMessage="1" showErrorMessage="1" sqref="E9:E11 E3:E7" xr:uid="{27C591BA-C3BF-4762-98CA-55FF4063ED86}"/>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3"/>
  <sheetViews>
    <sheetView zoomScaleNormal="100" workbookViewId="0">
      <selection sqref="A1:G1"/>
    </sheetView>
  </sheetViews>
  <sheetFormatPr baseColWidth="10" defaultColWidth="11.453125" defaultRowHeight="16.5" x14ac:dyDescent="0.35"/>
  <cols>
    <col min="1" max="1" width="19" style="20" customWidth="1"/>
    <col min="2" max="2" width="18" style="20" customWidth="1"/>
    <col min="3" max="3" width="34.453125" style="20" customWidth="1"/>
    <col min="4" max="4" width="38.1796875" style="20" customWidth="1"/>
    <col min="5" max="5" width="56.7265625" style="20" customWidth="1"/>
    <col min="6" max="6" width="90.453125" style="20" customWidth="1"/>
    <col min="7" max="7" width="32.453125" style="20" customWidth="1"/>
    <col min="8" max="16384" width="11.453125" style="20"/>
  </cols>
  <sheetData>
    <row r="1" spans="1:7" x14ac:dyDescent="0.35">
      <c r="A1" s="170" t="s">
        <v>42</v>
      </c>
      <c r="B1" s="171"/>
      <c r="C1" s="171"/>
      <c r="D1" s="171"/>
      <c r="E1" s="171"/>
      <c r="F1" s="171"/>
      <c r="G1" s="171"/>
    </row>
    <row r="2" spans="1:7" s="26" customFormat="1" ht="52" x14ac:dyDescent="0.35">
      <c r="A2" s="70" t="s">
        <v>43</v>
      </c>
      <c r="B2" s="71" t="s">
        <v>44</v>
      </c>
      <c r="C2" s="71" t="s">
        <v>45</v>
      </c>
      <c r="D2" s="71" t="s">
        <v>46</v>
      </c>
      <c r="E2" s="71" t="s">
        <v>47</v>
      </c>
      <c r="F2" s="72" t="s">
        <v>48</v>
      </c>
      <c r="G2" s="72" t="s">
        <v>49</v>
      </c>
    </row>
    <row r="3" spans="1:7" s="29" customFormat="1" ht="33" x14ac:dyDescent="0.35">
      <c r="A3" s="73" t="s">
        <v>50</v>
      </c>
      <c r="B3" s="74" t="s">
        <v>51</v>
      </c>
      <c r="C3" s="74" t="s">
        <v>52</v>
      </c>
      <c r="D3" s="74" t="s">
        <v>53</v>
      </c>
      <c r="E3" s="74" t="s">
        <v>54</v>
      </c>
      <c r="F3" s="75" t="s">
        <v>55</v>
      </c>
      <c r="G3" s="75" t="s">
        <v>56</v>
      </c>
    </row>
    <row r="4" spans="1:7" ht="66" x14ac:dyDescent="0.35">
      <c r="A4" s="125">
        <v>1</v>
      </c>
      <c r="B4" s="126" t="s">
        <v>57</v>
      </c>
      <c r="C4" s="16" t="s">
        <v>22</v>
      </c>
      <c r="D4" s="127" t="s">
        <v>23</v>
      </c>
      <c r="E4" s="127" t="s">
        <v>24</v>
      </c>
      <c r="F4" s="16" t="s">
        <v>58</v>
      </c>
      <c r="G4" s="16" t="s">
        <v>59</v>
      </c>
    </row>
    <row r="5" spans="1:7" s="19" customFormat="1" ht="82.5" x14ac:dyDescent="0.35">
      <c r="A5" s="128">
        <v>2</v>
      </c>
      <c r="B5" s="19" t="s">
        <v>60</v>
      </c>
      <c r="C5" s="19" t="s">
        <v>29</v>
      </c>
      <c r="D5" s="19" t="s">
        <v>30</v>
      </c>
      <c r="E5" s="19" t="s">
        <v>31</v>
      </c>
      <c r="F5" s="19" t="s">
        <v>61</v>
      </c>
      <c r="G5" s="19" t="s">
        <v>59</v>
      </c>
    </row>
    <row r="6" spans="1:7" s="19" customFormat="1" ht="82.5" x14ac:dyDescent="0.35">
      <c r="A6" s="128">
        <v>3</v>
      </c>
      <c r="B6" s="19" t="s">
        <v>62</v>
      </c>
      <c r="C6" s="19" t="s">
        <v>32</v>
      </c>
      <c r="D6" s="19" t="s">
        <v>33</v>
      </c>
      <c r="E6" s="19" t="s">
        <v>34</v>
      </c>
      <c r="F6" s="19" t="s">
        <v>63</v>
      </c>
      <c r="G6" s="19" t="s">
        <v>59</v>
      </c>
    </row>
    <row r="7" spans="1:7" s="67" customFormat="1" ht="66.5" thickBot="1" x14ac:dyDescent="0.4">
      <c r="A7" s="129">
        <v>4</v>
      </c>
      <c r="B7" s="130" t="s">
        <v>64</v>
      </c>
      <c r="C7" s="38" t="s">
        <v>35</v>
      </c>
      <c r="D7" s="38" t="s">
        <v>36</v>
      </c>
      <c r="E7" s="38" t="s">
        <v>37</v>
      </c>
      <c r="F7" s="38" t="s">
        <v>65</v>
      </c>
      <c r="G7" s="38" t="s">
        <v>59</v>
      </c>
    </row>
    <row r="8" spans="1:7" ht="49.5" x14ac:dyDescent="0.35">
      <c r="A8" s="119">
        <v>5</v>
      </c>
      <c r="B8" s="131" t="s">
        <v>57</v>
      </c>
      <c r="C8" s="43" t="s">
        <v>38</v>
      </c>
      <c r="D8" s="43" t="s">
        <v>39</v>
      </c>
      <c r="E8" s="43" t="s">
        <v>40</v>
      </c>
      <c r="F8" s="132" t="s">
        <v>66</v>
      </c>
      <c r="G8" s="15" t="s">
        <v>67</v>
      </c>
    </row>
    <row r="9" spans="1:7" x14ac:dyDescent="0.35">
      <c r="A9" s="18"/>
      <c r="C9" s="21"/>
      <c r="D9" s="21"/>
      <c r="E9" s="21"/>
      <c r="F9" s="19"/>
    </row>
    <row r="10" spans="1:7" x14ac:dyDescent="0.35">
      <c r="A10" s="18"/>
      <c r="C10" s="21"/>
      <c r="D10" s="21"/>
      <c r="E10" s="21"/>
      <c r="F10" s="19"/>
    </row>
    <row r="11" spans="1:7" x14ac:dyDescent="0.35">
      <c r="A11" s="18"/>
      <c r="C11" s="21"/>
      <c r="D11" s="21"/>
      <c r="E11" s="21"/>
      <c r="F11" s="19"/>
    </row>
    <row r="12" spans="1:7" x14ac:dyDescent="0.35">
      <c r="A12" s="18"/>
      <c r="C12" s="21"/>
      <c r="D12" s="21"/>
      <c r="E12" s="21"/>
      <c r="F12" s="19"/>
    </row>
    <row r="13" spans="1:7" x14ac:dyDescent="0.35">
      <c r="A13" s="18"/>
      <c r="C13" s="21"/>
      <c r="D13" s="21"/>
      <c r="E13" s="21"/>
      <c r="F13" s="19"/>
    </row>
  </sheetData>
  <mergeCells count="1">
    <mergeCell ref="A1:G1"/>
  </mergeCells>
  <dataValidations count="5">
    <dataValidation type="list" allowBlank="1" showInputMessage="1" showErrorMessage="1" sqref="F5:F6 C5:C8" xr:uid="{296160A6-FB03-49EA-93B2-DD1CAF2E1EB2}">
      <formula1>Conocimientos</formula1>
    </dataValidation>
    <dataValidation type="list" allowBlank="1" showInputMessage="1" showErrorMessage="1" sqref="C4" xr:uid="{1A0CD901-2BFB-4260-898F-EBDEADE41CFB}">
      <formula1>Saber</formula1>
    </dataValidation>
    <dataValidation type="list" allowBlank="1" showInputMessage="1" showErrorMessage="1" sqref="D4" xr:uid="{F71A54EC-549E-4138-9174-5FF19E5A9C58}">
      <formula1>Saberhacer</formula1>
    </dataValidation>
    <dataValidation type="list" allowBlank="1" showInputMessage="1" showErrorMessage="1" sqref="B4:B8" xr:uid="{7FF6EE86-2F70-4AF5-821E-634C08680A10}">
      <formula1>VerbosCompetencias</formula1>
    </dataValidation>
    <dataValidation type="list" allowBlank="1" showInputMessage="1" showErrorMessage="1" sqref="E4:E8" xr:uid="{C8CCD15D-DFB3-44B4-A182-56CCC9302568}">
      <formula1>saberser</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50999A9-88A0-419B-85CB-39356D079CB6}">
          <x14:formula1>
            <xm:f>'Paso1 Analisis perfil egreso'!$F$3:$F$7</xm:f>
          </x14:formula1>
          <xm:sqref>D5:D8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K24"/>
  <sheetViews>
    <sheetView zoomScaleNormal="100" workbookViewId="0">
      <pane ySplit="2" topLeftCell="A3" activePane="bottomLeft" state="frozen"/>
      <selection pane="bottomLeft"/>
    </sheetView>
  </sheetViews>
  <sheetFormatPr baseColWidth="10" defaultColWidth="11.453125" defaultRowHeight="16.5" x14ac:dyDescent="0.35"/>
  <cols>
    <col min="1" max="1" width="77.453125" style="15" customWidth="1"/>
    <col min="2" max="2" width="23.1796875" style="18" customWidth="1"/>
    <col min="3" max="3" width="23" style="20" customWidth="1"/>
    <col min="4" max="4" width="36.81640625" style="20" customWidth="1"/>
    <col min="5" max="5" width="25.54296875" style="20" customWidth="1"/>
    <col min="6" max="6" width="21.81640625" style="20" customWidth="1"/>
    <col min="7" max="7" width="27.453125" style="11" customWidth="1"/>
    <col min="8" max="8" width="20" style="11" customWidth="1"/>
    <col min="9" max="9" width="72" style="35" customWidth="1"/>
    <col min="10" max="16384" width="11.453125" style="15"/>
  </cols>
  <sheetData>
    <row r="1" spans="1:11" s="31" customFormat="1" ht="52" x14ac:dyDescent="0.35">
      <c r="A1" s="14" t="s">
        <v>68</v>
      </c>
      <c r="B1" s="14" t="s">
        <v>69</v>
      </c>
      <c r="C1" s="25" t="s">
        <v>70</v>
      </c>
      <c r="D1" s="68" t="s">
        <v>71</v>
      </c>
      <c r="E1" s="68" t="s">
        <v>72</v>
      </c>
      <c r="F1" s="25" t="s">
        <v>73</v>
      </c>
      <c r="G1" s="25" t="s">
        <v>74</v>
      </c>
      <c r="H1" s="25" t="s">
        <v>75</v>
      </c>
      <c r="I1" s="14" t="s">
        <v>76</v>
      </c>
    </row>
    <row r="2" spans="1:11" s="33" customFormat="1" x14ac:dyDescent="0.35">
      <c r="A2" s="30" t="s">
        <v>77</v>
      </c>
      <c r="B2" s="30" t="s">
        <v>78</v>
      </c>
      <c r="C2" s="27" t="s">
        <v>79</v>
      </c>
      <c r="D2" s="69" t="s">
        <v>80</v>
      </c>
      <c r="E2" s="69" t="s">
        <v>81</v>
      </c>
      <c r="F2" s="27" t="s">
        <v>82</v>
      </c>
      <c r="G2" s="27" t="s">
        <v>83</v>
      </c>
      <c r="H2" s="27" t="s">
        <v>84</v>
      </c>
      <c r="I2" s="30" t="s">
        <v>85</v>
      </c>
    </row>
    <row r="3" spans="1:11" ht="66" x14ac:dyDescent="0.35">
      <c r="A3" s="16" t="s">
        <v>86</v>
      </c>
      <c r="B3" s="133">
        <v>1</v>
      </c>
      <c r="C3" s="16" t="s">
        <v>11</v>
      </c>
      <c r="D3" s="16" t="s">
        <v>22</v>
      </c>
      <c r="E3" s="16" t="s">
        <v>87</v>
      </c>
      <c r="F3" s="126" t="s">
        <v>88</v>
      </c>
      <c r="G3" s="126" t="s">
        <v>89</v>
      </c>
      <c r="H3" s="126" t="s">
        <v>57</v>
      </c>
      <c r="I3" s="134" t="s">
        <v>90</v>
      </c>
    </row>
    <row r="4" spans="1:11" ht="66" x14ac:dyDescent="0.5">
      <c r="A4" s="20" t="s">
        <v>86</v>
      </c>
      <c r="B4" s="18">
        <v>4</v>
      </c>
      <c r="C4" s="20" t="s">
        <v>12</v>
      </c>
      <c r="D4" s="20" t="s">
        <v>23</v>
      </c>
      <c r="E4" s="20" t="s">
        <v>87</v>
      </c>
      <c r="F4" s="11" t="s">
        <v>91</v>
      </c>
      <c r="G4" s="11" t="s">
        <v>92</v>
      </c>
      <c r="H4" s="11" t="s">
        <v>60</v>
      </c>
      <c r="I4" s="39" t="s">
        <v>93</v>
      </c>
      <c r="K4" s="60"/>
    </row>
    <row r="5" spans="1:11" ht="66.5" thickBot="1" x14ac:dyDescent="0.4">
      <c r="A5" s="36" t="s">
        <v>86</v>
      </c>
      <c r="B5" s="139">
        <v>7</v>
      </c>
      <c r="C5" s="36" t="s">
        <v>13</v>
      </c>
      <c r="D5" s="36" t="s">
        <v>24</v>
      </c>
      <c r="E5" s="36" t="s">
        <v>87</v>
      </c>
      <c r="F5" s="37" t="s">
        <v>94</v>
      </c>
      <c r="G5" s="37" t="s">
        <v>95</v>
      </c>
      <c r="H5" s="37" t="s">
        <v>64</v>
      </c>
      <c r="I5" s="117" t="s">
        <v>96</v>
      </c>
    </row>
    <row r="6" spans="1:11" s="21" customFormat="1" ht="82.5" x14ac:dyDescent="0.35">
      <c r="A6" s="43" t="s">
        <v>97</v>
      </c>
      <c r="B6" s="118">
        <v>1</v>
      </c>
      <c r="C6" s="132" t="s">
        <v>11</v>
      </c>
      <c r="D6" s="132" t="s">
        <v>29</v>
      </c>
      <c r="E6" s="132" t="s">
        <v>87</v>
      </c>
      <c r="F6" s="135" t="s">
        <v>88</v>
      </c>
      <c r="G6" s="135" t="s">
        <v>89</v>
      </c>
      <c r="H6" s="135" t="s">
        <v>57</v>
      </c>
      <c r="I6" s="136" t="s">
        <v>90</v>
      </c>
    </row>
    <row r="7" spans="1:11" s="21" customFormat="1" ht="99" x14ac:dyDescent="0.35">
      <c r="A7" s="19" t="s">
        <v>97</v>
      </c>
      <c r="B7" s="34">
        <v>4</v>
      </c>
      <c r="C7" s="19" t="s">
        <v>12</v>
      </c>
      <c r="D7" s="19" t="s">
        <v>30</v>
      </c>
      <c r="E7" s="19" t="s">
        <v>87</v>
      </c>
      <c r="F7" s="2" t="s">
        <v>91</v>
      </c>
      <c r="G7" s="2" t="s">
        <v>92</v>
      </c>
      <c r="H7" s="2" t="s">
        <v>60</v>
      </c>
      <c r="I7" s="39" t="s">
        <v>93</v>
      </c>
    </row>
    <row r="8" spans="1:11" s="21" customFormat="1" ht="83" thickBot="1" x14ac:dyDescent="0.4">
      <c r="A8" s="38" t="s">
        <v>97</v>
      </c>
      <c r="B8" s="139">
        <v>7</v>
      </c>
      <c r="C8" s="38" t="s">
        <v>13</v>
      </c>
      <c r="D8" s="38" t="s">
        <v>31</v>
      </c>
      <c r="E8" s="38" t="s">
        <v>87</v>
      </c>
      <c r="F8" s="130" t="s">
        <v>94</v>
      </c>
      <c r="G8" s="37" t="s">
        <v>95</v>
      </c>
      <c r="H8" s="37" t="s">
        <v>64</v>
      </c>
      <c r="I8" s="117" t="s">
        <v>96</v>
      </c>
    </row>
    <row r="9" spans="1:11" s="24" customFormat="1" ht="82.5" x14ac:dyDescent="0.35">
      <c r="A9" s="132" t="s">
        <v>98</v>
      </c>
      <c r="B9" s="118">
        <v>2</v>
      </c>
      <c r="C9" s="132" t="s">
        <v>11</v>
      </c>
      <c r="D9" s="132" t="s">
        <v>32</v>
      </c>
      <c r="E9" s="43" t="s">
        <v>87</v>
      </c>
      <c r="F9" s="137" t="s">
        <v>88</v>
      </c>
      <c r="G9" s="137" t="s">
        <v>89</v>
      </c>
      <c r="H9" s="137" t="s">
        <v>57</v>
      </c>
      <c r="I9" s="138" t="s">
        <v>99</v>
      </c>
    </row>
    <row r="10" spans="1:11" s="24" customFormat="1" ht="82.5" x14ac:dyDescent="0.35">
      <c r="A10" s="19" t="s">
        <v>98</v>
      </c>
      <c r="B10" s="28">
        <v>5</v>
      </c>
      <c r="C10" s="19" t="s">
        <v>12</v>
      </c>
      <c r="D10" s="19" t="s">
        <v>33</v>
      </c>
      <c r="E10" s="20" t="s">
        <v>87</v>
      </c>
      <c r="F10" s="11" t="s">
        <v>91</v>
      </c>
      <c r="G10" s="140" t="s">
        <v>92</v>
      </c>
      <c r="H10" s="140" t="s">
        <v>100</v>
      </c>
      <c r="I10" s="39" t="s">
        <v>101</v>
      </c>
    </row>
    <row r="11" spans="1:11" s="24" customFormat="1" ht="83" thickBot="1" x14ac:dyDescent="0.4">
      <c r="A11" s="38" t="s">
        <v>98</v>
      </c>
      <c r="B11" s="139">
        <v>7</v>
      </c>
      <c r="C11" s="38" t="s">
        <v>13</v>
      </c>
      <c r="D11" s="38" t="s">
        <v>34</v>
      </c>
      <c r="E11" s="36" t="s">
        <v>87</v>
      </c>
      <c r="F11" s="37" t="s">
        <v>94</v>
      </c>
      <c r="G11" s="37" t="s">
        <v>95</v>
      </c>
      <c r="H11" s="37" t="s">
        <v>64</v>
      </c>
      <c r="I11" s="117" t="s">
        <v>96</v>
      </c>
    </row>
    <row r="12" spans="1:11" ht="66" x14ac:dyDescent="0.35">
      <c r="A12" s="132" t="s">
        <v>102</v>
      </c>
      <c r="B12" s="118">
        <v>3</v>
      </c>
      <c r="C12" s="132" t="s">
        <v>11</v>
      </c>
      <c r="D12" s="132" t="s">
        <v>35</v>
      </c>
      <c r="E12" s="43" t="s">
        <v>87</v>
      </c>
      <c r="F12" s="137" t="s">
        <v>88</v>
      </c>
      <c r="G12" s="137" t="s">
        <v>89</v>
      </c>
      <c r="H12" s="137" t="s">
        <v>57</v>
      </c>
      <c r="I12" s="138" t="s">
        <v>103</v>
      </c>
    </row>
    <row r="13" spans="1:11" ht="66" x14ac:dyDescent="0.35">
      <c r="A13" s="19" t="s">
        <v>102</v>
      </c>
      <c r="B13" s="28">
        <v>6</v>
      </c>
      <c r="C13" s="19" t="s">
        <v>12</v>
      </c>
      <c r="D13" s="19" t="s">
        <v>36</v>
      </c>
      <c r="E13" s="20" t="s">
        <v>87</v>
      </c>
      <c r="F13" s="11" t="s">
        <v>91</v>
      </c>
      <c r="G13" s="2" t="s">
        <v>92</v>
      </c>
      <c r="H13" s="11" t="s">
        <v>60</v>
      </c>
      <c r="I13" s="120" t="s">
        <v>104</v>
      </c>
    </row>
    <row r="14" spans="1:11" ht="66.5" thickBot="1" x14ac:dyDescent="0.4">
      <c r="A14" s="38" t="s">
        <v>102</v>
      </c>
      <c r="B14" s="139">
        <v>7</v>
      </c>
      <c r="C14" s="38" t="s">
        <v>13</v>
      </c>
      <c r="D14" s="38" t="s">
        <v>37</v>
      </c>
      <c r="E14" s="36" t="s">
        <v>87</v>
      </c>
      <c r="F14" s="37" t="s">
        <v>94</v>
      </c>
      <c r="G14" s="37" t="s">
        <v>95</v>
      </c>
      <c r="H14" s="37" t="s">
        <v>64</v>
      </c>
      <c r="I14" s="117" t="s">
        <v>96</v>
      </c>
    </row>
    <row r="15" spans="1:11" ht="49.5" x14ac:dyDescent="0.35">
      <c r="A15" s="19" t="s">
        <v>66</v>
      </c>
      <c r="B15" s="28">
        <v>8</v>
      </c>
      <c r="C15" s="19" t="s">
        <v>11</v>
      </c>
      <c r="D15" s="15" t="s">
        <v>38</v>
      </c>
      <c r="E15" s="20" t="s">
        <v>87</v>
      </c>
      <c r="F15" s="23" t="s">
        <v>88</v>
      </c>
      <c r="G15" s="23" t="s">
        <v>105</v>
      </c>
      <c r="H15" s="23" t="s">
        <v>106</v>
      </c>
      <c r="I15" s="15" t="s">
        <v>107</v>
      </c>
    </row>
    <row r="16" spans="1:11" x14ac:dyDescent="0.35">
      <c r="A16" s="19"/>
      <c r="C16" s="19"/>
      <c r="D16" s="19"/>
      <c r="E16" s="19"/>
      <c r="F16" s="19"/>
      <c r="G16" s="2"/>
      <c r="H16" s="2"/>
      <c r="I16" s="15"/>
    </row>
    <row r="17" spans="1:9" x14ac:dyDescent="0.35">
      <c r="A17" s="19"/>
      <c r="C17" s="19"/>
      <c r="D17" s="19"/>
      <c r="E17" s="19"/>
      <c r="F17" s="19"/>
      <c r="G17" s="2"/>
      <c r="H17" s="2"/>
      <c r="I17" s="15"/>
    </row>
    <row r="18" spans="1:9" x14ac:dyDescent="0.35">
      <c r="A18" s="19"/>
      <c r="C18" s="19"/>
      <c r="D18" s="19"/>
      <c r="E18" s="19"/>
      <c r="F18" s="19"/>
      <c r="G18" s="2"/>
      <c r="H18" s="2"/>
      <c r="I18" s="15"/>
    </row>
    <row r="19" spans="1:9" x14ac:dyDescent="0.35">
      <c r="A19" s="19"/>
      <c r="C19" s="19"/>
      <c r="D19" s="19"/>
      <c r="E19" s="19"/>
      <c r="F19" s="19"/>
      <c r="G19" s="2"/>
      <c r="H19" s="2"/>
      <c r="I19" s="19"/>
    </row>
    <row r="20" spans="1:9" x14ac:dyDescent="0.35">
      <c r="A20" s="19"/>
      <c r="C20" s="19"/>
      <c r="D20" s="19"/>
      <c r="E20" s="19"/>
      <c r="F20" s="19"/>
      <c r="G20" s="2"/>
      <c r="H20" s="2"/>
      <c r="I20" s="15"/>
    </row>
    <row r="21" spans="1:9" x14ac:dyDescent="0.35">
      <c r="A21" s="19"/>
      <c r="C21" s="19"/>
      <c r="D21" s="19"/>
      <c r="E21" s="19"/>
      <c r="F21" s="19"/>
      <c r="G21" s="2"/>
      <c r="H21" s="2"/>
      <c r="I21" s="19"/>
    </row>
    <row r="22" spans="1:9" x14ac:dyDescent="0.35">
      <c r="A22" s="19"/>
      <c r="C22" s="19"/>
      <c r="D22" s="19"/>
      <c r="E22" s="19"/>
      <c r="F22" s="19"/>
      <c r="G22" s="2"/>
      <c r="H22" s="2"/>
      <c r="I22" s="15"/>
    </row>
    <row r="24" spans="1:9" x14ac:dyDescent="0.5">
      <c r="A24" s="22"/>
    </row>
  </sheetData>
  <autoFilter ref="A2:I15" xr:uid="{94AAF649-42F4-466A-BE11-44357078F961}"/>
  <dataValidations count="7">
    <dataValidation type="list" allowBlank="1" showInputMessage="1" showErrorMessage="1" sqref="C3:C15" xr:uid="{3B0FAE21-4414-4928-BE47-40DBF73D85A6}">
      <formula1>dominios</formula1>
    </dataValidation>
    <dataValidation type="list" allowBlank="1" showInputMessage="1" showErrorMessage="1" sqref="H3:H15" xr:uid="{5DC517A5-FC6B-4375-B3E1-04A2C1D437C5}">
      <formula1>INDIRECT($G3)</formula1>
    </dataValidation>
    <dataValidation type="list" allowBlank="1" showInputMessage="1" showErrorMessage="1" sqref="A3:A22" xr:uid="{1BC8411C-0029-4475-BC4D-F429B66D863D}">
      <formula1>competencias</formula1>
    </dataValidation>
    <dataValidation type="list" allowBlank="1" showInputMessage="1" showErrorMessage="1" sqref="F3:F15" xr:uid="{EDC32C5E-443E-464B-B420-6F6CD6A8E099}">
      <formula1>INDIRECT($E3)</formula1>
    </dataValidation>
    <dataValidation type="list" allowBlank="1" showInputMessage="1" showErrorMessage="1" sqref="D3:D15" xr:uid="{D2786A4C-D4BE-47D1-BDF5-271CFB539CAE}">
      <formula1>INDIRECT($C3)</formula1>
    </dataValidation>
    <dataValidation type="list" allowBlank="1" showInputMessage="1" showErrorMessage="1" sqref="G3:G15" xr:uid="{DF3498F9-E1A3-4395-90A6-D9BF5E92F1D0}">
      <formula1>INDIRECT($F3)</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5" xr:uid="{91AF69DB-29AC-4636-A60A-F864E6B2F972}">
      <formula1>taxonomiasra</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57"/>
  <sheetViews>
    <sheetView zoomScaleNormal="100" workbookViewId="0"/>
  </sheetViews>
  <sheetFormatPr baseColWidth="10" defaultColWidth="11.453125" defaultRowHeight="16.5" x14ac:dyDescent="0.35"/>
  <cols>
    <col min="1" max="1" width="98.81640625" style="11" customWidth="1"/>
    <col min="2" max="2" width="42.453125" style="44" customWidth="1"/>
    <col min="3" max="3" width="58.81640625" style="11" customWidth="1"/>
    <col min="4" max="4" width="61.54296875" style="11" customWidth="1"/>
    <col min="5" max="5" width="50.1796875" style="11" customWidth="1"/>
    <col min="6" max="6" width="47.7265625" style="11" customWidth="1"/>
    <col min="7" max="16384" width="11.453125" style="11"/>
  </cols>
  <sheetData>
    <row r="1" spans="1:6" ht="65" x14ac:dyDescent="0.35">
      <c r="A1" s="14" t="s">
        <v>108</v>
      </c>
      <c r="B1" s="14" t="s">
        <v>109</v>
      </c>
      <c r="C1" s="14" t="s">
        <v>110</v>
      </c>
      <c r="D1" s="14" t="s">
        <v>111</v>
      </c>
      <c r="E1" s="14" t="s">
        <v>112</v>
      </c>
      <c r="F1" s="14" t="s">
        <v>113</v>
      </c>
    </row>
    <row r="2" spans="1:6" x14ac:dyDescent="0.35">
      <c r="A2" s="30" t="s">
        <v>114</v>
      </c>
      <c r="B2" s="30" t="s">
        <v>115</v>
      </c>
      <c r="C2" s="30" t="s">
        <v>116</v>
      </c>
      <c r="D2" s="30" t="s">
        <v>117</v>
      </c>
      <c r="E2" s="30" t="s">
        <v>118</v>
      </c>
      <c r="F2" s="30" t="s">
        <v>119</v>
      </c>
    </row>
    <row r="3" spans="1:6" ht="49.5" x14ac:dyDescent="0.35">
      <c r="A3" s="40" t="s">
        <v>90</v>
      </c>
      <c r="B3" s="172" t="s">
        <v>120</v>
      </c>
      <c r="C3" s="175" t="s">
        <v>121</v>
      </c>
      <c r="D3" s="40" t="s">
        <v>122</v>
      </c>
      <c r="E3" s="172" t="s">
        <v>123</v>
      </c>
      <c r="F3" s="16" t="s">
        <v>124</v>
      </c>
    </row>
    <row r="4" spans="1:6" ht="33" x14ac:dyDescent="0.35">
      <c r="A4" s="39" t="s">
        <v>99</v>
      </c>
      <c r="B4" s="173"/>
      <c r="C4" s="176"/>
      <c r="D4" s="39" t="s">
        <v>125</v>
      </c>
      <c r="E4" s="173"/>
      <c r="F4" s="20" t="s">
        <v>126</v>
      </c>
    </row>
    <row r="5" spans="1:6" ht="33.5" thickBot="1" x14ac:dyDescent="0.4">
      <c r="A5" s="39" t="s">
        <v>103</v>
      </c>
      <c r="B5" s="173"/>
      <c r="C5" s="176"/>
      <c r="D5" s="39" t="s">
        <v>127</v>
      </c>
      <c r="E5" s="173"/>
      <c r="F5" s="20" t="s">
        <v>128</v>
      </c>
    </row>
    <row r="6" spans="1:6" ht="49.5" x14ac:dyDescent="0.35">
      <c r="A6" s="42" t="s">
        <v>90</v>
      </c>
      <c r="B6" s="174" t="s">
        <v>129</v>
      </c>
      <c r="C6" s="177" t="s">
        <v>130</v>
      </c>
      <c r="D6" s="42" t="s">
        <v>122</v>
      </c>
      <c r="E6" s="174" t="s">
        <v>131</v>
      </c>
      <c r="F6" s="42" t="s">
        <v>132</v>
      </c>
    </row>
    <row r="7" spans="1:6" ht="33" x14ac:dyDescent="0.35">
      <c r="A7" s="39" t="s">
        <v>103</v>
      </c>
      <c r="B7" s="173"/>
      <c r="C7" s="176"/>
      <c r="D7" s="39" t="s">
        <v>133</v>
      </c>
      <c r="E7" s="173"/>
      <c r="F7" s="20" t="s">
        <v>134</v>
      </c>
    </row>
    <row r="8" spans="1:6" ht="49.5" x14ac:dyDescent="0.35">
      <c r="A8" s="39" t="s">
        <v>101</v>
      </c>
      <c r="B8" s="173"/>
      <c r="C8" s="176"/>
      <c r="D8" s="39" t="s">
        <v>135</v>
      </c>
      <c r="E8" s="173"/>
      <c r="F8" s="20" t="s">
        <v>128</v>
      </c>
    </row>
    <row r="9" spans="1:6" ht="33.5" thickBot="1" x14ac:dyDescent="0.4">
      <c r="A9" s="41" t="s">
        <v>96</v>
      </c>
      <c r="B9" s="173"/>
      <c r="C9" s="176"/>
      <c r="D9" s="41"/>
      <c r="E9" s="173"/>
      <c r="F9" s="36"/>
    </row>
    <row r="10" spans="1:6" ht="49.5" x14ac:dyDescent="0.35">
      <c r="A10" s="42" t="s">
        <v>90</v>
      </c>
      <c r="B10" s="174" t="s">
        <v>136</v>
      </c>
      <c r="C10" s="179" t="s">
        <v>137</v>
      </c>
      <c r="D10" s="42" t="s">
        <v>122</v>
      </c>
      <c r="E10" s="174" t="s">
        <v>138</v>
      </c>
      <c r="F10" s="43" t="s">
        <v>139</v>
      </c>
    </row>
    <row r="11" spans="1:6" ht="49.5" x14ac:dyDescent="0.35">
      <c r="A11" s="39" t="s">
        <v>101</v>
      </c>
      <c r="B11" s="173"/>
      <c r="C11" s="180"/>
      <c r="D11" s="39" t="s">
        <v>125</v>
      </c>
      <c r="E11" s="173"/>
      <c r="F11" s="20" t="s">
        <v>126</v>
      </c>
    </row>
    <row r="12" spans="1:6" ht="49.5" x14ac:dyDescent="0.35">
      <c r="A12" s="39" t="s">
        <v>93</v>
      </c>
      <c r="B12" s="173"/>
      <c r="C12" s="180"/>
      <c r="D12" s="39" t="s">
        <v>140</v>
      </c>
      <c r="E12" s="173"/>
      <c r="F12" s="20" t="s">
        <v>128</v>
      </c>
    </row>
    <row r="13" spans="1:6" ht="33.5" thickBot="1" x14ac:dyDescent="0.4">
      <c r="A13" s="41" t="s">
        <v>96</v>
      </c>
      <c r="B13" s="178"/>
      <c r="C13" s="181"/>
      <c r="D13" s="41"/>
      <c r="E13" s="178"/>
      <c r="F13" s="37"/>
    </row>
    <row r="14" spans="1:6" ht="49.5" x14ac:dyDescent="0.35">
      <c r="A14" s="42" t="s">
        <v>90</v>
      </c>
      <c r="B14" s="182" t="s">
        <v>141</v>
      </c>
      <c r="C14" s="179" t="s">
        <v>142</v>
      </c>
      <c r="D14" s="39" t="s">
        <v>122</v>
      </c>
      <c r="E14" s="174" t="s">
        <v>143</v>
      </c>
      <c r="F14" s="43" t="s">
        <v>139</v>
      </c>
    </row>
    <row r="15" spans="1:6" ht="49.5" x14ac:dyDescent="0.35">
      <c r="A15" s="39" t="s">
        <v>101</v>
      </c>
      <c r="B15" s="183"/>
      <c r="C15" s="180"/>
      <c r="D15" s="39" t="s">
        <v>144</v>
      </c>
      <c r="E15" s="173"/>
      <c r="F15" s="20" t="s">
        <v>126</v>
      </c>
    </row>
    <row r="16" spans="1:6" ht="49.5" x14ac:dyDescent="0.35">
      <c r="A16" s="39" t="s">
        <v>93</v>
      </c>
      <c r="B16" s="183"/>
      <c r="C16" s="180"/>
      <c r="D16" s="39" t="s">
        <v>145</v>
      </c>
      <c r="E16" s="173"/>
      <c r="F16" s="11" t="s">
        <v>128</v>
      </c>
    </row>
    <row r="17" spans="1:6" ht="33.5" thickBot="1" x14ac:dyDescent="0.4">
      <c r="A17" s="41" t="s">
        <v>96</v>
      </c>
      <c r="B17" s="184"/>
      <c r="C17" s="185"/>
      <c r="D17" s="41"/>
      <c r="E17" s="186"/>
      <c r="F17" s="20"/>
    </row>
    <row r="18" spans="1:6" ht="49.5" x14ac:dyDescent="0.35">
      <c r="A18" s="39" t="s">
        <v>101</v>
      </c>
      <c r="B18" s="182" t="s">
        <v>146</v>
      </c>
      <c r="C18" s="179" t="s">
        <v>147</v>
      </c>
      <c r="D18" s="39" t="s">
        <v>122</v>
      </c>
      <c r="E18" s="174" t="s">
        <v>148</v>
      </c>
      <c r="F18" s="43" t="s">
        <v>139</v>
      </c>
    </row>
    <row r="19" spans="1:6" ht="49.5" x14ac:dyDescent="0.35">
      <c r="A19" s="39" t="s">
        <v>93</v>
      </c>
      <c r="B19" s="183"/>
      <c r="C19" s="180"/>
      <c r="D19" s="39" t="s">
        <v>149</v>
      </c>
      <c r="E19" s="173"/>
      <c r="F19" s="20" t="s">
        <v>126</v>
      </c>
    </row>
    <row r="20" spans="1:6" ht="33.5" thickBot="1" x14ac:dyDescent="0.4">
      <c r="A20" s="141" t="s">
        <v>96</v>
      </c>
      <c r="B20" s="184"/>
      <c r="C20" s="185"/>
      <c r="D20" s="41" t="s">
        <v>150</v>
      </c>
      <c r="E20" s="186"/>
      <c r="F20" s="36" t="s">
        <v>128</v>
      </c>
    </row>
    <row r="21" spans="1:6" ht="49.5" x14ac:dyDescent="0.35">
      <c r="A21" s="39" t="s">
        <v>90</v>
      </c>
      <c r="B21" s="174" t="s">
        <v>151</v>
      </c>
      <c r="C21" s="179" t="s">
        <v>152</v>
      </c>
      <c r="D21" s="39" t="s">
        <v>122</v>
      </c>
      <c r="E21" s="174" t="s">
        <v>153</v>
      </c>
      <c r="F21" s="43" t="s">
        <v>139</v>
      </c>
    </row>
    <row r="22" spans="1:6" ht="33" x14ac:dyDescent="0.35">
      <c r="A22" s="39" t="s">
        <v>99</v>
      </c>
      <c r="B22" s="173"/>
      <c r="C22" s="180"/>
      <c r="D22" s="39" t="s">
        <v>149</v>
      </c>
      <c r="E22" s="173"/>
      <c r="F22" s="20" t="s">
        <v>126</v>
      </c>
    </row>
    <row r="23" spans="1:6" ht="33" x14ac:dyDescent="0.35">
      <c r="A23" s="39" t="s">
        <v>103</v>
      </c>
      <c r="B23" s="173"/>
      <c r="C23" s="180"/>
      <c r="D23" s="39" t="s">
        <v>145</v>
      </c>
      <c r="E23" s="173"/>
      <c r="F23" s="20" t="s">
        <v>128</v>
      </c>
    </row>
    <row r="24" spans="1:6" ht="33" x14ac:dyDescent="0.35">
      <c r="A24" s="39" t="s">
        <v>104</v>
      </c>
      <c r="B24" s="173"/>
      <c r="C24" s="180"/>
      <c r="D24" s="39"/>
      <c r="E24" s="173"/>
      <c r="F24" s="20"/>
    </row>
    <row r="25" spans="1:6" ht="33.5" thickBot="1" x14ac:dyDescent="0.4">
      <c r="A25" s="141" t="s">
        <v>96</v>
      </c>
      <c r="B25" s="186"/>
      <c r="C25" s="185"/>
      <c r="D25" s="41"/>
      <c r="E25" s="186"/>
      <c r="F25" s="36"/>
    </row>
    <row r="26" spans="1:6" ht="49.5" x14ac:dyDescent="0.35">
      <c r="A26" s="42" t="s">
        <v>90</v>
      </c>
      <c r="B26" s="174" t="s">
        <v>154</v>
      </c>
      <c r="C26" s="179" t="s">
        <v>155</v>
      </c>
      <c r="D26" s="39" t="s">
        <v>122</v>
      </c>
      <c r="E26" s="174" t="s">
        <v>156</v>
      </c>
      <c r="F26" s="43" t="s">
        <v>139</v>
      </c>
    </row>
    <row r="27" spans="1:6" ht="49.5" x14ac:dyDescent="0.35">
      <c r="A27" s="39" t="s">
        <v>101</v>
      </c>
      <c r="B27" s="173"/>
      <c r="C27" s="180"/>
      <c r="D27" s="39" t="s">
        <v>149</v>
      </c>
      <c r="E27" s="173"/>
      <c r="F27" s="20" t="s">
        <v>126</v>
      </c>
    </row>
    <row r="28" spans="1:6" ht="49.5" x14ac:dyDescent="0.35">
      <c r="A28" s="39" t="s">
        <v>93</v>
      </c>
      <c r="B28" s="173"/>
      <c r="C28" s="180"/>
      <c r="D28" s="39" t="s">
        <v>145</v>
      </c>
      <c r="E28" s="173"/>
      <c r="F28" s="11" t="s">
        <v>128</v>
      </c>
    </row>
    <row r="29" spans="1:6" ht="33.5" thickBot="1" x14ac:dyDescent="0.4">
      <c r="A29" s="41" t="s">
        <v>96</v>
      </c>
      <c r="B29" s="186"/>
      <c r="C29" s="185"/>
      <c r="D29" s="41"/>
      <c r="E29" s="186"/>
      <c r="F29" s="36"/>
    </row>
    <row r="30" spans="1:6" ht="49.5" x14ac:dyDescent="0.35">
      <c r="A30" s="39" t="s">
        <v>90</v>
      </c>
      <c r="B30" s="174" t="s">
        <v>157</v>
      </c>
      <c r="C30" s="179" t="s">
        <v>158</v>
      </c>
      <c r="D30" s="39" t="s">
        <v>122</v>
      </c>
      <c r="E30" s="174" t="s">
        <v>159</v>
      </c>
      <c r="F30" s="43" t="s">
        <v>139</v>
      </c>
    </row>
    <row r="31" spans="1:6" ht="49.5" x14ac:dyDescent="0.35">
      <c r="A31" s="39" t="s">
        <v>101</v>
      </c>
      <c r="B31" s="173"/>
      <c r="C31" s="180"/>
      <c r="D31" s="39" t="s">
        <v>149</v>
      </c>
      <c r="E31" s="173"/>
      <c r="F31" s="20" t="s">
        <v>126</v>
      </c>
    </row>
    <row r="32" spans="1:6" ht="33" x14ac:dyDescent="0.35">
      <c r="A32" s="39" t="s">
        <v>104</v>
      </c>
      <c r="B32" s="173"/>
      <c r="C32" s="180"/>
      <c r="D32" s="39" t="s">
        <v>145</v>
      </c>
      <c r="E32" s="173"/>
      <c r="F32" s="11" t="s">
        <v>128</v>
      </c>
    </row>
    <row r="33" spans="1:6" ht="50" thickBot="1" x14ac:dyDescent="0.4">
      <c r="A33" s="141" t="s">
        <v>93</v>
      </c>
      <c r="B33" s="186"/>
      <c r="C33" s="185"/>
      <c r="D33" s="41"/>
      <c r="E33" s="186"/>
      <c r="F33" s="36"/>
    </row>
    <row r="34" spans="1:6" ht="49.5" x14ac:dyDescent="0.35">
      <c r="A34" s="39" t="s">
        <v>90</v>
      </c>
      <c r="B34" s="174" t="s">
        <v>160</v>
      </c>
      <c r="C34" s="179" t="s">
        <v>161</v>
      </c>
      <c r="D34" s="39" t="s">
        <v>122</v>
      </c>
      <c r="E34" s="174" t="s">
        <v>162</v>
      </c>
      <c r="F34" s="43" t="s">
        <v>139</v>
      </c>
    </row>
    <row r="35" spans="1:6" ht="33" x14ac:dyDescent="0.35">
      <c r="A35" s="39" t="s">
        <v>99</v>
      </c>
      <c r="B35" s="173"/>
      <c r="C35" s="180"/>
      <c r="D35" s="39" t="s">
        <v>149</v>
      </c>
      <c r="E35" s="173"/>
      <c r="F35" s="20" t="s">
        <v>126</v>
      </c>
    </row>
    <row r="36" spans="1:6" ht="33" x14ac:dyDescent="0.35">
      <c r="A36" s="39" t="s">
        <v>103</v>
      </c>
      <c r="B36" s="173"/>
      <c r="C36" s="180"/>
      <c r="D36" s="39" t="s">
        <v>145</v>
      </c>
      <c r="E36" s="173"/>
      <c r="F36" s="11" t="s">
        <v>128</v>
      </c>
    </row>
    <row r="37" spans="1:6" ht="49.5" x14ac:dyDescent="0.35">
      <c r="A37" s="39" t="s">
        <v>101</v>
      </c>
      <c r="B37" s="173"/>
      <c r="C37" s="180"/>
      <c r="D37" s="39"/>
      <c r="E37" s="173"/>
      <c r="F37" s="20"/>
    </row>
    <row r="38" spans="1:6" ht="50" thickBot="1" x14ac:dyDescent="0.4">
      <c r="A38" s="141" t="s">
        <v>93</v>
      </c>
      <c r="B38" s="186"/>
      <c r="C38" s="185"/>
      <c r="D38" s="41"/>
      <c r="E38" s="186"/>
      <c r="F38" s="36"/>
    </row>
    <row r="39" spans="1:6" ht="49.5" x14ac:dyDescent="0.35">
      <c r="A39" s="39" t="s">
        <v>90</v>
      </c>
      <c r="B39" s="174" t="s">
        <v>163</v>
      </c>
      <c r="C39" s="179" t="s">
        <v>164</v>
      </c>
      <c r="D39" s="39" t="s">
        <v>122</v>
      </c>
      <c r="E39" s="174" t="s">
        <v>165</v>
      </c>
      <c r="F39" s="43" t="s">
        <v>139</v>
      </c>
    </row>
    <row r="40" spans="1:6" ht="33" x14ac:dyDescent="0.35">
      <c r="A40" s="39" t="s">
        <v>99</v>
      </c>
      <c r="B40" s="173"/>
      <c r="C40" s="180"/>
      <c r="D40" s="39" t="s">
        <v>149</v>
      </c>
      <c r="E40" s="173"/>
      <c r="F40" s="20" t="s">
        <v>126</v>
      </c>
    </row>
    <row r="41" spans="1:6" ht="33" x14ac:dyDescent="0.35">
      <c r="A41" s="39" t="s">
        <v>103</v>
      </c>
      <c r="B41" s="173"/>
      <c r="C41" s="180"/>
      <c r="D41" s="39" t="s">
        <v>145</v>
      </c>
      <c r="E41" s="173"/>
      <c r="F41" s="20" t="s">
        <v>128</v>
      </c>
    </row>
    <row r="42" spans="1:6" ht="33.5" thickBot="1" x14ac:dyDescent="0.4">
      <c r="A42" s="141" t="s">
        <v>104</v>
      </c>
      <c r="B42" s="186"/>
      <c r="C42" s="185"/>
      <c r="D42" s="41"/>
      <c r="E42" s="186"/>
      <c r="F42" s="36"/>
    </row>
    <row r="43" spans="1:6" ht="49.5" x14ac:dyDescent="0.35">
      <c r="A43" s="39" t="s">
        <v>90</v>
      </c>
      <c r="B43" s="174" t="s">
        <v>166</v>
      </c>
      <c r="C43" s="179" t="s">
        <v>167</v>
      </c>
      <c r="D43" s="39" t="s">
        <v>122</v>
      </c>
      <c r="E43" s="174" t="s">
        <v>168</v>
      </c>
      <c r="F43" s="43" t="s">
        <v>139</v>
      </c>
    </row>
    <row r="44" spans="1:6" ht="49.5" x14ac:dyDescent="0.35">
      <c r="A44" s="39" t="s">
        <v>101</v>
      </c>
      <c r="B44" s="173"/>
      <c r="C44" s="180"/>
      <c r="D44" s="39" t="s">
        <v>149</v>
      </c>
      <c r="E44" s="173"/>
      <c r="F44" s="20" t="s">
        <v>126</v>
      </c>
    </row>
    <row r="45" spans="1:6" ht="33.5" thickBot="1" x14ac:dyDescent="0.4">
      <c r="A45" s="141" t="s">
        <v>96</v>
      </c>
      <c r="B45" s="186"/>
      <c r="C45" s="185"/>
      <c r="D45" s="41" t="s">
        <v>145</v>
      </c>
      <c r="E45" s="186"/>
      <c r="F45" s="36" t="s">
        <v>128</v>
      </c>
    </row>
    <row r="46" spans="1:6" ht="49.5" x14ac:dyDescent="0.35">
      <c r="A46" s="39" t="s">
        <v>90</v>
      </c>
      <c r="B46" s="174" t="s">
        <v>169</v>
      </c>
      <c r="C46" s="179" t="s">
        <v>170</v>
      </c>
      <c r="D46" s="39" t="s">
        <v>122</v>
      </c>
      <c r="E46" s="174" t="s">
        <v>171</v>
      </c>
      <c r="F46" s="43" t="s">
        <v>139</v>
      </c>
    </row>
    <row r="47" spans="1:6" ht="33" x14ac:dyDescent="0.35">
      <c r="A47" s="39" t="s">
        <v>103</v>
      </c>
      <c r="B47" s="173"/>
      <c r="C47" s="180"/>
      <c r="D47" s="39" t="s">
        <v>149</v>
      </c>
      <c r="E47" s="173"/>
      <c r="F47" s="20" t="s">
        <v>126</v>
      </c>
    </row>
    <row r="48" spans="1:6" ht="33" x14ac:dyDescent="0.35">
      <c r="A48" s="39" t="s">
        <v>104</v>
      </c>
      <c r="B48" s="173"/>
      <c r="C48" s="180"/>
      <c r="D48" s="39" t="s">
        <v>145</v>
      </c>
      <c r="E48" s="173"/>
      <c r="F48" s="20" t="s">
        <v>128</v>
      </c>
    </row>
    <row r="49" spans="1:6" ht="33.5" thickBot="1" x14ac:dyDescent="0.4">
      <c r="A49" s="141" t="s">
        <v>96</v>
      </c>
      <c r="B49" s="186"/>
      <c r="C49" s="185"/>
      <c r="D49" s="41"/>
      <c r="E49" s="186"/>
      <c r="F49" s="36"/>
    </row>
    <row r="55" spans="1:6" x14ac:dyDescent="0.35">
      <c r="D55" s="39"/>
    </row>
    <row r="57" spans="1:6" x14ac:dyDescent="0.35">
      <c r="D57" s="39"/>
    </row>
  </sheetData>
  <mergeCells count="36">
    <mergeCell ref="B43:B45"/>
    <mergeCell ref="C43:C45"/>
    <mergeCell ref="E43:E45"/>
    <mergeCell ref="B46:B49"/>
    <mergeCell ref="C46:C49"/>
    <mergeCell ref="E46:E49"/>
    <mergeCell ref="B39:B42"/>
    <mergeCell ref="C39:C42"/>
    <mergeCell ref="E39:E42"/>
    <mergeCell ref="B26:B29"/>
    <mergeCell ref="C26:C29"/>
    <mergeCell ref="E26:E29"/>
    <mergeCell ref="B34:B38"/>
    <mergeCell ref="C34:C38"/>
    <mergeCell ref="E34:E38"/>
    <mergeCell ref="B30:B33"/>
    <mergeCell ref="C30:C33"/>
    <mergeCell ref="E30:E33"/>
    <mergeCell ref="B18:B20"/>
    <mergeCell ref="C18:C20"/>
    <mergeCell ref="E18:E20"/>
    <mergeCell ref="B21:B25"/>
    <mergeCell ref="C21:C25"/>
    <mergeCell ref="E21:E25"/>
    <mergeCell ref="B10:B13"/>
    <mergeCell ref="C10:C13"/>
    <mergeCell ref="B14:B17"/>
    <mergeCell ref="C14:C17"/>
    <mergeCell ref="E14:E17"/>
    <mergeCell ref="E10:E13"/>
    <mergeCell ref="E3:E5"/>
    <mergeCell ref="E6:E9"/>
    <mergeCell ref="B3:B5"/>
    <mergeCell ref="C3:C5"/>
    <mergeCell ref="B6:B9"/>
    <mergeCell ref="C6:C9"/>
  </mergeCells>
  <dataValidations count="1">
    <dataValidation type="list" allowBlank="1" showInputMessage="1" showErrorMessage="1" sqref="A3:A49"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B1331-AF3E-489A-B433-09E21B4DF482}">
  <dimension ref="A1:Q215"/>
  <sheetViews>
    <sheetView tabSelected="1" zoomScaleNormal="100" workbookViewId="0">
      <pane ySplit="1" topLeftCell="A2" activePane="bottomLeft" state="frozen"/>
      <selection activeCell="B1" sqref="B1"/>
      <selection pane="bottomLeft" activeCell="B3" sqref="B3"/>
    </sheetView>
  </sheetViews>
  <sheetFormatPr baseColWidth="10" defaultColWidth="58.7265625" defaultRowHeight="16" x14ac:dyDescent="0.35"/>
  <cols>
    <col min="1" max="1" width="14.453125" style="58" customWidth="1"/>
    <col min="2" max="2" width="73.453125" style="50" customWidth="1"/>
    <col min="3" max="3" width="14.26953125" style="45" customWidth="1"/>
    <col min="4" max="4" width="24.54296875" style="46" customWidth="1"/>
    <col min="5" max="5" width="61.1796875" style="58" customWidth="1"/>
    <col min="6" max="6" width="17.54296875" style="45" customWidth="1"/>
    <col min="7" max="7" width="15.453125" style="45" customWidth="1"/>
    <col min="8" max="10" width="14.26953125" style="45" customWidth="1"/>
    <col min="11" max="13" width="16.7265625" style="45" customWidth="1"/>
    <col min="14" max="14" width="47" style="58" customWidth="1"/>
    <col min="15" max="15" width="42.81640625" style="58" customWidth="1"/>
    <col min="16" max="17" width="73.54296875" style="58" customWidth="1"/>
    <col min="18" max="16384" width="58.7265625" style="45"/>
  </cols>
  <sheetData>
    <row r="1" spans="1:17" s="11" customFormat="1" ht="78" x14ac:dyDescent="0.35">
      <c r="A1" s="17" t="s">
        <v>172</v>
      </c>
      <c r="B1" s="17" t="s">
        <v>173</v>
      </c>
      <c r="C1" s="17" t="s">
        <v>174</v>
      </c>
      <c r="D1" s="17" t="s">
        <v>175</v>
      </c>
      <c r="E1" s="17" t="s">
        <v>176</v>
      </c>
      <c r="F1" s="17" t="s">
        <v>177</v>
      </c>
      <c r="G1" s="166" t="s">
        <v>178</v>
      </c>
      <c r="H1" s="166"/>
      <c r="I1" s="166"/>
      <c r="J1" s="17" t="s">
        <v>179</v>
      </c>
      <c r="K1" s="17" t="s">
        <v>180</v>
      </c>
      <c r="L1" s="17" t="s">
        <v>181</v>
      </c>
      <c r="M1" s="17" t="s">
        <v>182</v>
      </c>
      <c r="N1" s="17" t="s">
        <v>183</v>
      </c>
      <c r="O1" s="17" t="s">
        <v>184</v>
      </c>
      <c r="P1" s="17" t="s">
        <v>185</v>
      </c>
      <c r="Q1" s="17" t="s">
        <v>186</v>
      </c>
    </row>
    <row r="2" spans="1:17" s="11" customFormat="1" ht="49.5" x14ac:dyDescent="0.35">
      <c r="A2" s="142" t="s">
        <v>187</v>
      </c>
      <c r="B2" s="32" t="s">
        <v>114</v>
      </c>
      <c r="C2" s="32" t="s">
        <v>188</v>
      </c>
      <c r="D2" s="32" t="s">
        <v>189</v>
      </c>
      <c r="E2" s="32" t="s">
        <v>190</v>
      </c>
      <c r="F2" s="32" t="s">
        <v>191</v>
      </c>
      <c r="G2" s="32" t="s">
        <v>192</v>
      </c>
      <c r="H2" s="32" t="s">
        <v>193</v>
      </c>
      <c r="I2" s="32" t="s">
        <v>194</v>
      </c>
      <c r="J2" s="32" t="s">
        <v>195</v>
      </c>
      <c r="K2" s="32" t="s">
        <v>196</v>
      </c>
      <c r="L2" s="32" t="s">
        <v>197</v>
      </c>
      <c r="M2" s="32" t="s">
        <v>198</v>
      </c>
      <c r="N2" s="32" t="s">
        <v>199</v>
      </c>
      <c r="O2" s="32" t="s">
        <v>200</v>
      </c>
      <c r="P2" s="32" t="s">
        <v>201</v>
      </c>
      <c r="Q2" s="32" t="s">
        <v>202</v>
      </c>
    </row>
    <row r="3" spans="1:17" s="44" customFormat="1" ht="378" customHeight="1" x14ac:dyDescent="0.35">
      <c r="A3" s="76" t="str">
        <f>_xlfn.XLOOKUP(B3,'Paso 3 Redacción RA '!I$3:I$15,'Paso 3 Redacción RA '!C$3:C$15,,0,1)</f>
        <v>Saber</v>
      </c>
      <c r="B3" s="77" t="s">
        <v>107</v>
      </c>
      <c r="C3" s="78">
        <v>1</v>
      </c>
      <c r="D3" s="79" t="s">
        <v>203</v>
      </c>
      <c r="E3" s="112" t="s">
        <v>204</v>
      </c>
      <c r="F3" s="78" t="s">
        <v>205</v>
      </c>
      <c r="G3" s="78" t="s">
        <v>206</v>
      </c>
      <c r="H3" s="78"/>
      <c r="I3" s="78"/>
      <c r="J3" s="78">
        <v>3</v>
      </c>
      <c r="K3" s="78">
        <f>12*J3</f>
        <v>36</v>
      </c>
      <c r="L3" s="78">
        <f>36*J3</f>
        <v>108</v>
      </c>
      <c r="M3" s="78">
        <f>SUM(K3:L3)</f>
        <v>144</v>
      </c>
      <c r="N3" s="81" t="s">
        <v>207</v>
      </c>
      <c r="O3" s="77" t="s">
        <v>208</v>
      </c>
      <c r="P3" s="82" t="s">
        <v>209</v>
      </c>
      <c r="Q3" s="80" t="s">
        <v>210</v>
      </c>
    </row>
    <row r="4" spans="1:17" s="44" customFormat="1" ht="408.75" customHeight="1" thickBot="1" x14ac:dyDescent="0.4">
      <c r="A4" s="76" t="str">
        <f>_xlfn.XLOOKUP(B4,'Paso 3 Redacción RA '!I$3:I$15,'Paso 3 Redacción RA '!C$3:C$15,,0,1)</f>
        <v>Saber</v>
      </c>
      <c r="B4" s="77" t="s">
        <v>107</v>
      </c>
      <c r="C4" s="83">
        <v>1</v>
      </c>
      <c r="D4" s="84" t="s">
        <v>211</v>
      </c>
      <c r="E4" s="82" t="s">
        <v>212</v>
      </c>
      <c r="F4" s="84" t="s">
        <v>205</v>
      </c>
      <c r="G4" s="83" t="s">
        <v>206</v>
      </c>
      <c r="H4" s="83"/>
      <c r="I4" s="83"/>
      <c r="J4" s="83">
        <v>3</v>
      </c>
      <c r="K4" s="85">
        <f>12*J4</f>
        <v>36</v>
      </c>
      <c r="L4" s="85">
        <f>36*J4</f>
        <v>108</v>
      </c>
      <c r="M4" s="83">
        <f>SUM(K4:L4)</f>
        <v>144</v>
      </c>
      <c r="N4" s="77" t="s">
        <v>213</v>
      </c>
      <c r="O4" s="77" t="s">
        <v>208</v>
      </c>
      <c r="P4" s="77" t="s">
        <v>214</v>
      </c>
      <c r="Q4" s="77" t="s">
        <v>215</v>
      </c>
    </row>
    <row r="5" spans="1:17" s="44" customFormat="1" ht="49.5" x14ac:dyDescent="0.35">
      <c r="A5" s="86" t="str">
        <f>_xlfn.XLOOKUP(B5,'Paso 3 Redacción RA '!I$3:I$15,'Paso 3 Redacción RA '!C$3:C$15,,0,1)</f>
        <v>Saber</v>
      </c>
      <c r="B5" s="87" t="s">
        <v>90</v>
      </c>
      <c r="C5" s="161">
        <v>1</v>
      </c>
      <c r="D5" s="147" t="s">
        <v>216</v>
      </c>
      <c r="E5" s="153" t="s">
        <v>217</v>
      </c>
      <c r="F5" s="162" t="s">
        <v>205</v>
      </c>
      <c r="G5" s="162"/>
      <c r="H5" s="162" t="s">
        <v>206</v>
      </c>
      <c r="I5" s="162"/>
      <c r="J5" s="162">
        <v>2</v>
      </c>
      <c r="K5" s="162">
        <f>J5*12</f>
        <v>24</v>
      </c>
      <c r="L5" s="162">
        <f>36*J5</f>
        <v>72</v>
      </c>
      <c r="M5" s="162">
        <f>SUM(K5:L5)</f>
        <v>96</v>
      </c>
      <c r="N5" s="153" t="s">
        <v>218</v>
      </c>
      <c r="O5" s="153" t="s">
        <v>219</v>
      </c>
      <c r="P5" s="153" t="s">
        <v>220</v>
      </c>
      <c r="Q5" s="153" t="s">
        <v>215</v>
      </c>
    </row>
    <row r="6" spans="1:17" s="44" customFormat="1" ht="49.5" x14ac:dyDescent="0.35">
      <c r="A6" s="86" t="str">
        <f>_xlfn.XLOOKUP(B6,'Paso 3 Redacción RA '!I$3:I$15,'Paso 3 Redacción RA '!C$3:C$15,,0,1)</f>
        <v>Saber</v>
      </c>
      <c r="B6" s="87" t="s">
        <v>103</v>
      </c>
      <c r="C6" s="162"/>
      <c r="D6" s="147"/>
      <c r="E6" s="153"/>
      <c r="F6" s="162"/>
      <c r="G6" s="162"/>
      <c r="H6" s="162"/>
      <c r="I6" s="162"/>
      <c r="J6" s="162"/>
      <c r="K6" s="162"/>
      <c r="L6" s="162"/>
      <c r="M6" s="162"/>
      <c r="N6" s="153"/>
      <c r="O6" s="153"/>
      <c r="P6" s="153"/>
      <c r="Q6" s="153"/>
    </row>
    <row r="7" spans="1:17" s="44" customFormat="1" ht="66" x14ac:dyDescent="0.35">
      <c r="A7" s="86" t="str">
        <f>_xlfn.XLOOKUP(B7,'Paso 3 Redacción RA '!I$3:I$15,'Paso 3 Redacción RA '!C$3:C$15,,0,1)</f>
        <v>Saberhacer</v>
      </c>
      <c r="B7" s="87" t="s">
        <v>93</v>
      </c>
      <c r="C7" s="162"/>
      <c r="D7" s="147"/>
      <c r="E7" s="153"/>
      <c r="F7" s="162"/>
      <c r="G7" s="162"/>
      <c r="H7" s="162"/>
      <c r="I7" s="162"/>
      <c r="J7" s="162"/>
      <c r="K7" s="162"/>
      <c r="L7" s="162"/>
      <c r="M7" s="162"/>
      <c r="N7" s="153"/>
      <c r="O7" s="153"/>
      <c r="P7" s="153"/>
      <c r="Q7" s="153"/>
    </row>
    <row r="8" spans="1:17" s="44" customFormat="1" ht="66" x14ac:dyDescent="0.35">
      <c r="A8" s="86" t="str">
        <f>_xlfn.XLOOKUP(B8,'Paso 3 Redacción RA '!I$3:I$15,'Paso 3 Redacción RA '!C$3:C$15,,0,1)</f>
        <v>Saberhacer</v>
      </c>
      <c r="B8" s="87" t="s">
        <v>101</v>
      </c>
      <c r="C8" s="162"/>
      <c r="D8" s="147"/>
      <c r="E8" s="153"/>
      <c r="F8" s="162"/>
      <c r="G8" s="162"/>
      <c r="H8" s="162"/>
      <c r="I8" s="162"/>
      <c r="J8" s="162"/>
      <c r="K8" s="162"/>
      <c r="L8" s="162"/>
      <c r="M8" s="162"/>
      <c r="N8" s="153"/>
      <c r="O8" s="153"/>
      <c r="P8" s="153"/>
      <c r="Q8" s="153"/>
    </row>
    <row r="9" spans="1:17" s="44" customFormat="1" ht="50" thickBot="1" x14ac:dyDescent="0.4">
      <c r="A9" s="88" t="str">
        <f>_xlfn.XLOOKUP(B9,'Paso 3 Redacción RA '!I$3:I$15,'Paso 3 Redacción RA '!C$3:C$15,,0,1)</f>
        <v>Saberhacer</v>
      </c>
      <c r="B9" s="89" t="s">
        <v>104</v>
      </c>
      <c r="C9" s="165"/>
      <c r="D9" s="148"/>
      <c r="E9" s="158"/>
      <c r="F9" s="165"/>
      <c r="G9" s="165"/>
      <c r="H9" s="165"/>
      <c r="I9" s="165"/>
      <c r="J9" s="165"/>
      <c r="K9" s="165"/>
      <c r="L9" s="165"/>
      <c r="M9" s="165"/>
      <c r="N9" s="158"/>
      <c r="O9" s="158"/>
      <c r="P9" s="158"/>
      <c r="Q9" s="158"/>
    </row>
    <row r="10" spans="1:17" s="44" customFormat="1" ht="49.5" x14ac:dyDescent="0.35">
      <c r="A10" s="86" t="str">
        <f>_xlfn.XLOOKUP(B10,'Paso 3 Redacción RA '!I$3:I$15,'Paso 3 Redacción RA '!C$3:C$15,,0,1)</f>
        <v>Saber</v>
      </c>
      <c r="B10" s="87" t="s">
        <v>90</v>
      </c>
      <c r="C10" s="161">
        <v>1</v>
      </c>
      <c r="D10" s="146" t="s">
        <v>221</v>
      </c>
      <c r="E10" s="163" t="s">
        <v>222</v>
      </c>
      <c r="F10" s="146" t="s">
        <v>205</v>
      </c>
      <c r="G10" s="146"/>
      <c r="H10" s="146" t="s">
        <v>206</v>
      </c>
      <c r="I10" s="146"/>
      <c r="J10" s="146">
        <v>2</v>
      </c>
      <c r="K10" s="146">
        <f>J10*12</f>
        <v>24</v>
      </c>
      <c r="L10" s="146">
        <f>36*J10</f>
        <v>72</v>
      </c>
      <c r="M10" s="146">
        <f>SUM(K10:L10)</f>
        <v>96</v>
      </c>
      <c r="N10" s="163" t="s">
        <v>223</v>
      </c>
      <c r="O10" s="163" t="s">
        <v>219</v>
      </c>
      <c r="P10" s="163" t="s">
        <v>220</v>
      </c>
      <c r="Q10" s="163" t="s">
        <v>215</v>
      </c>
    </row>
    <row r="11" spans="1:17" s="44" customFormat="1" ht="66" x14ac:dyDescent="0.35">
      <c r="A11" s="86" t="str">
        <f>_xlfn.XLOOKUP(B11,'Paso 3 Redacción RA '!I$3:I$15,'Paso 3 Redacción RA '!C$3:C$15,,0,1)</f>
        <v>Saberhacer</v>
      </c>
      <c r="B11" s="87" t="s">
        <v>93</v>
      </c>
      <c r="C11" s="162"/>
      <c r="D11" s="147"/>
      <c r="E11" s="164"/>
      <c r="F11" s="147"/>
      <c r="G11" s="147"/>
      <c r="H11" s="147"/>
      <c r="I11" s="147"/>
      <c r="J11" s="147"/>
      <c r="K11" s="147"/>
      <c r="L11" s="147"/>
      <c r="M11" s="147"/>
      <c r="N11" s="164"/>
      <c r="O11" s="164"/>
      <c r="P11" s="164"/>
      <c r="Q11" s="164"/>
    </row>
    <row r="12" spans="1:17" s="44" customFormat="1" ht="66" x14ac:dyDescent="0.35">
      <c r="A12" s="86" t="str">
        <f>_xlfn.XLOOKUP(B12,'Paso 3 Redacción RA '!I$3:I$15,'Paso 3 Redacción RA '!C$3:C$15,,0,1)</f>
        <v>Saberhacer</v>
      </c>
      <c r="B12" s="87" t="s">
        <v>101</v>
      </c>
      <c r="C12" s="162"/>
      <c r="D12" s="147"/>
      <c r="E12" s="164"/>
      <c r="F12" s="147"/>
      <c r="G12" s="147"/>
      <c r="H12" s="147"/>
      <c r="I12" s="147"/>
      <c r="J12" s="147"/>
      <c r="K12" s="147"/>
      <c r="L12" s="147"/>
      <c r="M12" s="147"/>
      <c r="N12" s="164"/>
      <c r="O12" s="164"/>
      <c r="P12" s="164"/>
      <c r="Q12" s="164"/>
    </row>
    <row r="13" spans="1:17" s="44" customFormat="1" ht="50" thickBot="1" x14ac:dyDescent="0.4">
      <c r="A13" s="113" t="str">
        <f>_xlfn.XLOOKUP(B13,'Paso 3 Redacción RA '!I$3:I$15,'Paso 3 Redacción RA '!C$3:C$15,,0,1)</f>
        <v>Saberser</v>
      </c>
      <c r="B13" s="89" t="s">
        <v>96</v>
      </c>
      <c r="C13" s="162"/>
      <c r="D13" s="147"/>
      <c r="E13" s="164"/>
      <c r="F13" s="147"/>
      <c r="G13" s="147"/>
      <c r="H13" s="147"/>
      <c r="I13" s="147"/>
      <c r="J13" s="147"/>
      <c r="K13" s="147"/>
      <c r="L13" s="147"/>
      <c r="M13" s="147"/>
      <c r="N13" s="164"/>
      <c r="O13" s="164"/>
      <c r="P13" s="164"/>
      <c r="Q13" s="164"/>
    </row>
    <row r="14" spans="1:17" s="44" customFormat="1" ht="49.5" x14ac:dyDescent="0.35">
      <c r="A14" s="86" t="str">
        <f>_xlfn.XLOOKUP(B14,'Paso 3 Redacción RA '!I$3:I$15,'Paso 3 Redacción RA '!C$3:C$15,,0,1)</f>
        <v>Saber</v>
      </c>
      <c r="B14" s="87" t="s">
        <v>90</v>
      </c>
      <c r="C14" s="161">
        <v>1</v>
      </c>
      <c r="D14" s="146" t="s">
        <v>224</v>
      </c>
      <c r="E14" s="143" t="s">
        <v>225</v>
      </c>
      <c r="F14" s="161" t="s">
        <v>205</v>
      </c>
      <c r="G14" s="161"/>
      <c r="H14" s="161" t="s">
        <v>206</v>
      </c>
      <c r="I14" s="161"/>
      <c r="J14" s="161">
        <v>3</v>
      </c>
      <c r="K14" s="161">
        <f>J14*12</f>
        <v>36</v>
      </c>
      <c r="L14" s="161">
        <f>36*J14</f>
        <v>108</v>
      </c>
      <c r="M14" s="161">
        <f>SUM(K14:L14)</f>
        <v>144</v>
      </c>
      <c r="N14" s="143" t="s">
        <v>226</v>
      </c>
      <c r="O14" s="143" t="s">
        <v>227</v>
      </c>
      <c r="P14" s="143" t="s">
        <v>220</v>
      </c>
      <c r="Q14" s="143" t="s">
        <v>215</v>
      </c>
    </row>
    <row r="15" spans="1:17" s="44" customFormat="1" ht="49.5" x14ac:dyDescent="0.35">
      <c r="A15" s="86" t="str">
        <f>_xlfn.XLOOKUP(B15,'Paso 3 Redacción RA '!I$3:I$15,'Paso 3 Redacción RA '!C$3:C$15,,0,1)</f>
        <v>Saber</v>
      </c>
      <c r="B15" s="87" t="s">
        <v>103</v>
      </c>
      <c r="C15" s="162"/>
      <c r="D15" s="147"/>
      <c r="E15" s="149"/>
      <c r="F15" s="162"/>
      <c r="G15" s="162"/>
      <c r="H15" s="162"/>
      <c r="I15" s="162"/>
      <c r="J15" s="162"/>
      <c r="K15" s="162"/>
      <c r="L15" s="162"/>
      <c r="M15" s="162"/>
      <c r="N15" s="149"/>
      <c r="O15" s="149"/>
      <c r="P15" s="149"/>
      <c r="Q15" s="149"/>
    </row>
    <row r="16" spans="1:17" s="44" customFormat="1" ht="66" x14ac:dyDescent="0.35">
      <c r="A16" s="86" t="str">
        <f>_xlfn.XLOOKUP(B16,'Paso 3 Redacción RA '!I$3:I$15,'Paso 3 Redacción RA '!C$3:C$15,,0,1)</f>
        <v>Saberhacer</v>
      </c>
      <c r="B16" s="87" t="s">
        <v>93</v>
      </c>
      <c r="C16" s="162"/>
      <c r="D16" s="147"/>
      <c r="E16" s="149"/>
      <c r="F16" s="162"/>
      <c r="G16" s="162"/>
      <c r="H16" s="162"/>
      <c r="I16" s="162"/>
      <c r="J16" s="162"/>
      <c r="K16" s="162"/>
      <c r="L16" s="162"/>
      <c r="M16" s="162"/>
      <c r="N16" s="149"/>
      <c r="O16" s="149"/>
      <c r="P16" s="149"/>
      <c r="Q16" s="149"/>
    </row>
    <row r="17" spans="1:17" s="44" customFormat="1" ht="49.5" x14ac:dyDescent="0.35">
      <c r="A17" s="86" t="str">
        <f>_xlfn.XLOOKUP(B17,'Paso 3 Redacción RA '!I$3:I$15,'Paso 3 Redacción RA '!C$3:C$15,,0,1)</f>
        <v>Saberhacer</v>
      </c>
      <c r="B17" s="87" t="s">
        <v>104</v>
      </c>
      <c r="C17" s="162"/>
      <c r="D17" s="147"/>
      <c r="E17" s="149"/>
      <c r="F17" s="162"/>
      <c r="G17" s="162"/>
      <c r="H17" s="162"/>
      <c r="I17" s="162"/>
      <c r="J17" s="162"/>
      <c r="K17" s="162"/>
      <c r="L17" s="162"/>
      <c r="M17" s="162"/>
      <c r="N17" s="149"/>
      <c r="O17" s="149"/>
      <c r="P17" s="149"/>
      <c r="Q17" s="149"/>
    </row>
    <row r="18" spans="1:17" s="44" customFormat="1" ht="17" thickBot="1" x14ac:dyDescent="0.4">
      <c r="A18" s="113" t="e">
        <f>_xlfn.XLOOKUP(B18,'Paso 3 Redacción RA '!I$3:I$15,'Paso 3 Redacción RA '!C$3:C$15,,0,1)</f>
        <v>#N/A</v>
      </c>
      <c r="B18" s="89"/>
      <c r="C18" s="162"/>
      <c r="D18" s="147"/>
      <c r="E18" s="149"/>
      <c r="F18" s="162"/>
      <c r="G18" s="162"/>
      <c r="H18" s="162"/>
      <c r="I18" s="162"/>
      <c r="J18" s="162"/>
      <c r="K18" s="162"/>
      <c r="L18" s="162"/>
      <c r="M18" s="162"/>
      <c r="N18" s="149"/>
      <c r="O18" s="149"/>
      <c r="P18" s="149"/>
      <c r="Q18" s="149"/>
    </row>
    <row r="19" spans="1:17" s="44" customFormat="1" ht="49.5" x14ac:dyDescent="0.35">
      <c r="A19" s="86" t="str">
        <f>_xlfn.XLOOKUP(B19,'Paso 3 Redacción RA '!I$3:I$15,'Paso 3 Redacción RA '!C$3:C$15,,0,1)</f>
        <v>Saber</v>
      </c>
      <c r="B19" s="87" t="s">
        <v>90</v>
      </c>
      <c r="C19" s="146">
        <v>1</v>
      </c>
      <c r="D19" s="146" t="s">
        <v>228</v>
      </c>
      <c r="E19" s="143" t="s">
        <v>229</v>
      </c>
      <c r="F19" s="146" t="s">
        <v>205</v>
      </c>
      <c r="G19" s="146"/>
      <c r="H19" s="146" t="s">
        <v>206</v>
      </c>
      <c r="I19" s="146"/>
      <c r="J19" s="146">
        <v>3</v>
      </c>
      <c r="K19" s="146">
        <f>J19*12</f>
        <v>36</v>
      </c>
      <c r="L19" s="146">
        <f>36*J19</f>
        <v>108</v>
      </c>
      <c r="M19" s="146">
        <f>SUM(K19:L19)</f>
        <v>144</v>
      </c>
      <c r="N19" s="143" t="s">
        <v>230</v>
      </c>
      <c r="O19" s="143" t="s">
        <v>219</v>
      </c>
      <c r="P19" s="143" t="s">
        <v>220</v>
      </c>
      <c r="Q19" s="143" t="s">
        <v>215</v>
      </c>
    </row>
    <row r="20" spans="1:17" s="44" customFormat="1" ht="49.5" x14ac:dyDescent="0.35">
      <c r="A20" s="86" t="str">
        <f>_xlfn.XLOOKUP(B20,'Paso 3 Redacción RA '!I$3:I$15,'Paso 3 Redacción RA '!C$3:C$15,,0,1)</f>
        <v>Saber</v>
      </c>
      <c r="B20" s="87" t="s">
        <v>103</v>
      </c>
      <c r="C20" s="147"/>
      <c r="D20" s="147"/>
      <c r="E20" s="149"/>
      <c r="F20" s="147"/>
      <c r="G20" s="147"/>
      <c r="H20" s="147"/>
      <c r="I20" s="147"/>
      <c r="J20" s="147"/>
      <c r="K20" s="147"/>
      <c r="L20" s="147"/>
      <c r="M20" s="147"/>
      <c r="N20" s="149"/>
      <c r="O20" s="149"/>
      <c r="P20" s="149"/>
      <c r="Q20" s="149"/>
    </row>
    <row r="21" spans="1:17" s="44" customFormat="1" ht="66" x14ac:dyDescent="0.35">
      <c r="A21" s="86" t="str">
        <f>_xlfn.XLOOKUP(B21,'Paso 3 Redacción RA '!I$3:I$15,'Paso 3 Redacción RA '!C$3:C$15,,0,1)</f>
        <v>Saberhacer</v>
      </c>
      <c r="B21" s="87" t="s">
        <v>93</v>
      </c>
      <c r="C21" s="147"/>
      <c r="D21" s="147"/>
      <c r="E21" s="149"/>
      <c r="F21" s="147"/>
      <c r="G21" s="147"/>
      <c r="H21" s="147"/>
      <c r="I21" s="147"/>
      <c r="J21" s="147"/>
      <c r="K21" s="147"/>
      <c r="L21" s="147"/>
      <c r="M21" s="147"/>
      <c r="N21" s="149"/>
      <c r="O21" s="149"/>
      <c r="P21" s="149"/>
      <c r="Q21" s="149"/>
    </row>
    <row r="22" spans="1:17" s="44" customFormat="1" ht="50" thickBot="1" x14ac:dyDescent="0.4">
      <c r="A22" s="113" t="str">
        <f>_xlfn.XLOOKUP(B22,'Paso 3 Redacción RA '!I$3:I$15,'Paso 3 Redacción RA '!C$3:C$15,,0,1)</f>
        <v>Saberser</v>
      </c>
      <c r="B22" s="87" t="s">
        <v>96</v>
      </c>
      <c r="C22" s="147"/>
      <c r="D22" s="147"/>
      <c r="E22" s="149"/>
      <c r="F22" s="147"/>
      <c r="G22" s="147"/>
      <c r="H22" s="147"/>
      <c r="I22" s="147"/>
      <c r="J22" s="147"/>
      <c r="K22" s="147"/>
      <c r="L22" s="147"/>
      <c r="M22" s="147"/>
      <c r="N22" s="149"/>
      <c r="O22" s="149"/>
      <c r="P22" s="149"/>
      <c r="Q22" s="149"/>
    </row>
    <row r="23" spans="1:17" s="44" customFormat="1" ht="330.5" thickBot="1" x14ac:dyDescent="0.4">
      <c r="A23" s="76" t="str">
        <f>_xlfn.XLOOKUP(B23,'Paso 3 Redacción RA '!I$3:I$15,'Paso 3 Redacción RA '!C$3:C$15,,0,1)</f>
        <v>Saber</v>
      </c>
      <c r="B23" s="77" t="s">
        <v>107</v>
      </c>
      <c r="C23" s="78">
        <v>2</v>
      </c>
      <c r="D23" s="79" t="s">
        <v>231</v>
      </c>
      <c r="E23" s="80" t="s">
        <v>232</v>
      </c>
      <c r="F23" s="78" t="s">
        <v>205</v>
      </c>
      <c r="G23" s="79" t="s">
        <v>206</v>
      </c>
      <c r="H23" s="79"/>
      <c r="I23" s="79"/>
      <c r="J23" s="78">
        <v>3</v>
      </c>
      <c r="K23" s="78">
        <f>12*J23</f>
        <v>36</v>
      </c>
      <c r="L23" s="78">
        <f>36*J23</f>
        <v>108</v>
      </c>
      <c r="M23" s="78">
        <f>SUM(K23:L23)</f>
        <v>144</v>
      </c>
      <c r="N23" s="90" t="s">
        <v>233</v>
      </c>
      <c r="O23" s="82" t="s">
        <v>208</v>
      </c>
      <c r="P23" s="82" t="s">
        <v>214</v>
      </c>
      <c r="Q23" s="80" t="s">
        <v>215</v>
      </c>
    </row>
    <row r="24" spans="1:17" s="44" customFormat="1" ht="49.5" x14ac:dyDescent="0.35">
      <c r="A24" s="86" t="str">
        <f>_xlfn.XLOOKUP(B24,'Paso 3 Redacción RA '!I$3:I$15,'Paso 3 Redacción RA '!C$3:C$15,,0,1)</f>
        <v>Saber</v>
      </c>
      <c r="B24" s="87" t="s">
        <v>90</v>
      </c>
      <c r="C24" s="146">
        <v>2</v>
      </c>
      <c r="D24" s="146" t="s">
        <v>234</v>
      </c>
      <c r="E24" s="143" t="s">
        <v>235</v>
      </c>
      <c r="F24" s="146" t="s">
        <v>205</v>
      </c>
      <c r="G24" s="146"/>
      <c r="H24" s="146" t="s">
        <v>206</v>
      </c>
      <c r="I24" s="146"/>
      <c r="J24" s="146">
        <v>2</v>
      </c>
      <c r="K24" s="146">
        <f>J24*12</f>
        <v>24</v>
      </c>
      <c r="L24" s="146">
        <f>36*J24</f>
        <v>72</v>
      </c>
      <c r="M24" s="146">
        <f>SUM(K24:L24)</f>
        <v>96</v>
      </c>
      <c r="N24" s="143" t="s">
        <v>236</v>
      </c>
      <c r="O24" s="143" t="s">
        <v>219</v>
      </c>
      <c r="P24" s="143" t="s">
        <v>237</v>
      </c>
      <c r="Q24" s="143" t="s">
        <v>215</v>
      </c>
    </row>
    <row r="25" spans="1:17" s="44" customFormat="1" ht="66" x14ac:dyDescent="0.35">
      <c r="A25" s="86" t="str">
        <f>_xlfn.XLOOKUP(B25,'Paso 3 Redacción RA '!I$3:I$15,'Paso 3 Redacción RA '!C$3:C$15,,0,1)</f>
        <v>Saberhacer</v>
      </c>
      <c r="B25" s="87" t="s">
        <v>93</v>
      </c>
      <c r="C25" s="147"/>
      <c r="D25" s="147"/>
      <c r="E25" s="149"/>
      <c r="F25" s="147"/>
      <c r="G25" s="147"/>
      <c r="H25" s="147"/>
      <c r="I25" s="147"/>
      <c r="J25" s="147"/>
      <c r="K25" s="147"/>
      <c r="L25" s="147"/>
      <c r="M25" s="147"/>
      <c r="N25" s="149"/>
      <c r="O25" s="149"/>
      <c r="P25" s="149"/>
      <c r="Q25" s="149"/>
    </row>
    <row r="26" spans="1:17" s="44" customFormat="1" ht="66" x14ac:dyDescent="0.35">
      <c r="A26" s="86" t="str">
        <f>_xlfn.XLOOKUP(B26,'Paso 3 Redacción RA '!I$3:I$15,'Paso 3 Redacción RA '!C$3:C$15,,0,1)</f>
        <v>Saberhacer</v>
      </c>
      <c r="B26" s="87" t="s">
        <v>101</v>
      </c>
      <c r="C26" s="147"/>
      <c r="D26" s="147"/>
      <c r="E26" s="149"/>
      <c r="F26" s="147"/>
      <c r="G26" s="147"/>
      <c r="H26" s="147"/>
      <c r="I26" s="147"/>
      <c r="J26" s="147"/>
      <c r="K26" s="147"/>
      <c r="L26" s="147"/>
      <c r="M26" s="147"/>
      <c r="N26" s="149"/>
      <c r="O26" s="149"/>
      <c r="P26" s="149"/>
      <c r="Q26" s="149"/>
    </row>
    <row r="27" spans="1:17" s="44" customFormat="1" ht="50" thickBot="1" x14ac:dyDescent="0.4">
      <c r="A27" s="113" t="str">
        <f>_xlfn.XLOOKUP(B27,'Paso 3 Redacción RA '!I$3:I$15,'Paso 3 Redacción RA '!C$3:C$15,,0,1)</f>
        <v>Saberser</v>
      </c>
      <c r="B27" s="89" t="s">
        <v>96</v>
      </c>
      <c r="C27" s="147"/>
      <c r="D27" s="147"/>
      <c r="E27" s="149"/>
      <c r="F27" s="147"/>
      <c r="G27" s="147"/>
      <c r="H27" s="147"/>
      <c r="I27" s="147"/>
      <c r="J27" s="147"/>
      <c r="K27" s="147"/>
      <c r="L27" s="147"/>
      <c r="M27" s="147"/>
      <c r="N27" s="149"/>
      <c r="O27" s="149"/>
      <c r="P27" s="149"/>
      <c r="Q27" s="149"/>
    </row>
    <row r="28" spans="1:17" s="44" customFormat="1" ht="49.5" x14ac:dyDescent="0.35">
      <c r="A28" s="86" t="str">
        <f>_xlfn.XLOOKUP(B28,'Paso 3 Redacción RA '!I$3:I$15,'Paso 3 Redacción RA '!C$3:C$15,,0,1)</f>
        <v>Saber</v>
      </c>
      <c r="B28" s="87" t="s">
        <v>90</v>
      </c>
      <c r="C28" s="146">
        <v>2</v>
      </c>
      <c r="D28" s="146" t="s">
        <v>238</v>
      </c>
      <c r="E28" s="143" t="s">
        <v>239</v>
      </c>
      <c r="F28" s="146" t="s">
        <v>240</v>
      </c>
      <c r="G28" s="146"/>
      <c r="H28" s="146" t="s">
        <v>206</v>
      </c>
      <c r="I28" s="146"/>
      <c r="J28" s="146">
        <v>3</v>
      </c>
      <c r="K28" s="146">
        <f>J28*12</f>
        <v>36</v>
      </c>
      <c r="L28" s="146">
        <f>36*J28</f>
        <v>108</v>
      </c>
      <c r="M28" s="146">
        <f>SUM(K28:L28)</f>
        <v>144</v>
      </c>
      <c r="N28" s="143" t="s">
        <v>241</v>
      </c>
      <c r="O28" s="143" t="s">
        <v>219</v>
      </c>
      <c r="P28" s="143" t="s">
        <v>242</v>
      </c>
      <c r="Q28" s="143" t="s">
        <v>215</v>
      </c>
    </row>
    <row r="29" spans="1:17" s="44" customFormat="1" ht="66" x14ac:dyDescent="0.35">
      <c r="A29" s="86" t="str">
        <f>_xlfn.XLOOKUP(B29,'Paso 3 Redacción RA '!I$3:I$15,'Paso 3 Redacción RA '!C$3:C$15,,0,1)</f>
        <v>Saberhacer</v>
      </c>
      <c r="B29" s="87" t="s">
        <v>93</v>
      </c>
      <c r="C29" s="147"/>
      <c r="D29" s="147"/>
      <c r="E29" s="149"/>
      <c r="F29" s="147"/>
      <c r="G29" s="147"/>
      <c r="H29" s="147"/>
      <c r="I29" s="147"/>
      <c r="J29" s="147"/>
      <c r="K29" s="147"/>
      <c r="L29" s="147"/>
      <c r="M29" s="147"/>
      <c r="N29" s="149"/>
      <c r="O29" s="149"/>
      <c r="P29" s="149"/>
      <c r="Q29" s="149"/>
    </row>
    <row r="30" spans="1:17" s="44" customFormat="1" ht="66" x14ac:dyDescent="0.35">
      <c r="A30" s="86" t="str">
        <f>_xlfn.XLOOKUP(B30,'Paso 3 Redacción RA '!I$3:I$15,'Paso 3 Redacción RA '!C$3:C$15,,0,1)</f>
        <v>Saberhacer</v>
      </c>
      <c r="B30" s="87" t="s">
        <v>101</v>
      </c>
      <c r="C30" s="147"/>
      <c r="D30" s="147"/>
      <c r="E30" s="149"/>
      <c r="F30" s="147"/>
      <c r="G30" s="147"/>
      <c r="H30" s="147"/>
      <c r="I30" s="147"/>
      <c r="J30" s="147"/>
      <c r="K30" s="147"/>
      <c r="L30" s="147"/>
      <c r="M30" s="147"/>
      <c r="N30" s="149"/>
      <c r="O30" s="149"/>
      <c r="P30" s="149"/>
      <c r="Q30" s="149"/>
    </row>
    <row r="31" spans="1:17" s="44" customFormat="1" ht="50" thickBot="1" x14ac:dyDescent="0.4">
      <c r="A31" s="113" t="str">
        <f>_xlfn.XLOOKUP(B31,'Paso 3 Redacción RA '!I$3:I$15,'Paso 3 Redacción RA '!C$3:C$15,,0,1)</f>
        <v>Saberser</v>
      </c>
      <c r="B31" s="89" t="s">
        <v>96</v>
      </c>
      <c r="C31" s="147"/>
      <c r="D31" s="147"/>
      <c r="E31" s="149"/>
      <c r="F31" s="147"/>
      <c r="G31" s="147"/>
      <c r="H31" s="147"/>
      <c r="I31" s="147"/>
      <c r="J31" s="147"/>
      <c r="K31" s="147"/>
      <c r="L31" s="147"/>
      <c r="M31" s="147"/>
      <c r="N31" s="149"/>
      <c r="O31" s="149"/>
      <c r="P31" s="149"/>
      <c r="Q31" s="149"/>
    </row>
    <row r="32" spans="1:17" s="44" customFormat="1" ht="49.5" x14ac:dyDescent="0.35">
      <c r="A32" s="86" t="str">
        <f>_xlfn.XLOOKUP(B32,'Paso 3 Redacción RA '!I$3:I$15,'Paso 3 Redacción RA '!C$3:C$15,,0,1)</f>
        <v>Saber</v>
      </c>
      <c r="B32" s="87" t="s">
        <v>99</v>
      </c>
      <c r="C32" s="146">
        <v>2</v>
      </c>
      <c r="D32" s="146" t="s">
        <v>243</v>
      </c>
      <c r="E32" s="143" t="s">
        <v>244</v>
      </c>
      <c r="F32" s="146" t="s">
        <v>205</v>
      </c>
      <c r="G32" s="146"/>
      <c r="H32" s="146" t="s">
        <v>206</v>
      </c>
      <c r="I32" s="146"/>
      <c r="J32" s="146">
        <v>3</v>
      </c>
      <c r="K32" s="146">
        <f>J32*12</f>
        <v>36</v>
      </c>
      <c r="L32" s="146">
        <f>36*J32</f>
        <v>108</v>
      </c>
      <c r="M32" s="146">
        <f>SUM(K32:L32)</f>
        <v>144</v>
      </c>
      <c r="N32" s="143" t="s">
        <v>245</v>
      </c>
      <c r="O32" s="143" t="s">
        <v>219</v>
      </c>
      <c r="P32" s="143" t="s">
        <v>220</v>
      </c>
      <c r="Q32" s="143" t="s">
        <v>215</v>
      </c>
    </row>
    <row r="33" spans="1:17" s="44" customFormat="1" ht="66" x14ac:dyDescent="0.35">
      <c r="A33" s="86" t="str">
        <f>_xlfn.XLOOKUP(B33,'Paso 3 Redacción RA '!I$3:I$15,'Paso 3 Redacción RA '!C$3:C$15,,0,1)</f>
        <v>Saberhacer</v>
      </c>
      <c r="B33" s="87" t="s">
        <v>93</v>
      </c>
      <c r="C33" s="147"/>
      <c r="D33" s="147"/>
      <c r="E33" s="149"/>
      <c r="F33" s="147"/>
      <c r="G33" s="147"/>
      <c r="H33" s="147"/>
      <c r="I33" s="147"/>
      <c r="J33" s="147"/>
      <c r="K33" s="147"/>
      <c r="L33" s="147"/>
      <c r="M33" s="147"/>
      <c r="N33" s="149"/>
      <c r="O33" s="149"/>
      <c r="P33" s="149"/>
      <c r="Q33" s="149"/>
    </row>
    <row r="34" spans="1:17" s="44" customFormat="1" ht="66.5" thickBot="1" x14ac:dyDescent="0.4">
      <c r="A34" s="113" t="str">
        <f>_xlfn.XLOOKUP(B34,'Paso 3 Redacción RA '!I$3:I$15,'Paso 3 Redacción RA '!C$3:C$15,,0,1)</f>
        <v>Saberhacer</v>
      </c>
      <c r="B34" s="89" t="s">
        <v>101</v>
      </c>
      <c r="C34" s="147"/>
      <c r="D34" s="147"/>
      <c r="E34" s="149"/>
      <c r="F34" s="147"/>
      <c r="G34" s="147"/>
      <c r="H34" s="147"/>
      <c r="I34" s="147"/>
      <c r="J34" s="147"/>
      <c r="K34" s="147"/>
      <c r="L34" s="147"/>
      <c r="M34" s="147"/>
      <c r="N34" s="149"/>
      <c r="O34" s="149"/>
      <c r="P34" s="149"/>
      <c r="Q34" s="149"/>
    </row>
    <row r="35" spans="1:17" s="44" customFormat="1" ht="49.5" x14ac:dyDescent="0.35">
      <c r="A35" s="86" t="str">
        <f>_xlfn.XLOOKUP(B35,'Paso 3 Redacción RA '!I$3:I$15,'Paso 3 Redacción RA '!C$3:C$15,,0,1)</f>
        <v>Saber</v>
      </c>
      <c r="B35" s="87" t="s">
        <v>90</v>
      </c>
      <c r="C35" s="146">
        <v>2</v>
      </c>
      <c r="D35" s="146" t="s">
        <v>246</v>
      </c>
      <c r="E35" s="143" t="s">
        <v>247</v>
      </c>
      <c r="F35" s="146" t="s">
        <v>240</v>
      </c>
      <c r="G35" s="146"/>
      <c r="H35" s="146" t="s">
        <v>206</v>
      </c>
      <c r="I35" s="146"/>
      <c r="J35" s="146">
        <v>3</v>
      </c>
      <c r="K35" s="146">
        <f>J35*12</f>
        <v>36</v>
      </c>
      <c r="L35" s="146">
        <f>36*J35</f>
        <v>108</v>
      </c>
      <c r="M35" s="146">
        <f>SUM(K35:L35)</f>
        <v>144</v>
      </c>
      <c r="N35" s="143" t="s">
        <v>248</v>
      </c>
      <c r="O35" s="143" t="s">
        <v>219</v>
      </c>
      <c r="P35" s="143" t="s">
        <v>242</v>
      </c>
      <c r="Q35" s="143" t="s">
        <v>215</v>
      </c>
    </row>
    <row r="36" spans="1:17" s="44" customFormat="1" ht="66" x14ac:dyDescent="0.35">
      <c r="A36" s="86" t="str">
        <f>_xlfn.XLOOKUP(B36,'Paso 3 Redacción RA '!I$3:I$15,'Paso 3 Redacción RA '!C$3:C$15,,0,1)</f>
        <v>Saberhacer</v>
      </c>
      <c r="B36" s="87" t="s">
        <v>93</v>
      </c>
      <c r="C36" s="147"/>
      <c r="D36" s="147"/>
      <c r="E36" s="149"/>
      <c r="F36" s="147"/>
      <c r="G36" s="147"/>
      <c r="H36" s="147"/>
      <c r="I36" s="147"/>
      <c r="J36" s="147"/>
      <c r="K36" s="147"/>
      <c r="L36" s="147"/>
      <c r="M36" s="147"/>
      <c r="N36" s="149"/>
      <c r="O36" s="149"/>
      <c r="P36" s="149"/>
      <c r="Q36" s="149"/>
    </row>
    <row r="37" spans="1:17" s="44" customFormat="1" ht="66" x14ac:dyDescent="0.35">
      <c r="A37" s="86" t="str">
        <f>_xlfn.XLOOKUP(B37,'Paso 3 Redacción RA '!I$3:I$15,'Paso 3 Redacción RA '!C$3:C$15,,0,1)</f>
        <v>Saberhacer</v>
      </c>
      <c r="B37" s="87" t="s">
        <v>101</v>
      </c>
      <c r="C37" s="147"/>
      <c r="D37" s="147"/>
      <c r="E37" s="149"/>
      <c r="F37" s="147"/>
      <c r="G37" s="147"/>
      <c r="H37" s="147"/>
      <c r="I37" s="147"/>
      <c r="J37" s="147"/>
      <c r="K37" s="147"/>
      <c r="L37" s="147"/>
      <c r="M37" s="147"/>
      <c r="N37" s="149"/>
      <c r="O37" s="149"/>
      <c r="P37" s="149"/>
      <c r="Q37" s="149"/>
    </row>
    <row r="38" spans="1:17" s="44" customFormat="1" ht="50" thickBot="1" x14ac:dyDescent="0.4">
      <c r="A38" s="113" t="str">
        <f>_xlfn.XLOOKUP(B38,'Paso 3 Redacción RA '!I$3:I$15,'Paso 3 Redacción RA '!C$3:C$15,,0,1)</f>
        <v>Saberser</v>
      </c>
      <c r="B38" s="89" t="s">
        <v>96</v>
      </c>
      <c r="C38" s="147"/>
      <c r="D38" s="147"/>
      <c r="E38" s="149"/>
      <c r="F38" s="147"/>
      <c r="G38" s="147"/>
      <c r="H38" s="147"/>
      <c r="I38" s="147"/>
      <c r="J38" s="147"/>
      <c r="K38" s="147"/>
      <c r="L38" s="147"/>
      <c r="M38" s="147"/>
      <c r="N38" s="149"/>
      <c r="O38" s="149"/>
      <c r="P38" s="149"/>
      <c r="Q38" s="149"/>
    </row>
    <row r="39" spans="1:17" s="44" customFormat="1" ht="49.5" x14ac:dyDescent="0.35">
      <c r="A39" s="86" t="str">
        <f>_xlfn.XLOOKUP(B39,'Paso 3 Redacción RA '!I$3:I$15,'Paso 3 Redacción RA '!C$3:C$15,,0,1)</f>
        <v>Saber</v>
      </c>
      <c r="B39" s="87" t="s">
        <v>99</v>
      </c>
      <c r="C39" s="146">
        <v>2</v>
      </c>
      <c r="D39" s="146" t="s">
        <v>249</v>
      </c>
      <c r="E39" s="152" t="s">
        <v>250</v>
      </c>
      <c r="F39" s="146" t="s">
        <v>205</v>
      </c>
      <c r="G39" s="146"/>
      <c r="H39" s="146" t="s">
        <v>206</v>
      </c>
      <c r="I39" s="146"/>
      <c r="J39" s="146">
        <v>3</v>
      </c>
      <c r="K39" s="146">
        <f>J39*12</f>
        <v>36</v>
      </c>
      <c r="L39" s="146">
        <f>36*J39</f>
        <v>108</v>
      </c>
      <c r="M39" s="146">
        <f>SUM(K39:L39)</f>
        <v>144</v>
      </c>
      <c r="N39" s="143" t="s">
        <v>251</v>
      </c>
      <c r="O39" s="143" t="s">
        <v>227</v>
      </c>
      <c r="P39" s="143" t="s">
        <v>220</v>
      </c>
      <c r="Q39" s="143" t="s">
        <v>215</v>
      </c>
    </row>
    <row r="40" spans="1:17" s="44" customFormat="1" ht="66" x14ac:dyDescent="0.35">
      <c r="A40" s="86" t="str">
        <f>_xlfn.XLOOKUP(B40,'Paso 3 Redacción RA '!I$3:I$15,'Paso 3 Redacción RA '!C$3:C$15,,0,1)</f>
        <v>Saberhacer</v>
      </c>
      <c r="B40" s="87" t="s">
        <v>93</v>
      </c>
      <c r="C40" s="147"/>
      <c r="D40" s="147"/>
      <c r="E40" s="153"/>
      <c r="F40" s="147"/>
      <c r="G40" s="147"/>
      <c r="H40" s="147"/>
      <c r="I40" s="147"/>
      <c r="J40" s="147"/>
      <c r="K40" s="147"/>
      <c r="L40" s="147"/>
      <c r="M40" s="147"/>
      <c r="N40" s="149"/>
      <c r="O40" s="149"/>
      <c r="P40" s="149"/>
      <c r="Q40" s="149"/>
    </row>
    <row r="41" spans="1:17" s="44" customFormat="1" ht="66.5" thickBot="1" x14ac:dyDescent="0.4">
      <c r="A41" s="113" t="str">
        <f>_xlfn.XLOOKUP(B41,'Paso 3 Redacción RA '!I$3:I$15,'Paso 3 Redacción RA '!C$3:C$15,,0,1)</f>
        <v>Saberhacer</v>
      </c>
      <c r="B41" s="89" t="s">
        <v>101</v>
      </c>
      <c r="C41" s="147"/>
      <c r="D41" s="147"/>
      <c r="E41" s="153"/>
      <c r="F41" s="147"/>
      <c r="G41" s="147"/>
      <c r="H41" s="147"/>
      <c r="I41" s="147"/>
      <c r="J41" s="147"/>
      <c r="K41" s="147"/>
      <c r="L41" s="147"/>
      <c r="M41" s="147"/>
      <c r="N41" s="149"/>
      <c r="O41" s="149"/>
      <c r="P41" s="149"/>
      <c r="Q41" s="149"/>
    </row>
    <row r="42" spans="1:17" s="44" customFormat="1" ht="248" thickBot="1" x14ac:dyDescent="0.4">
      <c r="A42" s="76" t="str">
        <f>_xlfn.XLOOKUP(B42,'Paso 3 Redacción RA '!I$3:I$15,'Paso 3 Redacción RA '!C$3:C$15,,0,1)</f>
        <v>Saber</v>
      </c>
      <c r="B42" s="114" t="s">
        <v>107</v>
      </c>
      <c r="C42" s="78">
        <v>3</v>
      </c>
      <c r="D42" s="79" t="s">
        <v>252</v>
      </c>
      <c r="E42" s="80" t="s">
        <v>253</v>
      </c>
      <c r="F42" s="78" t="s">
        <v>205</v>
      </c>
      <c r="G42" s="79" t="s">
        <v>206</v>
      </c>
      <c r="H42" s="79"/>
      <c r="I42" s="79"/>
      <c r="J42" s="78">
        <v>3</v>
      </c>
      <c r="K42" s="78">
        <f>12*J42</f>
        <v>36</v>
      </c>
      <c r="L42" s="78">
        <f>36*J42</f>
        <v>108</v>
      </c>
      <c r="M42" s="78">
        <f>SUM(K42:L42)</f>
        <v>144</v>
      </c>
      <c r="N42" s="80" t="s">
        <v>254</v>
      </c>
      <c r="O42" s="82" t="s">
        <v>208</v>
      </c>
      <c r="P42" s="82" t="s">
        <v>255</v>
      </c>
      <c r="Q42" s="80" t="s">
        <v>215</v>
      </c>
    </row>
    <row r="43" spans="1:17" s="11" customFormat="1" ht="247.5" x14ac:dyDescent="0.35">
      <c r="A43" s="76" t="str">
        <f>_xlfn.XLOOKUP(B43,'Paso 3 Redacción RA '!I$3:I$15,'Paso 3 Redacción RA '!C$3:C$15,,0,1)</f>
        <v>Saber</v>
      </c>
      <c r="B43" s="77" t="s">
        <v>107</v>
      </c>
      <c r="C43" s="91">
        <v>3</v>
      </c>
      <c r="D43" s="79" t="s">
        <v>256</v>
      </c>
      <c r="E43" s="80" t="s">
        <v>257</v>
      </c>
      <c r="F43" s="78" t="s">
        <v>205</v>
      </c>
      <c r="G43" s="78" t="s">
        <v>206</v>
      </c>
      <c r="H43" s="78"/>
      <c r="I43" s="78"/>
      <c r="J43" s="91">
        <v>3</v>
      </c>
      <c r="K43" s="78">
        <f>12*J43</f>
        <v>36</v>
      </c>
      <c r="L43" s="78">
        <f>36*J43</f>
        <v>108</v>
      </c>
      <c r="M43" s="78">
        <f>SUM(K43:L43)</f>
        <v>144</v>
      </c>
      <c r="N43" s="80" t="s">
        <v>258</v>
      </c>
      <c r="O43" s="77" t="s">
        <v>208</v>
      </c>
      <c r="P43" s="77" t="s">
        <v>259</v>
      </c>
      <c r="Q43" s="80" t="s">
        <v>215</v>
      </c>
    </row>
    <row r="44" spans="1:17" s="44" customFormat="1" ht="49.5" x14ac:dyDescent="0.35">
      <c r="A44" s="86" t="str">
        <f>_xlfn.XLOOKUP(B44,'Paso 3 Redacción RA '!I$3:I$15,'Paso 3 Redacción RA '!C$3:C$15,,0,1)</f>
        <v>Saber</v>
      </c>
      <c r="B44" s="87" t="s">
        <v>90</v>
      </c>
      <c r="C44" s="146">
        <v>3</v>
      </c>
      <c r="D44" s="159" t="s">
        <v>260</v>
      </c>
      <c r="E44" s="143" t="s">
        <v>261</v>
      </c>
      <c r="F44" s="146" t="s">
        <v>240</v>
      </c>
      <c r="G44" s="146"/>
      <c r="H44" s="146" t="s">
        <v>206</v>
      </c>
      <c r="I44" s="146"/>
      <c r="J44" s="146">
        <v>2</v>
      </c>
      <c r="K44" s="146">
        <f>J44*12</f>
        <v>24</v>
      </c>
      <c r="L44" s="146">
        <f>36*J44</f>
        <v>72</v>
      </c>
      <c r="M44" s="146">
        <f>SUM(K44:L44)</f>
        <v>96</v>
      </c>
      <c r="N44" s="143" t="s">
        <v>262</v>
      </c>
      <c r="O44" s="143" t="s">
        <v>219</v>
      </c>
      <c r="P44" s="143" t="s">
        <v>242</v>
      </c>
      <c r="Q44" s="143" t="s">
        <v>215</v>
      </c>
    </row>
    <row r="45" spans="1:17" s="44" customFormat="1" ht="66" x14ac:dyDescent="0.35">
      <c r="A45" s="86" t="str">
        <f>_xlfn.XLOOKUP(B45,'Paso 3 Redacción RA '!I$3:I$15,'Paso 3 Redacción RA '!C$3:C$15,,0,1)</f>
        <v>Saberhacer</v>
      </c>
      <c r="B45" s="87" t="s">
        <v>93</v>
      </c>
      <c r="C45" s="147"/>
      <c r="D45" s="160"/>
      <c r="E45" s="149"/>
      <c r="F45" s="147"/>
      <c r="G45" s="147"/>
      <c r="H45" s="147"/>
      <c r="I45" s="147"/>
      <c r="J45" s="147"/>
      <c r="K45" s="147"/>
      <c r="L45" s="147"/>
      <c r="M45" s="147"/>
      <c r="N45" s="149"/>
      <c r="O45" s="149"/>
      <c r="P45" s="149"/>
      <c r="Q45" s="149"/>
    </row>
    <row r="46" spans="1:17" s="44" customFormat="1" ht="49.5" x14ac:dyDescent="0.35">
      <c r="A46" s="86" t="str">
        <f>_xlfn.XLOOKUP(B46,'Paso 3 Redacción RA '!I$3:I$15,'Paso 3 Redacción RA '!C$3:C$15,,0,1)</f>
        <v>Saberhacer</v>
      </c>
      <c r="B46" s="87" t="s">
        <v>104</v>
      </c>
      <c r="C46" s="147"/>
      <c r="D46" s="160"/>
      <c r="E46" s="149"/>
      <c r="F46" s="147"/>
      <c r="G46" s="147"/>
      <c r="H46" s="147"/>
      <c r="I46" s="147"/>
      <c r="J46" s="147"/>
      <c r="K46" s="147"/>
      <c r="L46" s="147"/>
      <c r="M46" s="147"/>
      <c r="N46" s="149"/>
      <c r="O46" s="149"/>
      <c r="P46" s="149"/>
      <c r="Q46" s="149"/>
    </row>
    <row r="47" spans="1:17" s="44" customFormat="1" ht="50" thickBot="1" x14ac:dyDescent="0.4">
      <c r="A47" s="113" t="str">
        <f>_xlfn.XLOOKUP(B47,'Paso 3 Redacción RA '!I$3:I$15,'Paso 3 Redacción RA '!C$3:C$15,,0,1)</f>
        <v>Saberser</v>
      </c>
      <c r="B47" s="89" t="s">
        <v>96</v>
      </c>
      <c r="C47" s="147"/>
      <c r="D47" s="160"/>
      <c r="E47" s="149"/>
      <c r="F47" s="147"/>
      <c r="G47" s="147"/>
      <c r="H47" s="147"/>
      <c r="I47" s="147"/>
      <c r="J47" s="147"/>
      <c r="K47" s="147"/>
      <c r="L47" s="147"/>
      <c r="M47" s="147"/>
      <c r="N47" s="149"/>
      <c r="O47" s="149"/>
      <c r="P47" s="149"/>
      <c r="Q47" s="149"/>
    </row>
    <row r="48" spans="1:17" s="44" customFormat="1" ht="49.5" x14ac:dyDescent="0.35">
      <c r="A48" s="86" t="str">
        <f>_xlfn.XLOOKUP(B48,'Paso 3 Redacción RA '!I$3:I$15,'Paso 3 Redacción RA '!C$3:C$15,,0,1)</f>
        <v>Saber</v>
      </c>
      <c r="B48" s="87" t="s">
        <v>99</v>
      </c>
      <c r="C48" s="146">
        <v>3</v>
      </c>
      <c r="D48" s="146" t="s">
        <v>263</v>
      </c>
      <c r="E48" s="143" t="s">
        <v>264</v>
      </c>
      <c r="F48" s="146" t="s">
        <v>205</v>
      </c>
      <c r="G48" s="146"/>
      <c r="H48" s="146" t="s">
        <v>206</v>
      </c>
      <c r="I48" s="146"/>
      <c r="J48" s="146">
        <v>3</v>
      </c>
      <c r="K48" s="146">
        <f>J48*12</f>
        <v>36</v>
      </c>
      <c r="L48" s="146">
        <f>36*J48</f>
        <v>108</v>
      </c>
      <c r="M48" s="146">
        <f>SUM(K48:L48)</f>
        <v>144</v>
      </c>
      <c r="N48" s="143" t="s">
        <v>265</v>
      </c>
      <c r="O48" s="143" t="s">
        <v>227</v>
      </c>
      <c r="P48" s="143" t="s">
        <v>220</v>
      </c>
      <c r="Q48" s="143" t="s">
        <v>215</v>
      </c>
    </row>
    <row r="49" spans="1:17" s="44" customFormat="1" ht="66" x14ac:dyDescent="0.35">
      <c r="A49" s="86" t="str">
        <f>_xlfn.XLOOKUP(B49,'Paso 3 Redacción RA '!I$3:I$15,'Paso 3 Redacción RA '!C$3:C$15,,0,1)</f>
        <v>Saberhacer</v>
      </c>
      <c r="B49" s="87" t="s">
        <v>93</v>
      </c>
      <c r="C49" s="147"/>
      <c r="D49" s="147"/>
      <c r="E49" s="149"/>
      <c r="F49" s="147"/>
      <c r="G49" s="147"/>
      <c r="H49" s="147"/>
      <c r="I49" s="147"/>
      <c r="J49" s="147"/>
      <c r="K49" s="147"/>
      <c r="L49" s="147"/>
      <c r="M49" s="147"/>
      <c r="N49" s="149"/>
      <c r="O49" s="149"/>
      <c r="P49" s="149"/>
      <c r="Q49" s="149"/>
    </row>
    <row r="50" spans="1:17" s="44" customFormat="1" ht="66.5" thickBot="1" x14ac:dyDescent="0.4">
      <c r="A50" s="113" t="str">
        <f>_xlfn.XLOOKUP(B50,'Paso 3 Redacción RA '!I$3:I$15,'Paso 3 Redacción RA '!C$3:C$15,,0,1)</f>
        <v>Saberhacer</v>
      </c>
      <c r="B50" s="89" t="s">
        <v>101</v>
      </c>
      <c r="C50" s="147"/>
      <c r="D50" s="147"/>
      <c r="E50" s="149"/>
      <c r="F50" s="147"/>
      <c r="G50" s="147"/>
      <c r="H50" s="147"/>
      <c r="I50" s="147"/>
      <c r="J50" s="147"/>
      <c r="K50" s="147"/>
      <c r="L50" s="147"/>
      <c r="M50" s="147"/>
      <c r="N50" s="149"/>
      <c r="O50" s="149"/>
      <c r="P50" s="149"/>
      <c r="Q50" s="149"/>
    </row>
    <row r="51" spans="1:17" s="44" customFormat="1" ht="49.5" x14ac:dyDescent="0.35">
      <c r="A51" s="86" t="str">
        <f>_xlfn.XLOOKUP(B51,'Paso 3 Redacción RA '!I$3:I$15,'Paso 3 Redacción RA '!C$3:C$15,,0,1)</f>
        <v>Saber</v>
      </c>
      <c r="B51" s="87" t="s">
        <v>90</v>
      </c>
      <c r="C51" s="146">
        <v>3</v>
      </c>
      <c r="D51" s="146" t="s">
        <v>804</v>
      </c>
      <c r="E51" s="143" t="s">
        <v>266</v>
      </c>
      <c r="F51" s="146" t="s">
        <v>240</v>
      </c>
      <c r="G51" s="146"/>
      <c r="H51" s="146" t="s">
        <v>206</v>
      </c>
      <c r="I51" s="146"/>
      <c r="J51" s="146">
        <v>3</v>
      </c>
      <c r="K51" s="146">
        <f>J51*12</f>
        <v>36</v>
      </c>
      <c r="L51" s="146">
        <f>36*J51</f>
        <v>108</v>
      </c>
      <c r="M51" s="146">
        <f>SUM(K51:L51)</f>
        <v>144</v>
      </c>
      <c r="N51" s="143" t="s">
        <v>267</v>
      </c>
      <c r="O51" s="143" t="s">
        <v>219</v>
      </c>
      <c r="P51" s="143" t="s">
        <v>242</v>
      </c>
      <c r="Q51" s="143" t="s">
        <v>215</v>
      </c>
    </row>
    <row r="52" spans="1:17" s="44" customFormat="1" ht="66" x14ac:dyDescent="0.35">
      <c r="A52" s="86" t="str">
        <f>_xlfn.XLOOKUP(B52,'Paso 3 Redacción RA '!I$3:I$15,'Paso 3 Redacción RA '!C$3:C$15,,0,1)</f>
        <v>Saberhacer</v>
      </c>
      <c r="B52" s="87" t="s">
        <v>93</v>
      </c>
      <c r="C52" s="147"/>
      <c r="D52" s="147"/>
      <c r="E52" s="149"/>
      <c r="F52" s="147"/>
      <c r="G52" s="147"/>
      <c r="H52" s="147"/>
      <c r="I52" s="147"/>
      <c r="J52" s="147"/>
      <c r="K52" s="147"/>
      <c r="L52" s="147"/>
      <c r="M52" s="147"/>
      <c r="N52" s="149"/>
      <c r="O52" s="149"/>
      <c r="P52" s="149"/>
      <c r="Q52" s="149"/>
    </row>
    <row r="53" spans="1:17" s="44" customFormat="1" ht="66.5" thickBot="1" x14ac:dyDescent="0.4">
      <c r="A53" s="113" t="str">
        <f>_xlfn.XLOOKUP(B53,'Paso 3 Redacción RA '!I$3:I$15,'Paso 3 Redacción RA '!C$3:C$15,,0,1)</f>
        <v>Saberhacer</v>
      </c>
      <c r="B53" s="89" t="s">
        <v>101</v>
      </c>
      <c r="C53" s="147"/>
      <c r="D53" s="147"/>
      <c r="E53" s="149"/>
      <c r="F53" s="147"/>
      <c r="G53" s="147"/>
      <c r="H53" s="147"/>
      <c r="I53" s="147"/>
      <c r="J53" s="147"/>
      <c r="K53" s="147"/>
      <c r="L53" s="147"/>
      <c r="M53" s="147"/>
      <c r="N53" s="149"/>
      <c r="O53" s="149"/>
      <c r="P53" s="149"/>
      <c r="Q53" s="149"/>
    </row>
    <row r="54" spans="1:17" s="44" customFormat="1" ht="49.5" x14ac:dyDescent="0.35">
      <c r="A54" s="86" t="str">
        <f>_xlfn.XLOOKUP(B54,'Paso 3 Redacción RA '!I$3:I$15,'Paso 3 Redacción RA '!C$3:C$15,,0,1)</f>
        <v>Saber</v>
      </c>
      <c r="B54" s="87" t="s">
        <v>90</v>
      </c>
      <c r="C54" s="146">
        <v>3</v>
      </c>
      <c r="D54" s="146" t="s">
        <v>268</v>
      </c>
      <c r="E54" s="143" t="s">
        <v>269</v>
      </c>
      <c r="F54" s="146" t="s">
        <v>205</v>
      </c>
      <c r="G54" s="146"/>
      <c r="H54" s="146" t="s">
        <v>206</v>
      </c>
      <c r="I54" s="146"/>
      <c r="J54" s="146">
        <v>3</v>
      </c>
      <c r="K54" s="146">
        <f>J54*12</f>
        <v>36</v>
      </c>
      <c r="L54" s="146">
        <f>36*J54</f>
        <v>108</v>
      </c>
      <c r="M54" s="146">
        <f>SUM(K54:L54)</f>
        <v>144</v>
      </c>
      <c r="N54" s="143" t="s">
        <v>270</v>
      </c>
      <c r="O54" s="143" t="s">
        <v>219</v>
      </c>
      <c r="P54" s="143" t="s">
        <v>220</v>
      </c>
      <c r="Q54" s="143" t="s">
        <v>215</v>
      </c>
    </row>
    <row r="55" spans="1:17" s="44" customFormat="1" ht="66" x14ac:dyDescent="0.35">
      <c r="A55" s="86" t="str">
        <f>_xlfn.XLOOKUP(B55,'Paso 3 Redacción RA '!I$3:I$15,'Paso 3 Redacción RA '!C$3:C$15,,0,1)</f>
        <v>Saberhacer</v>
      </c>
      <c r="B55" s="87" t="s">
        <v>93</v>
      </c>
      <c r="C55" s="147"/>
      <c r="D55" s="147"/>
      <c r="E55" s="149"/>
      <c r="F55" s="147"/>
      <c r="G55" s="147"/>
      <c r="H55" s="147"/>
      <c r="I55" s="147"/>
      <c r="J55" s="147"/>
      <c r="K55" s="147"/>
      <c r="L55" s="147"/>
      <c r="M55" s="147"/>
      <c r="N55" s="149"/>
      <c r="O55" s="149"/>
      <c r="P55" s="149"/>
      <c r="Q55" s="149"/>
    </row>
    <row r="56" spans="1:17" s="44" customFormat="1" ht="50" thickBot="1" x14ac:dyDescent="0.4">
      <c r="A56" s="113" t="str">
        <f>_xlfn.XLOOKUP(B56,'Paso 3 Redacción RA '!I$3:I$15,'Paso 3 Redacción RA '!C$3:C$15,,0,1)</f>
        <v>Saberser</v>
      </c>
      <c r="B56" s="87" t="s">
        <v>96</v>
      </c>
      <c r="C56" s="147"/>
      <c r="D56" s="147"/>
      <c r="E56" s="149"/>
      <c r="F56" s="147"/>
      <c r="G56" s="147"/>
      <c r="H56" s="147"/>
      <c r="I56" s="147"/>
      <c r="J56" s="147"/>
      <c r="K56" s="147"/>
      <c r="L56" s="147"/>
      <c r="M56" s="147"/>
      <c r="N56" s="149"/>
      <c r="O56" s="149"/>
      <c r="P56" s="149"/>
      <c r="Q56" s="149"/>
    </row>
    <row r="57" spans="1:17" s="44" customFormat="1" ht="248" thickBot="1" x14ac:dyDescent="0.4">
      <c r="A57" s="76" t="str">
        <f>_xlfn.XLOOKUP(B57,'Paso 3 Redacción RA '!I$3:I$15,'Paso 3 Redacción RA '!C$3:C$15,,0,1)</f>
        <v>Saber</v>
      </c>
      <c r="B57" s="77" t="s">
        <v>107</v>
      </c>
      <c r="C57" s="91">
        <v>4</v>
      </c>
      <c r="D57" s="78" t="s">
        <v>271</v>
      </c>
      <c r="E57" s="80" t="s">
        <v>272</v>
      </c>
      <c r="F57" s="78" t="s">
        <v>205</v>
      </c>
      <c r="G57" s="92" t="s">
        <v>206</v>
      </c>
      <c r="H57" s="92"/>
      <c r="I57" s="92"/>
      <c r="J57" s="79">
        <v>3</v>
      </c>
      <c r="K57" s="78">
        <f>12*J57</f>
        <v>36</v>
      </c>
      <c r="L57" s="78">
        <f>36*J57</f>
        <v>108</v>
      </c>
      <c r="M57" s="78">
        <f>SUM(K57:L57)</f>
        <v>144</v>
      </c>
      <c r="N57" s="93" t="s">
        <v>273</v>
      </c>
      <c r="O57" s="94" t="s">
        <v>208</v>
      </c>
      <c r="P57" s="94" t="s">
        <v>274</v>
      </c>
      <c r="Q57" s="95" t="s">
        <v>215</v>
      </c>
    </row>
    <row r="58" spans="1:17" s="44" customFormat="1" ht="49.5" x14ac:dyDescent="0.35">
      <c r="A58" s="86" t="str">
        <f>_xlfn.XLOOKUP(B58,'Paso 3 Redacción RA '!I$3:I$15,'Paso 3 Redacción RA '!C$3:C$15,,0,1)</f>
        <v>Saber</v>
      </c>
      <c r="B58" s="87" t="s">
        <v>90</v>
      </c>
      <c r="C58" s="146">
        <v>4</v>
      </c>
      <c r="D58" s="146" t="s">
        <v>275</v>
      </c>
      <c r="E58" s="143" t="s">
        <v>276</v>
      </c>
      <c r="F58" s="146" t="s">
        <v>277</v>
      </c>
      <c r="G58" s="146"/>
      <c r="H58" s="146" t="s">
        <v>206</v>
      </c>
      <c r="I58" s="146"/>
      <c r="J58" s="146">
        <v>5</v>
      </c>
      <c r="K58" s="146">
        <f>J58*12</f>
        <v>60</v>
      </c>
      <c r="L58" s="146">
        <f>36*J58</f>
        <v>180</v>
      </c>
      <c r="M58" s="146">
        <f>SUM(K58:L58)</f>
        <v>240</v>
      </c>
      <c r="N58" s="143" t="s">
        <v>278</v>
      </c>
      <c r="O58" s="143" t="s">
        <v>219</v>
      </c>
      <c r="P58" s="143" t="s">
        <v>279</v>
      </c>
      <c r="Q58" s="143" t="s">
        <v>215</v>
      </c>
    </row>
    <row r="59" spans="1:17" s="44" customFormat="1" ht="66" x14ac:dyDescent="0.35">
      <c r="A59" s="86" t="str">
        <f>_xlfn.XLOOKUP(B59,'Paso 3 Redacción RA '!I$3:I$15,'Paso 3 Redacción RA '!C$3:C$15,,0,1)</f>
        <v>Saberhacer</v>
      </c>
      <c r="B59" s="87" t="s">
        <v>93</v>
      </c>
      <c r="C59" s="147"/>
      <c r="D59" s="147"/>
      <c r="E59" s="149"/>
      <c r="F59" s="147"/>
      <c r="G59" s="147"/>
      <c r="H59" s="147"/>
      <c r="I59" s="147"/>
      <c r="J59" s="147"/>
      <c r="K59" s="147"/>
      <c r="L59" s="147"/>
      <c r="M59" s="147"/>
      <c r="N59" s="149"/>
      <c r="O59" s="149"/>
      <c r="P59" s="149"/>
      <c r="Q59" s="149"/>
    </row>
    <row r="60" spans="1:17" s="44" customFormat="1" ht="49.5" x14ac:dyDescent="0.35">
      <c r="A60" s="86" t="str">
        <f>_xlfn.XLOOKUP(B60,'Paso 3 Redacción RA '!I$3:I$15,'Paso 3 Redacción RA '!C$3:C$15,,0,1)</f>
        <v>Saberhacer</v>
      </c>
      <c r="B60" s="87" t="s">
        <v>104</v>
      </c>
      <c r="C60" s="147"/>
      <c r="D60" s="147"/>
      <c r="E60" s="149"/>
      <c r="F60" s="147"/>
      <c r="G60" s="147"/>
      <c r="H60" s="147"/>
      <c r="I60" s="147"/>
      <c r="J60" s="147"/>
      <c r="K60" s="147"/>
      <c r="L60" s="147"/>
      <c r="M60" s="147"/>
      <c r="N60" s="149"/>
      <c r="O60" s="149"/>
      <c r="P60" s="149"/>
      <c r="Q60" s="149"/>
    </row>
    <row r="61" spans="1:17" s="44" customFormat="1" ht="50" thickBot="1" x14ac:dyDescent="0.4">
      <c r="A61" s="88" t="str">
        <f>_xlfn.XLOOKUP(B61,'Paso 3 Redacción RA '!I$3:I$15,'Paso 3 Redacción RA '!C$3:C$15,,0,1)</f>
        <v>Saberser</v>
      </c>
      <c r="B61" s="89" t="s">
        <v>96</v>
      </c>
      <c r="C61" s="148"/>
      <c r="D61" s="148"/>
      <c r="E61" s="150"/>
      <c r="F61" s="148"/>
      <c r="G61" s="148"/>
      <c r="H61" s="148"/>
      <c r="I61" s="148"/>
      <c r="J61" s="148"/>
      <c r="K61" s="148"/>
      <c r="L61" s="148"/>
      <c r="M61" s="148"/>
      <c r="N61" s="150"/>
      <c r="O61" s="150"/>
      <c r="P61" s="150"/>
      <c r="Q61" s="150"/>
    </row>
    <row r="62" spans="1:17" s="44" customFormat="1" ht="49.5" x14ac:dyDescent="0.35">
      <c r="A62" s="86" t="str">
        <f>_xlfn.XLOOKUP(B62,'Paso 3 Redacción RA '!I$3:I$15,'Paso 3 Redacción RA '!C$3:C$15,,0,1)</f>
        <v>Saber</v>
      </c>
      <c r="B62" s="87" t="s">
        <v>90</v>
      </c>
      <c r="C62" s="146">
        <v>4</v>
      </c>
      <c r="D62" s="146" t="s">
        <v>280</v>
      </c>
      <c r="E62" s="152" t="s">
        <v>281</v>
      </c>
      <c r="F62" s="146" t="s">
        <v>205</v>
      </c>
      <c r="G62" s="146"/>
      <c r="H62" s="146" t="s">
        <v>206</v>
      </c>
      <c r="I62" s="146"/>
      <c r="J62" s="146">
        <v>2</v>
      </c>
      <c r="K62" s="146">
        <f>J62*12</f>
        <v>24</v>
      </c>
      <c r="L62" s="146">
        <f>36*J62</f>
        <v>72</v>
      </c>
      <c r="M62" s="146">
        <f>SUM(K62:L62)</f>
        <v>96</v>
      </c>
      <c r="N62" s="143" t="s">
        <v>282</v>
      </c>
      <c r="O62" s="143" t="s">
        <v>219</v>
      </c>
      <c r="P62" s="143" t="s">
        <v>220</v>
      </c>
      <c r="Q62" s="143" t="s">
        <v>215</v>
      </c>
    </row>
    <row r="63" spans="1:17" s="44" customFormat="1" ht="49.5" x14ac:dyDescent="0.35">
      <c r="A63" s="86" t="str">
        <f>_xlfn.XLOOKUP(B63,'Paso 3 Redacción RA '!I$3:I$15,'Paso 3 Redacción RA '!C$3:C$15,,0,1)</f>
        <v>Saber</v>
      </c>
      <c r="B63" s="87" t="s">
        <v>103</v>
      </c>
      <c r="C63" s="147"/>
      <c r="D63" s="147"/>
      <c r="E63" s="153"/>
      <c r="F63" s="147"/>
      <c r="G63" s="147"/>
      <c r="H63" s="147"/>
      <c r="I63" s="147"/>
      <c r="J63" s="147"/>
      <c r="K63" s="147"/>
      <c r="L63" s="147"/>
      <c r="M63" s="147"/>
      <c r="N63" s="149"/>
      <c r="O63" s="149"/>
      <c r="P63" s="149"/>
      <c r="Q63" s="149"/>
    </row>
    <row r="64" spans="1:17" s="44" customFormat="1" ht="66" x14ac:dyDescent="0.35">
      <c r="A64" s="86" t="str">
        <f>_xlfn.XLOOKUP(B64,'Paso 3 Redacción RA '!I$3:I$15,'Paso 3 Redacción RA '!C$3:C$15,,0,1)</f>
        <v>Saberhacer</v>
      </c>
      <c r="B64" s="87" t="s">
        <v>93</v>
      </c>
      <c r="C64" s="147"/>
      <c r="D64" s="147"/>
      <c r="E64" s="153"/>
      <c r="F64" s="147"/>
      <c r="G64" s="147"/>
      <c r="H64" s="147"/>
      <c r="I64" s="147"/>
      <c r="J64" s="147"/>
      <c r="K64" s="147"/>
      <c r="L64" s="147"/>
      <c r="M64" s="147"/>
      <c r="N64" s="149"/>
      <c r="O64" s="149"/>
      <c r="P64" s="149"/>
      <c r="Q64" s="149"/>
    </row>
    <row r="65" spans="1:17" s="44" customFormat="1" ht="50" thickBot="1" x14ac:dyDescent="0.4">
      <c r="A65" s="88" t="str">
        <f>_xlfn.XLOOKUP(B65,'Paso 3 Redacción RA '!I$3:I$15,'Paso 3 Redacción RA '!C$3:C$15,,0,1)</f>
        <v>Saberser</v>
      </c>
      <c r="B65" s="89" t="s">
        <v>96</v>
      </c>
      <c r="C65" s="148"/>
      <c r="D65" s="148"/>
      <c r="E65" s="158"/>
      <c r="F65" s="148"/>
      <c r="G65" s="148"/>
      <c r="H65" s="148"/>
      <c r="I65" s="148"/>
      <c r="J65" s="148"/>
      <c r="K65" s="148"/>
      <c r="L65" s="148"/>
      <c r="M65" s="148"/>
      <c r="N65" s="150"/>
      <c r="O65" s="150"/>
      <c r="P65" s="150"/>
      <c r="Q65" s="150"/>
    </row>
    <row r="66" spans="1:17" s="44" customFormat="1" ht="49.5" x14ac:dyDescent="0.35">
      <c r="A66" s="86" t="str">
        <f>_xlfn.XLOOKUP(B66,'Paso 3 Redacción RA '!I$3:I$15,'Paso 3 Redacción RA '!C$3:C$15,,0,1)</f>
        <v>Saber</v>
      </c>
      <c r="B66" s="87" t="s">
        <v>99</v>
      </c>
      <c r="C66" s="146">
        <v>4</v>
      </c>
      <c r="D66" s="146" t="s">
        <v>283</v>
      </c>
      <c r="E66" s="143" t="s">
        <v>284</v>
      </c>
      <c r="F66" s="146" t="s">
        <v>205</v>
      </c>
      <c r="G66" s="146"/>
      <c r="H66" s="146" t="s">
        <v>206</v>
      </c>
      <c r="I66" s="146"/>
      <c r="J66" s="146">
        <v>3</v>
      </c>
      <c r="K66" s="146">
        <f>J66*12</f>
        <v>36</v>
      </c>
      <c r="L66" s="146">
        <f>36*J66</f>
        <v>108</v>
      </c>
      <c r="M66" s="146">
        <f>SUM(K66:L66)</f>
        <v>144</v>
      </c>
      <c r="N66" s="143" t="s">
        <v>285</v>
      </c>
      <c r="O66" s="143" t="s">
        <v>219</v>
      </c>
      <c r="P66" s="143" t="s">
        <v>220</v>
      </c>
      <c r="Q66" s="143" t="s">
        <v>215</v>
      </c>
    </row>
    <row r="67" spans="1:17" s="44" customFormat="1" ht="66" x14ac:dyDescent="0.35">
      <c r="A67" s="86" t="str">
        <f>_xlfn.XLOOKUP(B67,'Paso 3 Redacción RA '!I$3:I$15,'Paso 3 Redacción RA '!C$3:C$15,,0,1)</f>
        <v>Saberhacer</v>
      </c>
      <c r="B67" s="87" t="s">
        <v>93</v>
      </c>
      <c r="C67" s="147"/>
      <c r="D67" s="147"/>
      <c r="E67" s="149"/>
      <c r="F67" s="147"/>
      <c r="G67" s="147"/>
      <c r="H67" s="147"/>
      <c r="I67" s="147"/>
      <c r="J67" s="147"/>
      <c r="K67" s="147"/>
      <c r="L67" s="147"/>
      <c r="M67" s="147"/>
      <c r="N67" s="149"/>
      <c r="O67" s="149"/>
      <c r="P67" s="149"/>
      <c r="Q67" s="149"/>
    </row>
    <row r="68" spans="1:17" s="44" customFormat="1" ht="66.5" thickBot="1" x14ac:dyDescent="0.4">
      <c r="A68" s="88" t="str">
        <f>_xlfn.XLOOKUP(B68,'Paso 3 Redacción RA '!I$3:I$15,'Paso 3 Redacción RA '!C$3:C$15,,0,1)</f>
        <v>Saberhacer</v>
      </c>
      <c r="B68" s="89" t="s">
        <v>101</v>
      </c>
      <c r="C68" s="148"/>
      <c r="D68" s="148"/>
      <c r="E68" s="150"/>
      <c r="F68" s="148"/>
      <c r="G68" s="148"/>
      <c r="H68" s="148"/>
      <c r="I68" s="148"/>
      <c r="J68" s="148"/>
      <c r="K68" s="148"/>
      <c r="L68" s="148"/>
      <c r="M68" s="148"/>
      <c r="N68" s="150"/>
      <c r="O68" s="150"/>
      <c r="P68" s="150"/>
      <c r="Q68" s="150"/>
    </row>
    <row r="69" spans="1:17" s="44" customFormat="1" ht="49.5" x14ac:dyDescent="0.35">
      <c r="A69" s="86" t="str">
        <f>_xlfn.XLOOKUP(B69,'Paso 3 Redacción RA '!I$3:I$15,'Paso 3 Redacción RA '!C$3:C$15,,0,1)</f>
        <v>Saber</v>
      </c>
      <c r="B69" s="87" t="s">
        <v>99</v>
      </c>
      <c r="C69" s="146">
        <v>4</v>
      </c>
      <c r="D69" s="146" t="s">
        <v>286</v>
      </c>
      <c r="E69" s="143" t="s">
        <v>287</v>
      </c>
      <c r="F69" s="146" t="s">
        <v>205</v>
      </c>
      <c r="G69" s="146"/>
      <c r="H69" s="146" t="s">
        <v>206</v>
      </c>
      <c r="I69" s="146"/>
      <c r="J69" s="146">
        <v>2</v>
      </c>
      <c r="K69" s="146">
        <f>J69*12</f>
        <v>24</v>
      </c>
      <c r="L69" s="146">
        <f>36*J69</f>
        <v>72</v>
      </c>
      <c r="M69" s="146">
        <f>SUM(K69:L69)</f>
        <v>96</v>
      </c>
      <c r="N69" s="143" t="s">
        <v>288</v>
      </c>
      <c r="O69" s="143" t="s">
        <v>219</v>
      </c>
      <c r="P69" s="143" t="s">
        <v>289</v>
      </c>
      <c r="Q69" s="143" t="s">
        <v>215</v>
      </c>
    </row>
    <row r="70" spans="1:17" s="44" customFormat="1" ht="66" x14ac:dyDescent="0.35">
      <c r="A70" s="86" t="str">
        <f>_xlfn.XLOOKUP(B70,'Paso 3 Redacción RA '!I$3:I$15,'Paso 3 Redacción RA '!C$3:C$15,,0,1)</f>
        <v>Saberhacer</v>
      </c>
      <c r="B70" s="87" t="s">
        <v>93</v>
      </c>
      <c r="C70" s="147"/>
      <c r="D70" s="147"/>
      <c r="E70" s="149"/>
      <c r="F70" s="147"/>
      <c r="G70" s="147"/>
      <c r="H70" s="147"/>
      <c r="I70" s="147"/>
      <c r="J70" s="147"/>
      <c r="K70" s="147"/>
      <c r="L70" s="147"/>
      <c r="M70" s="147"/>
      <c r="N70" s="149"/>
      <c r="O70" s="149"/>
      <c r="P70" s="149"/>
      <c r="Q70" s="149"/>
    </row>
    <row r="71" spans="1:17" s="44" customFormat="1" ht="66.5" thickBot="1" x14ac:dyDescent="0.4">
      <c r="A71" s="88" t="str">
        <f>_xlfn.XLOOKUP(B71,'Paso 3 Redacción RA '!I$3:I$15,'Paso 3 Redacción RA '!C$3:C$15,,0,1)</f>
        <v>Saberhacer</v>
      </c>
      <c r="B71" s="89" t="s">
        <v>101</v>
      </c>
      <c r="C71" s="148"/>
      <c r="D71" s="148"/>
      <c r="E71" s="150"/>
      <c r="F71" s="148"/>
      <c r="G71" s="148"/>
      <c r="H71" s="148"/>
      <c r="I71" s="148"/>
      <c r="J71" s="148"/>
      <c r="K71" s="148"/>
      <c r="L71" s="148"/>
      <c r="M71" s="148"/>
      <c r="N71" s="150"/>
      <c r="O71" s="150"/>
      <c r="P71" s="150"/>
      <c r="Q71" s="150"/>
    </row>
    <row r="72" spans="1:17" s="44" customFormat="1" ht="49.5" x14ac:dyDescent="0.35">
      <c r="A72" s="86" t="str">
        <f>_xlfn.XLOOKUP(B72,'Paso 3 Redacción RA '!I$3:I$15,'Paso 3 Redacción RA '!C$3:C$15,,0,1)</f>
        <v>Saber</v>
      </c>
      <c r="B72" s="87" t="s">
        <v>90</v>
      </c>
      <c r="C72" s="146">
        <v>4</v>
      </c>
      <c r="D72" s="146" t="s">
        <v>290</v>
      </c>
      <c r="E72" s="143" t="s">
        <v>291</v>
      </c>
      <c r="F72" s="146" t="s">
        <v>205</v>
      </c>
      <c r="G72" s="146"/>
      <c r="H72" s="146" t="s">
        <v>206</v>
      </c>
      <c r="I72" s="146"/>
      <c r="J72" s="146">
        <v>3</v>
      </c>
      <c r="K72" s="146">
        <f>J72*12</f>
        <v>36</v>
      </c>
      <c r="L72" s="146">
        <f>36*J72</f>
        <v>108</v>
      </c>
      <c r="M72" s="146">
        <f>SUM(K72:L72)</f>
        <v>144</v>
      </c>
      <c r="N72" s="143" t="s">
        <v>292</v>
      </c>
      <c r="O72" s="143" t="s">
        <v>219</v>
      </c>
      <c r="P72" s="143" t="s">
        <v>220</v>
      </c>
      <c r="Q72" s="143" t="s">
        <v>215</v>
      </c>
    </row>
    <row r="73" spans="1:17" s="44" customFormat="1" ht="49.5" x14ac:dyDescent="0.35">
      <c r="A73" s="86" t="str">
        <f>_xlfn.XLOOKUP(B73,'Paso 3 Redacción RA '!I$3:I$15,'Paso 3 Redacción RA '!C$3:C$15,,0,1)</f>
        <v>Saber</v>
      </c>
      <c r="B73" s="87" t="s">
        <v>103</v>
      </c>
      <c r="C73" s="147"/>
      <c r="D73" s="147"/>
      <c r="E73" s="149"/>
      <c r="F73" s="147"/>
      <c r="G73" s="147"/>
      <c r="H73" s="147"/>
      <c r="I73" s="147"/>
      <c r="J73" s="147"/>
      <c r="K73" s="147"/>
      <c r="L73" s="147"/>
      <c r="M73" s="147"/>
      <c r="N73" s="149"/>
      <c r="O73" s="149"/>
      <c r="P73" s="149"/>
      <c r="Q73" s="149"/>
    </row>
    <row r="74" spans="1:17" s="44" customFormat="1" ht="49.5" x14ac:dyDescent="0.35">
      <c r="A74" s="86" t="str">
        <f>_xlfn.XLOOKUP(B74,'Paso 3 Redacción RA '!I$3:I$15,'Paso 3 Redacción RA '!C$3:C$15,,0,1)</f>
        <v>Saberser</v>
      </c>
      <c r="B74" s="87" t="s">
        <v>96</v>
      </c>
      <c r="C74" s="147"/>
      <c r="D74" s="147"/>
      <c r="E74" s="149"/>
      <c r="F74" s="147"/>
      <c r="G74" s="147"/>
      <c r="H74" s="147"/>
      <c r="I74" s="147"/>
      <c r="J74" s="147"/>
      <c r="K74" s="147"/>
      <c r="L74" s="147"/>
      <c r="M74" s="147"/>
      <c r="N74" s="149"/>
      <c r="O74" s="149"/>
      <c r="P74" s="149"/>
      <c r="Q74" s="149"/>
    </row>
    <row r="75" spans="1:17" s="44" customFormat="1" ht="50" thickBot="1" x14ac:dyDescent="0.4">
      <c r="A75" s="88" t="str">
        <f>_xlfn.XLOOKUP(B75,'Paso 3 Redacción RA '!I$3:I$15,'Paso 3 Redacción RA '!C$3:C$15,,0,1)</f>
        <v>Saberser</v>
      </c>
      <c r="B75" s="89" t="s">
        <v>96</v>
      </c>
      <c r="C75" s="148"/>
      <c r="D75" s="148"/>
      <c r="E75" s="150"/>
      <c r="F75" s="148"/>
      <c r="G75" s="148"/>
      <c r="H75" s="148"/>
      <c r="I75" s="148"/>
      <c r="J75" s="148"/>
      <c r="K75" s="148"/>
      <c r="L75" s="148"/>
      <c r="M75" s="148"/>
      <c r="N75" s="150"/>
      <c r="O75" s="150"/>
      <c r="P75" s="150"/>
      <c r="Q75" s="150"/>
    </row>
    <row r="76" spans="1:17" s="44" customFormat="1" ht="49.5" x14ac:dyDescent="0.35">
      <c r="A76" s="86" t="str">
        <f>_xlfn.XLOOKUP(B76,'Paso 3 Redacción RA '!I$3:I$15,'Paso 3 Redacción RA '!C$3:C$15,,0,1)</f>
        <v>Saber</v>
      </c>
      <c r="B76" s="87" t="s">
        <v>90</v>
      </c>
      <c r="C76" s="146">
        <v>5</v>
      </c>
      <c r="D76" s="146" t="s">
        <v>293</v>
      </c>
      <c r="E76" s="143" t="s">
        <v>294</v>
      </c>
      <c r="F76" s="146" t="s">
        <v>205</v>
      </c>
      <c r="G76" s="146"/>
      <c r="H76" s="146" t="s">
        <v>206</v>
      </c>
      <c r="I76" s="146"/>
      <c r="J76" s="146">
        <v>3</v>
      </c>
      <c r="K76" s="146">
        <f>J76*12</f>
        <v>36</v>
      </c>
      <c r="L76" s="146">
        <f>36*J76</f>
        <v>108</v>
      </c>
      <c r="M76" s="146">
        <f>SUM(K76:L76)</f>
        <v>144</v>
      </c>
      <c r="N76" s="143" t="s">
        <v>295</v>
      </c>
      <c r="O76" s="143" t="s">
        <v>219</v>
      </c>
      <c r="P76" s="143" t="s">
        <v>289</v>
      </c>
      <c r="Q76" s="143" t="s">
        <v>215</v>
      </c>
    </row>
    <row r="77" spans="1:17" s="44" customFormat="1" ht="66" x14ac:dyDescent="0.35">
      <c r="A77" s="86" t="str">
        <f>_xlfn.XLOOKUP(B77,'Paso 3 Redacción RA '!I$3:I$15,'Paso 3 Redacción RA '!C$3:C$15,,0,1)</f>
        <v>Saberhacer</v>
      </c>
      <c r="B77" s="87" t="s">
        <v>93</v>
      </c>
      <c r="C77" s="147"/>
      <c r="D77" s="147"/>
      <c r="E77" s="149"/>
      <c r="F77" s="147"/>
      <c r="G77" s="147"/>
      <c r="H77" s="147"/>
      <c r="I77" s="147"/>
      <c r="J77" s="147"/>
      <c r="K77" s="147"/>
      <c r="L77" s="147"/>
      <c r="M77" s="147"/>
      <c r="N77" s="149"/>
      <c r="O77" s="149"/>
      <c r="P77" s="149"/>
      <c r="Q77" s="149"/>
    </row>
    <row r="78" spans="1:17" s="44" customFormat="1" ht="66" x14ac:dyDescent="0.35">
      <c r="A78" s="86" t="str">
        <f>_xlfn.XLOOKUP(B78,'Paso 3 Redacción RA '!I$3:I$15,'Paso 3 Redacción RA '!C$3:C$15,,0,1)</f>
        <v>Saberhacer</v>
      </c>
      <c r="B78" s="87" t="s">
        <v>101</v>
      </c>
      <c r="C78" s="147"/>
      <c r="D78" s="147"/>
      <c r="E78" s="149"/>
      <c r="F78" s="147"/>
      <c r="G78" s="147"/>
      <c r="H78" s="147"/>
      <c r="I78" s="147"/>
      <c r="J78" s="147"/>
      <c r="K78" s="147"/>
      <c r="L78" s="147"/>
      <c r="M78" s="147"/>
      <c r="N78" s="149"/>
      <c r="O78" s="149"/>
      <c r="P78" s="149"/>
      <c r="Q78" s="149"/>
    </row>
    <row r="79" spans="1:17" s="44" customFormat="1" ht="50" thickBot="1" x14ac:dyDescent="0.4">
      <c r="A79" s="88" t="str">
        <f>_xlfn.XLOOKUP(B79,'Paso 3 Redacción RA '!I$3:I$15,'Paso 3 Redacción RA '!C$3:C$15,,0,1)</f>
        <v>Saberser</v>
      </c>
      <c r="B79" s="89" t="s">
        <v>96</v>
      </c>
      <c r="C79" s="148"/>
      <c r="D79" s="148"/>
      <c r="E79" s="150"/>
      <c r="F79" s="148"/>
      <c r="G79" s="148"/>
      <c r="H79" s="148"/>
      <c r="I79" s="148"/>
      <c r="J79" s="148"/>
      <c r="K79" s="148"/>
      <c r="L79" s="148"/>
      <c r="M79" s="148"/>
      <c r="N79" s="150"/>
      <c r="O79" s="145"/>
      <c r="P79" s="150"/>
      <c r="Q79" s="150"/>
    </row>
    <row r="80" spans="1:17" s="44" customFormat="1" ht="49.5" x14ac:dyDescent="0.35">
      <c r="A80" s="86" t="str">
        <f>_xlfn.XLOOKUP(B80,'Paso 3 Redacción RA '!I$3:I$15,'Paso 3 Redacción RA '!C$3:C$15,,0,1)</f>
        <v>Saber</v>
      </c>
      <c r="B80" s="87" t="s">
        <v>90</v>
      </c>
      <c r="C80" s="146">
        <v>5</v>
      </c>
      <c r="D80" s="146" t="s">
        <v>296</v>
      </c>
      <c r="E80" s="143" t="s">
        <v>297</v>
      </c>
      <c r="F80" s="146" t="s">
        <v>277</v>
      </c>
      <c r="G80" s="146"/>
      <c r="H80" s="146" t="s">
        <v>206</v>
      </c>
      <c r="I80" s="146"/>
      <c r="J80" s="146">
        <v>5</v>
      </c>
      <c r="K80" s="146">
        <f>J80*12</f>
        <v>60</v>
      </c>
      <c r="L80" s="146">
        <f>36*J80</f>
        <v>180</v>
      </c>
      <c r="M80" s="146">
        <f>SUM(K80:L80)</f>
        <v>240</v>
      </c>
      <c r="N80" s="143" t="s">
        <v>298</v>
      </c>
      <c r="O80" s="143" t="s">
        <v>219</v>
      </c>
      <c r="P80" s="143" t="s">
        <v>279</v>
      </c>
      <c r="Q80" s="143" t="s">
        <v>215</v>
      </c>
    </row>
    <row r="81" spans="1:17" s="44" customFormat="1" ht="49.5" x14ac:dyDescent="0.35">
      <c r="A81" s="86" t="str">
        <f>_xlfn.XLOOKUP(B81,'Paso 3 Redacción RA '!I$3:I$15,'Paso 3 Redacción RA '!C$3:C$15,,0,1)</f>
        <v>Saber</v>
      </c>
      <c r="B81" s="87" t="s">
        <v>103</v>
      </c>
      <c r="C81" s="147"/>
      <c r="D81" s="147"/>
      <c r="E81" s="149"/>
      <c r="F81" s="147"/>
      <c r="G81" s="147"/>
      <c r="H81" s="147"/>
      <c r="I81" s="147"/>
      <c r="J81" s="147"/>
      <c r="K81" s="147"/>
      <c r="L81" s="147"/>
      <c r="M81" s="147"/>
      <c r="N81" s="149"/>
      <c r="O81" s="149"/>
      <c r="P81" s="149"/>
      <c r="Q81" s="149"/>
    </row>
    <row r="82" spans="1:17" s="44" customFormat="1" ht="66" x14ac:dyDescent="0.35">
      <c r="A82" s="86" t="str">
        <f>_xlfn.XLOOKUP(B82,'Paso 3 Redacción RA '!I$3:I$15,'Paso 3 Redacción RA '!C$3:C$15,,0,1)</f>
        <v>Saberhacer</v>
      </c>
      <c r="B82" s="87" t="s">
        <v>93</v>
      </c>
      <c r="C82" s="147"/>
      <c r="D82" s="147"/>
      <c r="E82" s="149"/>
      <c r="F82" s="147"/>
      <c r="G82" s="147"/>
      <c r="H82" s="147"/>
      <c r="I82" s="147"/>
      <c r="J82" s="147"/>
      <c r="K82" s="147"/>
      <c r="L82" s="147"/>
      <c r="M82" s="147"/>
      <c r="N82" s="149"/>
      <c r="O82" s="149"/>
      <c r="P82" s="149"/>
      <c r="Q82" s="149"/>
    </row>
    <row r="83" spans="1:17" s="44" customFormat="1" ht="49.5" x14ac:dyDescent="0.35">
      <c r="A83" s="86" t="str">
        <f>_xlfn.XLOOKUP(B83,'Paso 3 Redacción RA '!I$3:I$15,'Paso 3 Redacción RA '!C$3:C$15,,0,1)</f>
        <v>Saberhacer</v>
      </c>
      <c r="B83" s="87" t="s">
        <v>104</v>
      </c>
      <c r="C83" s="147"/>
      <c r="D83" s="147"/>
      <c r="E83" s="149"/>
      <c r="F83" s="147"/>
      <c r="G83" s="147"/>
      <c r="H83" s="147"/>
      <c r="I83" s="147"/>
      <c r="J83" s="147"/>
      <c r="K83" s="147"/>
      <c r="L83" s="147"/>
      <c r="M83" s="147"/>
      <c r="N83" s="149"/>
      <c r="O83" s="149"/>
      <c r="P83" s="149"/>
      <c r="Q83" s="149"/>
    </row>
    <row r="84" spans="1:17" s="44" customFormat="1" ht="50" thickBot="1" x14ac:dyDescent="0.4">
      <c r="A84" s="88" t="str">
        <f>_xlfn.XLOOKUP(B84,'Paso 3 Redacción RA '!I$3:I$15,'Paso 3 Redacción RA '!C$3:C$15,,0,1)</f>
        <v>Saberser</v>
      </c>
      <c r="B84" s="89" t="s">
        <v>96</v>
      </c>
      <c r="C84" s="148"/>
      <c r="D84" s="148"/>
      <c r="E84" s="150"/>
      <c r="F84" s="148"/>
      <c r="G84" s="148"/>
      <c r="H84" s="148"/>
      <c r="I84" s="148"/>
      <c r="J84" s="148"/>
      <c r="K84" s="148"/>
      <c r="L84" s="148"/>
      <c r="M84" s="148"/>
      <c r="N84" s="150"/>
      <c r="O84" s="150"/>
      <c r="P84" s="150"/>
      <c r="Q84" s="150"/>
    </row>
    <row r="85" spans="1:17" s="44" customFormat="1" ht="49.5" x14ac:dyDescent="0.35">
      <c r="A85" s="86" t="str">
        <f>_xlfn.XLOOKUP(B85,'Paso 3 Redacción RA '!I$3:I$15,'Paso 3 Redacción RA '!C$3:C$15,,0,1)</f>
        <v>Saber</v>
      </c>
      <c r="B85" s="87" t="s">
        <v>90</v>
      </c>
      <c r="C85" s="146">
        <v>5</v>
      </c>
      <c r="D85" s="146" t="s">
        <v>299</v>
      </c>
      <c r="E85" s="143" t="s">
        <v>300</v>
      </c>
      <c r="F85" s="146" t="s">
        <v>205</v>
      </c>
      <c r="G85" s="146"/>
      <c r="H85" s="146" t="s">
        <v>206</v>
      </c>
      <c r="I85" s="146"/>
      <c r="J85" s="146">
        <v>3</v>
      </c>
      <c r="K85" s="146">
        <f>J85*12</f>
        <v>36</v>
      </c>
      <c r="L85" s="146">
        <f>36*J85</f>
        <v>108</v>
      </c>
      <c r="M85" s="146">
        <f>SUM(K85:L85)</f>
        <v>144</v>
      </c>
      <c r="N85" s="143" t="s">
        <v>301</v>
      </c>
      <c r="O85" s="143" t="s">
        <v>219</v>
      </c>
      <c r="P85" s="143" t="s">
        <v>220</v>
      </c>
      <c r="Q85" s="143" t="s">
        <v>215</v>
      </c>
    </row>
    <row r="86" spans="1:17" s="44" customFormat="1" ht="49.5" x14ac:dyDescent="0.35">
      <c r="A86" s="86" t="str">
        <f>_xlfn.XLOOKUP(B86,'Paso 3 Redacción RA '!I$3:I$15,'Paso 3 Redacción RA '!C$3:C$15,,0,1)</f>
        <v>Saber</v>
      </c>
      <c r="B86" s="87" t="s">
        <v>103</v>
      </c>
      <c r="C86" s="147"/>
      <c r="D86" s="147"/>
      <c r="E86" s="149"/>
      <c r="F86" s="147"/>
      <c r="G86" s="147"/>
      <c r="H86" s="147"/>
      <c r="I86" s="147"/>
      <c r="J86" s="147"/>
      <c r="K86" s="147"/>
      <c r="L86" s="147"/>
      <c r="M86" s="147"/>
      <c r="N86" s="149"/>
      <c r="O86" s="149"/>
      <c r="P86" s="149"/>
      <c r="Q86" s="149"/>
    </row>
    <row r="87" spans="1:17" s="44" customFormat="1" ht="66" x14ac:dyDescent="0.35">
      <c r="A87" s="86" t="str">
        <f>_xlfn.XLOOKUP(B87,'Paso 3 Redacción RA '!I$3:I$15,'Paso 3 Redacción RA '!C$3:C$15,,0,1)</f>
        <v>Saberhacer</v>
      </c>
      <c r="B87" s="87" t="s">
        <v>93</v>
      </c>
      <c r="C87" s="147"/>
      <c r="D87" s="147"/>
      <c r="E87" s="149"/>
      <c r="F87" s="147"/>
      <c r="G87" s="147"/>
      <c r="H87" s="147"/>
      <c r="I87" s="147"/>
      <c r="J87" s="147"/>
      <c r="K87" s="147"/>
      <c r="L87" s="147"/>
      <c r="M87" s="147"/>
      <c r="N87" s="149"/>
      <c r="O87" s="149"/>
      <c r="P87" s="149"/>
      <c r="Q87" s="149"/>
    </row>
    <row r="88" spans="1:17" s="44" customFormat="1" ht="49.5" x14ac:dyDescent="0.35">
      <c r="A88" s="86" t="str">
        <f>_xlfn.XLOOKUP(B88,'Paso 3 Redacción RA '!I$3:I$15,'Paso 3 Redacción RA '!C$3:C$15,,0,1)</f>
        <v>Saberhacer</v>
      </c>
      <c r="B88" s="87" t="s">
        <v>104</v>
      </c>
      <c r="C88" s="147"/>
      <c r="D88" s="147"/>
      <c r="E88" s="149"/>
      <c r="F88" s="147"/>
      <c r="G88" s="147"/>
      <c r="H88" s="147"/>
      <c r="I88" s="147"/>
      <c r="J88" s="147"/>
      <c r="K88" s="147"/>
      <c r="L88" s="147"/>
      <c r="M88" s="147"/>
      <c r="N88" s="149"/>
      <c r="O88" s="149"/>
      <c r="P88" s="149"/>
      <c r="Q88" s="149"/>
    </row>
    <row r="89" spans="1:17" s="44" customFormat="1" ht="50" thickBot="1" x14ac:dyDescent="0.4">
      <c r="A89" s="88" t="str">
        <f>_xlfn.XLOOKUP(B89,'Paso 3 Redacción RA '!I$3:I$15,'Paso 3 Redacción RA '!C$3:C$15,,0,1)</f>
        <v>Saberser</v>
      </c>
      <c r="B89" s="89" t="s">
        <v>96</v>
      </c>
      <c r="C89" s="148"/>
      <c r="D89" s="148"/>
      <c r="E89" s="155"/>
      <c r="F89" s="148"/>
      <c r="G89" s="148"/>
      <c r="H89" s="148"/>
      <c r="I89" s="148"/>
      <c r="J89" s="148"/>
      <c r="K89" s="148"/>
      <c r="L89" s="148"/>
      <c r="M89" s="148"/>
      <c r="N89" s="150"/>
      <c r="O89" s="150"/>
      <c r="P89" s="150"/>
      <c r="Q89" s="150"/>
    </row>
    <row r="90" spans="1:17" s="44" customFormat="1" ht="49.5" x14ac:dyDescent="0.35">
      <c r="A90" s="86" t="str">
        <f>_xlfn.XLOOKUP(B90,'Paso 3 Redacción RA '!I$3:I$15,'Paso 3 Redacción RA '!C$3:C$15,,0,1)</f>
        <v>Saber</v>
      </c>
      <c r="B90" s="87" t="s">
        <v>99</v>
      </c>
      <c r="C90" s="146">
        <v>5</v>
      </c>
      <c r="D90" s="146" t="s">
        <v>302</v>
      </c>
      <c r="E90" s="149" t="s">
        <v>303</v>
      </c>
      <c r="F90" s="146" t="s">
        <v>205</v>
      </c>
      <c r="G90" s="146"/>
      <c r="H90" s="146" t="s">
        <v>206</v>
      </c>
      <c r="I90" s="146"/>
      <c r="J90" s="146">
        <v>3</v>
      </c>
      <c r="K90" s="146">
        <f>J90*12</f>
        <v>36</v>
      </c>
      <c r="L90" s="146">
        <f>36*J90</f>
        <v>108</v>
      </c>
      <c r="M90" s="146">
        <f>SUM(K90:L90)</f>
        <v>144</v>
      </c>
      <c r="N90" s="143" t="s">
        <v>304</v>
      </c>
      <c r="O90" s="143" t="s">
        <v>219</v>
      </c>
      <c r="P90" s="143" t="s">
        <v>220</v>
      </c>
      <c r="Q90" s="143" t="s">
        <v>215</v>
      </c>
    </row>
    <row r="91" spans="1:17" s="44" customFormat="1" ht="66" x14ac:dyDescent="0.35">
      <c r="A91" s="86" t="str">
        <f>_xlfn.XLOOKUP(B91,'Paso 3 Redacción RA '!I$3:I$15,'Paso 3 Redacción RA '!C$3:C$15,,0,1)</f>
        <v>Saberhacer</v>
      </c>
      <c r="B91" s="87" t="s">
        <v>93</v>
      </c>
      <c r="C91" s="147"/>
      <c r="D91" s="147"/>
      <c r="E91" s="149"/>
      <c r="F91" s="147"/>
      <c r="G91" s="147"/>
      <c r="H91" s="147"/>
      <c r="I91" s="147"/>
      <c r="J91" s="147"/>
      <c r="K91" s="147"/>
      <c r="L91" s="147"/>
      <c r="M91" s="147"/>
      <c r="N91" s="149"/>
      <c r="O91" s="149"/>
      <c r="P91" s="149"/>
      <c r="Q91" s="149"/>
    </row>
    <row r="92" spans="1:17" s="44" customFormat="1" ht="66.5" thickBot="1" x14ac:dyDescent="0.4">
      <c r="A92" s="88" t="str">
        <f>_xlfn.XLOOKUP(B92,'Paso 3 Redacción RA '!I$3:I$15,'Paso 3 Redacción RA '!C$3:C$15,,0,1)</f>
        <v>Saberhacer</v>
      </c>
      <c r="B92" s="89" t="s">
        <v>101</v>
      </c>
      <c r="C92" s="148"/>
      <c r="D92" s="148"/>
      <c r="E92" s="155"/>
      <c r="F92" s="151"/>
      <c r="G92" s="151"/>
      <c r="H92" s="151"/>
      <c r="I92" s="151"/>
      <c r="J92" s="151"/>
      <c r="K92" s="148"/>
      <c r="L92" s="148"/>
      <c r="M92" s="151"/>
      <c r="N92" s="155"/>
      <c r="O92" s="150"/>
      <c r="P92" s="150"/>
      <c r="Q92" s="150"/>
    </row>
    <row r="93" spans="1:17" s="44" customFormat="1" ht="49.5" x14ac:dyDescent="0.35">
      <c r="A93" s="86" t="str">
        <f>_xlfn.XLOOKUP(B93,'Paso 3 Redacción RA '!I$3:I$15,'Paso 3 Redacción RA '!C$3:C$15,,0,1)</f>
        <v>Saber</v>
      </c>
      <c r="B93" s="87" t="s">
        <v>90</v>
      </c>
      <c r="C93" s="146">
        <v>5</v>
      </c>
      <c r="D93" s="146" t="s">
        <v>305</v>
      </c>
      <c r="E93" s="149" t="s">
        <v>306</v>
      </c>
      <c r="F93" s="147" t="s">
        <v>240</v>
      </c>
      <c r="G93" s="147"/>
      <c r="H93" s="147" t="s">
        <v>206</v>
      </c>
      <c r="I93" s="147"/>
      <c r="J93" s="147">
        <v>2</v>
      </c>
      <c r="K93" s="146">
        <f>J93*12</f>
        <v>24</v>
      </c>
      <c r="L93" s="146">
        <f>36*J93</f>
        <v>72</v>
      </c>
      <c r="M93" s="147">
        <f>SUM(K93:L93)</f>
        <v>96</v>
      </c>
      <c r="N93" s="149" t="s">
        <v>307</v>
      </c>
      <c r="O93" s="143" t="s">
        <v>219</v>
      </c>
      <c r="P93" s="143" t="s">
        <v>242</v>
      </c>
      <c r="Q93" s="143" t="s">
        <v>215</v>
      </c>
    </row>
    <row r="94" spans="1:17" s="44" customFormat="1" ht="49.5" x14ac:dyDescent="0.35">
      <c r="A94" s="86" t="str">
        <f>_xlfn.XLOOKUP(B94,'Paso 3 Redacción RA '!I$3:I$15,'Paso 3 Redacción RA '!C$3:C$15,,0,1)</f>
        <v>Saber</v>
      </c>
      <c r="B94" s="87" t="s">
        <v>103</v>
      </c>
      <c r="C94" s="147"/>
      <c r="D94" s="147"/>
      <c r="E94" s="149"/>
      <c r="F94" s="147"/>
      <c r="G94" s="147"/>
      <c r="H94" s="147"/>
      <c r="I94" s="147"/>
      <c r="J94" s="147"/>
      <c r="K94" s="147"/>
      <c r="L94" s="147"/>
      <c r="M94" s="147"/>
      <c r="N94" s="149"/>
      <c r="O94" s="149"/>
      <c r="P94" s="156"/>
      <c r="Q94" s="149"/>
    </row>
    <row r="95" spans="1:17" s="44" customFormat="1" ht="49.5" x14ac:dyDescent="0.35">
      <c r="A95" s="86" t="str">
        <f>_xlfn.XLOOKUP(B95,'Paso 3 Redacción RA '!I$3:I$15,'Paso 3 Redacción RA '!C$3:C$15,,0,1)</f>
        <v>Saberhacer</v>
      </c>
      <c r="B95" s="87" t="s">
        <v>104</v>
      </c>
      <c r="C95" s="147"/>
      <c r="D95" s="147"/>
      <c r="E95" s="149"/>
      <c r="F95" s="147"/>
      <c r="G95" s="147"/>
      <c r="H95" s="147"/>
      <c r="I95" s="147"/>
      <c r="J95" s="147"/>
      <c r="K95" s="147"/>
      <c r="L95" s="147"/>
      <c r="M95" s="147"/>
      <c r="N95" s="149"/>
      <c r="O95" s="149"/>
      <c r="P95" s="156"/>
      <c r="Q95" s="149"/>
    </row>
    <row r="96" spans="1:17" s="44" customFormat="1" ht="50" thickBot="1" x14ac:dyDescent="0.4">
      <c r="A96" s="88" t="str">
        <f>_xlfn.XLOOKUP(B96,'Paso 3 Redacción RA '!I$3:I$15,'Paso 3 Redacción RA '!C$3:C$15,,0,1)</f>
        <v>Saberser</v>
      </c>
      <c r="B96" s="89" t="s">
        <v>96</v>
      </c>
      <c r="C96" s="148"/>
      <c r="D96" s="148"/>
      <c r="E96" s="150"/>
      <c r="F96" s="148"/>
      <c r="G96" s="148"/>
      <c r="H96" s="148"/>
      <c r="I96" s="148"/>
      <c r="J96" s="148"/>
      <c r="K96" s="148"/>
      <c r="L96" s="148"/>
      <c r="M96" s="148"/>
      <c r="N96" s="150"/>
      <c r="O96" s="150"/>
      <c r="P96" s="157"/>
      <c r="Q96" s="150"/>
    </row>
    <row r="97" spans="1:17" s="44" customFormat="1" ht="66" x14ac:dyDescent="0.35">
      <c r="A97" s="86" t="str">
        <f>_xlfn.XLOOKUP(B97,'Paso 3 Redacción RA '!I$3:I$15,'Paso 3 Redacción RA '!C$3:C$15,,0,1)</f>
        <v>Saberhacer</v>
      </c>
      <c r="B97" s="87" t="s">
        <v>93</v>
      </c>
      <c r="C97" s="146">
        <v>5</v>
      </c>
      <c r="D97" s="146" t="s">
        <v>308</v>
      </c>
      <c r="E97" s="143" t="s">
        <v>309</v>
      </c>
      <c r="F97" s="146" t="s">
        <v>205</v>
      </c>
      <c r="G97" s="146"/>
      <c r="H97" s="146" t="s">
        <v>206</v>
      </c>
      <c r="I97" s="146"/>
      <c r="J97" s="146">
        <v>2</v>
      </c>
      <c r="K97" s="146">
        <f>J97*12</f>
        <v>24</v>
      </c>
      <c r="L97" s="146">
        <f>36*J97</f>
        <v>72</v>
      </c>
      <c r="M97" s="146">
        <f>SUM(K97:L97)</f>
        <v>96</v>
      </c>
      <c r="N97" s="143" t="s">
        <v>310</v>
      </c>
      <c r="O97" s="143" t="s">
        <v>227</v>
      </c>
      <c r="P97" s="143" t="s">
        <v>220</v>
      </c>
      <c r="Q97" s="143" t="s">
        <v>215</v>
      </c>
    </row>
    <row r="98" spans="1:17" s="44" customFormat="1" ht="66" x14ac:dyDescent="0.35">
      <c r="A98" s="86" t="str">
        <f>_xlfn.XLOOKUP(B98,'Paso 3 Redacción RA '!I$3:I$15,'Paso 3 Redacción RA '!C$3:C$15,,0,1)</f>
        <v>Saberhacer</v>
      </c>
      <c r="B98" s="87" t="s">
        <v>101</v>
      </c>
      <c r="C98" s="147"/>
      <c r="D98" s="147"/>
      <c r="E98" s="149"/>
      <c r="F98" s="147"/>
      <c r="G98" s="147"/>
      <c r="H98" s="147"/>
      <c r="I98" s="147"/>
      <c r="J98" s="147"/>
      <c r="K98" s="147"/>
      <c r="L98" s="147"/>
      <c r="M98" s="147"/>
      <c r="N98" s="149"/>
      <c r="O98" s="144"/>
      <c r="P98" s="149"/>
      <c r="Q98" s="149"/>
    </row>
    <row r="99" spans="1:17" s="44" customFormat="1" ht="50" thickBot="1" x14ac:dyDescent="0.4">
      <c r="A99" s="88" t="str">
        <f>_xlfn.XLOOKUP(B99,'Paso 3 Redacción RA '!I$3:I$15,'Paso 3 Redacción RA '!C$3:C$15,,0,1)</f>
        <v>Saberhacer</v>
      </c>
      <c r="B99" s="89" t="s">
        <v>104</v>
      </c>
      <c r="C99" s="148"/>
      <c r="D99" s="148"/>
      <c r="E99" s="150"/>
      <c r="F99" s="148"/>
      <c r="G99" s="148"/>
      <c r="H99" s="148"/>
      <c r="I99" s="148"/>
      <c r="J99" s="148"/>
      <c r="K99" s="148"/>
      <c r="L99" s="148"/>
      <c r="M99" s="148"/>
      <c r="N99" s="150"/>
      <c r="O99" s="145"/>
      <c r="P99" s="150"/>
      <c r="Q99" s="150"/>
    </row>
    <row r="100" spans="1:17" s="44" customFormat="1" ht="66" x14ac:dyDescent="0.35">
      <c r="A100" s="86" t="str">
        <f>_xlfn.XLOOKUP(B100,'Paso 3 Redacción RA '!I$3:I$15,'Paso 3 Redacción RA '!C$3:C$15,,0,1)</f>
        <v>Saberhacer</v>
      </c>
      <c r="B100" s="87" t="s">
        <v>93</v>
      </c>
      <c r="C100" s="146">
        <v>6</v>
      </c>
      <c r="D100" s="146" t="s">
        <v>311</v>
      </c>
      <c r="E100" s="143" t="s">
        <v>312</v>
      </c>
      <c r="F100" s="146" t="s">
        <v>205</v>
      </c>
      <c r="G100" s="146"/>
      <c r="H100" s="146" t="s">
        <v>206</v>
      </c>
      <c r="I100" s="146"/>
      <c r="J100" s="146">
        <v>3</v>
      </c>
      <c r="K100" s="146">
        <f>J100*12</f>
        <v>36</v>
      </c>
      <c r="L100" s="146">
        <f>36*J100</f>
        <v>108</v>
      </c>
      <c r="M100" s="146">
        <f>SUM(K100:L100)</f>
        <v>144</v>
      </c>
      <c r="N100" s="143" t="s">
        <v>313</v>
      </c>
      <c r="O100" s="143" t="s">
        <v>219</v>
      </c>
      <c r="P100" s="143" t="s">
        <v>220</v>
      </c>
      <c r="Q100" s="143" t="s">
        <v>215</v>
      </c>
    </row>
    <row r="101" spans="1:17" s="44" customFormat="1" ht="66" x14ac:dyDescent="0.35">
      <c r="A101" s="86" t="str">
        <f>_xlfn.XLOOKUP(B101,'Paso 3 Redacción RA '!I$3:I$15,'Paso 3 Redacción RA '!C$3:C$15,,0,1)</f>
        <v>Saberhacer</v>
      </c>
      <c r="B101" s="87" t="s">
        <v>101</v>
      </c>
      <c r="C101" s="147"/>
      <c r="D101" s="147"/>
      <c r="E101" s="149"/>
      <c r="F101" s="147"/>
      <c r="G101" s="147"/>
      <c r="H101" s="147"/>
      <c r="I101" s="147"/>
      <c r="J101" s="147"/>
      <c r="K101" s="147"/>
      <c r="L101" s="147"/>
      <c r="M101" s="147"/>
      <c r="N101" s="149"/>
      <c r="O101" s="149"/>
      <c r="P101" s="149"/>
      <c r="Q101" s="149"/>
    </row>
    <row r="102" spans="1:17" s="44" customFormat="1" ht="50" thickBot="1" x14ac:dyDescent="0.4">
      <c r="A102" s="88" t="str">
        <f>_xlfn.XLOOKUP(B102,'Paso 3 Redacción RA '!I$3:I$15,'Paso 3 Redacción RA '!C$3:C$15,,0,1)</f>
        <v>Saberser</v>
      </c>
      <c r="B102" s="89" t="s">
        <v>96</v>
      </c>
      <c r="C102" s="148"/>
      <c r="D102" s="148"/>
      <c r="E102" s="150"/>
      <c r="F102" s="148"/>
      <c r="G102" s="148"/>
      <c r="H102" s="148"/>
      <c r="I102" s="148"/>
      <c r="J102" s="148"/>
      <c r="K102" s="148"/>
      <c r="L102" s="148"/>
      <c r="M102" s="148"/>
      <c r="N102" s="150"/>
      <c r="O102" s="150"/>
      <c r="P102" s="150"/>
      <c r="Q102" s="150"/>
    </row>
    <row r="103" spans="1:17" s="44" customFormat="1" ht="66" x14ac:dyDescent="0.35">
      <c r="A103" s="86" t="str">
        <f>_xlfn.XLOOKUP(B103,'Paso 3 Redacción RA '!I$3:I$15,'Paso 3 Redacción RA '!C$3:C$15,,0,1)</f>
        <v>Saberhacer</v>
      </c>
      <c r="B103" s="87" t="s">
        <v>93</v>
      </c>
      <c r="C103" s="146">
        <v>6</v>
      </c>
      <c r="D103" s="146" t="s">
        <v>314</v>
      </c>
      <c r="E103" s="143" t="s">
        <v>315</v>
      </c>
      <c r="F103" s="146" t="s">
        <v>277</v>
      </c>
      <c r="G103" s="146"/>
      <c r="H103" s="146" t="s">
        <v>206</v>
      </c>
      <c r="I103" s="146"/>
      <c r="J103" s="146">
        <v>6</v>
      </c>
      <c r="K103" s="146">
        <f>J103*12</f>
        <v>72</v>
      </c>
      <c r="L103" s="146">
        <f>36*J103</f>
        <v>216</v>
      </c>
      <c r="M103" s="146">
        <f>SUM(K103:L103)</f>
        <v>288</v>
      </c>
      <c r="N103" s="143" t="s">
        <v>316</v>
      </c>
      <c r="O103" s="143" t="s">
        <v>219</v>
      </c>
      <c r="P103" s="143" t="s">
        <v>279</v>
      </c>
      <c r="Q103" s="143" t="s">
        <v>215</v>
      </c>
    </row>
    <row r="104" spans="1:17" s="44" customFormat="1" ht="66" x14ac:dyDescent="0.35">
      <c r="A104" s="86" t="str">
        <f>_xlfn.XLOOKUP(B104,'Paso 3 Redacción RA '!I$3:I$15,'Paso 3 Redacción RA '!C$3:C$15,,0,1)</f>
        <v>Saberhacer</v>
      </c>
      <c r="B104" s="87" t="s">
        <v>101</v>
      </c>
      <c r="C104" s="147"/>
      <c r="D104" s="147"/>
      <c r="E104" s="149"/>
      <c r="F104" s="147"/>
      <c r="G104" s="147"/>
      <c r="H104" s="147"/>
      <c r="I104" s="147"/>
      <c r="J104" s="147"/>
      <c r="K104" s="147"/>
      <c r="L104" s="147"/>
      <c r="M104" s="147"/>
      <c r="N104" s="149"/>
      <c r="O104" s="149"/>
      <c r="P104" s="149"/>
      <c r="Q104" s="149"/>
    </row>
    <row r="105" spans="1:17" s="44" customFormat="1" ht="50" thickBot="1" x14ac:dyDescent="0.4">
      <c r="A105" s="88" t="str">
        <f>_xlfn.XLOOKUP(B105,'Paso 3 Redacción RA '!I$3:I$15,'Paso 3 Redacción RA '!C$3:C$15,,0,1)</f>
        <v>Saberser</v>
      </c>
      <c r="B105" s="89" t="s">
        <v>96</v>
      </c>
      <c r="C105" s="148"/>
      <c r="D105" s="148"/>
      <c r="E105" s="150"/>
      <c r="F105" s="148"/>
      <c r="G105" s="148"/>
      <c r="H105" s="148"/>
      <c r="I105" s="148"/>
      <c r="J105" s="148"/>
      <c r="K105" s="148"/>
      <c r="L105" s="148"/>
      <c r="M105" s="148"/>
      <c r="N105" s="150"/>
      <c r="O105" s="150"/>
      <c r="P105" s="150"/>
      <c r="Q105" s="150"/>
    </row>
    <row r="106" spans="1:17" s="44" customFormat="1" ht="49.5" x14ac:dyDescent="0.35">
      <c r="A106" s="86" t="str">
        <f>_xlfn.XLOOKUP(B106,'Paso 3 Redacción RA '!I$3:I$15,'Paso 3 Redacción RA '!C$3:C$15,,0,1)</f>
        <v>Saber</v>
      </c>
      <c r="B106" s="87" t="s">
        <v>90</v>
      </c>
      <c r="C106" s="146">
        <v>6</v>
      </c>
      <c r="D106" s="146" t="s">
        <v>317</v>
      </c>
      <c r="E106" s="143" t="s">
        <v>318</v>
      </c>
      <c r="F106" s="146" t="s">
        <v>205</v>
      </c>
      <c r="G106" s="146"/>
      <c r="H106" s="146" t="s">
        <v>206</v>
      </c>
      <c r="I106" s="146"/>
      <c r="J106" s="146">
        <v>3</v>
      </c>
      <c r="K106" s="146">
        <f>J106*12</f>
        <v>36</v>
      </c>
      <c r="L106" s="146">
        <f>36*J106</f>
        <v>108</v>
      </c>
      <c r="M106" s="146">
        <f>SUM(K106:L106)</f>
        <v>144</v>
      </c>
      <c r="N106" s="143" t="s">
        <v>319</v>
      </c>
      <c r="O106" s="143" t="s">
        <v>219</v>
      </c>
      <c r="P106" s="143" t="s">
        <v>220</v>
      </c>
      <c r="Q106" s="143" t="s">
        <v>215</v>
      </c>
    </row>
    <row r="107" spans="1:17" s="44" customFormat="1" ht="49.5" x14ac:dyDescent="0.35">
      <c r="A107" s="86" t="str">
        <f>_xlfn.XLOOKUP(B107,'Paso 3 Redacción RA '!I$3:I$15,'Paso 3 Redacción RA '!C$3:C$15,,0,1)</f>
        <v>Saber</v>
      </c>
      <c r="B107" s="87" t="s">
        <v>103</v>
      </c>
      <c r="C107" s="147"/>
      <c r="D107" s="147"/>
      <c r="E107" s="149"/>
      <c r="F107" s="147"/>
      <c r="G107" s="147"/>
      <c r="H107" s="147"/>
      <c r="I107" s="147"/>
      <c r="J107" s="147"/>
      <c r="K107" s="147"/>
      <c r="L107" s="147"/>
      <c r="M107" s="147"/>
      <c r="N107" s="149"/>
      <c r="O107" s="149"/>
      <c r="P107" s="149"/>
      <c r="Q107" s="149"/>
    </row>
    <row r="108" spans="1:17" s="44" customFormat="1" ht="66" x14ac:dyDescent="0.35">
      <c r="A108" s="86" t="str">
        <f>_xlfn.XLOOKUP(B108,'Paso 3 Redacción RA '!I$3:I$15,'Paso 3 Redacción RA '!C$3:C$15,,0,1)</f>
        <v>Saberhacer</v>
      </c>
      <c r="B108" s="87" t="s">
        <v>93</v>
      </c>
      <c r="C108" s="147"/>
      <c r="D108" s="147"/>
      <c r="E108" s="149"/>
      <c r="F108" s="147"/>
      <c r="G108" s="147"/>
      <c r="H108" s="147"/>
      <c r="I108" s="147"/>
      <c r="J108" s="147"/>
      <c r="K108" s="147"/>
      <c r="L108" s="147"/>
      <c r="M108" s="147"/>
      <c r="N108" s="149"/>
      <c r="O108" s="149"/>
      <c r="P108" s="149"/>
      <c r="Q108" s="149"/>
    </row>
    <row r="109" spans="1:17" s="44" customFormat="1" ht="49.5" x14ac:dyDescent="0.35">
      <c r="A109" s="86" t="str">
        <f>_xlfn.XLOOKUP(B109,'Paso 3 Redacción RA '!I$3:I$15,'Paso 3 Redacción RA '!C$3:C$15,,0,1)</f>
        <v>Saberhacer</v>
      </c>
      <c r="B109" s="87" t="s">
        <v>104</v>
      </c>
      <c r="C109" s="147"/>
      <c r="D109" s="147"/>
      <c r="E109" s="149"/>
      <c r="F109" s="147"/>
      <c r="G109" s="147"/>
      <c r="H109" s="147"/>
      <c r="I109" s="147"/>
      <c r="J109" s="147"/>
      <c r="K109" s="147"/>
      <c r="L109" s="147"/>
      <c r="M109" s="147"/>
      <c r="N109" s="149"/>
      <c r="O109" s="149"/>
      <c r="P109" s="149"/>
      <c r="Q109" s="149"/>
    </row>
    <row r="110" spans="1:17" s="44" customFormat="1" ht="50" thickBot="1" x14ac:dyDescent="0.4">
      <c r="A110" s="88" t="str">
        <f>_xlfn.XLOOKUP(B110,'Paso 3 Redacción RA '!I$3:I$15,'Paso 3 Redacción RA '!C$3:C$15,,0,1)</f>
        <v>Saberser</v>
      </c>
      <c r="B110" s="89" t="s">
        <v>96</v>
      </c>
      <c r="C110" s="148"/>
      <c r="D110" s="148"/>
      <c r="E110" s="150"/>
      <c r="F110" s="148"/>
      <c r="G110" s="148"/>
      <c r="H110" s="148"/>
      <c r="I110" s="148"/>
      <c r="J110" s="148"/>
      <c r="K110" s="148"/>
      <c r="L110" s="148"/>
      <c r="M110" s="148"/>
      <c r="N110" s="150"/>
      <c r="O110" s="150"/>
      <c r="P110" s="150"/>
      <c r="Q110" s="150"/>
    </row>
    <row r="111" spans="1:17" s="44" customFormat="1" ht="49.5" x14ac:dyDescent="0.35">
      <c r="A111" s="86" t="str">
        <f>_xlfn.XLOOKUP(B111,'Paso 3 Redacción RA '!I$3:I$15,'Paso 3 Redacción RA '!C$3:C$15,,0,1)</f>
        <v>Saber</v>
      </c>
      <c r="B111" s="87" t="s">
        <v>90</v>
      </c>
      <c r="C111" s="146">
        <v>6</v>
      </c>
      <c r="D111" s="146" t="s">
        <v>320</v>
      </c>
      <c r="E111" s="143" t="s">
        <v>321</v>
      </c>
      <c r="F111" s="146" t="s">
        <v>205</v>
      </c>
      <c r="G111" s="146"/>
      <c r="H111" s="146" t="s">
        <v>206</v>
      </c>
      <c r="I111" s="146"/>
      <c r="J111" s="146">
        <v>3</v>
      </c>
      <c r="K111" s="146">
        <f>J111*12</f>
        <v>36</v>
      </c>
      <c r="L111" s="146">
        <f>36*J111</f>
        <v>108</v>
      </c>
      <c r="M111" s="146">
        <f>SUM(K111:L111)</f>
        <v>144</v>
      </c>
      <c r="N111" s="143" t="s">
        <v>322</v>
      </c>
      <c r="O111" s="143" t="s">
        <v>219</v>
      </c>
      <c r="P111" s="143" t="s">
        <v>289</v>
      </c>
      <c r="Q111" s="143" t="s">
        <v>215</v>
      </c>
    </row>
    <row r="112" spans="1:17" s="44" customFormat="1" ht="66" x14ac:dyDescent="0.35">
      <c r="A112" s="86" t="str">
        <f>_xlfn.XLOOKUP(B112,'Paso 3 Redacción RA '!I$3:I$15,'Paso 3 Redacción RA '!C$3:C$15,,0,1)</f>
        <v>Saberhacer</v>
      </c>
      <c r="B112" s="87" t="s">
        <v>93</v>
      </c>
      <c r="C112" s="147"/>
      <c r="D112" s="147"/>
      <c r="E112" s="149"/>
      <c r="F112" s="147"/>
      <c r="G112" s="147"/>
      <c r="H112" s="147"/>
      <c r="I112" s="147"/>
      <c r="J112" s="147"/>
      <c r="K112" s="147"/>
      <c r="L112" s="147"/>
      <c r="M112" s="147"/>
      <c r="N112" s="149"/>
      <c r="O112" s="149"/>
      <c r="P112" s="149"/>
      <c r="Q112" s="149"/>
    </row>
    <row r="113" spans="1:17" s="44" customFormat="1" ht="66" x14ac:dyDescent="0.35">
      <c r="A113" s="86" t="str">
        <f>_xlfn.XLOOKUP(B113,'Paso 3 Redacción RA '!I$3:I$15,'Paso 3 Redacción RA '!C$3:C$15,,0,1)</f>
        <v>Saberhacer</v>
      </c>
      <c r="B113" s="87" t="s">
        <v>101</v>
      </c>
      <c r="C113" s="147"/>
      <c r="D113" s="147"/>
      <c r="E113" s="149"/>
      <c r="F113" s="147"/>
      <c r="G113" s="147"/>
      <c r="H113" s="147"/>
      <c r="I113" s="147"/>
      <c r="J113" s="147"/>
      <c r="K113" s="147"/>
      <c r="L113" s="147"/>
      <c r="M113" s="147"/>
      <c r="N113" s="149"/>
      <c r="O113" s="149"/>
      <c r="P113" s="149"/>
      <c r="Q113" s="149"/>
    </row>
    <row r="114" spans="1:17" s="44" customFormat="1" ht="50" thickBot="1" x14ac:dyDescent="0.4">
      <c r="A114" s="88" t="str">
        <f>_xlfn.XLOOKUP(B114,'Paso 3 Redacción RA '!I$3:I$15,'Paso 3 Redacción RA '!C$3:C$15,,0,1)</f>
        <v>Saberhacer</v>
      </c>
      <c r="B114" s="89" t="s">
        <v>104</v>
      </c>
      <c r="C114" s="148"/>
      <c r="D114" s="148"/>
      <c r="E114" s="150"/>
      <c r="F114" s="148"/>
      <c r="G114" s="148"/>
      <c r="H114" s="148"/>
      <c r="I114" s="148"/>
      <c r="J114" s="148"/>
      <c r="K114" s="148"/>
      <c r="L114" s="148"/>
      <c r="M114" s="148"/>
      <c r="N114" s="150"/>
      <c r="O114" s="150"/>
      <c r="P114" s="150"/>
      <c r="Q114" s="150"/>
    </row>
    <row r="115" spans="1:17" s="44" customFormat="1" ht="66" x14ac:dyDescent="0.35">
      <c r="A115" s="86" t="str">
        <f>_xlfn.XLOOKUP(B115,'Paso 3 Redacción RA '!I$3:I$15,'Paso 3 Redacción RA '!C$3:C$15,,0,1)</f>
        <v>Saberhacer</v>
      </c>
      <c r="B115" s="87" t="s">
        <v>93</v>
      </c>
      <c r="C115" s="146">
        <v>6</v>
      </c>
      <c r="D115" s="146" t="s">
        <v>323</v>
      </c>
      <c r="E115" s="143" t="s">
        <v>324</v>
      </c>
      <c r="F115" s="146" t="s">
        <v>205</v>
      </c>
      <c r="G115" s="146"/>
      <c r="H115" s="146" t="s">
        <v>206</v>
      </c>
      <c r="I115" s="146"/>
      <c r="J115" s="146">
        <v>3</v>
      </c>
      <c r="K115" s="146">
        <f>J115*12</f>
        <v>36</v>
      </c>
      <c r="L115" s="146">
        <f>36*J115</f>
        <v>108</v>
      </c>
      <c r="M115" s="146">
        <f>SUM(K115:L115)</f>
        <v>144</v>
      </c>
      <c r="N115" s="143" t="s">
        <v>325</v>
      </c>
      <c r="O115" s="143" t="s">
        <v>219</v>
      </c>
      <c r="P115" s="143" t="s">
        <v>220</v>
      </c>
      <c r="Q115" s="143" t="s">
        <v>215</v>
      </c>
    </row>
    <row r="116" spans="1:17" s="44" customFormat="1" ht="66" x14ac:dyDescent="0.35">
      <c r="A116" s="86" t="str">
        <f>_xlfn.XLOOKUP(B116,'Paso 3 Redacción RA '!I$3:I$15,'Paso 3 Redacción RA '!C$3:C$15,,0,1)</f>
        <v>Saberhacer</v>
      </c>
      <c r="B116" s="87" t="s">
        <v>101</v>
      </c>
      <c r="C116" s="147"/>
      <c r="D116" s="147"/>
      <c r="E116" s="149"/>
      <c r="F116" s="147"/>
      <c r="G116" s="147"/>
      <c r="H116" s="147"/>
      <c r="I116" s="147"/>
      <c r="J116" s="147"/>
      <c r="K116" s="147"/>
      <c r="L116" s="147"/>
      <c r="M116" s="147"/>
      <c r="N116" s="149"/>
      <c r="O116" s="149"/>
      <c r="P116" s="149"/>
      <c r="Q116" s="149"/>
    </row>
    <row r="117" spans="1:17" s="44" customFormat="1" ht="50" thickBot="1" x14ac:dyDescent="0.4">
      <c r="A117" s="88" t="str">
        <f>_xlfn.XLOOKUP(B117,'Paso 3 Redacción RA '!I$3:I$15,'Paso 3 Redacción RA '!C$3:C$15,,0,1)</f>
        <v>Saberser</v>
      </c>
      <c r="B117" s="89" t="s">
        <v>96</v>
      </c>
      <c r="C117" s="148"/>
      <c r="D117" s="148"/>
      <c r="E117" s="150"/>
      <c r="F117" s="148"/>
      <c r="G117" s="148"/>
      <c r="H117" s="148"/>
      <c r="I117" s="148"/>
      <c r="J117" s="148"/>
      <c r="K117" s="148"/>
      <c r="L117" s="148"/>
      <c r="M117" s="148"/>
      <c r="N117" s="150"/>
      <c r="O117" s="150"/>
      <c r="P117" s="150"/>
      <c r="Q117" s="150"/>
    </row>
    <row r="118" spans="1:17" s="44" customFormat="1" ht="66" x14ac:dyDescent="0.35">
      <c r="A118" s="86" t="str">
        <f>_xlfn.XLOOKUP(B118,'Paso 3 Redacción RA '!I$3:I$15,'Paso 3 Redacción RA '!C$3:C$15,,0,1)</f>
        <v>Saberhacer</v>
      </c>
      <c r="B118" s="87" t="s">
        <v>93</v>
      </c>
      <c r="C118" s="146">
        <v>7</v>
      </c>
      <c r="D118" s="146" t="s">
        <v>326</v>
      </c>
      <c r="E118" s="143" t="s">
        <v>327</v>
      </c>
      <c r="F118" s="146" t="s">
        <v>277</v>
      </c>
      <c r="G118" s="146"/>
      <c r="H118" s="146" t="s">
        <v>206</v>
      </c>
      <c r="I118" s="146"/>
      <c r="J118" s="146">
        <v>7</v>
      </c>
      <c r="K118" s="146">
        <f>J118*12</f>
        <v>84</v>
      </c>
      <c r="L118" s="146">
        <f>36*J118</f>
        <v>252</v>
      </c>
      <c r="M118" s="146">
        <f>SUM(K118:L118)</f>
        <v>336</v>
      </c>
      <c r="N118" s="143" t="s">
        <v>328</v>
      </c>
      <c r="O118" s="143" t="s">
        <v>219</v>
      </c>
      <c r="P118" s="143" t="s">
        <v>279</v>
      </c>
      <c r="Q118" s="143" t="s">
        <v>215</v>
      </c>
    </row>
    <row r="119" spans="1:17" s="44" customFormat="1" ht="66" x14ac:dyDescent="0.35">
      <c r="A119" s="86" t="str">
        <f>_xlfn.XLOOKUP(B119,'Paso 3 Redacción RA '!I$3:I$15,'Paso 3 Redacción RA '!C$3:C$15,,0,1)</f>
        <v>Saberhacer</v>
      </c>
      <c r="B119" s="87" t="s">
        <v>101</v>
      </c>
      <c r="C119" s="147"/>
      <c r="D119" s="147"/>
      <c r="E119" s="149"/>
      <c r="F119" s="147"/>
      <c r="G119" s="147"/>
      <c r="H119" s="147"/>
      <c r="I119" s="147"/>
      <c r="J119" s="147"/>
      <c r="K119" s="147"/>
      <c r="L119" s="147"/>
      <c r="M119" s="147"/>
      <c r="N119" s="149"/>
      <c r="O119" s="144"/>
      <c r="P119" s="149"/>
      <c r="Q119" s="149"/>
    </row>
    <row r="120" spans="1:17" s="44" customFormat="1" ht="50" thickBot="1" x14ac:dyDescent="0.4">
      <c r="A120" s="88" t="str">
        <f>_xlfn.XLOOKUP(B120,'Paso 3 Redacción RA '!I$3:I$15,'Paso 3 Redacción RA '!C$3:C$15,,0,1)</f>
        <v>Saberser</v>
      </c>
      <c r="B120" s="89" t="s">
        <v>96</v>
      </c>
      <c r="C120" s="148"/>
      <c r="D120" s="148"/>
      <c r="E120" s="150"/>
      <c r="F120" s="148"/>
      <c r="G120" s="148"/>
      <c r="H120" s="148"/>
      <c r="I120" s="148"/>
      <c r="J120" s="148"/>
      <c r="K120" s="148"/>
      <c r="L120" s="148"/>
      <c r="M120" s="148"/>
      <c r="N120" s="150"/>
      <c r="O120" s="145"/>
      <c r="P120" s="150"/>
      <c r="Q120" s="150"/>
    </row>
    <row r="121" spans="1:17" s="44" customFormat="1" ht="49.5" x14ac:dyDescent="0.35">
      <c r="A121" s="86" t="str">
        <f>_xlfn.XLOOKUP(B121,'Paso 3 Redacción RA '!I$3:I$15,'Paso 3 Redacción RA '!C$3:C$15,,0,1)</f>
        <v>Saber</v>
      </c>
      <c r="B121" s="87" t="s">
        <v>90</v>
      </c>
      <c r="C121" s="146">
        <v>7</v>
      </c>
      <c r="D121" s="146" t="s">
        <v>329</v>
      </c>
      <c r="E121" s="143" t="s">
        <v>330</v>
      </c>
      <c r="F121" s="146" t="s">
        <v>205</v>
      </c>
      <c r="G121" s="146"/>
      <c r="H121" s="146" t="s">
        <v>206</v>
      </c>
      <c r="I121" s="146"/>
      <c r="J121" s="146">
        <v>3</v>
      </c>
      <c r="K121" s="146">
        <f>J121*12</f>
        <v>36</v>
      </c>
      <c r="L121" s="146">
        <f>36*J121</f>
        <v>108</v>
      </c>
      <c r="M121" s="146">
        <f>SUM(K121:L121)</f>
        <v>144</v>
      </c>
      <c r="N121" s="143" t="s">
        <v>331</v>
      </c>
      <c r="O121" s="143" t="s">
        <v>227</v>
      </c>
      <c r="P121" s="143" t="s">
        <v>220</v>
      </c>
      <c r="Q121" s="143" t="s">
        <v>215</v>
      </c>
    </row>
    <row r="122" spans="1:17" s="44" customFormat="1" ht="49.5" x14ac:dyDescent="0.35">
      <c r="A122" s="86" t="str">
        <f>_xlfn.XLOOKUP(B122,'Paso 3 Redacción RA '!I$3:I$15,'Paso 3 Redacción RA '!C$3:C$15,,0,1)</f>
        <v>Saber</v>
      </c>
      <c r="B122" s="87" t="s">
        <v>103</v>
      </c>
      <c r="C122" s="147"/>
      <c r="D122" s="147"/>
      <c r="E122" s="149"/>
      <c r="F122" s="147"/>
      <c r="G122" s="147"/>
      <c r="H122" s="147"/>
      <c r="I122" s="147"/>
      <c r="J122" s="147"/>
      <c r="K122" s="147"/>
      <c r="L122" s="147"/>
      <c r="M122" s="147"/>
      <c r="N122" s="149"/>
      <c r="O122" s="144"/>
      <c r="P122" s="149"/>
      <c r="Q122" s="149"/>
    </row>
    <row r="123" spans="1:17" s="44" customFormat="1" ht="66" x14ac:dyDescent="0.35">
      <c r="A123" s="86" t="str">
        <f>_xlfn.XLOOKUP(B123,'Paso 3 Redacción RA '!I$3:I$15,'Paso 3 Redacción RA '!C$3:C$15,,0,1)</f>
        <v>Saberhacer</v>
      </c>
      <c r="B123" s="87" t="s">
        <v>93</v>
      </c>
      <c r="C123" s="147"/>
      <c r="D123" s="147"/>
      <c r="E123" s="149"/>
      <c r="F123" s="147"/>
      <c r="G123" s="147"/>
      <c r="H123" s="147"/>
      <c r="I123" s="147"/>
      <c r="J123" s="147"/>
      <c r="K123" s="147"/>
      <c r="L123" s="147"/>
      <c r="M123" s="147"/>
      <c r="N123" s="149"/>
      <c r="O123" s="144"/>
      <c r="P123" s="149"/>
      <c r="Q123" s="149"/>
    </row>
    <row r="124" spans="1:17" s="44" customFormat="1" ht="50" thickBot="1" x14ac:dyDescent="0.4">
      <c r="A124" s="88" t="str">
        <f>_xlfn.XLOOKUP(B124,'Paso 3 Redacción RA '!I$3:I$15,'Paso 3 Redacción RA '!C$3:C$15,,0,1)</f>
        <v>Saberser</v>
      </c>
      <c r="B124" s="89" t="s">
        <v>96</v>
      </c>
      <c r="C124" s="148"/>
      <c r="D124" s="148"/>
      <c r="E124" s="150"/>
      <c r="F124" s="148"/>
      <c r="G124" s="148"/>
      <c r="H124" s="148"/>
      <c r="I124" s="148"/>
      <c r="J124" s="148"/>
      <c r="K124" s="148"/>
      <c r="L124" s="148"/>
      <c r="M124" s="148"/>
      <c r="N124" s="150"/>
      <c r="O124" s="145"/>
      <c r="P124" s="150"/>
      <c r="Q124" s="150"/>
    </row>
    <row r="125" spans="1:17" s="44" customFormat="1" ht="17" thickBot="1" x14ac:dyDescent="0.4">
      <c r="A125" s="115"/>
      <c r="B125" s="96"/>
      <c r="C125" s="97">
        <v>7</v>
      </c>
      <c r="D125" s="98" t="s">
        <v>332</v>
      </c>
      <c r="E125" s="99"/>
      <c r="F125" s="98"/>
      <c r="G125" s="100"/>
      <c r="H125" s="100"/>
      <c r="I125" s="100" t="s">
        <v>206</v>
      </c>
      <c r="J125" s="100">
        <v>3</v>
      </c>
      <c r="K125" s="98">
        <f>J125*12</f>
        <v>36</v>
      </c>
      <c r="L125" s="98">
        <f>36*J125</f>
        <v>108</v>
      </c>
      <c r="M125" s="116">
        <f>SUM(K125:L125)</f>
        <v>144</v>
      </c>
      <c r="N125" s="101"/>
      <c r="O125" s="101"/>
      <c r="P125" s="101"/>
      <c r="Q125" s="102"/>
    </row>
    <row r="126" spans="1:17" s="44" customFormat="1" ht="17" thickBot="1" x14ac:dyDescent="0.4">
      <c r="A126" s="115"/>
      <c r="B126" s="96"/>
      <c r="C126" s="97">
        <v>7</v>
      </c>
      <c r="D126" s="98" t="s">
        <v>333</v>
      </c>
      <c r="E126" s="96"/>
      <c r="F126" s="98"/>
      <c r="G126" s="98"/>
      <c r="H126" s="98"/>
      <c r="I126" s="98" t="s">
        <v>206</v>
      </c>
      <c r="J126" s="98">
        <v>3</v>
      </c>
      <c r="K126" s="98">
        <f>J126*12</f>
        <v>36</v>
      </c>
      <c r="L126" s="98">
        <f>36*J126</f>
        <v>108</v>
      </c>
      <c r="M126" s="98">
        <f>SUM(K126:L126)</f>
        <v>144</v>
      </c>
      <c r="N126" s="96"/>
      <c r="O126" s="96"/>
      <c r="P126" s="96"/>
      <c r="Q126" s="102"/>
    </row>
    <row r="127" spans="1:17" s="44" customFormat="1" ht="49.5" x14ac:dyDescent="0.35">
      <c r="A127" s="86" t="str">
        <f>_xlfn.XLOOKUP(B127,'Paso 3 Redacción RA '!I$3:I$15,'Paso 3 Redacción RA '!C$3:C$15,,0,1)</f>
        <v>Saber</v>
      </c>
      <c r="B127" s="87" t="s">
        <v>90</v>
      </c>
      <c r="C127" s="146">
        <v>8</v>
      </c>
      <c r="D127" s="146" t="s">
        <v>334</v>
      </c>
      <c r="E127" s="152" t="s">
        <v>335</v>
      </c>
      <c r="F127" s="146" t="s">
        <v>277</v>
      </c>
      <c r="G127" s="146"/>
      <c r="H127" s="146" t="s">
        <v>206</v>
      </c>
      <c r="I127" s="146"/>
      <c r="J127" s="146">
        <v>7</v>
      </c>
      <c r="K127" s="146">
        <f>J127*12</f>
        <v>84</v>
      </c>
      <c r="L127" s="146">
        <f>36*J127</f>
        <v>252</v>
      </c>
      <c r="M127" s="146">
        <f>SUM(K127:L127)</f>
        <v>336</v>
      </c>
      <c r="N127" s="143" t="s">
        <v>336</v>
      </c>
      <c r="O127" s="143" t="s">
        <v>219</v>
      </c>
      <c r="P127" s="143" t="s">
        <v>279</v>
      </c>
      <c r="Q127" s="143" t="s">
        <v>215</v>
      </c>
    </row>
    <row r="128" spans="1:17" s="44" customFormat="1" ht="66" x14ac:dyDescent="0.35">
      <c r="A128" s="86" t="str">
        <f>_xlfn.XLOOKUP(B128,'Paso 3 Redacción RA '!I$3:I$15,'Paso 3 Redacción RA '!C$3:C$15,,0,1)</f>
        <v>Saberhacer</v>
      </c>
      <c r="B128" s="87" t="s">
        <v>93</v>
      </c>
      <c r="C128" s="147"/>
      <c r="D128" s="147"/>
      <c r="E128" s="153"/>
      <c r="F128" s="147"/>
      <c r="G128" s="147"/>
      <c r="H128" s="147"/>
      <c r="I128" s="147"/>
      <c r="J128" s="147"/>
      <c r="K128" s="147"/>
      <c r="L128" s="147"/>
      <c r="M128" s="147"/>
      <c r="N128" s="149"/>
      <c r="O128" s="149"/>
      <c r="P128" s="149"/>
      <c r="Q128" s="149"/>
    </row>
    <row r="129" spans="1:17" s="44" customFormat="1" ht="50" thickBot="1" x14ac:dyDescent="0.4">
      <c r="A129" s="88" t="str">
        <f>_xlfn.XLOOKUP(B129,'Paso 3 Redacción RA '!I$3:I$15,'Paso 3 Redacción RA '!C$3:C$15,,0,1)</f>
        <v>Saberser</v>
      </c>
      <c r="B129" s="89" t="s">
        <v>96</v>
      </c>
      <c r="C129" s="148"/>
      <c r="D129" s="151"/>
      <c r="E129" s="154"/>
      <c r="F129" s="148"/>
      <c r="G129" s="148"/>
      <c r="H129" s="148"/>
      <c r="I129" s="148"/>
      <c r="J129" s="148"/>
      <c r="K129" s="148"/>
      <c r="L129" s="148"/>
      <c r="M129" s="148"/>
      <c r="N129" s="150"/>
      <c r="O129" s="150"/>
      <c r="P129" s="150"/>
      <c r="Q129" s="150"/>
    </row>
    <row r="130" spans="1:17" s="44" customFormat="1" ht="49.5" x14ac:dyDescent="0.35">
      <c r="A130" s="86" t="str">
        <f>_xlfn.XLOOKUP(B130,'Paso 3 Redacción RA '!I$3:I$15,'Paso 3 Redacción RA '!C$3:C$15,,0,1)</f>
        <v>Saber</v>
      </c>
      <c r="B130" s="87" t="s">
        <v>90</v>
      </c>
      <c r="C130" s="146">
        <v>8</v>
      </c>
      <c r="D130" s="146" t="s">
        <v>337</v>
      </c>
      <c r="E130" s="152" t="s">
        <v>338</v>
      </c>
      <c r="F130" s="146" t="s">
        <v>205</v>
      </c>
      <c r="G130" s="146"/>
      <c r="H130" s="146" t="s">
        <v>206</v>
      </c>
      <c r="I130" s="146"/>
      <c r="J130" s="146">
        <v>2</v>
      </c>
      <c r="K130" s="146">
        <f>J130*12</f>
        <v>24</v>
      </c>
      <c r="L130" s="146">
        <f>36*J130</f>
        <v>72</v>
      </c>
      <c r="M130" s="146">
        <f>SUM(K130:L130)</f>
        <v>96</v>
      </c>
      <c r="N130" s="143" t="s">
        <v>339</v>
      </c>
      <c r="O130" s="143" t="s">
        <v>219</v>
      </c>
      <c r="P130" s="143" t="s">
        <v>220</v>
      </c>
      <c r="Q130" s="143" t="s">
        <v>215</v>
      </c>
    </row>
    <row r="131" spans="1:17" s="44" customFormat="1" ht="49.5" x14ac:dyDescent="0.35">
      <c r="A131" s="86" t="str">
        <f>_xlfn.XLOOKUP(B131,'Paso 3 Redacción RA '!I$3:I$15,'Paso 3 Redacción RA '!C$3:C$15,,0,1)</f>
        <v>Saber</v>
      </c>
      <c r="B131" s="87" t="s">
        <v>103</v>
      </c>
      <c r="C131" s="147"/>
      <c r="D131" s="147"/>
      <c r="E131" s="153"/>
      <c r="F131" s="147"/>
      <c r="G131" s="147"/>
      <c r="H131" s="147"/>
      <c r="I131" s="147"/>
      <c r="J131" s="147"/>
      <c r="K131" s="147"/>
      <c r="L131" s="147"/>
      <c r="M131" s="147"/>
      <c r="N131" s="149"/>
      <c r="O131" s="149"/>
      <c r="P131" s="149"/>
      <c r="Q131" s="149"/>
    </row>
    <row r="132" spans="1:17" s="44" customFormat="1" ht="50" thickBot="1" x14ac:dyDescent="0.4">
      <c r="A132" s="88" t="str">
        <f>_xlfn.XLOOKUP(B132,'Paso 3 Redacción RA '!I$3:I$15,'Paso 3 Redacción RA '!C$3:C$15,,0,1)</f>
        <v>Saberser</v>
      </c>
      <c r="B132" s="89" t="s">
        <v>96</v>
      </c>
      <c r="C132" s="148"/>
      <c r="D132" s="151"/>
      <c r="E132" s="154"/>
      <c r="F132" s="148"/>
      <c r="G132" s="148"/>
      <c r="H132" s="148"/>
      <c r="I132" s="148"/>
      <c r="J132" s="148"/>
      <c r="K132" s="148"/>
      <c r="L132" s="148"/>
      <c r="M132" s="148"/>
      <c r="N132" s="150"/>
      <c r="O132" s="150"/>
      <c r="P132" s="150"/>
      <c r="Q132" s="150"/>
    </row>
    <row r="133" spans="1:17" s="44" customFormat="1" ht="49.5" x14ac:dyDescent="0.35">
      <c r="A133" s="86" t="str">
        <f>_xlfn.XLOOKUP(B133,'Paso 3 Redacción RA '!I$3:I$15,'Paso 3 Redacción RA '!C$3:C$15,,0,1)</f>
        <v>Saber</v>
      </c>
      <c r="B133" s="87" t="s">
        <v>99</v>
      </c>
      <c r="C133" s="146">
        <v>8</v>
      </c>
      <c r="D133" s="146" t="s">
        <v>340</v>
      </c>
      <c r="E133" s="152" t="s">
        <v>341</v>
      </c>
      <c r="F133" s="146" t="s">
        <v>205</v>
      </c>
      <c r="G133" s="146"/>
      <c r="H133" s="146" t="s">
        <v>206</v>
      </c>
      <c r="I133" s="146"/>
      <c r="J133" s="146">
        <v>2</v>
      </c>
      <c r="K133" s="146">
        <f>J133*12</f>
        <v>24</v>
      </c>
      <c r="L133" s="146">
        <f>36*J133</f>
        <v>72</v>
      </c>
      <c r="M133" s="146">
        <f>SUM(K133:L133)</f>
        <v>96</v>
      </c>
      <c r="N133" s="143" t="s">
        <v>342</v>
      </c>
      <c r="O133" s="143" t="s">
        <v>219</v>
      </c>
      <c r="P133" s="143" t="s">
        <v>220</v>
      </c>
      <c r="Q133" s="143" t="s">
        <v>215</v>
      </c>
    </row>
    <row r="134" spans="1:17" s="44" customFormat="1" ht="66" x14ac:dyDescent="0.35">
      <c r="A134" s="86" t="str">
        <f>_xlfn.XLOOKUP(B134,'Paso 3 Redacción RA '!I$3:I$15,'Paso 3 Redacción RA '!C$3:C$15,,0,1)</f>
        <v>Saberhacer</v>
      </c>
      <c r="B134" s="87" t="s">
        <v>93</v>
      </c>
      <c r="C134" s="147"/>
      <c r="D134" s="147"/>
      <c r="E134" s="153"/>
      <c r="F134" s="147"/>
      <c r="G134" s="147"/>
      <c r="H134" s="147"/>
      <c r="I134" s="147"/>
      <c r="J134" s="147"/>
      <c r="K134" s="147"/>
      <c r="L134" s="147"/>
      <c r="M134" s="147"/>
      <c r="N134" s="149"/>
      <c r="O134" s="149"/>
      <c r="P134" s="149"/>
      <c r="Q134" s="149"/>
    </row>
    <row r="135" spans="1:17" s="44" customFormat="1" ht="66.5" thickBot="1" x14ac:dyDescent="0.4">
      <c r="A135" s="88" t="str">
        <f>_xlfn.XLOOKUP(B135,'Paso 3 Redacción RA '!I$3:I$15,'Paso 3 Redacción RA '!C$3:C$15,,0,1)</f>
        <v>Saberhacer</v>
      </c>
      <c r="B135" s="89" t="s">
        <v>101</v>
      </c>
      <c r="C135" s="148"/>
      <c r="D135" s="151"/>
      <c r="E135" s="154"/>
      <c r="F135" s="148"/>
      <c r="G135" s="148"/>
      <c r="H135" s="148"/>
      <c r="I135" s="148"/>
      <c r="J135" s="148"/>
      <c r="K135" s="148"/>
      <c r="L135" s="148"/>
      <c r="M135" s="148"/>
      <c r="N135" s="150"/>
      <c r="O135" s="150"/>
      <c r="P135" s="150"/>
      <c r="Q135" s="150"/>
    </row>
    <row r="136" spans="1:17" s="44" customFormat="1" ht="17" thickBot="1" x14ac:dyDescent="0.4">
      <c r="A136" s="115"/>
      <c r="B136" s="103"/>
      <c r="C136" s="104">
        <v>8</v>
      </c>
      <c r="D136" s="105" t="s">
        <v>343</v>
      </c>
      <c r="E136" s="103"/>
      <c r="F136" s="105"/>
      <c r="G136" s="105"/>
      <c r="H136" s="105"/>
      <c r="I136" s="105" t="s">
        <v>206</v>
      </c>
      <c r="J136" s="105">
        <v>3</v>
      </c>
      <c r="K136" s="98">
        <f>J136*12</f>
        <v>36</v>
      </c>
      <c r="L136" s="98">
        <f>36*J136</f>
        <v>108</v>
      </c>
      <c r="M136" s="105">
        <f>SUM(K136:L136)</f>
        <v>144</v>
      </c>
      <c r="N136" s="103"/>
      <c r="O136" s="103"/>
      <c r="P136" s="103"/>
      <c r="Q136" s="106"/>
    </row>
    <row r="137" spans="1:17" s="44" customFormat="1" ht="17" thickBot="1" x14ac:dyDescent="0.4">
      <c r="A137" s="115"/>
      <c r="B137" s="96"/>
      <c r="C137" s="97">
        <v>8</v>
      </c>
      <c r="D137" s="98" t="s">
        <v>344</v>
      </c>
      <c r="E137" s="96"/>
      <c r="F137" s="98"/>
      <c r="G137" s="98"/>
      <c r="H137" s="98"/>
      <c r="I137" s="98" t="s">
        <v>206</v>
      </c>
      <c r="J137" s="98">
        <v>3</v>
      </c>
      <c r="K137" s="98">
        <f>J137*12</f>
        <v>36</v>
      </c>
      <c r="L137" s="98">
        <f>36*J137</f>
        <v>108</v>
      </c>
      <c r="M137" s="98">
        <f>SUM(K137:L137)</f>
        <v>144</v>
      </c>
      <c r="N137" s="96"/>
      <c r="O137" s="96"/>
      <c r="P137" s="96"/>
      <c r="Q137" s="96"/>
    </row>
    <row r="138" spans="1:17" s="44" customFormat="1" ht="32" x14ac:dyDescent="0.35">
      <c r="A138" s="23"/>
      <c r="B138" s="15"/>
      <c r="C138" s="107" t="s">
        <v>345</v>
      </c>
      <c r="D138" s="109">
        <f>COUNTA(D3:D137)</f>
        <v>44</v>
      </c>
      <c r="E138" s="15"/>
      <c r="F138" s="18"/>
      <c r="G138" s="18"/>
      <c r="H138" s="18"/>
      <c r="I138" s="107" t="s">
        <v>346</v>
      </c>
      <c r="J138" s="109">
        <f>SUM(J3:J137)</f>
        <v>137</v>
      </c>
      <c r="K138" s="65"/>
      <c r="L138" s="26"/>
      <c r="M138" s="18"/>
      <c r="N138" s="15"/>
      <c r="O138" s="15"/>
      <c r="P138" s="15"/>
      <c r="Q138" s="15"/>
    </row>
    <row r="139" spans="1:17" s="44" customFormat="1" ht="48" x14ac:dyDescent="0.35">
      <c r="A139" s="23"/>
      <c r="B139" s="15"/>
      <c r="D139" s="18"/>
      <c r="E139" s="15"/>
      <c r="F139" s="18"/>
      <c r="G139" s="18"/>
      <c r="H139" s="18"/>
      <c r="I139" s="108" t="s">
        <v>347</v>
      </c>
      <c r="J139" s="110">
        <f>SUMIF(G3:G137,"X",J3:J137)</f>
        <v>18</v>
      </c>
      <c r="K139" s="65"/>
      <c r="L139" s="46"/>
      <c r="M139" s="18"/>
      <c r="N139" s="15"/>
      <c r="O139" s="15"/>
      <c r="P139" s="15"/>
      <c r="Q139" s="15"/>
    </row>
    <row r="140" spans="1:17" s="44" customFormat="1" ht="48" x14ac:dyDescent="0.35">
      <c r="A140" s="23"/>
      <c r="B140" s="15"/>
      <c r="D140" s="28"/>
      <c r="E140" s="61"/>
      <c r="F140" s="28"/>
      <c r="G140" s="62"/>
      <c r="H140" s="62"/>
      <c r="I140" s="108" t="s">
        <v>348</v>
      </c>
      <c r="J140" s="110">
        <f>SUMIF(H4:H138,"X",J4:J138)</f>
        <v>107</v>
      </c>
      <c r="K140" s="65"/>
      <c r="L140" s="46"/>
      <c r="M140" s="62"/>
      <c r="N140" s="21"/>
      <c r="O140" s="63"/>
      <c r="P140" s="63"/>
      <c r="Q140" s="63"/>
    </row>
    <row r="141" spans="1:17" s="44" customFormat="1" ht="32" x14ac:dyDescent="0.35">
      <c r="A141" s="23"/>
      <c r="B141" s="15"/>
      <c r="D141" s="28"/>
      <c r="E141" s="61"/>
      <c r="F141" s="28"/>
      <c r="G141" s="62"/>
      <c r="H141" s="62"/>
      <c r="I141" s="108" t="s">
        <v>349</v>
      </c>
      <c r="J141" s="110">
        <f>SUMIF(I5:I139,"X",J5:J139)</f>
        <v>12</v>
      </c>
      <c r="K141" s="66"/>
      <c r="L141" s="46"/>
      <c r="M141" s="62"/>
      <c r="N141" s="21"/>
      <c r="O141" s="63"/>
      <c r="P141" s="63"/>
      <c r="Q141" s="63"/>
    </row>
    <row r="142" spans="1:17" s="44" customFormat="1" ht="16.5" x14ac:dyDescent="0.35">
      <c r="A142" s="23"/>
      <c r="B142" s="15"/>
      <c r="D142" s="28"/>
      <c r="E142" s="61"/>
      <c r="F142" s="28"/>
      <c r="G142" s="62"/>
      <c r="H142" s="62"/>
      <c r="I142" s="62"/>
      <c r="J142" s="62"/>
      <c r="K142" s="62"/>
      <c r="L142" s="62"/>
      <c r="M142" s="62"/>
      <c r="N142" s="21"/>
      <c r="O142" s="63"/>
      <c r="P142" s="63"/>
      <c r="Q142" s="63"/>
    </row>
    <row r="143" spans="1:17" s="44" customFormat="1" ht="16.5" x14ac:dyDescent="0.35">
      <c r="A143" s="23"/>
      <c r="B143" s="15"/>
      <c r="D143" s="28"/>
      <c r="E143" s="61"/>
      <c r="F143" s="28"/>
      <c r="G143" s="62"/>
      <c r="H143" s="62"/>
      <c r="I143" s="62"/>
      <c r="J143" s="62"/>
      <c r="K143" s="62"/>
      <c r="L143" s="62"/>
      <c r="M143" s="62"/>
      <c r="N143" s="21"/>
      <c r="O143" s="63"/>
      <c r="P143" s="63"/>
      <c r="Q143" s="63"/>
    </row>
    <row r="144" spans="1:17" s="44" customFormat="1" ht="16.5" x14ac:dyDescent="0.35">
      <c r="A144" s="23"/>
      <c r="B144" s="15"/>
      <c r="D144" s="18"/>
      <c r="E144" s="15"/>
      <c r="F144" s="18"/>
      <c r="G144" s="18"/>
      <c r="H144" s="18"/>
      <c r="I144" s="18"/>
      <c r="J144" s="18"/>
      <c r="K144" s="18"/>
      <c r="L144" s="18"/>
      <c r="M144" s="18"/>
      <c r="N144" s="15"/>
      <c r="O144" s="15"/>
      <c r="P144" s="15"/>
      <c r="Q144" s="15"/>
    </row>
    <row r="145" spans="1:17" s="44" customFormat="1" ht="16.5" x14ac:dyDescent="0.35">
      <c r="A145" s="23"/>
      <c r="B145" s="15"/>
      <c r="D145" s="18"/>
      <c r="E145" s="15"/>
      <c r="F145" s="18"/>
      <c r="G145" s="18"/>
      <c r="H145" s="18"/>
      <c r="I145" s="18"/>
      <c r="J145" s="18"/>
      <c r="K145" s="18"/>
      <c r="L145" s="18"/>
      <c r="M145" s="18"/>
      <c r="N145" s="15"/>
      <c r="O145" s="15"/>
      <c r="P145" s="15"/>
      <c r="Q145" s="15"/>
    </row>
    <row r="146" spans="1:17" s="44" customFormat="1" ht="16.5" x14ac:dyDescent="0.35">
      <c r="A146" s="23"/>
      <c r="B146" s="15"/>
      <c r="D146" s="18"/>
      <c r="E146" s="15"/>
      <c r="F146" s="18"/>
      <c r="G146" s="18"/>
      <c r="H146" s="18"/>
      <c r="I146" s="18"/>
      <c r="J146" s="18"/>
      <c r="K146" s="18"/>
      <c r="L146" s="18"/>
      <c r="M146" s="18"/>
      <c r="N146" s="15"/>
      <c r="O146" s="15"/>
      <c r="P146" s="15"/>
      <c r="Q146" s="15"/>
    </row>
    <row r="147" spans="1:17" s="44" customFormat="1" ht="16.5" x14ac:dyDescent="0.35">
      <c r="A147" s="23"/>
      <c r="B147" s="15"/>
      <c r="D147" s="18"/>
      <c r="E147" s="15"/>
      <c r="F147" s="18"/>
      <c r="G147" s="62"/>
      <c r="H147" s="62"/>
      <c r="I147" s="62"/>
      <c r="J147" s="62"/>
      <c r="K147" s="62"/>
      <c r="L147" s="62"/>
      <c r="M147" s="62"/>
      <c r="N147" s="15"/>
      <c r="O147" s="15"/>
      <c r="P147" s="15"/>
      <c r="Q147" s="15"/>
    </row>
    <row r="148" spans="1:17" s="44" customFormat="1" ht="16.5" x14ac:dyDescent="0.35">
      <c r="A148" s="23"/>
      <c r="B148" s="15"/>
      <c r="D148" s="18"/>
      <c r="E148" s="15"/>
      <c r="F148" s="18"/>
      <c r="G148" s="62"/>
      <c r="H148" s="62"/>
      <c r="I148" s="62"/>
      <c r="J148" s="62"/>
      <c r="K148" s="62"/>
      <c r="L148" s="62"/>
      <c r="M148" s="62"/>
      <c r="N148" s="15"/>
      <c r="O148" s="15"/>
      <c r="P148" s="15"/>
      <c r="Q148" s="15"/>
    </row>
    <row r="149" spans="1:17" s="44" customFormat="1" ht="16.5" x14ac:dyDescent="0.35">
      <c r="A149" s="23"/>
      <c r="B149" s="15"/>
      <c r="D149" s="18"/>
      <c r="E149" s="15"/>
      <c r="F149" s="18"/>
      <c r="G149" s="62"/>
      <c r="H149" s="62"/>
      <c r="I149" s="62"/>
      <c r="J149" s="62"/>
      <c r="K149" s="62"/>
      <c r="L149" s="62"/>
      <c r="M149" s="62"/>
      <c r="N149" s="15"/>
      <c r="O149" s="15"/>
      <c r="P149" s="15"/>
      <c r="Q149" s="15"/>
    </row>
    <row r="150" spans="1:17" s="44" customFormat="1" ht="16.5" x14ac:dyDescent="0.35">
      <c r="A150" s="23"/>
      <c r="B150" s="15"/>
      <c r="D150" s="18"/>
      <c r="E150" s="15"/>
      <c r="F150" s="18"/>
      <c r="G150" s="18"/>
      <c r="H150" s="18"/>
      <c r="I150" s="18"/>
      <c r="J150" s="18"/>
      <c r="K150" s="18"/>
      <c r="L150" s="18"/>
      <c r="M150" s="18"/>
      <c r="N150" s="15"/>
      <c r="O150" s="15"/>
      <c r="P150" s="15"/>
      <c r="Q150" s="15"/>
    </row>
    <row r="151" spans="1:17" s="44" customFormat="1" ht="16.5" x14ac:dyDescent="0.35">
      <c r="A151" s="23"/>
      <c r="B151" s="15"/>
      <c r="D151" s="18"/>
      <c r="E151" s="15"/>
      <c r="F151" s="18"/>
      <c r="G151" s="18"/>
      <c r="H151" s="18"/>
      <c r="I151" s="18"/>
      <c r="J151" s="18"/>
      <c r="K151" s="18"/>
      <c r="L151" s="18"/>
      <c r="M151" s="18"/>
      <c r="N151" s="15"/>
      <c r="O151" s="15"/>
      <c r="P151" s="15"/>
      <c r="Q151" s="15"/>
    </row>
    <row r="152" spans="1:17" s="44" customFormat="1" ht="16.5" x14ac:dyDescent="0.35">
      <c r="A152" s="23"/>
      <c r="B152" s="15"/>
      <c r="D152" s="18"/>
      <c r="E152" s="15"/>
      <c r="F152" s="18"/>
      <c r="G152" s="18"/>
      <c r="H152" s="18"/>
      <c r="I152" s="18"/>
      <c r="J152" s="18"/>
      <c r="K152" s="18"/>
      <c r="L152" s="18"/>
      <c r="M152" s="18"/>
      <c r="N152" s="15"/>
      <c r="O152" s="15"/>
      <c r="P152" s="15"/>
      <c r="Q152" s="15"/>
    </row>
    <row r="153" spans="1:17" s="44" customFormat="1" ht="16.5" x14ac:dyDescent="0.35">
      <c r="A153" s="23"/>
      <c r="B153" s="15"/>
      <c r="D153" s="18"/>
      <c r="E153" s="15"/>
      <c r="F153" s="18"/>
      <c r="G153" s="18"/>
      <c r="H153" s="18"/>
      <c r="I153" s="18"/>
      <c r="J153" s="18"/>
      <c r="K153" s="18"/>
      <c r="L153" s="18"/>
      <c r="M153" s="18"/>
      <c r="N153" s="15"/>
      <c r="O153" s="15"/>
      <c r="P153" s="15"/>
      <c r="Q153" s="15"/>
    </row>
    <row r="154" spans="1:17" s="44" customFormat="1" ht="16.5" x14ac:dyDescent="0.35">
      <c r="A154" s="23"/>
      <c r="B154" s="21"/>
      <c r="D154" s="18"/>
      <c r="E154" s="21"/>
      <c r="F154" s="18"/>
      <c r="G154" s="34"/>
      <c r="H154" s="34"/>
      <c r="I154" s="34"/>
      <c r="J154" s="34"/>
      <c r="K154" s="34"/>
      <c r="L154" s="34"/>
      <c r="M154" s="34"/>
      <c r="N154" s="21"/>
      <c r="O154" s="21"/>
      <c r="P154" s="21"/>
      <c r="Q154" s="21"/>
    </row>
    <row r="155" spans="1:17" s="44" customFormat="1" ht="16.5" x14ac:dyDescent="0.35">
      <c r="A155" s="23"/>
      <c r="B155" s="21"/>
      <c r="D155" s="18"/>
      <c r="E155" s="21"/>
      <c r="F155" s="18"/>
      <c r="G155" s="34"/>
      <c r="H155" s="34"/>
      <c r="I155" s="34"/>
      <c r="J155" s="34"/>
      <c r="K155" s="34"/>
      <c r="L155" s="34"/>
      <c r="M155" s="34"/>
      <c r="N155" s="21"/>
      <c r="O155" s="21"/>
      <c r="P155" s="21"/>
      <c r="Q155" s="21"/>
    </row>
    <row r="156" spans="1:17" s="44" customFormat="1" ht="16.5" x14ac:dyDescent="0.35">
      <c r="A156" s="23"/>
      <c r="B156" s="21"/>
      <c r="D156" s="18"/>
      <c r="E156" s="21"/>
      <c r="F156" s="18"/>
      <c r="G156" s="34"/>
      <c r="H156" s="34"/>
      <c r="I156" s="34"/>
      <c r="J156" s="34"/>
      <c r="K156" s="34"/>
      <c r="L156" s="34"/>
      <c r="M156" s="34"/>
      <c r="N156" s="21"/>
      <c r="O156" s="21"/>
      <c r="P156" s="21"/>
      <c r="Q156" s="21"/>
    </row>
    <row r="157" spans="1:17" s="44" customFormat="1" ht="16.5" x14ac:dyDescent="0.35">
      <c r="A157" s="23"/>
      <c r="B157" s="21"/>
      <c r="D157" s="18"/>
      <c r="E157" s="21"/>
      <c r="F157" s="18"/>
      <c r="G157" s="34"/>
      <c r="H157" s="34"/>
      <c r="I157" s="34"/>
      <c r="J157" s="34"/>
      <c r="K157" s="34"/>
      <c r="L157" s="34"/>
      <c r="M157" s="34"/>
      <c r="N157" s="21"/>
      <c r="O157" s="21"/>
      <c r="P157" s="21"/>
      <c r="Q157" s="21"/>
    </row>
    <row r="158" spans="1:17" s="44" customFormat="1" ht="16.5" x14ac:dyDescent="0.35">
      <c r="A158" s="23"/>
      <c r="B158" s="15"/>
      <c r="D158" s="28"/>
      <c r="E158" s="61"/>
      <c r="F158" s="28"/>
      <c r="G158" s="62"/>
      <c r="H158" s="62"/>
      <c r="I158" s="62"/>
      <c r="J158" s="62"/>
      <c r="K158" s="62"/>
      <c r="L158" s="62"/>
      <c r="M158" s="62"/>
      <c r="N158" s="63"/>
      <c r="O158" s="63"/>
      <c r="P158" s="63"/>
      <c r="Q158" s="63"/>
    </row>
    <row r="159" spans="1:17" s="44" customFormat="1" ht="16.5" x14ac:dyDescent="0.35">
      <c r="A159" s="23"/>
      <c r="B159" s="15"/>
      <c r="D159" s="28"/>
      <c r="E159" s="61"/>
      <c r="F159" s="28"/>
      <c r="G159" s="62"/>
      <c r="H159" s="62"/>
      <c r="I159" s="62"/>
      <c r="J159" s="62"/>
      <c r="K159" s="62"/>
      <c r="L159" s="62"/>
      <c r="M159" s="62"/>
      <c r="N159" s="63"/>
      <c r="O159" s="63"/>
      <c r="P159" s="63"/>
      <c r="Q159" s="63"/>
    </row>
    <row r="160" spans="1:17" s="44" customFormat="1" ht="16.5" x14ac:dyDescent="0.35">
      <c r="A160" s="23"/>
      <c r="B160" s="15"/>
      <c r="D160" s="28"/>
      <c r="E160" s="61"/>
      <c r="F160" s="28"/>
      <c r="G160" s="62"/>
      <c r="H160" s="62"/>
      <c r="I160" s="62"/>
      <c r="J160" s="62"/>
      <c r="K160" s="62"/>
      <c r="L160" s="62"/>
      <c r="M160" s="62"/>
      <c r="N160" s="63"/>
      <c r="O160" s="63"/>
      <c r="P160" s="63"/>
      <c r="Q160" s="63"/>
    </row>
    <row r="161" spans="1:17" s="44" customFormat="1" ht="16.5" x14ac:dyDescent="0.35">
      <c r="A161" s="23"/>
      <c r="B161" s="15"/>
      <c r="D161" s="28"/>
      <c r="E161" s="61"/>
      <c r="F161" s="28"/>
      <c r="G161" s="62"/>
      <c r="H161" s="62"/>
      <c r="I161" s="62"/>
      <c r="J161" s="62"/>
      <c r="K161" s="62"/>
      <c r="L161" s="62"/>
      <c r="M161" s="62"/>
      <c r="N161" s="63"/>
      <c r="O161" s="63"/>
      <c r="P161" s="63"/>
      <c r="Q161" s="63"/>
    </row>
    <row r="162" spans="1:17" s="44" customFormat="1" ht="16.5" x14ac:dyDescent="0.35">
      <c r="A162" s="23"/>
      <c r="B162" s="15"/>
      <c r="D162" s="18"/>
      <c r="E162" s="15"/>
      <c r="F162" s="18"/>
      <c r="L162" s="12"/>
      <c r="M162" s="12"/>
      <c r="N162" s="15"/>
      <c r="O162" s="15"/>
      <c r="P162" s="15"/>
      <c r="Q162" s="15"/>
    </row>
    <row r="163" spans="1:17" s="44" customFormat="1" ht="16.5" x14ac:dyDescent="0.35">
      <c r="A163" s="23"/>
      <c r="B163" s="15"/>
      <c r="D163" s="18"/>
      <c r="E163" s="15"/>
      <c r="F163" s="18"/>
      <c r="L163" s="12"/>
      <c r="M163" s="12"/>
      <c r="N163" s="15"/>
      <c r="O163" s="15"/>
      <c r="P163" s="15"/>
      <c r="Q163" s="15"/>
    </row>
    <row r="164" spans="1:17" s="44" customFormat="1" ht="16.5" x14ac:dyDescent="0.35">
      <c r="A164" s="23"/>
      <c r="B164" s="15"/>
      <c r="D164" s="18"/>
      <c r="E164" s="15"/>
      <c r="F164" s="18"/>
      <c r="L164" s="12"/>
      <c r="M164" s="12"/>
      <c r="N164" s="15"/>
      <c r="O164" s="15"/>
      <c r="P164" s="15"/>
      <c r="Q164" s="15"/>
    </row>
    <row r="165" spans="1:17" s="44" customFormat="1" ht="16.5" x14ac:dyDescent="0.35">
      <c r="A165" s="23"/>
      <c r="B165" s="15"/>
      <c r="D165" s="18"/>
      <c r="E165" s="15"/>
      <c r="F165" s="18"/>
      <c r="L165" s="12"/>
      <c r="M165" s="12"/>
      <c r="N165" s="15"/>
      <c r="O165" s="15"/>
      <c r="P165" s="15"/>
      <c r="Q165" s="15"/>
    </row>
    <row r="166" spans="1:17" s="44" customFormat="1" ht="16.5" x14ac:dyDescent="0.35">
      <c r="A166" s="23"/>
      <c r="B166" s="15"/>
      <c r="D166" s="18"/>
      <c r="E166" s="64"/>
      <c r="F166" s="18"/>
      <c r="G166" s="62"/>
      <c r="H166" s="62"/>
      <c r="I166" s="62"/>
      <c r="J166" s="62"/>
      <c r="K166" s="62"/>
      <c r="L166" s="62"/>
      <c r="M166" s="62"/>
      <c r="N166" s="64"/>
      <c r="O166" s="64"/>
      <c r="P166" s="64"/>
      <c r="Q166" s="64"/>
    </row>
    <row r="167" spans="1:17" s="44" customFormat="1" ht="16.5" x14ac:dyDescent="0.35">
      <c r="A167" s="23"/>
      <c r="B167" s="15"/>
      <c r="D167" s="28"/>
      <c r="E167" s="61"/>
      <c r="F167" s="28"/>
      <c r="G167" s="62"/>
      <c r="H167" s="62"/>
      <c r="I167" s="62"/>
      <c r="J167" s="62"/>
      <c r="K167" s="62"/>
      <c r="L167" s="62"/>
      <c r="M167" s="62"/>
      <c r="N167" s="63"/>
      <c r="O167" s="63"/>
      <c r="P167" s="63"/>
      <c r="Q167" s="63"/>
    </row>
    <row r="168" spans="1:17" s="44" customFormat="1" ht="16.5" x14ac:dyDescent="0.35">
      <c r="A168" s="23"/>
      <c r="B168" s="15"/>
      <c r="D168" s="28"/>
      <c r="E168" s="61"/>
      <c r="F168" s="28"/>
      <c r="G168" s="62"/>
      <c r="H168" s="62"/>
      <c r="I168" s="62"/>
      <c r="J168" s="62"/>
      <c r="K168" s="62"/>
      <c r="L168" s="62"/>
      <c r="M168" s="62"/>
      <c r="N168" s="63"/>
      <c r="O168" s="63"/>
      <c r="P168" s="63"/>
      <c r="Q168" s="63"/>
    </row>
    <row r="169" spans="1:17" s="44" customFormat="1" ht="16.5" x14ac:dyDescent="0.35">
      <c r="A169" s="23"/>
      <c r="B169" s="15"/>
      <c r="D169" s="28"/>
      <c r="E169" s="61"/>
      <c r="F169" s="28"/>
      <c r="G169" s="62"/>
      <c r="H169" s="62"/>
      <c r="I169" s="62"/>
      <c r="J169" s="62"/>
      <c r="K169" s="62"/>
      <c r="L169" s="62"/>
      <c r="M169" s="62"/>
      <c r="N169" s="63"/>
      <c r="O169" s="63"/>
      <c r="P169" s="63"/>
      <c r="Q169" s="63"/>
    </row>
    <row r="170" spans="1:17" s="44" customFormat="1" ht="16.5" x14ac:dyDescent="0.35">
      <c r="A170" s="23"/>
      <c r="B170" s="15"/>
      <c r="D170" s="28"/>
      <c r="E170" s="61"/>
      <c r="F170" s="28"/>
      <c r="G170" s="62"/>
      <c r="H170" s="62"/>
      <c r="I170" s="62"/>
      <c r="J170" s="62"/>
      <c r="K170" s="62"/>
      <c r="L170" s="62"/>
      <c r="M170" s="62"/>
      <c r="N170" s="63"/>
      <c r="O170" s="63"/>
      <c r="P170" s="63"/>
      <c r="Q170" s="63"/>
    </row>
    <row r="171" spans="1:17" s="44" customFormat="1" ht="16.5" x14ac:dyDescent="0.35">
      <c r="A171" s="23"/>
      <c r="B171" s="15"/>
      <c r="D171" s="18"/>
      <c r="E171" s="61"/>
      <c r="F171" s="18"/>
      <c r="G171" s="62"/>
      <c r="H171" s="62"/>
      <c r="I171" s="62"/>
      <c r="J171" s="62"/>
      <c r="K171" s="62"/>
      <c r="L171" s="62"/>
      <c r="M171" s="62"/>
      <c r="N171" s="63"/>
      <c r="O171" s="63"/>
      <c r="P171" s="63"/>
      <c r="Q171" s="63"/>
    </row>
    <row r="172" spans="1:17" s="44" customFormat="1" ht="16.5" x14ac:dyDescent="0.35">
      <c r="A172" s="23"/>
      <c r="B172" s="15"/>
      <c r="D172" s="18"/>
      <c r="E172" s="61"/>
      <c r="F172" s="18"/>
      <c r="G172" s="62"/>
      <c r="H172" s="62"/>
      <c r="I172" s="62"/>
      <c r="J172" s="62"/>
      <c r="K172" s="62"/>
      <c r="L172" s="62"/>
      <c r="M172" s="62"/>
      <c r="N172" s="63"/>
      <c r="O172" s="63"/>
      <c r="P172" s="63"/>
      <c r="Q172" s="63"/>
    </row>
    <row r="173" spans="1:17" s="44" customFormat="1" ht="16.5" x14ac:dyDescent="0.35">
      <c r="A173" s="23"/>
      <c r="B173" s="15"/>
      <c r="D173" s="18"/>
      <c r="E173" s="61"/>
      <c r="F173" s="18"/>
      <c r="G173" s="62"/>
      <c r="H173" s="62"/>
      <c r="I173" s="62"/>
      <c r="J173" s="62"/>
      <c r="K173" s="62"/>
      <c r="L173" s="62"/>
      <c r="M173" s="62"/>
      <c r="N173" s="63"/>
      <c r="O173" s="63"/>
      <c r="P173" s="63"/>
      <c r="Q173" s="63"/>
    </row>
    <row r="174" spans="1:17" s="44" customFormat="1" ht="16.5" x14ac:dyDescent="0.35">
      <c r="A174" s="23"/>
      <c r="B174" s="15"/>
      <c r="D174" s="18"/>
      <c r="E174" s="61"/>
      <c r="F174" s="18"/>
      <c r="G174" s="62"/>
      <c r="H174" s="62"/>
      <c r="I174" s="62"/>
      <c r="J174" s="62"/>
      <c r="K174" s="62"/>
      <c r="L174" s="62"/>
      <c r="M174" s="62"/>
      <c r="N174" s="63"/>
      <c r="O174" s="63"/>
      <c r="P174" s="63"/>
      <c r="Q174" s="63"/>
    </row>
    <row r="175" spans="1:17" s="44" customFormat="1" ht="16.5" x14ac:dyDescent="0.35">
      <c r="A175" s="23"/>
      <c r="B175" s="15"/>
      <c r="D175" s="18"/>
      <c r="E175" s="15"/>
      <c r="F175" s="18"/>
      <c r="L175" s="12"/>
      <c r="M175" s="12"/>
      <c r="N175" s="15"/>
      <c r="O175" s="15"/>
      <c r="P175" s="15"/>
      <c r="Q175" s="15"/>
    </row>
    <row r="176" spans="1:17" x14ac:dyDescent="0.35">
      <c r="E176" s="50"/>
      <c r="F176" s="46"/>
      <c r="L176" s="51"/>
      <c r="M176" s="51"/>
      <c r="N176" s="50"/>
      <c r="O176" s="50"/>
      <c r="P176" s="50"/>
      <c r="Q176" s="50"/>
    </row>
    <row r="177" spans="5:17" x14ac:dyDescent="0.35">
      <c r="E177" s="50"/>
      <c r="F177" s="46"/>
      <c r="L177" s="51"/>
      <c r="M177" s="51"/>
      <c r="N177" s="50"/>
      <c r="O177" s="50"/>
      <c r="P177" s="50"/>
      <c r="Q177" s="50"/>
    </row>
    <row r="178" spans="5:17" x14ac:dyDescent="0.35">
      <c r="E178" s="50"/>
      <c r="F178" s="46"/>
      <c r="L178" s="51"/>
      <c r="M178" s="51"/>
      <c r="N178" s="50"/>
      <c r="O178" s="50"/>
      <c r="P178" s="50"/>
      <c r="Q178" s="50"/>
    </row>
    <row r="179" spans="5:17" x14ac:dyDescent="0.35">
      <c r="E179" s="54"/>
      <c r="F179" s="46"/>
      <c r="G179" s="48"/>
      <c r="H179" s="48"/>
      <c r="I179" s="48"/>
      <c r="J179" s="48"/>
      <c r="K179" s="48"/>
      <c r="L179" s="48"/>
      <c r="M179" s="48"/>
      <c r="N179" s="54"/>
      <c r="O179" s="54"/>
      <c r="P179" s="54"/>
      <c r="Q179" s="54"/>
    </row>
    <row r="180" spans="5:17" x14ac:dyDescent="0.35">
      <c r="E180" s="55"/>
      <c r="F180" s="46"/>
      <c r="G180" s="56"/>
      <c r="H180" s="56"/>
      <c r="I180" s="56"/>
      <c r="J180" s="53"/>
      <c r="K180" s="53"/>
      <c r="L180" s="53"/>
      <c r="M180" s="53"/>
      <c r="N180" s="55"/>
      <c r="O180" s="55"/>
      <c r="P180" s="55"/>
      <c r="Q180" s="55"/>
    </row>
    <row r="181" spans="5:17" x14ac:dyDescent="0.35">
      <c r="E181" s="47"/>
      <c r="F181" s="46"/>
      <c r="G181" s="48"/>
      <c r="H181" s="48"/>
      <c r="I181" s="48"/>
      <c r="J181" s="48"/>
      <c r="K181" s="48"/>
      <c r="L181" s="48"/>
      <c r="M181" s="48"/>
      <c r="N181" s="59"/>
      <c r="O181" s="59"/>
      <c r="P181" s="59"/>
      <c r="Q181" s="59"/>
    </row>
    <row r="182" spans="5:17" x14ac:dyDescent="0.35">
      <c r="E182" s="47"/>
      <c r="F182" s="46"/>
      <c r="G182" s="48"/>
      <c r="H182" s="48"/>
      <c r="I182" s="48"/>
      <c r="J182" s="48"/>
      <c r="K182" s="48"/>
      <c r="L182" s="48"/>
      <c r="M182" s="48"/>
      <c r="N182" s="59"/>
      <c r="O182" s="59"/>
      <c r="P182" s="59"/>
      <c r="Q182" s="59"/>
    </row>
    <row r="183" spans="5:17" x14ac:dyDescent="0.35">
      <c r="E183" s="47"/>
      <c r="F183" s="46"/>
      <c r="G183" s="48"/>
      <c r="H183" s="48"/>
      <c r="I183" s="48"/>
      <c r="J183" s="48"/>
      <c r="K183" s="48"/>
      <c r="L183" s="48"/>
      <c r="M183" s="48"/>
      <c r="N183" s="59"/>
      <c r="O183" s="59"/>
      <c r="P183" s="59"/>
      <c r="Q183" s="59"/>
    </row>
    <row r="184" spans="5:17" x14ac:dyDescent="0.35">
      <c r="E184" s="47"/>
      <c r="F184" s="46"/>
      <c r="G184" s="48"/>
      <c r="H184" s="48"/>
      <c r="I184" s="48"/>
      <c r="J184" s="48"/>
      <c r="K184" s="48"/>
      <c r="L184" s="48"/>
      <c r="M184" s="48"/>
      <c r="N184" s="59"/>
      <c r="O184" s="59"/>
      <c r="P184" s="59"/>
      <c r="Q184" s="59"/>
    </row>
    <row r="185" spans="5:17" x14ac:dyDescent="0.35">
      <c r="E185" s="50"/>
      <c r="F185" s="46"/>
      <c r="G185" s="51"/>
      <c r="H185" s="51"/>
      <c r="I185" s="51"/>
      <c r="J185" s="51"/>
      <c r="K185" s="51"/>
      <c r="L185" s="51"/>
      <c r="M185" s="51"/>
      <c r="N185" s="49"/>
      <c r="O185" s="50"/>
      <c r="P185" s="50"/>
      <c r="Q185" s="50"/>
    </row>
    <row r="186" spans="5:17" x14ac:dyDescent="0.35">
      <c r="E186" s="50"/>
      <c r="F186" s="46"/>
      <c r="G186" s="51"/>
      <c r="H186" s="51"/>
      <c r="I186" s="51"/>
      <c r="J186" s="51"/>
      <c r="K186" s="51"/>
      <c r="L186" s="51"/>
      <c r="M186" s="51"/>
      <c r="N186" s="49"/>
      <c r="O186" s="50"/>
      <c r="P186" s="50"/>
      <c r="Q186" s="50"/>
    </row>
    <row r="187" spans="5:17" x14ac:dyDescent="0.35">
      <c r="E187" s="50"/>
      <c r="F187" s="46"/>
      <c r="G187" s="51"/>
      <c r="H187" s="51"/>
      <c r="I187" s="51"/>
      <c r="J187" s="51"/>
      <c r="K187" s="51"/>
      <c r="L187" s="51"/>
      <c r="M187" s="51"/>
      <c r="N187" s="49"/>
      <c r="O187" s="50"/>
      <c r="P187" s="50"/>
      <c r="Q187" s="50"/>
    </row>
    <row r="188" spans="5:17" x14ac:dyDescent="0.35">
      <c r="E188" s="50"/>
      <c r="F188" s="46"/>
      <c r="G188" s="51"/>
      <c r="H188" s="51"/>
      <c r="I188" s="51"/>
      <c r="J188" s="51"/>
      <c r="K188" s="51"/>
      <c r="L188" s="51"/>
      <c r="M188" s="51"/>
      <c r="N188" s="49"/>
      <c r="O188" s="50"/>
      <c r="P188" s="50"/>
      <c r="Q188" s="50"/>
    </row>
    <row r="189" spans="5:17" x14ac:dyDescent="0.35">
      <c r="E189" s="50"/>
      <c r="F189" s="46"/>
      <c r="I189" s="46"/>
      <c r="N189" s="50"/>
      <c r="O189" s="50"/>
      <c r="P189" s="50"/>
      <c r="Q189" s="50"/>
    </row>
    <row r="190" spans="5:17" x14ac:dyDescent="0.35">
      <c r="E190" s="50"/>
      <c r="F190" s="46"/>
      <c r="I190" s="46"/>
      <c r="N190" s="50"/>
      <c r="O190" s="50"/>
      <c r="P190" s="50"/>
      <c r="Q190" s="50"/>
    </row>
    <row r="191" spans="5:17" x14ac:dyDescent="0.35">
      <c r="E191" s="50"/>
      <c r="F191" s="46"/>
      <c r="I191" s="46"/>
      <c r="N191" s="50"/>
      <c r="O191" s="50"/>
      <c r="P191" s="50"/>
      <c r="Q191" s="50"/>
    </row>
    <row r="192" spans="5:17" x14ac:dyDescent="0.35">
      <c r="E192" s="50"/>
      <c r="F192" s="46"/>
      <c r="I192" s="46"/>
      <c r="N192" s="50"/>
      <c r="O192" s="50"/>
      <c r="P192" s="50"/>
      <c r="Q192" s="50"/>
    </row>
    <row r="193" spans="5:17" x14ac:dyDescent="0.35">
      <c r="E193" s="57"/>
      <c r="F193" s="46"/>
      <c r="G193" s="48"/>
      <c r="H193" s="48"/>
      <c r="I193" s="48"/>
      <c r="J193" s="48"/>
      <c r="K193" s="48"/>
      <c r="L193" s="48"/>
      <c r="M193" s="48"/>
      <c r="N193" s="49"/>
      <c r="O193" s="49"/>
      <c r="P193" s="49"/>
      <c r="Q193" s="49"/>
    </row>
    <row r="194" spans="5:17" x14ac:dyDescent="0.35">
      <c r="E194" s="57"/>
      <c r="F194" s="46"/>
      <c r="G194" s="48"/>
      <c r="H194" s="48"/>
      <c r="I194" s="48"/>
      <c r="J194" s="48"/>
      <c r="K194" s="48"/>
      <c r="L194" s="48"/>
      <c r="M194" s="48"/>
      <c r="N194" s="49"/>
      <c r="O194" s="49"/>
      <c r="P194" s="49"/>
      <c r="Q194" s="49"/>
    </row>
    <row r="195" spans="5:17" x14ac:dyDescent="0.35">
      <c r="E195" s="57"/>
      <c r="F195" s="46"/>
      <c r="G195" s="48"/>
      <c r="H195" s="48"/>
      <c r="I195" s="48"/>
      <c r="J195" s="48"/>
      <c r="K195" s="48"/>
      <c r="L195" s="48"/>
      <c r="M195" s="48"/>
      <c r="N195" s="49"/>
      <c r="O195" s="49"/>
      <c r="P195" s="49"/>
      <c r="Q195" s="49"/>
    </row>
    <row r="196" spans="5:17" x14ac:dyDescent="0.35">
      <c r="E196" s="47"/>
      <c r="F196" s="46"/>
      <c r="G196" s="48"/>
      <c r="H196" s="48"/>
      <c r="I196" s="48"/>
      <c r="J196" s="48"/>
      <c r="K196" s="48"/>
      <c r="L196" s="48"/>
      <c r="M196" s="48"/>
      <c r="N196" s="59"/>
      <c r="O196" s="59"/>
      <c r="P196" s="59"/>
      <c r="Q196" s="59"/>
    </row>
    <row r="197" spans="5:17" x14ac:dyDescent="0.35">
      <c r="E197" s="47"/>
      <c r="F197" s="46"/>
      <c r="G197" s="48"/>
      <c r="H197" s="48"/>
      <c r="I197" s="48"/>
      <c r="J197" s="48"/>
      <c r="K197" s="48"/>
      <c r="L197" s="48"/>
      <c r="M197" s="48"/>
      <c r="N197" s="59"/>
      <c r="O197" s="59"/>
      <c r="P197" s="59"/>
      <c r="Q197" s="59"/>
    </row>
    <row r="198" spans="5:17" x14ac:dyDescent="0.35">
      <c r="E198" s="47"/>
      <c r="F198" s="46"/>
      <c r="G198" s="48"/>
      <c r="H198" s="48"/>
      <c r="I198" s="48"/>
      <c r="J198" s="48"/>
      <c r="K198" s="48"/>
      <c r="L198" s="48"/>
      <c r="M198" s="48"/>
      <c r="N198" s="59"/>
      <c r="O198" s="59"/>
      <c r="P198" s="59"/>
      <c r="Q198" s="59"/>
    </row>
    <row r="199" spans="5:17" x14ac:dyDescent="0.35">
      <c r="E199" s="47"/>
      <c r="F199" s="46"/>
      <c r="G199" s="48"/>
      <c r="H199" s="48"/>
      <c r="I199" s="48"/>
      <c r="J199" s="48"/>
      <c r="K199" s="48"/>
      <c r="L199" s="48"/>
      <c r="M199" s="48"/>
      <c r="N199" s="59"/>
      <c r="O199" s="59"/>
      <c r="P199" s="59"/>
      <c r="Q199" s="59"/>
    </row>
    <row r="200" spans="5:17" x14ac:dyDescent="0.35">
      <c r="E200" s="47"/>
      <c r="F200" s="46"/>
      <c r="G200" s="48"/>
      <c r="H200" s="48"/>
      <c r="I200" s="48"/>
      <c r="J200" s="48"/>
      <c r="K200" s="48"/>
      <c r="L200" s="48"/>
      <c r="M200" s="48"/>
      <c r="N200" s="59"/>
      <c r="O200" s="59"/>
      <c r="P200" s="59"/>
      <c r="Q200" s="59"/>
    </row>
    <row r="201" spans="5:17" x14ac:dyDescent="0.35">
      <c r="E201" s="47"/>
      <c r="F201" s="46"/>
      <c r="G201" s="48"/>
      <c r="H201" s="48"/>
      <c r="I201" s="48"/>
      <c r="J201" s="48"/>
      <c r="K201" s="48"/>
      <c r="L201" s="48"/>
      <c r="M201" s="48"/>
      <c r="N201" s="59"/>
      <c r="O201" s="59"/>
      <c r="P201" s="59"/>
      <c r="Q201" s="59"/>
    </row>
    <row r="202" spans="5:17" x14ac:dyDescent="0.35">
      <c r="E202" s="47"/>
      <c r="F202" s="46"/>
      <c r="G202" s="48"/>
      <c r="H202" s="48"/>
      <c r="I202" s="48"/>
      <c r="J202" s="48"/>
      <c r="K202" s="48"/>
      <c r="L202" s="48"/>
      <c r="M202" s="48"/>
      <c r="N202" s="59"/>
      <c r="O202" s="59"/>
      <c r="P202" s="59"/>
      <c r="Q202" s="59"/>
    </row>
    <row r="203" spans="5:17" x14ac:dyDescent="0.35">
      <c r="E203" s="47"/>
      <c r="F203" s="46"/>
      <c r="G203" s="48"/>
      <c r="H203" s="48"/>
      <c r="I203" s="48"/>
      <c r="J203" s="48"/>
      <c r="K203" s="48"/>
      <c r="L203" s="48"/>
      <c r="M203" s="48"/>
      <c r="N203" s="59"/>
      <c r="O203" s="59"/>
      <c r="P203" s="59"/>
      <c r="Q203" s="59"/>
    </row>
    <row r="204" spans="5:17" x14ac:dyDescent="0.35">
      <c r="E204" s="47"/>
      <c r="F204" s="46"/>
      <c r="G204" s="48"/>
      <c r="H204" s="48"/>
      <c r="I204" s="48"/>
      <c r="J204" s="48"/>
      <c r="K204" s="48"/>
      <c r="L204" s="48"/>
      <c r="M204" s="48"/>
      <c r="N204" s="59"/>
      <c r="O204" s="59"/>
      <c r="P204" s="59"/>
      <c r="Q204" s="59"/>
    </row>
    <row r="205" spans="5:17" x14ac:dyDescent="0.35">
      <c r="E205" s="47"/>
      <c r="F205" s="46"/>
      <c r="G205" s="48"/>
      <c r="H205" s="48"/>
      <c r="I205" s="48"/>
      <c r="J205" s="48"/>
      <c r="K205" s="48"/>
      <c r="L205" s="48"/>
      <c r="M205" s="48"/>
      <c r="N205" s="59"/>
      <c r="O205" s="59"/>
      <c r="P205" s="59"/>
      <c r="Q205" s="59"/>
    </row>
    <row r="206" spans="5:17" x14ac:dyDescent="0.35">
      <c r="E206" s="47"/>
      <c r="F206" s="46"/>
      <c r="G206" s="48"/>
      <c r="H206" s="48"/>
      <c r="I206" s="48"/>
      <c r="J206" s="48"/>
      <c r="K206" s="48"/>
      <c r="L206" s="48"/>
      <c r="M206" s="48"/>
      <c r="N206" s="59"/>
      <c r="O206" s="59"/>
      <c r="P206" s="59"/>
      <c r="Q206" s="59"/>
    </row>
    <row r="207" spans="5:17" x14ac:dyDescent="0.35">
      <c r="E207" s="47"/>
      <c r="F207" s="46"/>
      <c r="G207" s="48"/>
      <c r="H207" s="48"/>
      <c r="I207" s="48"/>
      <c r="J207" s="48"/>
      <c r="K207" s="48"/>
      <c r="L207" s="48"/>
      <c r="M207" s="48"/>
      <c r="N207" s="59"/>
      <c r="O207" s="59"/>
      <c r="P207" s="59"/>
      <c r="Q207" s="59"/>
    </row>
    <row r="208" spans="5:17" x14ac:dyDescent="0.35">
      <c r="E208" s="47"/>
      <c r="F208" s="46"/>
      <c r="G208" s="48"/>
      <c r="H208" s="48"/>
      <c r="I208" s="48"/>
      <c r="J208" s="48"/>
      <c r="K208" s="48"/>
      <c r="L208" s="48"/>
      <c r="M208" s="48"/>
      <c r="N208" s="59"/>
      <c r="O208" s="59"/>
      <c r="P208" s="59"/>
      <c r="Q208" s="59"/>
    </row>
    <row r="209" spans="4:17" x14ac:dyDescent="0.35">
      <c r="E209" s="47"/>
      <c r="F209" s="46"/>
      <c r="G209" s="48"/>
      <c r="H209" s="48"/>
      <c r="I209" s="48"/>
      <c r="J209" s="48"/>
      <c r="K209" s="48"/>
      <c r="L209" s="48"/>
      <c r="M209" s="48"/>
      <c r="N209" s="59"/>
      <c r="O209" s="59"/>
      <c r="P209" s="59"/>
      <c r="Q209" s="59"/>
    </row>
    <row r="210" spans="4:17" x14ac:dyDescent="0.35">
      <c r="E210" s="47"/>
      <c r="F210" s="46"/>
      <c r="G210" s="48"/>
      <c r="H210" s="48"/>
      <c r="I210" s="48"/>
      <c r="J210" s="48"/>
      <c r="K210" s="48"/>
      <c r="L210" s="48"/>
      <c r="M210" s="48"/>
      <c r="N210" s="59"/>
      <c r="O210" s="59"/>
      <c r="P210" s="59"/>
      <c r="Q210" s="59"/>
    </row>
    <row r="211" spans="4:17" x14ac:dyDescent="0.35">
      <c r="E211" s="47"/>
      <c r="F211" s="46"/>
      <c r="G211" s="48"/>
      <c r="H211" s="48"/>
      <c r="I211" s="48"/>
      <c r="J211" s="48"/>
      <c r="K211" s="48"/>
      <c r="L211" s="48"/>
      <c r="M211" s="48"/>
      <c r="N211" s="59"/>
      <c r="O211" s="59"/>
      <c r="P211" s="59"/>
      <c r="Q211" s="59"/>
    </row>
    <row r="212" spans="4:17" x14ac:dyDescent="0.35">
      <c r="D212" s="52"/>
      <c r="E212" s="47"/>
      <c r="F212" s="52"/>
      <c r="G212" s="48"/>
      <c r="H212" s="48"/>
      <c r="I212" s="48"/>
      <c r="J212" s="48"/>
      <c r="K212" s="48"/>
      <c r="L212" s="48"/>
      <c r="M212" s="48"/>
      <c r="N212" s="59"/>
      <c r="O212" s="59"/>
      <c r="P212" s="59"/>
      <c r="Q212" s="59"/>
    </row>
    <row r="213" spans="4:17" x14ac:dyDescent="0.35">
      <c r="D213" s="52"/>
      <c r="E213" s="47"/>
      <c r="F213" s="52"/>
      <c r="G213" s="48"/>
      <c r="H213" s="48"/>
      <c r="I213" s="48"/>
      <c r="J213" s="48"/>
      <c r="K213" s="48"/>
      <c r="L213" s="48"/>
      <c r="M213" s="48"/>
      <c r="N213" s="59"/>
      <c r="O213" s="59"/>
      <c r="P213" s="59"/>
      <c r="Q213" s="59"/>
    </row>
    <row r="214" spans="4:17" x14ac:dyDescent="0.35">
      <c r="D214" s="52"/>
      <c r="E214" s="47"/>
      <c r="F214" s="52"/>
      <c r="G214" s="48"/>
      <c r="H214" s="48"/>
      <c r="I214" s="48"/>
      <c r="J214" s="48"/>
      <c r="K214" s="48"/>
      <c r="L214" s="48"/>
      <c r="M214" s="48"/>
      <c r="N214" s="59"/>
      <c r="O214" s="59"/>
      <c r="P214" s="59"/>
      <c r="Q214" s="59"/>
    </row>
    <row r="215" spans="4:17" x14ac:dyDescent="0.35">
      <c r="D215" s="52"/>
      <c r="E215" s="47"/>
      <c r="F215" s="52"/>
      <c r="G215" s="48"/>
      <c r="H215" s="48"/>
      <c r="I215" s="48"/>
      <c r="J215" s="48"/>
      <c r="K215" s="48"/>
      <c r="L215" s="48"/>
      <c r="M215" s="48"/>
      <c r="N215" s="59"/>
      <c r="O215" s="59"/>
      <c r="P215" s="59"/>
      <c r="Q215" s="59"/>
    </row>
  </sheetData>
  <autoFilter ref="A2:Q141" xr:uid="{06CB1331-AF3E-489A-B433-09E21B4DF482}"/>
  <mergeCells count="511">
    <mergeCell ref="Q24:Q27"/>
    <mergeCell ref="H24:H27"/>
    <mergeCell ref="I24:I27"/>
    <mergeCell ref="J24:J27"/>
    <mergeCell ref="K24:K27"/>
    <mergeCell ref="L24:L27"/>
    <mergeCell ref="M24:M27"/>
    <mergeCell ref="N24:N27"/>
    <mergeCell ref="O24:O27"/>
    <mergeCell ref="P24:P27"/>
    <mergeCell ref="G1:I1"/>
    <mergeCell ref="C5:C9"/>
    <mergeCell ref="D5:D9"/>
    <mergeCell ref="F5:F9"/>
    <mergeCell ref="G5:G9"/>
    <mergeCell ref="H5:H9"/>
    <mergeCell ref="I5:I9"/>
    <mergeCell ref="O5:O9"/>
    <mergeCell ref="P5:P9"/>
    <mergeCell ref="Q5:Q9"/>
    <mergeCell ref="E5:E9"/>
    <mergeCell ref="C10:C13"/>
    <mergeCell ref="D10:D13"/>
    <mergeCell ref="E10:E13"/>
    <mergeCell ref="F10:F13"/>
    <mergeCell ref="G10:G13"/>
    <mergeCell ref="H10:H13"/>
    <mergeCell ref="I10:I13"/>
    <mergeCell ref="J10:J13"/>
    <mergeCell ref="K10:K13"/>
    <mergeCell ref="L10:L13"/>
    <mergeCell ref="M10:M13"/>
    <mergeCell ref="N10:N13"/>
    <mergeCell ref="J5:J9"/>
    <mergeCell ref="K5:K9"/>
    <mergeCell ref="L5:L9"/>
    <mergeCell ref="M5:M9"/>
    <mergeCell ref="N5:N9"/>
    <mergeCell ref="O10:O13"/>
    <mergeCell ref="P10:P13"/>
    <mergeCell ref="Q10:Q13"/>
    <mergeCell ref="C14:C18"/>
    <mergeCell ref="D14:D18"/>
    <mergeCell ref="F14:F18"/>
    <mergeCell ref="G14:G18"/>
    <mergeCell ref="H14:H18"/>
    <mergeCell ref="I14:I18"/>
    <mergeCell ref="J14:J18"/>
    <mergeCell ref="K14:K18"/>
    <mergeCell ref="L14:L18"/>
    <mergeCell ref="M14:M18"/>
    <mergeCell ref="E14:E18"/>
    <mergeCell ref="N14:N18"/>
    <mergeCell ref="O14:O18"/>
    <mergeCell ref="H19:H22"/>
    <mergeCell ref="P14:P18"/>
    <mergeCell ref="Q14:Q18"/>
    <mergeCell ref="E19:E22"/>
    <mergeCell ref="N19:N22"/>
    <mergeCell ref="O19:O22"/>
    <mergeCell ref="P19:P22"/>
    <mergeCell ref="Q19:Q22"/>
    <mergeCell ref="I19:I22"/>
    <mergeCell ref="J19:J22"/>
    <mergeCell ref="K19:K22"/>
    <mergeCell ref="L19:L22"/>
    <mergeCell ref="M19:M22"/>
    <mergeCell ref="C28:C31"/>
    <mergeCell ref="D28:D31"/>
    <mergeCell ref="E28:E31"/>
    <mergeCell ref="F28:F31"/>
    <mergeCell ref="G28:G31"/>
    <mergeCell ref="C19:C22"/>
    <mergeCell ref="D19:D22"/>
    <mergeCell ref="F19:F22"/>
    <mergeCell ref="G19:G22"/>
    <mergeCell ref="C24:C27"/>
    <mergeCell ref="D24:D27"/>
    <mergeCell ref="E24:E27"/>
    <mergeCell ref="F24:F27"/>
    <mergeCell ref="G24:G27"/>
    <mergeCell ref="M28:M31"/>
    <mergeCell ref="N28:N31"/>
    <mergeCell ref="O28:O31"/>
    <mergeCell ref="P28:P31"/>
    <mergeCell ref="Q28:Q31"/>
    <mergeCell ref="H28:H31"/>
    <mergeCell ref="I28:I31"/>
    <mergeCell ref="J28:J31"/>
    <mergeCell ref="K28:K31"/>
    <mergeCell ref="L28:L31"/>
    <mergeCell ref="C32:C34"/>
    <mergeCell ref="D32:D34"/>
    <mergeCell ref="E32:E34"/>
    <mergeCell ref="F32:F34"/>
    <mergeCell ref="G32:G34"/>
    <mergeCell ref="M32:M34"/>
    <mergeCell ref="N32:N34"/>
    <mergeCell ref="O32:O34"/>
    <mergeCell ref="P32:P34"/>
    <mergeCell ref="Q32:Q34"/>
    <mergeCell ref="H32:H34"/>
    <mergeCell ref="I32:I34"/>
    <mergeCell ref="J32:J34"/>
    <mergeCell ref="K32:K34"/>
    <mergeCell ref="L32:L34"/>
    <mergeCell ref="Q35:Q38"/>
    <mergeCell ref="H35:H38"/>
    <mergeCell ref="I35:I38"/>
    <mergeCell ref="J35:J38"/>
    <mergeCell ref="K35:K38"/>
    <mergeCell ref="L35:L38"/>
    <mergeCell ref="M35:M38"/>
    <mergeCell ref="N35:N38"/>
    <mergeCell ref="O35:O38"/>
    <mergeCell ref="P35:P38"/>
    <mergeCell ref="C35:C38"/>
    <mergeCell ref="D35:D38"/>
    <mergeCell ref="E35:E38"/>
    <mergeCell ref="F35:F38"/>
    <mergeCell ref="G35:G38"/>
    <mergeCell ref="C39:C41"/>
    <mergeCell ref="D39:D41"/>
    <mergeCell ref="E39:E41"/>
    <mergeCell ref="F39:F41"/>
    <mergeCell ref="G39:G41"/>
    <mergeCell ref="M39:M41"/>
    <mergeCell ref="N39:N41"/>
    <mergeCell ref="O39:O41"/>
    <mergeCell ref="P39:P41"/>
    <mergeCell ref="Q39:Q41"/>
    <mergeCell ref="H39:H41"/>
    <mergeCell ref="I39:I41"/>
    <mergeCell ref="J39:J41"/>
    <mergeCell ref="K39:K41"/>
    <mergeCell ref="L39:L41"/>
    <mergeCell ref="Q44:Q47"/>
    <mergeCell ref="H44:H47"/>
    <mergeCell ref="I44:I47"/>
    <mergeCell ref="J44:J47"/>
    <mergeCell ref="K44:K47"/>
    <mergeCell ref="L44:L47"/>
    <mergeCell ref="C44:C47"/>
    <mergeCell ref="D44:D47"/>
    <mergeCell ref="E44:E47"/>
    <mergeCell ref="F44:F47"/>
    <mergeCell ref="G44:G47"/>
    <mergeCell ref="C48:C50"/>
    <mergeCell ref="D48:D50"/>
    <mergeCell ref="E48:E50"/>
    <mergeCell ref="F48:F50"/>
    <mergeCell ref="G48:G50"/>
    <mergeCell ref="M44:M47"/>
    <mergeCell ref="N44:N47"/>
    <mergeCell ref="O44:O47"/>
    <mergeCell ref="P44:P47"/>
    <mergeCell ref="M48:M50"/>
    <mergeCell ref="N48:N50"/>
    <mergeCell ref="O48:O50"/>
    <mergeCell ref="P48:P50"/>
    <mergeCell ref="Q48:Q50"/>
    <mergeCell ref="H48:H50"/>
    <mergeCell ref="I48:I50"/>
    <mergeCell ref="J48:J50"/>
    <mergeCell ref="K48:K50"/>
    <mergeCell ref="L48:L50"/>
    <mergeCell ref="Q51:Q53"/>
    <mergeCell ref="I51:I53"/>
    <mergeCell ref="J51:J53"/>
    <mergeCell ref="K51:K53"/>
    <mergeCell ref="L51:L53"/>
    <mergeCell ref="M51:M53"/>
    <mergeCell ref="C51:C53"/>
    <mergeCell ref="C54:C56"/>
    <mergeCell ref="D54:D56"/>
    <mergeCell ref="E54:E56"/>
    <mergeCell ref="F54:F56"/>
    <mergeCell ref="N51:N53"/>
    <mergeCell ref="O51:O53"/>
    <mergeCell ref="P51:P53"/>
    <mergeCell ref="C62:C65"/>
    <mergeCell ref="D62:D65"/>
    <mergeCell ref="E62:E65"/>
    <mergeCell ref="F62:F65"/>
    <mergeCell ref="G62:G65"/>
    <mergeCell ref="M62:M65"/>
    <mergeCell ref="N62:N65"/>
    <mergeCell ref="O62:O65"/>
    <mergeCell ref="P62:P65"/>
    <mergeCell ref="D51:D53"/>
    <mergeCell ref="E51:E53"/>
    <mergeCell ref="F51:F53"/>
    <mergeCell ref="G51:G53"/>
    <mergeCell ref="H51:H53"/>
    <mergeCell ref="O54:O56"/>
    <mergeCell ref="P54:P56"/>
    <mergeCell ref="Q54:Q56"/>
    <mergeCell ref="C58:C61"/>
    <mergeCell ref="D58:D61"/>
    <mergeCell ref="E58:E61"/>
    <mergeCell ref="F58:F61"/>
    <mergeCell ref="G58:G61"/>
    <mergeCell ref="H58:H61"/>
    <mergeCell ref="I58:I61"/>
    <mergeCell ref="J58:J61"/>
    <mergeCell ref="K58:K61"/>
    <mergeCell ref="L58:L61"/>
    <mergeCell ref="M58:M61"/>
    <mergeCell ref="N58:N61"/>
    <mergeCell ref="O58:O61"/>
    <mergeCell ref="P58:P61"/>
    <mergeCell ref="Q58:Q61"/>
    <mergeCell ref="L54:L56"/>
    <mergeCell ref="M54:M56"/>
    <mergeCell ref="N54:N56"/>
    <mergeCell ref="G54:G56"/>
    <mergeCell ref="H54:H56"/>
    <mergeCell ref="I54:I56"/>
    <mergeCell ref="J54:J56"/>
    <mergeCell ref="K54:K56"/>
    <mergeCell ref="Q62:Q65"/>
    <mergeCell ref="H62:H65"/>
    <mergeCell ref="I62:I65"/>
    <mergeCell ref="J62:J65"/>
    <mergeCell ref="K62:K65"/>
    <mergeCell ref="L62:L65"/>
    <mergeCell ref="Q66:Q68"/>
    <mergeCell ref="H66:H68"/>
    <mergeCell ref="I66:I68"/>
    <mergeCell ref="J66:J68"/>
    <mergeCell ref="K66:K68"/>
    <mergeCell ref="L66:L68"/>
    <mergeCell ref="M66:M68"/>
    <mergeCell ref="N66:N68"/>
    <mergeCell ref="O66:O68"/>
    <mergeCell ref="P66:P68"/>
    <mergeCell ref="C66:C68"/>
    <mergeCell ref="D66:D68"/>
    <mergeCell ref="E66:E68"/>
    <mergeCell ref="F66:F68"/>
    <mergeCell ref="G66:G68"/>
    <mergeCell ref="C69:C71"/>
    <mergeCell ref="D69:D71"/>
    <mergeCell ref="E69:E71"/>
    <mergeCell ref="F69:F71"/>
    <mergeCell ref="G69:G71"/>
    <mergeCell ref="M69:M71"/>
    <mergeCell ref="N69:N71"/>
    <mergeCell ref="O69:O71"/>
    <mergeCell ref="P69:P71"/>
    <mergeCell ref="Q69:Q71"/>
    <mergeCell ref="H69:H71"/>
    <mergeCell ref="I69:I71"/>
    <mergeCell ref="J69:J71"/>
    <mergeCell ref="K69:K71"/>
    <mergeCell ref="L69:L71"/>
    <mergeCell ref="Q72:Q75"/>
    <mergeCell ref="H72:H75"/>
    <mergeCell ref="I72:I75"/>
    <mergeCell ref="J72:J75"/>
    <mergeCell ref="K72:K75"/>
    <mergeCell ref="L72:L75"/>
    <mergeCell ref="C72:C75"/>
    <mergeCell ref="D72:D75"/>
    <mergeCell ref="E72:E75"/>
    <mergeCell ref="F72:F75"/>
    <mergeCell ref="G72:G75"/>
    <mergeCell ref="C76:C79"/>
    <mergeCell ref="D76:D79"/>
    <mergeCell ref="E76:E79"/>
    <mergeCell ref="F76:F79"/>
    <mergeCell ref="G76:G79"/>
    <mergeCell ref="M72:M75"/>
    <mergeCell ref="N72:N75"/>
    <mergeCell ref="O72:O75"/>
    <mergeCell ref="P72:P75"/>
    <mergeCell ref="M76:M79"/>
    <mergeCell ref="N76:N79"/>
    <mergeCell ref="O76:O79"/>
    <mergeCell ref="P76:P79"/>
    <mergeCell ref="Q76:Q79"/>
    <mergeCell ref="H76:H79"/>
    <mergeCell ref="I76:I79"/>
    <mergeCell ref="J76:J79"/>
    <mergeCell ref="K76:K79"/>
    <mergeCell ref="L76:L79"/>
    <mergeCell ref="Q80:Q84"/>
    <mergeCell ref="H80:H84"/>
    <mergeCell ref="I80:I84"/>
    <mergeCell ref="J80:J84"/>
    <mergeCell ref="K80:K84"/>
    <mergeCell ref="L80:L84"/>
    <mergeCell ref="M80:M84"/>
    <mergeCell ref="N80:N84"/>
    <mergeCell ref="O80:O84"/>
    <mergeCell ref="P80:P84"/>
    <mergeCell ref="C80:C84"/>
    <mergeCell ref="D80:D84"/>
    <mergeCell ref="E80:E84"/>
    <mergeCell ref="F80:F84"/>
    <mergeCell ref="G80:G84"/>
    <mergeCell ref="C85:C89"/>
    <mergeCell ref="D85:D89"/>
    <mergeCell ref="E85:E89"/>
    <mergeCell ref="F85:F89"/>
    <mergeCell ref="G85:G89"/>
    <mergeCell ref="M85:M89"/>
    <mergeCell ref="N85:N89"/>
    <mergeCell ref="O85:O89"/>
    <mergeCell ref="P85:P89"/>
    <mergeCell ref="Q85:Q89"/>
    <mergeCell ref="H85:H89"/>
    <mergeCell ref="I85:I89"/>
    <mergeCell ref="J85:J89"/>
    <mergeCell ref="K85:K89"/>
    <mergeCell ref="L85:L89"/>
    <mergeCell ref="Q90:Q92"/>
    <mergeCell ref="H90:H92"/>
    <mergeCell ref="I90:I92"/>
    <mergeCell ref="J90:J92"/>
    <mergeCell ref="K90:K92"/>
    <mergeCell ref="L90:L92"/>
    <mergeCell ref="C90:C92"/>
    <mergeCell ref="D90:D92"/>
    <mergeCell ref="E90:E92"/>
    <mergeCell ref="F90:F92"/>
    <mergeCell ref="G90:G92"/>
    <mergeCell ref="F93:F96"/>
    <mergeCell ref="G93:G96"/>
    <mergeCell ref="M90:M92"/>
    <mergeCell ref="N90:N92"/>
    <mergeCell ref="O90:O92"/>
    <mergeCell ref="P90:P92"/>
    <mergeCell ref="M93:M96"/>
    <mergeCell ref="N93:N96"/>
    <mergeCell ref="O93:O96"/>
    <mergeCell ref="P93:P96"/>
    <mergeCell ref="Q93:Q96"/>
    <mergeCell ref="H93:H96"/>
    <mergeCell ref="I93:I96"/>
    <mergeCell ref="J93:J96"/>
    <mergeCell ref="K93:K96"/>
    <mergeCell ref="L93:L96"/>
    <mergeCell ref="C97:C99"/>
    <mergeCell ref="D97:D99"/>
    <mergeCell ref="E97:E99"/>
    <mergeCell ref="F97:F99"/>
    <mergeCell ref="G97:G99"/>
    <mergeCell ref="M97:M99"/>
    <mergeCell ref="N97:N99"/>
    <mergeCell ref="O97:O99"/>
    <mergeCell ref="P97:P99"/>
    <mergeCell ref="Q97:Q99"/>
    <mergeCell ref="H97:H99"/>
    <mergeCell ref="I97:I99"/>
    <mergeCell ref="J97:J99"/>
    <mergeCell ref="K97:K99"/>
    <mergeCell ref="L97:L99"/>
    <mergeCell ref="C93:C96"/>
    <mergeCell ref="D93:D96"/>
    <mergeCell ref="E93:E96"/>
    <mergeCell ref="Q100:Q102"/>
    <mergeCell ref="H100:H102"/>
    <mergeCell ref="I100:I102"/>
    <mergeCell ref="J100:J102"/>
    <mergeCell ref="K100:K102"/>
    <mergeCell ref="L100:L102"/>
    <mergeCell ref="C100:C102"/>
    <mergeCell ref="D100:D102"/>
    <mergeCell ref="E100:E102"/>
    <mergeCell ref="F100:F102"/>
    <mergeCell ref="G100:G102"/>
    <mergeCell ref="C103:C105"/>
    <mergeCell ref="D103:D105"/>
    <mergeCell ref="E103:E105"/>
    <mergeCell ref="F103:F105"/>
    <mergeCell ref="G103:G105"/>
    <mergeCell ref="M100:M102"/>
    <mergeCell ref="N100:N102"/>
    <mergeCell ref="O100:O102"/>
    <mergeCell ref="P100:P102"/>
    <mergeCell ref="M103:M105"/>
    <mergeCell ref="N103:N105"/>
    <mergeCell ref="O103:O105"/>
    <mergeCell ref="P103:P105"/>
    <mergeCell ref="Q103:Q105"/>
    <mergeCell ref="H103:H105"/>
    <mergeCell ref="I103:I105"/>
    <mergeCell ref="J103:J105"/>
    <mergeCell ref="K103:K105"/>
    <mergeCell ref="L103:L105"/>
    <mergeCell ref="Q106:Q110"/>
    <mergeCell ref="H106:H110"/>
    <mergeCell ref="I106:I110"/>
    <mergeCell ref="J106:J110"/>
    <mergeCell ref="K106:K110"/>
    <mergeCell ref="L106:L110"/>
    <mergeCell ref="M106:M110"/>
    <mergeCell ref="N106:N110"/>
    <mergeCell ref="O106:O110"/>
    <mergeCell ref="P106:P110"/>
    <mergeCell ref="O115:O117"/>
    <mergeCell ref="P115:P117"/>
    <mergeCell ref="Q115:Q117"/>
    <mergeCell ref="H115:H117"/>
    <mergeCell ref="I115:I117"/>
    <mergeCell ref="J115:J117"/>
    <mergeCell ref="K115:K117"/>
    <mergeCell ref="L115:L117"/>
    <mergeCell ref="C106:C110"/>
    <mergeCell ref="D106:D110"/>
    <mergeCell ref="E106:E110"/>
    <mergeCell ref="F106:F110"/>
    <mergeCell ref="G106:G110"/>
    <mergeCell ref="C115:C117"/>
    <mergeCell ref="D115:D117"/>
    <mergeCell ref="E115:E117"/>
    <mergeCell ref="F115:F117"/>
    <mergeCell ref="G115:G117"/>
    <mergeCell ref="C111:C114"/>
    <mergeCell ref="D111:D114"/>
    <mergeCell ref="E111:E114"/>
    <mergeCell ref="F111:F114"/>
    <mergeCell ref="G111:G114"/>
    <mergeCell ref="I111:I114"/>
    <mergeCell ref="C130:C132"/>
    <mergeCell ref="D130:D132"/>
    <mergeCell ref="E130:E132"/>
    <mergeCell ref="F130:F132"/>
    <mergeCell ref="Q133:Q135"/>
    <mergeCell ref="H133:H135"/>
    <mergeCell ref="I133:I135"/>
    <mergeCell ref="J133:J135"/>
    <mergeCell ref="K133:K135"/>
    <mergeCell ref="L133:L135"/>
    <mergeCell ref="M133:M135"/>
    <mergeCell ref="N133:N135"/>
    <mergeCell ref="O133:O135"/>
    <mergeCell ref="P133:P135"/>
    <mergeCell ref="O130:O132"/>
    <mergeCell ref="P130:P132"/>
    <mergeCell ref="Q130:Q132"/>
    <mergeCell ref="G130:G132"/>
    <mergeCell ref="H130:H132"/>
    <mergeCell ref="I130:I132"/>
    <mergeCell ref="J130:J132"/>
    <mergeCell ref="K130:K132"/>
    <mergeCell ref="M130:M132"/>
    <mergeCell ref="N130:N132"/>
    <mergeCell ref="K111:K114"/>
    <mergeCell ref="L111:L114"/>
    <mergeCell ref="M111:M114"/>
    <mergeCell ref="N111:N114"/>
    <mergeCell ref="O111:O114"/>
    <mergeCell ref="P111:P114"/>
    <mergeCell ref="C133:C135"/>
    <mergeCell ref="D133:D135"/>
    <mergeCell ref="E133:E135"/>
    <mergeCell ref="F133:F135"/>
    <mergeCell ref="G133:G135"/>
    <mergeCell ref="M115:M117"/>
    <mergeCell ref="N115:N117"/>
    <mergeCell ref="F127:F129"/>
    <mergeCell ref="G127:G129"/>
    <mergeCell ref="H127:H129"/>
    <mergeCell ref="I127:I129"/>
    <mergeCell ref="J127:J129"/>
    <mergeCell ref="K127:K129"/>
    <mergeCell ref="C121:C124"/>
    <mergeCell ref="D121:D124"/>
    <mergeCell ref="E121:E124"/>
    <mergeCell ref="F121:F124"/>
    <mergeCell ref="L130:L132"/>
    <mergeCell ref="C127:C129"/>
    <mergeCell ref="G121:G124"/>
    <mergeCell ref="H121:H124"/>
    <mergeCell ref="I121:I124"/>
    <mergeCell ref="J121:J124"/>
    <mergeCell ref="K121:K124"/>
    <mergeCell ref="Q111:Q114"/>
    <mergeCell ref="C118:C120"/>
    <mergeCell ref="D118:D120"/>
    <mergeCell ref="E118:E120"/>
    <mergeCell ref="F118:F120"/>
    <mergeCell ref="G118:G120"/>
    <mergeCell ref="H118:H120"/>
    <mergeCell ref="I118:I120"/>
    <mergeCell ref="J118:J120"/>
    <mergeCell ref="K118:K120"/>
    <mergeCell ref="L118:L120"/>
    <mergeCell ref="M118:M120"/>
    <mergeCell ref="N118:N120"/>
    <mergeCell ref="O118:O120"/>
    <mergeCell ref="P118:P120"/>
    <mergeCell ref="Q118:Q120"/>
    <mergeCell ref="H111:H114"/>
    <mergeCell ref="J111:J114"/>
    <mergeCell ref="O121:O124"/>
    <mergeCell ref="L121:L124"/>
    <mergeCell ref="M121:M124"/>
    <mergeCell ref="N121:N124"/>
    <mergeCell ref="D127:D129"/>
    <mergeCell ref="E127:E129"/>
    <mergeCell ref="P121:P124"/>
    <mergeCell ref="Q121:Q124"/>
    <mergeCell ref="L127:L129"/>
    <mergeCell ref="M127:M129"/>
    <mergeCell ref="N127:N129"/>
    <mergeCell ref="O127:O129"/>
    <mergeCell ref="P127:P129"/>
    <mergeCell ref="Q127:Q129"/>
  </mergeCells>
  <dataValidations count="1">
    <dataValidation type="list" allowBlank="1" showInputMessage="1" showErrorMessage="1" sqref="F3:F137" xr:uid="{BEBC1BFA-52F5-4B9C-8907-9094C7110A5A}">
      <formula1>"T,TP,P"</formula1>
    </dataValidation>
  </dataValidations>
  <pageMargins left="0.7" right="0.7" top="0.75" bottom="0.75" header="0.3" footer="0.3"/>
  <pageSetup paperSize="9" orientation="portrait"/>
  <ignoredErrors>
    <ignoredError sqref="J140" formula="1"/>
  </ignoredErrors>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8C0580E8-D6E7-41A7-8CE2-E1E3F20BED11}">
          <x14:formula1>
            <xm:f>'Paso 3 Redacción RA '!$I$3:$I$14</xm:f>
          </x14:formula1>
          <xm:sqref>B181:B215 B61 B42:B43 B124:B126 B75 B79 B84 B132 B92 B96 B99 B102 B89 B23 B117 B3 B57 B65 B135:B179 B110 B114 B129 B105 B120</xm:sqref>
        </x14:dataValidation>
        <x14:dataValidation type="list" allowBlank="1" showInputMessage="1" showErrorMessage="1" xr:uid="{C9DFEA4C-E456-40FA-A0B8-26962CF02348}">
          <x14:formula1>
            <xm:f>'Paso 3 Redacción RA '!$I$3:$I$15</xm:f>
          </x14:formula1>
          <xm:sqref>B24:B41 B62:B64 B58:B60 B76:B78 B80:B83 B66:B74 B90:B91 B93:B95 B97:B98 B100:B101 B85:B88 B106:B109 B115:B116 B44:B56 B4:B22 B111:B113 B103:B104 B121:B123 B127:B128 B130:B131 B118:B119 B133:B134</xm:sqref>
        </x14:dataValidation>
        <x14:dataValidation type="list" allowBlank="1" showInputMessage="1" showErrorMessage="1" xr:uid="{30DD22C5-FBF6-44B0-BCFD-32788D298910}">
          <x14:formula1>
            <xm:f>'Paso 3 Redacción RA '!$I$1:$I$15</xm:f>
          </x14:formula1>
          <xm:sqref>B57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1907-1808-45DB-89DB-D7AD15506F3A}">
  <dimension ref="B1:B38"/>
  <sheetViews>
    <sheetView showGridLines="0" zoomScale="90" zoomScaleNormal="90" workbookViewId="0">
      <selection activeCell="H23" sqref="H23"/>
    </sheetView>
  </sheetViews>
  <sheetFormatPr baseColWidth="10" defaultColWidth="11.453125" defaultRowHeight="14.5" x14ac:dyDescent="0.35"/>
  <cols>
    <col min="2" max="2" width="27.1796875" customWidth="1"/>
  </cols>
  <sheetData>
    <row r="1" spans="2:2" ht="16.5" x14ac:dyDescent="0.5">
      <c r="B1" s="1" t="s">
        <v>350</v>
      </c>
    </row>
    <row r="2" spans="2:2" ht="16.5" x14ac:dyDescent="0.5">
      <c r="B2" s="1" t="s">
        <v>351</v>
      </c>
    </row>
    <row r="3" spans="2:2" ht="16.5" x14ac:dyDescent="0.5">
      <c r="B3" s="1" t="s">
        <v>352</v>
      </c>
    </row>
    <row r="4" spans="2:2" ht="16.5" x14ac:dyDescent="0.5">
      <c r="B4" s="1" t="s">
        <v>57</v>
      </c>
    </row>
    <row r="5" spans="2:2" ht="16.5" x14ac:dyDescent="0.5">
      <c r="B5" s="1" t="s">
        <v>100</v>
      </c>
    </row>
    <row r="6" spans="2:2" ht="16.5" x14ac:dyDescent="0.5">
      <c r="B6" s="1" t="s">
        <v>353</v>
      </c>
    </row>
    <row r="7" spans="2:2" ht="16.5" x14ac:dyDescent="0.5">
      <c r="B7" s="1" t="s">
        <v>354</v>
      </c>
    </row>
    <row r="8" spans="2:2" ht="16.5" x14ac:dyDescent="0.5">
      <c r="B8" s="1" t="s">
        <v>355</v>
      </c>
    </row>
    <row r="9" spans="2:2" ht="16.5" x14ac:dyDescent="0.5">
      <c r="B9" s="1" t="s">
        <v>356</v>
      </c>
    </row>
    <row r="10" spans="2:2" ht="16.5" x14ac:dyDescent="0.5">
      <c r="B10" s="1" t="s">
        <v>357</v>
      </c>
    </row>
    <row r="11" spans="2:2" ht="16.5" x14ac:dyDescent="0.5">
      <c r="B11" s="1" t="s">
        <v>358</v>
      </c>
    </row>
    <row r="12" spans="2:2" ht="16.5" x14ac:dyDescent="0.5">
      <c r="B12" s="1" t="s">
        <v>359</v>
      </c>
    </row>
    <row r="13" spans="2:2" ht="16.5" x14ac:dyDescent="0.5">
      <c r="B13" s="1" t="s">
        <v>360</v>
      </c>
    </row>
    <row r="14" spans="2:2" ht="16.5" x14ac:dyDescent="0.5">
      <c r="B14" s="1" t="s">
        <v>361</v>
      </c>
    </row>
    <row r="15" spans="2:2" ht="16.5" x14ac:dyDescent="0.5">
      <c r="B15" s="1" t="s">
        <v>362</v>
      </c>
    </row>
    <row r="16" spans="2:2" ht="16.5" x14ac:dyDescent="0.5">
      <c r="B16" s="1" t="s">
        <v>60</v>
      </c>
    </row>
    <row r="17" spans="2:2" ht="16.5" x14ac:dyDescent="0.5">
      <c r="B17" s="1" t="s">
        <v>363</v>
      </c>
    </row>
    <row r="18" spans="2:2" ht="16.5" x14ac:dyDescent="0.5">
      <c r="B18" s="1" t="s">
        <v>364</v>
      </c>
    </row>
    <row r="19" spans="2:2" ht="16.5" x14ac:dyDescent="0.5">
      <c r="B19" s="1" t="s">
        <v>64</v>
      </c>
    </row>
    <row r="20" spans="2:2" ht="16.5" x14ac:dyDescent="0.5">
      <c r="B20" s="1" t="s">
        <v>365</v>
      </c>
    </row>
    <row r="21" spans="2:2" ht="16.5" x14ac:dyDescent="0.5">
      <c r="B21" s="1" t="s">
        <v>366</v>
      </c>
    </row>
    <row r="22" spans="2:2" ht="16.5" x14ac:dyDescent="0.5">
      <c r="B22" s="1" t="s">
        <v>367</v>
      </c>
    </row>
    <row r="23" spans="2:2" ht="16.5" x14ac:dyDescent="0.5">
      <c r="B23" s="1" t="s">
        <v>368</v>
      </c>
    </row>
    <row r="24" spans="2:2" ht="16.5" x14ac:dyDescent="0.5">
      <c r="B24" s="1" t="s">
        <v>369</v>
      </c>
    </row>
    <row r="25" spans="2:2" ht="16.5" x14ac:dyDescent="0.5">
      <c r="B25" s="1" t="s">
        <v>62</v>
      </c>
    </row>
    <row r="26" spans="2:2" ht="16.5" x14ac:dyDescent="0.5">
      <c r="B26" s="1" t="s">
        <v>370</v>
      </c>
    </row>
    <row r="27" spans="2:2" ht="16.5" x14ac:dyDescent="0.5">
      <c r="B27" s="1" t="s">
        <v>371</v>
      </c>
    </row>
    <row r="28" spans="2:2" ht="16.5" x14ac:dyDescent="0.5">
      <c r="B28" s="1" t="s">
        <v>372</v>
      </c>
    </row>
    <row r="29" spans="2:2" ht="16.5" x14ac:dyDescent="0.5">
      <c r="B29" s="1" t="s">
        <v>373</v>
      </c>
    </row>
    <row r="30" spans="2:2" ht="16.5" x14ac:dyDescent="0.5">
      <c r="B30" s="1" t="s">
        <v>374</v>
      </c>
    </row>
    <row r="31" spans="2:2" ht="16.5" x14ac:dyDescent="0.5">
      <c r="B31" s="1" t="s">
        <v>375</v>
      </c>
    </row>
    <row r="32" spans="2:2" ht="16.5" x14ac:dyDescent="0.5">
      <c r="B32" s="1" t="s">
        <v>376</v>
      </c>
    </row>
    <row r="33" spans="2:2" ht="16.5" x14ac:dyDescent="0.5">
      <c r="B33" s="1" t="s">
        <v>377</v>
      </c>
    </row>
    <row r="34" spans="2:2" ht="16.5" x14ac:dyDescent="0.5">
      <c r="B34" s="1" t="s">
        <v>378</v>
      </c>
    </row>
    <row r="35" spans="2:2" ht="16.5" x14ac:dyDescent="0.5">
      <c r="B35" s="1" t="s">
        <v>379</v>
      </c>
    </row>
    <row r="36" spans="2:2" ht="16.5" x14ac:dyDescent="0.5">
      <c r="B36" s="1" t="s">
        <v>380</v>
      </c>
    </row>
    <row r="37" spans="2:2" ht="16.5" x14ac:dyDescent="0.5">
      <c r="B37" s="1" t="s">
        <v>381</v>
      </c>
    </row>
    <row r="38" spans="2:2" ht="16.5" x14ac:dyDescent="0.5">
      <c r="B38" s="1" t="s">
        <v>382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showGridLines="0" topLeftCell="E1" zoomScale="70" zoomScaleNormal="70" workbookViewId="0">
      <selection activeCell="M22" sqref="M22"/>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0.7265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19" width="15.54296875" style="1" customWidth="1"/>
    <col min="20" max="20" width="15" style="1" customWidth="1"/>
    <col min="21" max="25" width="13.1796875" style="1" customWidth="1"/>
    <col min="26" max="26" width="16.54296875"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7265625" style="1" customWidth="1"/>
    <col min="34" max="36" width="13.1796875" style="1" customWidth="1"/>
    <col min="37" max="37" width="14.54296875" style="1" customWidth="1"/>
    <col min="38" max="43" width="16.7265625" style="1" customWidth="1"/>
    <col min="44" max="45" width="13.26953125" style="1" customWidth="1"/>
    <col min="46" max="46" width="23.81640625" style="1" customWidth="1"/>
    <col min="47" max="47" width="22.54296875" style="1" customWidth="1"/>
    <col min="48" max="48" width="24.1796875" style="1" customWidth="1"/>
    <col min="49" max="49" width="27.81640625" style="1" customWidth="1"/>
    <col min="50" max="50" width="24.7265625" style="1" customWidth="1"/>
    <col min="51" max="51" width="22.7265625" style="1" customWidth="1"/>
    <col min="52" max="55" width="13.26953125" style="1" customWidth="1"/>
    <col min="56" max="16384" width="11.453125" style="1"/>
  </cols>
  <sheetData>
    <row r="1" spans="1:55" x14ac:dyDescent="0.5">
      <c r="S1" s="188" t="s">
        <v>383</v>
      </c>
      <c r="T1" s="188"/>
      <c r="U1" s="188"/>
      <c r="V1" s="188"/>
      <c r="W1" s="188"/>
      <c r="X1" s="188"/>
      <c r="Y1" s="188"/>
      <c r="Z1" s="188"/>
      <c r="AA1" s="188"/>
      <c r="AB1" s="188"/>
      <c r="AC1" s="188"/>
      <c r="AD1" s="188"/>
      <c r="AE1" s="188"/>
      <c r="AF1" s="188"/>
      <c r="AG1" s="188"/>
      <c r="AH1" s="13"/>
      <c r="AI1" s="13"/>
      <c r="AJ1" s="13"/>
      <c r="AL1" s="188" t="s">
        <v>384</v>
      </c>
      <c r="AM1" s="188"/>
      <c r="AN1" s="188"/>
      <c r="AO1" s="188"/>
      <c r="AP1" s="188"/>
      <c r="AQ1" s="188"/>
      <c r="AR1" s="13"/>
      <c r="AS1" s="13"/>
      <c r="AT1" s="188" t="s">
        <v>385</v>
      </c>
      <c r="AU1" s="188"/>
      <c r="AV1" s="188"/>
      <c r="AW1" s="188"/>
      <c r="AX1" s="188"/>
      <c r="AY1" s="188"/>
      <c r="AZ1" s="13"/>
      <c r="BC1" s="13"/>
    </row>
    <row r="2" spans="1:55" x14ac:dyDescent="0.5">
      <c r="L2" s="188" t="s">
        <v>386</v>
      </c>
      <c r="M2" s="188"/>
      <c r="N2" s="188"/>
      <c r="O2" s="188"/>
      <c r="P2" s="188"/>
      <c r="Q2" s="188"/>
      <c r="S2" s="189" t="s">
        <v>387</v>
      </c>
      <c r="T2" s="189"/>
      <c r="U2" s="189"/>
      <c r="V2" s="189"/>
      <c r="W2" s="189"/>
      <c r="X2" s="189"/>
      <c r="Y2" s="189" t="s">
        <v>388</v>
      </c>
      <c r="Z2" s="189"/>
      <c r="AA2" s="189"/>
      <c r="AB2" s="189"/>
      <c r="AC2" s="189" t="s">
        <v>389</v>
      </c>
      <c r="AD2" s="189"/>
      <c r="AE2" s="189"/>
      <c r="AF2" s="189"/>
      <c r="AG2" s="189"/>
      <c r="AH2" s="13"/>
      <c r="AI2" s="13"/>
      <c r="AJ2" s="13"/>
      <c r="AL2" s="190"/>
      <c r="AM2" s="190"/>
      <c r="AN2" s="190"/>
      <c r="AO2" s="190"/>
      <c r="AP2" s="190"/>
      <c r="AQ2" s="190"/>
      <c r="AR2" s="13"/>
      <c r="AS2" s="13"/>
      <c r="AT2" s="13"/>
      <c r="AU2" s="13"/>
      <c r="AV2" s="13"/>
      <c r="AW2" s="13"/>
      <c r="AX2" s="13"/>
      <c r="AY2" s="13"/>
      <c r="AZ2" s="13"/>
      <c r="BC2" s="13"/>
    </row>
    <row r="3" spans="1:55" x14ac:dyDescent="0.5">
      <c r="A3" t="s">
        <v>390</v>
      </c>
      <c r="C3" s="111" t="s">
        <v>391</v>
      </c>
      <c r="D3" s="111" t="s">
        <v>392</v>
      </c>
      <c r="E3" s="111" t="s">
        <v>393</v>
      </c>
      <c r="G3" t="s">
        <v>88</v>
      </c>
      <c r="H3" t="s">
        <v>91</v>
      </c>
      <c r="I3" t="s">
        <v>94</v>
      </c>
      <c r="L3" s="44" t="s">
        <v>394</v>
      </c>
      <c r="M3" s="44" t="s">
        <v>105</v>
      </c>
      <c r="N3" s="44" t="s">
        <v>92</v>
      </c>
      <c r="O3" s="44" t="s">
        <v>89</v>
      </c>
      <c r="P3" s="44" t="s">
        <v>395</v>
      </c>
      <c r="Q3" s="44" t="s">
        <v>95</v>
      </c>
      <c r="S3" s="1" t="s">
        <v>396</v>
      </c>
      <c r="T3" s="1" t="s">
        <v>397</v>
      </c>
      <c r="U3" s="1" t="s">
        <v>398</v>
      </c>
      <c r="V3" s="1" t="s">
        <v>399</v>
      </c>
      <c r="W3" s="1" t="s">
        <v>400</v>
      </c>
      <c r="X3" s="1" t="s">
        <v>401</v>
      </c>
      <c r="Y3" s="1" t="s">
        <v>402</v>
      </c>
      <c r="Z3" s="1" t="s">
        <v>403</v>
      </c>
      <c r="AA3" s="1" t="s">
        <v>404</v>
      </c>
      <c r="AB3" s="1" t="s">
        <v>405</v>
      </c>
      <c r="AC3" s="1" t="s">
        <v>406</v>
      </c>
      <c r="AD3" s="1" t="s">
        <v>407</v>
      </c>
      <c r="AE3" s="1" t="s">
        <v>408</v>
      </c>
      <c r="AF3" s="1" t="s">
        <v>409</v>
      </c>
      <c r="AG3" s="1" t="s">
        <v>410</v>
      </c>
      <c r="AL3" s="187" t="s">
        <v>411</v>
      </c>
      <c r="AM3" s="187"/>
      <c r="AN3" s="187"/>
      <c r="AO3" s="187" t="s">
        <v>412</v>
      </c>
      <c r="AP3" s="187"/>
      <c r="AQ3" s="187"/>
      <c r="AR3" s="12"/>
      <c r="AS3" s="12"/>
      <c r="AT3" s="12"/>
      <c r="AU3" s="12"/>
      <c r="AV3" s="12"/>
      <c r="AW3" s="12"/>
      <c r="AX3" s="12"/>
      <c r="AY3" s="12"/>
      <c r="AZ3" s="12"/>
      <c r="BC3" s="12"/>
    </row>
    <row r="4" spans="1:55" x14ac:dyDescent="0.5">
      <c r="A4" t="s">
        <v>87</v>
      </c>
      <c r="C4" t="s">
        <v>413</v>
      </c>
      <c r="D4" t="s">
        <v>414</v>
      </c>
      <c r="E4" t="s">
        <v>415</v>
      </c>
      <c r="G4" t="s">
        <v>394</v>
      </c>
      <c r="H4" t="s">
        <v>394</v>
      </c>
      <c r="I4" t="s">
        <v>394</v>
      </c>
      <c r="L4" s="1" t="s">
        <v>416</v>
      </c>
      <c r="M4" s="1" t="s">
        <v>355</v>
      </c>
      <c r="N4" s="1" t="s">
        <v>100</v>
      </c>
      <c r="O4" s="1" t="s">
        <v>417</v>
      </c>
      <c r="P4" s="1" t="s">
        <v>418</v>
      </c>
      <c r="Q4" s="1" t="s">
        <v>419</v>
      </c>
      <c r="S4" s="1" t="s">
        <v>416</v>
      </c>
      <c r="T4" s="1" t="s">
        <v>355</v>
      </c>
      <c r="U4" s="1" t="s">
        <v>100</v>
      </c>
      <c r="V4" s="1" t="s">
        <v>417</v>
      </c>
      <c r="W4" s="1" t="s">
        <v>418</v>
      </c>
      <c r="X4" s="1" t="s">
        <v>419</v>
      </c>
      <c r="Y4" s="1" t="s">
        <v>420</v>
      </c>
      <c r="Z4" s="1" t="s">
        <v>421</v>
      </c>
      <c r="AA4" s="1" t="s">
        <v>422</v>
      </c>
      <c r="AB4" s="1" t="s">
        <v>423</v>
      </c>
      <c r="AC4" s="1" t="s">
        <v>424</v>
      </c>
      <c r="AD4" s="1" t="s">
        <v>420</v>
      </c>
      <c r="AE4" s="1" t="s">
        <v>424</v>
      </c>
      <c r="AF4" s="1" t="s">
        <v>425</v>
      </c>
      <c r="AG4" s="1" t="s">
        <v>426</v>
      </c>
      <c r="AL4" s="3" t="s">
        <v>427</v>
      </c>
      <c r="AM4" s="3" t="s">
        <v>428</v>
      </c>
      <c r="AN4" s="3" t="s">
        <v>429</v>
      </c>
      <c r="AO4" s="3" t="s">
        <v>430</v>
      </c>
      <c r="AP4" s="3" t="s">
        <v>431</v>
      </c>
      <c r="AQ4" s="3" t="s">
        <v>432</v>
      </c>
      <c r="AR4" s="12"/>
      <c r="AS4" s="12"/>
      <c r="AT4" s="44" t="s">
        <v>433</v>
      </c>
      <c r="AU4" s="44" t="s">
        <v>434</v>
      </c>
      <c r="AV4" s="44" t="s">
        <v>435</v>
      </c>
      <c r="AW4" s="44" t="s">
        <v>436</v>
      </c>
      <c r="AX4" s="44" t="s">
        <v>437</v>
      </c>
      <c r="AY4" s="44" t="s">
        <v>438</v>
      </c>
      <c r="AZ4" s="12"/>
      <c r="BC4" s="12"/>
    </row>
    <row r="5" spans="1:55" x14ac:dyDescent="0.5">
      <c r="A5" t="s">
        <v>391</v>
      </c>
      <c r="C5" t="s">
        <v>439</v>
      </c>
      <c r="D5" t="s">
        <v>440</v>
      </c>
      <c r="E5" t="s">
        <v>441</v>
      </c>
      <c r="G5" t="s">
        <v>105</v>
      </c>
      <c r="H5" t="s">
        <v>105</v>
      </c>
      <c r="I5" t="s">
        <v>105</v>
      </c>
      <c r="L5" s="1" t="s">
        <v>442</v>
      </c>
      <c r="M5" s="1" t="s">
        <v>443</v>
      </c>
      <c r="N5" s="1" t="s">
        <v>444</v>
      </c>
      <c r="O5" s="1" t="s">
        <v>57</v>
      </c>
      <c r="P5" s="1" t="s">
        <v>352</v>
      </c>
      <c r="Q5" s="1" t="s">
        <v>445</v>
      </c>
      <c r="S5" s="1" t="s">
        <v>442</v>
      </c>
      <c r="T5" s="1" t="s">
        <v>443</v>
      </c>
      <c r="U5" s="1" t="s">
        <v>444</v>
      </c>
      <c r="V5" s="1" t="s">
        <v>57</v>
      </c>
      <c r="W5" s="1" t="s">
        <v>352</v>
      </c>
      <c r="X5" s="1" t="s">
        <v>445</v>
      </c>
      <c r="Y5" s="1" t="s">
        <v>418</v>
      </c>
      <c r="Z5" s="1" t="s">
        <v>417</v>
      </c>
      <c r="AA5" s="1" t="s">
        <v>446</v>
      </c>
      <c r="AB5" s="1" t="s">
        <v>447</v>
      </c>
      <c r="AC5" s="1" t="s">
        <v>448</v>
      </c>
      <c r="AD5" s="1" t="s">
        <v>449</v>
      </c>
      <c r="AE5" s="1" t="s">
        <v>450</v>
      </c>
      <c r="AF5" s="1" t="s">
        <v>451</v>
      </c>
      <c r="AG5" s="1" t="s">
        <v>452</v>
      </c>
      <c r="AL5" s="2" t="s">
        <v>453</v>
      </c>
      <c r="AM5" s="2" t="s">
        <v>454</v>
      </c>
      <c r="AN5" s="2" t="s">
        <v>446</v>
      </c>
      <c r="AO5" s="2" t="s">
        <v>455</v>
      </c>
      <c r="AP5" s="2" t="s">
        <v>418</v>
      </c>
      <c r="AQ5" s="2" t="s">
        <v>361</v>
      </c>
      <c r="AR5" s="2"/>
      <c r="AS5" s="2"/>
      <c r="AT5" s="4" t="s">
        <v>453</v>
      </c>
      <c r="AU5" s="6" t="s">
        <v>355</v>
      </c>
      <c r="AV5" s="4" t="s">
        <v>455</v>
      </c>
      <c r="AW5" s="4" t="s">
        <v>446</v>
      </c>
      <c r="AX5" s="6" t="s">
        <v>424</v>
      </c>
      <c r="AY5" s="6" t="s">
        <v>424</v>
      </c>
      <c r="AZ5" s="2"/>
      <c r="BC5" s="2"/>
    </row>
    <row r="6" spans="1:55" x14ac:dyDescent="0.5">
      <c r="A6" t="s">
        <v>392</v>
      </c>
      <c r="C6" t="s">
        <v>456</v>
      </c>
      <c r="D6" t="s">
        <v>457</v>
      </c>
      <c r="E6" t="s">
        <v>458</v>
      </c>
      <c r="G6" t="s">
        <v>92</v>
      </c>
      <c r="H6" t="s">
        <v>92</v>
      </c>
      <c r="I6" t="s">
        <v>92</v>
      </c>
      <c r="L6" s="1" t="s">
        <v>459</v>
      </c>
      <c r="M6" s="1" t="s">
        <v>460</v>
      </c>
      <c r="N6" s="1" t="s">
        <v>461</v>
      </c>
      <c r="O6" s="1" t="s">
        <v>462</v>
      </c>
      <c r="P6" s="1" t="s">
        <v>423</v>
      </c>
      <c r="Q6" s="1" t="s">
        <v>463</v>
      </c>
      <c r="S6" s="1" t="s">
        <v>459</v>
      </c>
      <c r="T6" s="1" t="s">
        <v>460</v>
      </c>
      <c r="U6" s="1" t="s">
        <v>461</v>
      </c>
      <c r="V6" s="1" t="s">
        <v>462</v>
      </c>
      <c r="W6" s="1" t="s">
        <v>423</v>
      </c>
      <c r="X6" s="1" t="s">
        <v>463</v>
      </c>
      <c r="Y6" s="1" t="s">
        <v>464</v>
      </c>
      <c r="Z6" s="1" t="s">
        <v>464</v>
      </c>
      <c r="AA6" s="1" t="s">
        <v>464</v>
      </c>
      <c r="AB6" s="1" t="s">
        <v>454</v>
      </c>
      <c r="AC6" s="1" t="s">
        <v>465</v>
      </c>
      <c r="AD6" s="1" t="s">
        <v>453</v>
      </c>
      <c r="AE6" s="1" t="s">
        <v>453</v>
      </c>
      <c r="AF6" s="1" t="s">
        <v>423</v>
      </c>
      <c r="AG6" s="1" t="s">
        <v>466</v>
      </c>
      <c r="AL6" s="2" t="s">
        <v>459</v>
      </c>
      <c r="AM6" s="2" t="s">
        <v>467</v>
      </c>
      <c r="AN6" s="2" t="s">
        <v>455</v>
      </c>
      <c r="AO6" s="2" t="s">
        <v>417</v>
      </c>
      <c r="AP6" s="2" t="s">
        <v>468</v>
      </c>
      <c r="AQ6" s="2" t="s">
        <v>469</v>
      </c>
      <c r="AR6" s="2"/>
      <c r="AS6" s="2"/>
      <c r="AT6" s="5" t="s">
        <v>459</v>
      </c>
      <c r="AU6" s="7" t="s">
        <v>443</v>
      </c>
      <c r="AV6" s="6" t="s">
        <v>417</v>
      </c>
      <c r="AW6" s="5" t="s">
        <v>455</v>
      </c>
      <c r="AX6" s="7" t="s">
        <v>425</v>
      </c>
      <c r="AY6" s="6" t="s">
        <v>450</v>
      </c>
      <c r="AZ6" s="2"/>
      <c r="BC6" s="2"/>
    </row>
    <row r="7" spans="1:55" x14ac:dyDescent="0.5">
      <c r="A7" t="s">
        <v>393</v>
      </c>
      <c r="D7" t="s">
        <v>470</v>
      </c>
      <c r="G7" t="s">
        <v>89</v>
      </c>
      <c r="H7" t="s">
        <v>89</v>
      </c>
      <c r="I7" t="s">
        <v>89</v>
      </c>
      <c r="L7" s="1" t="s">
        <v>471</v>
      </c>
      <c r="M7" s="1" t="s">
        <v>356</v>
      </c>
      <c r="N7" s="1" t="s">
        <v>472</v>
      </c>
      <c r="O7" s="1" t="s">
        <v>473</v>
      </c>
      <c r="P7" s="1" t="s">
        <v>423</v>
      </c>
      <c r="Q7" s="1" t="s">
        <v>474</v>
      </c>
      <c r="S7" s="1" t="s">
        <v>471</v>
      </c>
      <c r="T7" s="1" t="s">
        <v>356</v>
      </c>
      <c r="U7" s="1" t="s">
        <v>472</v>
      </c>
      <c r="V7" s="1" t="s">
        <v>473</v>
      </c>
      <c r="W7" s="1" t="s">
        <v>423</v>
      </c>
      <c r="X7" s="1" t="s">
        <v>474</v>
      </c>
      <c r="Y7" s="1" t="s">
        <v>474</v>
      </c>
      <c r="Z7" s="1" t="s">
        <v>475</v>
      </c>
      <c r="AA7" s="1" t="s">
        <v>476</v>
      </c>
      <c r="AB7" s="1" t="s">
        <v>477</v>
      </c>
      <c r="AC7" s="1" t="s">
        <v>100</v>
      </c>
      <c r="AD7" s="1" t="s">
        <v>100</v>
      </c>
      <c r="AE7" s="1" t="s">
        <v>478</v>
      </c>
      <c r="AF7" s="1" t="s">
        <v>479</v>
      </c>
      <c r="AG7" s="1" t="s">
        <v>480</v>
      </c>
      <c r="AL7" s="2" t="s">
        <v>481</v>
      </c>
      <c r="AM7" s="2" t="s">
        <v>482</v>
      </c>
      <c r="AN7" s="2" t="s">
        <v>462</v>
      </c>
      <c r="AO7" s="2" t="s">
        <v>483</v>
      </c>
      <c r="AP7" s="2" t="s">
        <v>466</v>
      </c>
      <c r="AQ7" s="2" t="s">
        <v>484</v>
      </c>
      <c r="AR7" s="2"/>
      <c r="AS7" s="2"/>
      <c r="AT7" s="4" t="s">
        <v>481</v>
      </c>
      <c r="AU7" s="1" t="s">
        <v>454</v>
      </c>
      <c r="AV7" s="7" t="s">
        <v>57</v>
      </c>
      <c r="AW7" s="6" t="s">
        <v>100</v>
      </c>
      <c r="AX7" s="6" t="s">
        <v>450</v>
      </c>
      <c r="AY7" s="6" t="s">
        <v>452</v>
      </c>
      <c r="AZ7" s="2"/>
      <c r="BC7" s="2"/>
    </row>
    <row r="8" spans="1:55" x14ac:dyDescent="0.5">
      <c r="G8" t="s">
        <v>395</v>
      </c>
      <c r="H8" t="s">
        <v>395</v>
      </c>
      <c r="I8" t="s">
        <v>395</v>
      </c>
      <c r="L8" s="1" t="s">
        <v>485</v>
      </c>
      <c r="M8" s="1" t="s">
        <v>486</v>
      </c>
      <c r="N8" s="1" t="s">
        <v>357</v>
      </c>
      <c r="O8" s="1" t="s">
        <v>467</v>
      </c>
      <c r="P8" s="1" t="s">
        <v>487</v>
      </c>
      <c r="Q8" s="1" t="s">
        <v>488</v>
      </c>
      <c r="S8" s="1" t="s">
        <v>485</v>
      </c>
      <c r="T8" s="1" t="s">
        <v>486</v>
      </c>
      <c r="U8" s="1" t="s">
        <v>357</v>
      </c>
      <c r="V8" s="1" t="s">
        <v>467</v>
      </c>
      <c r="W8" s="1" t="s">
        <v>487</v>
      </c>
      <c r="X8" s="1" t="s">
        <v>488</v>
      </c>
      <c r="Y8" s="1" t="s">
        <v>57</v>
      </c>
      <c r="Z8" s="1" t="s">
        <v>423</v>
      </c>
      <c r="AA8" s="1" t="s">
        <v>489</v>
      </c>
      <c r="AB8" s="1" t="s">
        <v>490</v>
      </c>
      <c r="AC8" s="1" t="s">
        <v>491</v>
      </c>
      <c r="AD8" s="1" t="s">
        <v>492</v>
      </c>
      <c r="AE8" s="1" t="s">
        <v>493</v>
      </c>
      <c r="AF8" s="1" t="s">
        <v>494</v>
      </c>
      <c r="AG8" s="1" t="s">
        <v>473</v>
      </c>
      <c r="AL8" s="2" t="s">
        <v>485</v>
      </c>
      <c r="AM8" s="2" t="s">
        <v>495</v>
      </c>
      <c r="AN8" s="2" t="s">
        <v>473</v>
      </c>
      <c r="AO8" s="2" t="s">
        <v>496</v>
      </c>
      <c r="AP8" s="2" t="s">
        <v>497</v>
      </c>
      <c r="AQ8" s="2" t="s">
        <v>498</v>
      </c>
      <c r="AR8" s="2"/>
      <c r="AS8" s="2"/>
      <c r="AT8" s="5" t="s">
        <v>485</v>
      </c>
      <c r="AU8" s="6" t="s">
        <v>460</v>
      </c>
      <c r="AV8" s="6" t="s">
        <v>100</v>
      </c>
      <c r="AW8" s="4" t="s">
        <v>462</v>
      </c>
      <c r="AX8" s="7" t="s">
        <v>452</v>
      </c>
      <c r="AY8" s="6" t="s">
        <v>478</v>
      </c>
      <c r="AZ8" s="2"/>
      <c r="BC8" s="2"/>
    </row>
    <row r="9" spans="1:55" x14ac:dyDescent="0.5">
      <c r="G9" t="s">
        <v>95</v>
      </c>
      <c r="H9" t="s">
        <v>95</v>
      </c>
      <c r="I9" t="s">
        <v>95</v>
      </c>
      <c r="L9" s="1" t="s">
        <v>360</v>
      </c>
      <c r="M9" s="1" t="s">
        <v>499</v>
      </c>
      <c r="N9" s="1" t="s">
        <v>500</v>
      </c>
      <c r="O9" s="1" t="s">
        <v>494</v>
      </c>
      <c r="P9" s="1" t="s">
        <v>501</v>
      </c>
      <c r="Q9" s="1" t="s">
        <v>353</v>
      </c>
      <c r="S9" s="1" t="s">
        <v>360</v>
      </c>
      <c r="T9" s="1" t="s">
        <v>499</v>
      </c>
      <c r="U9" s="1" t="s">
        <v>500</v>
      </c>
      <c r="V9" s="1" t="s">
        <v>494</v>
      </c>
      <c r="W9" s="1" t="s">
        <v>501</v>
      </c>
      <c r="X9" s="1" t="s">
        <v>353</v>
      </c>
      <c r="Y9" s="1" t="s">
        <v>100</v>
      </c>
      <c r="Z9" s="1" t="s">
        <v>490</v>
      </c>
      <c r="AA9" s="1" t="s">
        <v>490</v>
      </c>
      <c r="AB9" s="1" t="s">
        <v>472</v>
      </c>
      <c r="AC9" s="1" t="s">
        <v>491</v>
      </c>
      <c r="AD9" s="1" t="s">
        <v>353</v>
      </c>
      <c r="AE9" s="1" t="s">
        <v>502</v>
      </c>
      <c r="AF9" s="1" t="s">
        <v>503</v>
      </c>
      <c r="AG9" s="1" t="s">
        <v>504</v>
      </c>
      <c r="AL9" s="2" t="s">
        <v>360</v>
      </c>
      <c r="AM9" s="2" t="s">
        <v>505</v>
      </c>
      <c r="AN9" s="2" t="s">
        <v>479</v>
      </c>
      <c r="AO9" s="2" t="s">
        <v>473</v>
      </c>
      <c r="AP9" s="2" t="s">
        <v>506</v>
      </c>
      <c r="AQ9" s="2" t="s">
        <v>507</v>
      </c>
      <c r="AR9" s="2"/>
      <c r="AS9" s="2"/>
      <c r="AT9" s="4" t="s">
        <v>360</v>
      </c>
      <c r="AU9" s="5" t="s">
        <v>467</v>
      </c>
      <c r="AV9" s="6" t="s">
        <v>483</v>
      </c>
      <c r="AW9" s="7" t="s">
        <v>444</v>
      </c>
      <c r="AX9" s="7" t="s">
        <v>453</v>
      </c>
      <c r="AY9" s="7" t="s">
        <v>493</v>
      </c>
      <c r="AZ9" s="2"/>
      <c r="BC9" s="2"/>
    </row>
    <row r="10" spans="1:55" x14ac:dyDescent="0.5">
      <c r="L10" s="1" t="s">
        <v>508</v>
      </c>
      <c r="M10" s="1" t="s">
        <v>509</v>
      </c>
      <c r="N10" s="1" t="s">
        <v>495</v>
      </c>
      <c r="O10" s="1" t="s">
        <v>482</v>
      </c>
      <c r="P10" s="1" t="s">
        <v>462</v>
      </c>
      <c r="Q10" s="1" t="s">
        <v>354</v>
      </c>
      <c r="S10" s="1" t="s">
        <v>508</v>
      </c>
      <c r="T10" s="1" t="s">
        <v>509</v>
      </c>
      <c r="U10" s="1" t="s">
        <v>495</v>
      </c>
      <c r="V10" s="1" t="s">
        <v>482</v>
      </c>
      <c r="W10" s="1" t="s">
        <v>462</v>
      </c>
      <c r="X10" s="1" t="s">
        <v>354</v>
      </c>
      <c r="Y10" s="1" t="s">
        <v>510</v>
      </c>
      <c r="Z10" s="1" t="s">
        <v>357</v>
      </c>
      <c r="AA10" s="1" t="s">
        <v>511</v>
      </c>
      <c r="AB10" s="1" t="s">
        <v>357</v>
      </c>
      <c r="AC10" s="1" t="s">
        <v>512</v>
      </c>
      <c r="AD10" s="1" t="s">
        <v>513</v>
      </c>
      <c r="AE10" s="1" t="s">
        <v>466</v>
      </c>
      <c r="AF10" s="1" t="s">
        <v>514</v>
      </c>
      <c r="AG10" s="1" t="s">
        <v>515</v>
      </c>
      <c r="AL10" s="2" t="s">
        <v>508</v>
      </c>
      <c r="AM10" s="2" t="s">
        <v>516</v>
      </c>
      <c r="AN10" s="2" t="s">
        <v>517</v>
      </c>
      <c r="AO10" s="2" t="s">
        <v>518</v>
      </c>
      <c r="AP10" s="2" t="s">
        <v>461</v>
      </c>
      <c r="AQ10" s="2" t="s">
        <v>371</v>
      </c>
      <c r="AR10" s="2"/>
      <c r="AS10" s="2"/>
      <c r="AT10" s="5" t="s">
        <v>508</v>
      </c>
      <c r="AU10" s="7" t="s">
        <v>356</v>
      </c>
      <c r="AV10" s="7" t="s">
        <v>496</v>
      </c>
      <c r="AW10" s="5" t="s">
        <v>473</v>
      </c>
      <c r="AX10" s="7" t="s">
        <v>478</v>
      </c>
      <c r="AY10" s="6" t="s">
        <v>502</v>
      </c>
      <c r="AZ10" s="2"/>
      <c r="BC10" s="2"/>
    </row>
    <row r="11" spans="1:55" x14ac:dyDescent="0.5">
      <c r="G11" t="s">
        <v>414</v>
      </c>
      <c r="H11" t="s">
        <v>440</v>
      </c>
      <c r="I11" t="s">
        <v>519</v>
      </c>
      <c r="J11" t="s">
        <v>470</v>
      </c>
      <c r="L11" s="1" t="s">
        <v>495</v>
      </c>
      <c r="M11" s="1" t="s">
        <v>520</v>
      </c>
      <c r="N11" s="1" t="s">
        <v>521</v>
      </c>
      <c r="O11" s="1" t="s">
        <v>499</v>
      </c>
      <c r="P11" s="1" t="s">
        <v>472</v>
      </c>
      <c r="Q11" s="1" t="s">
        <v>522</v>
      </c>
      <c r="S11" s="1" t="s">
        <v>495</v>
      </c>
      <c r="T11" s="1" t="s">
        <v>520</v>
      </c>
      <c r="U11" s="1" t="s">
        <v>521</v>
      </c>
      <c r="V11" s="1" t="s">
        <v>499</v>
      </c>
      <c r="W11" s="1" t="s">
        <v>472</v>
      </c>
      <c r="X11" s="1" t="s">
        <v>522</v>
      </c>
      <c r="Y11" s="1" t="s">
        <v>423</v>
      </c>
      <c r="Z11" s="1" t="s">
        <v>523</v>
      </c>
      <c r="AA11" s="1" t="s">
        <v>524</v>
      </c>
      <c r="AB11" s="1" t="s">
        <v>525</v>
      </c>
      <c r="AC11" s="1" t="s">
        <v>480</v>
      </c>
      <c r="AD11" s="1" t="s">
        <v>454</v>
      </c>
      <c r="AE11" s="1" t="s">
        <v>491</v>
      </c>
      <c r="AF11" s="1" t="s">
        <v>360</v>
      </c>
      <c r="AG11" s="1" t="s">
        <v>526</v>
      </c>
      <c r="AL11" s="2" t="s">
        <v>527</v>
      </c>
      <c r="AM11" s="2" t="s">
        <v>528</v>
      </c>
      <c r="AN11" s="2" t="s">
        <v>495</v>
      </c>
      <c r="AO11" s="2" t="s">
        <v>467</v>
      </c>
      <c r="AP11" s="2" t="s">
        <v>467</v>
      </c>
      <c r="AQ11" s="2" t="s">
        <v>529</v>
      </c>
      <c r="AR11" s="2"/>
      <c r="AS11" s="2"/>
      <c r="AT11" s="4" t="s">
        <v>527</v>
      </c>
      <c r="AU11" s="4" t="s">
        <v>482</v>
      </c>
      <c r="AV11" s="6" t="s">
        <v>462</v>
      </c>
      <c r="AW11" s="6" t="s">
        <v>461</v>
      </c>
      <c r="AX11" s="7" t="s">
        <v>493</v>
      </c>
      <c r="AY11" s="6" t="s">
        <v>451</v>
      </c>
      <c r="AZ11" s="2"/>
      <c r="BC11" s="2"/>
    </row>
    <row r="12" spans="1:55" x14ac:dyDescent="0.5">
      <c r="G12" t="s">
        <v>427</v>
      </c>
      <c r="H12" t="s">
        <v>427</v>
      </c>
      <c r="I12" t="s">
        <v>427</v>
      </c>
      <c r="J12" t="s">
        <v>427</v>
      </c>
      <c r="L12" s="1" t="s">
        <v>530</v>
      </c>
      <c r="M12" s="1" t="s">
        <v>530</v>
      </c>
      <c r="N12" s="1" t="s">
        <v>531</v>
      </c>
      <c r="O12" s="1" t="s">
        <v>503</v>
      </c>
      <c r="P12" s="1" t="s">
        <v>532</v>
      </c>
      <c r="Q12" s="1" t="s">
        <v>462</v>
      </c>
      <c r="S12" s="1" t="s">
        <v>530</v>
      </c>
      <c r="T12" s="1" t="s">
        <v>530</v>
      </c>
      <c r="U12" s="1" t="s">
        <v>531</v>
      </c>
      <c r="V12" s="1" t="s">
        <v>503</v>
      </c>
      <c r="W12" s="1" t="s">
        <v>532</v>
      </c>
      <c r="X12" s="1" t="s">
        <v>462</v>
      </c>
      <c r="Y12" s="1" t="s">
        <v>353</v>
      </c>
      <c r="Z12" s="1" t="s">
        <v>531</v>
      </c>
      <c r="AA12" s="1" t="s">
        <v>533</v>
      </c>
      <c r="AB12" s="1" t="s">
        <v>534</v>
      </c>
      <c r="AC12" s="1" t="s">
        <v>454</v>
      </c>
      <c r="AD12" s="1" t="s">
        <v>504</v>
      </c>
      <c r="AE12" s="1" t="s">
        <v>492</v>
      </c>
      <c r="AF12" s="1" t="s">
        <v>535</v>
      </c>
      <c r="AG12" s="1" t="s">
        <v>357</v>
      </c>
      <c r="AL12" s="2" t="s">
        <v>536</v>
      </c>
      <c r="AM12" s="2" t="s">
        <v>537</v>
      </c>
      <c r="AN12" s="2" t="s">
        <v>361</v>
      </c>
      <c r="AO12" s="2" t="s">
        <v>538</v>
      </c>
      <c r="AP12" s="2" t="s">
        <v>539</v>
      </c>
      <c r="AQ12" s="2" t="s">
        <v>540</v>
      </c>
      <c r="AR12" s="2"/>
      <c r="AS12" s="2"/>
      <c r="AT12" s="5" t="s">
        <v>536</v>
      </c>
      <c r="AU12" s="6" t="s">
        <v>486</v>
      </c>
      <c r="AV12" s="7" t="s">
        <v>444</v>
      </c>
      <c r="AW12" s="7" t="s">
        <v>472</v>
      </c>
      <c r="AX12" s="6" t="s">
        <v>502</v>
      </c>
      <c r="AY12" s="7" t="s">
        <v>491</v>
      </c>
      <c r="AZ12" s="2"/>
      <c r="BC12" s="2"/>
    </row>
    <row r="13" spans="1:55" x14ac:dyDescent="0.5">
      <c r="G13" t="s">
        <v>428</v>
      </c>
      <c r="H13" t="s">
        <v>428</v>
      </c>
      <c r="I13" t="s">
        <v>428</v>
      </c>
      <c r="J13" t="s">
        <v>428</v>
      </c>
      <c r="L13" s="1" t="s">
        <v>536</v>
      </c>
      <c r="M13" s="1" t="s">
        <v>535</v>
      </c>
      <c r="N13" s="1" t="s">
        <v>541</v>
      </c>
      <c r="O13" s="1" t="s">
        <v>520</v>
      </c>
      <c r="P13" s="1" t="s">
        <v>542</v>
      </c>
      <c r="Q13" s="1" t="s">
        <v>543</v>
      </c>
      <c r="S13" s="1" t="s">
        <v>536</v>
      </c>
      <c r="T13" s="1" t="s">
        <v>535</v>
      </c>
      <c r="U13" s="1" t="s">
        <v>541</v>
      </c>
      <c r="V13" s="1" t="s">
        <v>520</v>
      </c>
      <c r="W13" s="1" t="s">
        <v>542</v>
      </c>
      <c r="X13" s="1" t="s">
        <v>543</v>
      </c>
      <c r="Y13" s="1" t="s">
        <v>544</v>
      </c>
      <c r="Z13" s="1" t="s">
        <v>545</v>
      </c>
      <c r="AA13" s="1" t="s">
        <v>546</v>
      </c>
      <c r="AB13" s="1" t="s">
        <v>547</v>
      </c>
      <c r="AC13" s="1" t="s">
        <v>357</v>
      </c>
      <c r="AD13" s="1" t="s">
        <v>356</v>
      </c>
      <c r="AE13" s="1" t="s">
        <v>548</v>
      </c>
      <c r="AF13" s="1" t="s">
        <v>521</v>
      </c>
      <c r="AG13" s="1" t="s">
        <v>549</v>
      </c>
      <c r="AL13" s="2" t="s">
        <v>550</v>
      </c>
      <c r="AM13" s="2" t="s">
        <v>551</v>
      </c>
      <c r="AN13" s="2" t="s">
        <v>552</v>
      </c>
      <c r="AO13" s="2" t="s">
        <v>553</v>
      </c>
      <c r="AP13" s="2" t="s">
        <v>472</v>
      </c>
      <c r="AQ13" s="2" t="s">
        <v>554</v>
      </c>
      <c r="AR13" s="2"/>
      <c r="AS13" s="2"/>
      <c r="AT13" s="4" t="s">
        <v>550</v>
      </c>
      <c r="AU13" s="7" t="s">
        <v>499</v>
      </c>
      <c r="AV13" s="7" t="s">
        <v>473</v>
      </c>
      <c r="AW13" s="6" t="s">
        <v>357</v>
      </c>
      <c r="AX13" s="7" t="s">
        <v>451</v>
      </c>
      <c r="AY13" s="6" t="s">
        <v>492</v>
      </c>
      <c r="AZ13" s="2"/>
      <c r="BC13" s="2"/>
    </row>
    <row r="14" spans="1:55" x14ac:dyDescent="0.5">
      <c r="G14" t="s">
        <v>429</v>
      </c>
      <c r="H14" t="s">
        <v>429</v>
      </c>
      <c r="I14" t="s">
        <v>429</v>
      </c>
      <c r="J14" t="s">
        <v>429</v>
      </c>
      <c r="L14" s="1" t="s">
        <v>555</v>
      </c>
      <c r="M14" s="1" t="s">
        <v>531</v>
      </c>
      <c r="N14" s="1" t="s">
        <v>60</v>
      </c>
      <c r="O14" s="1" t="s">
        <v>556</v>
      </c>
      <c r="P14" s="1" t="s">
        <v>479</v>
      </c>
      <c r="Q14" s="1" t="s">
        <v>557</v>
      </c>
      <c r="S14" s="1" t="s">
        <v>555</v>
      </c>
      <c r="T14" s="1" t="s">
        <v>531</v>
      </c>
      <c r="U14" s="1" t="s">
        <v>60</v>
      </c>
      <c r="V14" s="1" t="s">
        <v>556</v>
      </c>
      <c r="W14" s="1" t="s">
        <v>479</v>
      </c>
      <c r="X14" s="1" t="s">
        <v>557</v>
      </c>
      <c r="Y14" s="1" t="s">
        <v>506</v>
      </c>
      <c r="Z14" s="1" t="s">
        <v>362</v>
      </c>
      <c r="AA14" s="1" t="s">
        <v>362</v>
      </c>
      <c r="AB14" s="1" t="s">
        <v>545</v>
      </c>
      <c r="AC14" s="1" t="s">
        <v>533</v>
      </c>
      <c r="AD14" s="1" t="s">
        <v>358</v>
      </c>
      <c r="AE14" s="1" t="s">
        <v>558</v>
      </c>
      <c r="AF14" s="1" t="s">
        <v>559</v>
      </c>
      <c r="AG14" s="1" t="s">
        <v>560</v>
      </c>
      <c r="AL14" s="2" t="s">
        <v>561</v>
      </c>
      <c r="AM14" s="2" t="s">
        <v>562</v>
      </c>
      <c r="AN14" s="2" t="s">
        <v>536</v>
      </c>
      <c r="AO14" s="2" t="s">
        <v>563</v>
      </c>
      <c r="AP14" s="2" t="s">
        <v>500</v>
      </c>
      <c r="AQ14" s="2" t="s">
        <v>564</v>
      </c>
      <c r="AR14" s="2"/>
      <c r="AS14" s="2"/>
      <c r="AT14" s="5" t="s">
        <v>561</v>
      </c>
      <c r="AU14" s="6" t="s">
        <v>509</v>
      </c>
      <c r="AV14" s="5" t="s">
        <v>518</v>
      </c>
      <c r="AW14" s="4" t="s">
        <v>479</v>
      </c>
      <c r="AX14" s="7" t="s">
        <v>466</v>
      </c>
      <c r="AY14" s="6" t="s">
        <v>548</v>
      </c>
      <c r="AZ14" s="2"/>
      <c r="BC14" s="2"/>
    </row>
    <row r="15" spans="1:55" x14ac:dyDescent="0.5">
      <c r="G15" t="s">
        <v>430</v>
      </c>
      <c r="H15" t="s">
        <v>430</v>
      </c>
      <c r="I15" t="s">
        <v>430</v>
      </c>
      <c r="J15" t="s">
        <v>430</v>
      </c>
      <c r="L15" s="1" t="s">
        <v>550</v>
      </c>
      <c r="M15" s="1" t="s">
        <v>505</v>
      </c>
      <c r="N15" s="1" t="s">
        <v>552</v>
      </c>
      <c r="O15" s="1" t="s">
        <v>361</v>
      </c>
      <c r="P15" s="1" t="s">
        <v>500</v>
      </c>
      <c r="Q15" s="1" t="s">
        <v>454</v>
      </c>
      <c r="S15" s="1" t="s">
        <v>550</v>
      </c>
      <c r="T15" s="1" t="s">
        <v>505</v>
      </c>
      <c r="U15" s="1" t="s">
        <v>552</v>
      </c>
      <c r="V15" s="1" t="s">
        <v>361</v>
      </c>
      <c r="W15" s="1" t="s">
        <v>500</v>
      </c>
      <c r="X15" s="1" t="s">
        <v>454</v>
      </c>
      <c r="Y15" s="1" t="s">
        <v>467</v>
      </c>
      <c r="Z15" s="1" t="s">
        <v>565</v>
      </c>
      <c r="AA15" s="1" t="s">
        <v>566</v>
      </c>
      <c r="AB15" s="1" t="s">
        <v>60</v>
      </c>
      <c r="AC15" s="1" t="s">
        <v>485</v>
      </c>
      <c r="AD15" s="1" t="s">
        <v>567</v>
      </c>
      <c r="AE15" s="1" t="s">
        <v>480</v>
      </c>
      <c r="AF15" s="1" t="s">
        <v>568</v>
      </c>
      <c r="AG15" s="1" t="s">
        <v>569</v>
      </c>
      <c r="AL15" s="2" t="s">
        <v>570</v>
      </c>
      <c r="AM15" s="2" t="s">
        <v>571</v>
      </c>
      <c r="AN15" s="2" t="s">
        <v>572</v>
      </c>
      <c r="AO15" s="2" t="s">
        <v>573</v>
      </c>
      <c r="AP15" s="2" t="s">
        <v>574</v>
      </c>
      <c r="AQ15" s="2" t="s">
        <v>575</v>
      </c>
      <c r="AR15" s="2"/>
      <c r="AS15" s="2"/>
      <c r="AT15" s="4" t="s">
        <v>570</v>
      </c>
      <c r="AU15" s="7" t="s">
        <v>520</v>
      </c>
      <c r="AV15" s="6" t="s">
        <v>461</v>
      </c>
      <c r="AW15" s="7" t="s">
        <v>500</v>
      </c>
      <c r="AX15" s="7" t="s">
        <v>491</v>
      </c>
      <c r="AY15" s="6" t="s">
        <v>558</v>
      </c>
      <c r="AZ15" s="2"/>
      <c r="BC15" s="2"/>
    </row>
    <row r="16" spans="1:55" x14ac:dyDescent="0.5">
      <c r="G16" t="s">
        <v>431</v>
      </c>
      <c r="H16" t="s">
        <v>431</v>
      </c>
      <c r="I16" t="s">
        <v>431</v>
      </c>
      <c r="J16" t="s">
        <v>431</v>
      </c>
      <c r="L16" s="1" t="s">
        <v>364</v>
      </c>
      <c r="M16" s="1" t="s">
        <v>60</v>
      </c>
      <c r="N16" s="1" t="s">
        <v>576</v>
      </c>
      <c r="O16" s="1" t="s">
        <v>577</v>
      </c>
      <c r="P16" s="1" t="s">
        <v>578</v>
      </c>
      <c r="Q16" s="1" t="s">
        <v>532</v>
      </c>
      <c r="S16" s="1" t="s">
        <v>364</v>
      </c>
      <c r="T16" s="1" t="s">
        <v>60</v>
      </c>
      <c r="U16" s="1" t="s">
        <v>576</v>
      </c>
      <c r="V16" s="1" t="s">
        <v>577</v>
      </c>
      <c r="W16" s="1" t="s">
        <v>578</v>
      </c>
      <c r="X16" s="1" t="s">
        <v>532</v>
      </c>
      <c r="Y16" s="1" t="s">
        <v>579</v>
      </c>
      <c r="Z16" s="1" t="s">
        <v>552</v>
      </c>
      <c r="AA16" s="1" t="s">
        <v>580</v>
      </c>
      <c r="AB16" s="1" t="s">
        <v>581</v>
      </c>
      <c r="AC16" s="1" t="s">
        <v>577</v>
      </c>
      <c r="AD16" s="1" t="s">
        <v>582</v>
      </c>
      <c r="AE16" s="1" t="s">
        <v>583</v>
      </c>
      <c r="AF16" s="1" t="s">
        <v>584</v>
      </c>
      <c r="AG16" s="1" t="s">
        <v>582</v>
      </c>
      <c r="AL16" s="2" t="s">
        <v>585</v>
      </c>
      <c r="AM16" s="2" t="s">
        <v>586</v>
      </c>
      <c r="AN16" s="2" t="s">
        <v>555</v>
      </c>
      <c r="AO16" s="2" t="s">
        <v>580</v>
      </c>
      <c r="AP16" s="2" t="s">
        <v>578</v>
      </c>
      <c r="AQ16" s="2" t="s">
        <v>587</v>
      </c>
      <c r="AR16" s="2"/>
      <c r="AS16" s="2"/>
      <c r="AT16" s="5" t="s">
        <v>585</v>
      </c>
      <c r="AU16" s="5" t="s">
        <v>495</v>
      </c>
      <c r="AV16" s="6" t="s">
        <v>467</v>
      </c>
      <c r="AW16" s="4" t="s">
        <v>495</v>
      </c>
      <c r="AX16" s="7" t="s">
        <v>492</v>
      </c>
      <c r="AY16" s="6" t="s">
        <v>480</v>
      </c>
      <c r="AZ16" s="2"/>
      <c r="BC16" s="2"/>
    </row>
    <row r="17" spans="7:55" x14ac:dyDescent="0.5">
      <c r="G17" t="s">
        <v>432</v>
      </c>
      <c r="H17" t="s">
        <v>432</v>
      </c>
      <c r="I17" t="s">
        <v>432</v>
      </c>
      <c r="J17" t="s">
        <v>432</v>
      </c>
      <c r="L17" s="1" t="s">
        <v>588</v>
      </c>
      <c r="M17" s="1" t="s">
        <v>364</v>
      </c>
      <c r="N17" s="1" t="s">
        <v>536</v>
      </c>
      <c r="O17" s="1" t="s">
        <v>589</v>
      </c>
      <c r="P17" s="1" t="s">
        <v>590</v>
      </c>
      <c r="Q17" s="1" t="s">
        <v>542</v>
      </c>
      <c r="S17" s="1" t="s">
        <v>588</v>
      </c>
      <c r="T17" s="1" t="s">
        <v>364</v>
      </c>
      <c r="U17" s="1" t="s">
        <v>536</v>
      </c>
      <c r="V17" s="1" t="s">
        <v>589</v>
      </c>
      <c r="W17" s="1" t="s">
        <v>590</v>
      </c>
      <c r="X17" s="1" t="s">
        <v>542</v>
      </c>
      <c r="Y17" s="1" t="s">
        <v>591</v>
      </c>
      <c r="Z17" s="1" t="s">
        <v>592</v>
      </c>
      <c r="AA17" s="1" t="s">
        <v>592</v>
      </c>
      <c r="AB17" s="1" t="s">
        <v>592</v>
      </c>
      <c r="AC17" s="1" t="s">
        <v>545</v>
      </c>
      <c r="AD17" s="1" t="s">
        <v>485</v>
      </c>
      <c r="AE17" s="1" t="s">
        <v>454</v>
      </c>
      <c r="AF17" s="1" t="s">
        <v>593</v>
      </c>
      <c r="AG17" s="1" t="s">
        <v>533</v>
      </c>
      <c r="AL17" s="2" t="s">
        <v>594</v>
      </c>
      <c r="AM17" s="2" t="s">
        <v>595</v>
      </c>
      <c r="AN17" s="2" t="s">
        <v>596</v>
      </c>
      <c r="AO17" s="2" t="s">
        <v>536</v>
      </c>
      <c r="AP17" s="2" t="s">
        <v>499</v>
      </c>
      <c r="AQ17" s="2" t="s">
        <v>597</v>
      </c>
      <c r="AR17" s="2"/>
      <c r="AS17" s="2"/>
      <c r="AT17" s="4" t="s">
        <v>594</v>
      </c>
      <c r="AU17" s="6" t="s">
        <v>530</v>
      </c>
      <c r="AV17" s="7" t="s">
        <v>472</v>
      </c>
      <c r="AW17" s="5" t="s">
        <v>361</v>
      </c>
      <c r="AX17" s="7" t="s">
        <v>423</v>
      </c>
      <c r="AY17" s="6" t="s">
        <v>473</v>
      </c>
      <c r="AZ17" s="2"/>
      <c r="BC17" s="2"/>
    </row>
    <row r="18" spans="7:55" x14ac:dyDescent="0.5">
      <c r="L18" s="1" t="s">
        <v>598</v>
      </c>
      <c r="M18" s="1" t="s">
        <v>598</v>
      </c>
      <c r="N18" s="1" t="s">
        <v>599</v>
      </c>
      <c r="O18" s="1" t="s">
        <v>563</v>
      </c>
      <c r="P18" s="1" t="s">
        <v>556</v>
      </c>
      <c r="Q18" s="1" t="s">
        <v>600</v>
      </c>
      <c r="S18" s="1" t="s">
        <v>598</v>
      </c>
      <c r="T18" s="1" t="s">
        <v>598</v>
      </c>
      <c r="U18" s="1" t="s">
        <v>599</v>
      </c>
      <c r="V18" s="1" t="s">
        <v>563</v>
      </c>
      <c r="W18" s="1" t="s">
        <v>556</v>
      </c>
      <c r="X18" s="1" t="s">
        <v>600</v>
      </c>
      <c r="Y18" s="1" t="s">
        <v>357</v>
      </c>
      <c r="Z18" s="1" t="s">
        <v>601</v>
      </c>
      <c r="AA18" s="1" t="s">
        <v>602</v>
      </c>
      <c r="AB18" s="1" t="s">
        <v>603</v>
      </c>
      <c r="AC18" s="1" t="s">
        <v>362</v>
      </c>
      <c r="AD18" s="1" t="s">
        <v>495</v>
      </c>
      <c r="AE18" s="1" t="s">
        <v>604</v>
      </c>
      <c r="AF18" s="1" t="s">
        <v>366</v>
      </c>
      <c r="AG18" s="1" t="s">
        <v>541</v>
      </c>
      <c r="AL18" s="2" t="s">
        <v>605</v>
      </c>
      <c r="AM18" s="2" t="s">
        <v>606</v>
      </c>
      <c r="AN18" s="2" t="s">
        <v>607</v>
      </c>
      <c r="AO18" s="2" t="s">
        <v>608</v>
      </c>
      <c r="AP18" s="2" t="s">
        <v>520</v>
      </c>
      <c r="AQ18" s="2" t="s">
        <v>609</v>
      </c>
      <c r="AR18" s="2"/>
      <c r="AS18" s="2"/>
      <c r="AT18" s="5" t="s">
        <v>605</v>
      </c>
      <c r="AU18" s="7" t="s">
        <v>535</v>
      </c>
      <c r="AV18" s="6" t="s">
        <v>357</v>
      </c>
      <c r="AW18" s="4" t="s">
        <v>521</v>
      </c>
      <c r="AX18" s="7" t="s">
        <v>548</v>
      </c>
      <c r="AY18" s="6" t="s">
        <v>454</v>
      </c>
      <c r="AZ18" s="2"/>
      <c r="BC18" s="2"/>
    </row>
    <row r="19" spans="7:55" x14ac:dyDescent="0.5">
      <c r="G19" t="s">
        <v>415</v>
      </c>
      <c r="H19" t="s">
        <v>610</v>
      </c>
      <c r="I19" t="s">
        <v>458</v>
      </c>
      <c r="L19" s="1" t="s">
        <v>598</v>
      </c>
      <c r="M19" s="1" t="s">
        <v>537</v>
      </c>
      <c r="N19" s="1" t="s">
        <v>572</v>
      </c>
      <c r="O19" s="1" t="s">
        <v>559</v>
      </c>
      <c r="P19" s="1" t="s">
        <v>611</v>
      </c>
      <c r="Q19" s="1" t="s">
        <v>612</v>
      </c>
      <c r="S19" s="1" t="s">
        <v>598</v>
      </c>
      <c r="T19" s="1" t="s">
        <v>537</v>
      </c>
      <c r="U19" s="1" t="s">
        <v>572</v>
      </c>
      <c r="V19" s="1" t="s">
        <v>559</v>
      </c>
      <c r="W19" s="1" t="s">
        <v>611</v>
      </c>
      <c r="X19" s="1" t="s">
        <v>612</v>
      </c>
      <c r="Y19" s="1" t="s">
        <v>500</v>
      </c>
      <c r="Z19" s="1" t="s">
        <v>613</v>
      </c>
      <c r="AA19" s="1" t="s">
        <v>614</v>
      </c>
      <c r="AB19" s="1" t="s">
        <v>572</v>
      </c>
      <c r="AC19" s="1" t="s">
        <v>573</v>
      </c>
      <c r="AD19" s="1" t="s">
        <v>505</v>
      </c>
      <c r="AE19" s="1" t="s">
        <v>615</v>
      </c>
      <c r="AF19" s="1" t="s">
        <v>106</v>
      </c>
      <c r="AG19" s="1" t="s">
        <v>573</v>
      </c>
      <c r="AL19" s="2" t="s">
        <v>616</v>
      </c>
      <c r="AM19" s="2" t="s">
        <v>605</v>
      </c>
      <c r="AN19" s="2" t="s">
        <v>106</v>
      </c>
      <c r="AO19" s="2" t="s">
        <v>617</v>
      </c>
      <c r="AP19" s="2" t="s">
        <v>590</v>
      </c>
      <c r="AQ19" s="2" t="s">
        <v>618</v>
      </c>
      <c r="AR19" s="2"/>
      <c r="AS19" s="2"/>
      <c r="AT19" s="4" t="s">
        <v>616</v>
      </c>
      <c r="AU19" s="6" t="s">
        <v>531</v>
      </c>
      <c r="AV19" s="7" t="s">
        <v>494</v>
      </c>
      <c r="AW19" s="4" t="s">
        <v>531</v>
      </c>
      <c r="AX19" s="6" t="s">
        <v>558</v>
      </c>
      <c r="AY19" s="6" t="s">
        <v>515</v>
      </c>
      <c r="AZ19" s="2"/>
      <c r="BC19" s="2"/>
    </row>
    <row r="20" spans="7:55" x14ac:dyDescent="0.5">
      <c r="G20" t="s">
        <v>433</v>
      </c>
      <c r="H20" t="s">
        <v>433</v>
      </c>
      <c r="I20" t="s">
        <v>433</v>
      </c>
      <c r="L20" s="1" t="s">
        <v>619</v>
      </c>
      <c r="M20" s="1" t="s">
        <v>620</v>
      </c>
      <c r="N20" s="1" t="s">
        <v>528</v>
      </c>
      <c r="O20" s="1" t="s">
        <v>541</v>
      </c>
      <c r="P20" s="1" t="s">
        <v>361</v>
      </c>
      <c r="Q20" s="1" t="s">
        <v>621</v>
      </c>
      <c r="S20" s="1" t="s">
        <v>619</v>
      </c>
      <c r="T20" s="1" t="s">
        <v>620</v>
      </c>
      <c r="U20" s="1" t="s">
        <v>528</v>
      </c>
      <c r="V20" s="1" t="s">
        <v>541</v>
      </c>
      <c r="W20" s="1" t="s">
        <v>361</v>
      </c>
      <c r="X20" s="1" t="s">
        <v>621</v>
      </c>
      <c r="Y20" s="1" t="s">
        <v>567</v>
      </c>
      <c r="Z20" s="1" t="s">
        <v>555</v>
      </c>
      <c r="AA20" s="1" t="s">
        <v>614</v>
      </c>
      <c r="AB20" s="1" t="s">
        <v>622</v>
      </c>
      <c r="AC20" s="1" t="s">
        <v>536</v>
      </c>
      <c r="AD20" s="1" t="s">
        <v>573</v>
      </c>
      <c r="AE20" s="1" t="s">
        <v>623</v>
      </c>
      <c r="AF20" s="1" t="s">
        <v>624</v>
      </c>
      <c r="AG20" s="1" t="s">
        <v>602</v>
      </c>
      <c r="AL20" s="2" t="s">
        <v>625</v>
      </c>
      <c r="AM20" s="2" t="s">
        <v>625</v>
      </c>
      <c r="AN20" s="2" t="s">
        <v>606</v>
      </c>
      <c r="AO20" s="2" t="s">
        <v>364</v>
      </c>
      <c r="AP20" s="2" t="s">
        <v>556</v>
      </c>
      <c r="AQ20" s="2" t="s">
        <v>379</v>
      </c>
      <c r="AR20" s="2"/>
      <c r="AS20" s="2"/>
      <c r="AT20" s="5" t="s">
        <v>625</v>
      </c>
      <c r="AU20" s="4" t="s">
        <v>505</v>
      </c>
      <c r="AV20" s="7" t="s">
        <v>500</v>
      </c>
      <c r="AW20" s="4" t="s">
        <v>541</v>
      </c>
      <c r="AX20" s="6" t="s">
        <v>480</v>
      </c>
      <c r="AY20" s="6" t="s">
        <v>615</v>
      </c>
      <c r="AZ20" s="2"/>
      <c r="BC20" s="2"/>
    </row>
    <row r="21" spans="7:55" x14ac:dyDescent="0.5">
      <c r="G21" t="s">
        <v>434</v>
      </c>
      <c r="H21" t="s">
        <v>434</v>
      </c>
      <c r="I21" t="s">
        <v>434</v>
      </c>
      <c r="L21" s="1" t="s">
        <v>369</v>
      </c>
      <c r="M21" s="1" t="s">
        <v>551</v>
      </c>
      <c r="N21" s="1" t="s">
        <v>626</v>
      </c>
      <c r="O21" s="1" t="s">
        <v>573</v>
      </c>
      <c r="P21" s="1" t="s">
        <v>530</v>
      </c>
      <c r="Q21" s="1" t="s">
        <v>569</v>
      </c>
      <c r="S21" s="1" t="s">
        <v>369</v>
      </c>
      <c r="T21" s="1" t="s">
        <v>551</v>
      </c>
      <c r="U21" s="1" t="s">
        <v>626</v>
      </c>
      <c r="V21" s="1" t="s">
        <v>573</v>
      </c>
      <c r="W21" s="1" t="s">
        <v>530</v>
      </c>
      <c r="X21" s="1" t="s">
        <v>569</v>
      </c>
      <c r="Y21" s="1" t="s">
        <v>482</v>
      </c>
      <c r="Z21" s="1" t="s">
        <v>598</v>
      </c>
      <c r="AA21" s="1" t="s">
        <v>627</v>
      </c>
      <c r="AB21" s="1" t="s">
        <v>628</v>
      </c>
      <c r="AC21" s="1" t="s">
        <v>572</v>
      </c>
      <c r="AD21" s="1" t="s">
        <v>536</v>
      </c>
      <c r="AE21" s="1" t="s">
        <v>629</v>
      </c>
      <c r="AF21" s="1" t="s">
        <v>630</v>
      </c>
      <c r="AG21" s="1" t="s">
        <v>631</v>
      </c>
      <c r="AL21" s="2" t="s">
        <v>632</v>
      </c>
      <c r="AM21" s="2" t="s">
        <v>633</v>
      </c>
      <c r="AN21" s="2" t="s">
        <v>634</v>
      </c>
      <c r="AO21" s="2" t="s">
        <v>598</v>
      </c>
      <c r="AP21" s="2" t="s">
        <v>514</v>
      </c>
      <c r="AQ21" s="2" t="s">
        <v>635</v>
      </c>
      <c r="AR21" s="2"/>
      <c r="AS21" s="2"/>
      <c r="AT21" s="4" t="s">
        <v>632</v>
      </c>
      <c r="AU21" s="6" t="s">
        <v>60</v>
      </c>
      <c r="AV21" s="6" t="s">
        <v>482</v>
      </c>
      <c r="AW21" s="4" t="s">
        <v>60</v>
      </c>
      <c r="AX21" s="7" t="s">
        <v>583</v>
      </c>
      <c r="AY21" s="6" t="s">
        <v>357</v>
      </c>
      <c r="AZ21" s="2"/>
      <c r="BC21" s="2"/>
    </row>
    <row r="22" spans="7:55" x14ac:dyDescent="0.5">
      <c r="G22" t="s">
        <v>435</v>
      </c>
      <c r="H22" t="s">
        <v>435</v>
      </c>
      <c r="I22" t="s">
        <v>435</v>
      </c>
      <c r="L22" s="1" t="s">
        <v>106</v>
      </c>
      <c r="M22" s="1" t="s">
        <v>584</v>
      </c>
      <c r="N22" s="1" t="s">
        <v>636</v>
      </c>
      <c r="O22" s="1" t="s">
        <v>636</v>
      </c>
      <c r="P22" s="1" t="s">
        <v>637</v>
      </c>
      <c r="Q22" s="1" t="s">
        <v>638</v>
      </c>
      <c r="S22" s="1" t="s">
        <v>106</v>
      </c>
      <c r="T22" s="1" t="s">
        <v>584</v>
      </c>
      <c r="U22" s="1" t="s">
        <v>636</v>
      </c>
      <c r="V22" s="1" t="s">
        <v>636</v>
      </c>
      <c r="W22" s="1" t="s">
        <v>637</v>
      </c>
      <c r="X22" s="1" t="s">
        <v>638</v>
      </c>
      <c r="Y22" s="1" t="s">
        <v>569</v>
      </c>
      <c r="Z22" s="1" t="s">
        <v>639</v>
      </c>
      <c r="AA22" s="1" t="s">
        <v>608</v>
      </c>
      <c r="AB22" s="1" t="s">
        <v>631</v>
      </c>
      <c r="AC22" s="1" t="s">
        <v>640</v>
      </c>
      <c r="AD22" s="1" t="s">
        <v>641</v>
      </c>
      <c r="AE22" s="1" t="s">
        <v>642</v>
      </c>
      <c r="AF22" s="1" t="s">
        <v>643</v>
      </c>
      <c r="AG22" s="1" t="s">
        <v>644</v>
      </c>
      <c r="AL22" s="2" t="s">
        <v>645</v>
      </c>
      <c r="AM22" s="2" t="s">
        <v>646</v>
      </c>
      <c r="AN22" s="2" t="s">
        <v>647</v>
      </c>
      <c r="AO22" s="2" t="s">
        <v>586</v>
      </c>
      <c r="AP22" s="2" t="s">
        <v>495</v>
      </c>
      <c r="AT22" s="4" t="s">
        <v>633</v>
      </c>
      <c r="AU22" s="6" t="s">
        <v>516</v>
      </c>
      <c r="AV22" s="7" t="s">
        <v>538</v>
      </c>
      <c r="AW22" s="4" t="s">
        <v>552</v>
      </c>
      <c r="AX22" s="7" t="s">
        <v>473</v>
      </c>
      <c r="AY22" s="6" t="s">
        <v>479</v>
      </c>
    </row>
    <row r="23" spans="7:55" x14ac:dyDescent="0.5">
      <c r="G23" t="s">
        <v>436</v>
      </c>
      <c r="H23" t="s">
        <v>436</v>
      </c>
      <c r="I23" t="s">
        <v>436</v>
      </c>
      <c r="L23" s="1" t="s">
        <v>571</v>
      </c>
      <c r="M23" s="1" t="s">
        <v>562</v>
      </c>
      <c r="N23" s="1" t="s">
        <v>636</v>
      </c>
      <c r="O23" s="1" t="s">
        <v>598</v>
      </c>
      <c r="P23" s="1" t="s">
        <v>362</v>
      </c>
      <c r="Q23" s="1" t="s">
        <v>499</v>
      </c>
      <c r="S23" s="1" t="s">
        <v>571</v>
      </c>
      <c r="T23" s="1" t="s">
        <v>562</v>
      </c>
      <c r="U23" s="1" t="s">
        <v>636</v>
      </c>
      <c r="V23" s="1" t="s">
        <v>598</v>
      </c>
      <c r="W23" s="1" t="s">
        <v>362</v>
      </c>
      <c r="X23" s="1" t="s">
        <v>499</v>
      </c>
      <c r="Y23" s="1" t="s">
        <v>359</v>
      </c>
      <c r="Z23" s="1" t="s">
        <v>551</v>
      </c>
      <c r="AA23" s="1" t="s">
        <v>648</v>
      </c>
      <c r="AB23" s="1" t="s">
        <v>649</v>
      </c>
      <c r="AC23" s="1" t="s">
        <v>650</v>
      </c>
      <c r="AD23" s="1" t="s">
        <v>640</v>
      </c>
      <c r="AE23" s="1" t="s">
        <v>651</v>
      </c>
      <c r="AF23" s="1" t="s">
        <v>554</v>
      </c>
      <c r="AG23" s="1" t="s">
        <v>652</v>
      </c>
      <c r="AL23" s="2" t="s">
        <v>653</v>
      </c>
      <c r="AM23" s="2" t="s">
        <v>630</v>
      </c>
      <c r="AN23" s="2" t="s">
        <v>373</v>
      </c>
      <c r="AO23" s="2" t="s">
        <v>654</v>
      </c>
      <c r="AP23" s="2" t="s">
        <v>655</v>
      </c>
      <c r="AT23" s="5" t="s">
        <v>645</v>
      </c>
      <c r="AU23" s="6" t="s">
        <v>528</v>
      </c>
      <c r="AV23" s="7" t="s">
        <v>499</v>
      </c>
      <c r="AW23" s="6" t="s">
        <v>576</v>
      </c>
      <c r="AX23" s="6" t="s">
        <v>454</v>
      </c>
      <c r="AY23" s="6" t="s">
        <v>494</v>
      </c>
    </row>
    <row r="24" spans="7:55" x14ac:dyDescent="0.5">
      <c r="G24" t="s">
        <v>437</v>
      </c>
      <c r="H24" t="s">
        <v>437</v>
      </c>
      <c r="I24" t="s">
        <v>437</v>
      </c>
      <c r="L24" s="1" t="s">
        <v>570</v>
      </c>
      <c r="M24" s="1" t="s">
        <v>369</v>
      </c>
      <c r="N24" s="1" t="s">
        <v>64</v>
      </c>
      <c r="O24" s="1" t="s">
        <v>656</v>
      </c>
      <c r="P24" s="1" t="s">
        <v>60</v>
      </c>
      <c r="Q24" s="1" t="s">
        <v>503</v>
      </c>
      <c r="S24" s="1" t="s">
        <v>570</v>
      </c>
      <c r="T24" s="1" t="s">
        <v>369</v>
      </c>
      <c r="U24" s="1" t="s">
        <v>64</v>
      </c>
      <c r="V24" s="1" t="s">
        <v>656</v>
      </c>
      <c r="W24" s="1" t="s">
        <v>60</v>
      </c>
      <c r="X24" s="1" t="s">
        <v>503</v>
      </c>
      <c r="Y24" s="1" t="s">
        <v>524</v>
      </c>
      <c r="Z24" s="1" t="s">
        <v>584</v>
      </c>
      <c r="AA24" s="1" t="s">
        <v>657</v>
      </c>
      <c r="AB24" s="1" t="s">
        <v>658</v>
      </c>
      <c r="AC24" s="1" t="s">
        <v>626</v>
      </c>
      <c r="AD24" s="1" t="s">
        <v>659</v>
      </c>
      <c r="AE24" s="1" t="s">
        <v>536</v>
      </c>
      <c r="AF24" s="1" t="s">
        <v>660</v>
      </c>
      <c r="AG24" s="1" t="s">
        <v>661</v>
      </c>
      <c r="AL24" s="2" t="s">
        <v>662</v>
      </c>
      <c r="AM24" s="2" t="s">
        <v>663</v>
      </c>
      <c r="AN24" s="2" t="s">
        <v>664</v>
      </c>
      <c r="AO24" s="2" t="s">
        <v>665</v>
      </c>
      <c r="AP24" s="2" t="s">
        <v>60</v>
      </c>
      <c r="AT24" s="4" t="s">
        <v>653</v>
      </c>
      <c r="AU24" s="6" t="s">
        <v>364</v>
      </c>
      <c r="AV24" s="6" t="s">
        <v>503</v>
      </c>
      <c r="AW24" s="5" t="s">
        <v>536</v>
      </c>
      <c r="AX24" s="6" t="s">
        <v>504</v>
      </c>
      <c r="AY24" s="6" t="s">
        <v>549</v>
      </c>
    </row>
    <row r="25" spans="7:55" x14ac:dyDescent="0.5">
      <c r="G25" t="s">
        <v>666</v>
      </c>
      <c r="H25" t="s">
        <v>666</v>
      </c>
      <c r="I25" t="s">
        <v>666</v>
      </c>
      <c r="L25" s="1" t="s">
        <v>667</v>
      </c>
      <c r="M25" s="1" t="s">
        <v>106</v>
      </c>
      <c r="N25" s="1" t="s">
        <v>656</v>
      </c>
      <c r="O25" s="1" t="s">
        <v>654</v>
      </c>
      <c r="P25" s="1" t="s">
        <v>602</v>
      </c>
      <c r="Q25" s="1" t="s">
        <v>668</v>
      </c>
      <c r="S25" s="1" t="s">
        <v>667</v>
      </c>
      <c r="T25" s="1" t="s">
        <v>106</v>
      </c>
      <c r="U25" s="1" t="s">
        <v>656</v>
      </c>
      <c r="V25" s="1" t="s">
        <v>654</v>
      </c>
      <c r="W25" s="1" t="s">
        <v>602</v>
      </c>
      <c r="X25" s="1" t="s">
        <v>668</v>
      </c>
      <c r="Y25" s="1" t="s">
        <v>669</v>
      </c>
      <c r="Z25" s="1" t="s">
        <v>670</v>
      </c>
      <c r="AA25" s="1" t="s">
        <v>364</v>
      </c>
      <c r="AB25" s="1" t="s">
        <v>671</v>
      </c>
      <c r="AC25" s="1" t="s">
        <v>64</v>
      </c>
      <c r="AD25" s="1" t="s">
        <v>369</v>
      </c>
      <c r="AE25" s="1" t="s">
        <v>672</v>
      </c>
      <c r="AF25" s="1" t="s">
        <v>662</v>
      </c>
      <c r="AG25" s="1" t="s">
        <v>372</v>
      </c>
      <c r="AL25" s="2" t="s">
        <v>663</v>
      </c>
      <c r="AM25" s="2" t="s">
        <v>673</v>
      </c>
      <c r="AN25" s="2" t="s">
        <v>376</v>
      </c>
      <c r="AO25" s="2" t="s">
        <v>674</v>
      </c>
      <c r="AP25" s="2" t="s">
        <v>626</v>
      </c>
      <c r="AT25" s="5" t="s">
        <v>662</v>
      </c>
      <c r="AU25" s="6" t="s">
        <v>598</v>
      </c>
      <c r="AV25" s="7" t="s">
        <v>520</v>
      </c>
      <c r="AW25" s="6" t="s">
        <v>599</v>
      </c>
      <c r="AX25" s="6" t="s">
        <v>604</v>
      </c>
      <c r="AY25" s="6" t="s">
        <v>560</v>
      </c>
    </row>
    <row r="26" spans="7:55" x14ac:dyDescent="0.5">
      <c r="L26" s="1" t="s">
        <v>616</v>
      </c>
      <c r="M26" s="1" t="s">
        <v>675</v>
      </c>
      <c r="N26" s="1" t="s">
        <v>571</v>
      </c>
      <c r="O26" s="1" t="s">
        <v>676</v>
      </c>
      <c r="P26" s="1" t="s">
        <v>672</v>
      </c>
      <c r="Q26" s="1" t="s">
        <v>520</v>
      </c>
      <c r="S26" s="1" t="s">
        <v>616</v>
      </c>
      <c r="T26" s="1" t="s">
        <v>675</v>
      </c>
      <c r="U26" s="1" t="s">
        <v>571</v>
      </c>
      <c r="V26" s="1" t="s">
        <v>676</v>
      </c>
      <c r="W26" s="1" t="s">
        <v>672</v>
      </c>
      <c r="X26" s="1" t="s">
        <v>520</v>
      </c>
      <c r="Y26" s="1" t="s">
        <v>495</v>
      </c>
      <c r="Z26" s="1" t="s">
        <v>369</v>
      </c>
      <c r="AA26" s="1" t="s">
        <v>677</v>
      </c>
      <c r="AB26" s="1" t="s">
        <v>369</v>
      </c>
      <c r="AC26" s="1" t="s">
        <v>598</v>
      </c>
      <c r="AD26" s="1" t="s">
        <v>675</v>
      </c>
      <c r="AE26" s="1" t="s">
        <v>640</v>
      </c>
      <c r="AF26" s="1" t="s">
        <v>663</v>
      </c>
      <c r="AG26" s="1" t="s">
        <v>678</v>
      </c>
      <c r="AL26" s="2" t="s">
        <v>663</v>
      </c>
      <c r="AM26" s="2" t="s">
        <v>679</v>
      </c>
      <c r="AN26" s="2" t="s">
        <v>673</v>
      </c>
      <c r="AO26" s="2" t="s">
        <v>625</v>
      </c>
      <c r="AP26" s="2" t="s">
        <v>64</v>
      </c>
      <c r="AT26" s="4" t="s">
        <v>663</v>
      </c>
      <c r="AU26" s="6" t="s">
        <v>537</v>
      </c>
      <c r="AV26" s="6" t="s">
        <v>556</v>
      </c>
      <c r="AW26" s="7" t="s">
        <v>572</v>
      </c>
      <c r="AX26" s="6" t="s">
        <v>515</v>
      </c>
      <c r="AY26" s="6" t="s">
        <v>503</v>
      </c>
    </row>
    <row r="27" spans="7:55" x14ac:dyDescent="0.5">
      <c r="L27" s="1" t="s">
        <v>680</v>
      </c>
      <c r="M27" s="1" t="s">
        <v>586</v>
      </c>
      <c r="N27" s="1" t="s">
        <v>675</v>
      </c>
      <c r="O27" s="1" t="s">
        <v>665</v>
      </c>
      <c r="P27" s="1" t="s">
        <v>550</v>
      </c>
      <c r="Q27" s="1" t="s">
        <v>590</v>
      </c>
      <c r="S27" s="1" t="s">
        <v>680</v>
      </c>
      <c r="T27" s="1" t="s">
        <v>586</v>
      </c>
      <c r="U27" s="1" t="s">
        <v>675</v>
      </c>
      <c r="V27" s="1" t="s">
        <v>665</v>
      </c>
      <c r="W27" s="1" t="s">
        <v>550</v>
      </c>
      <c r="X27" s="1" t="s">
        <v>590</v>
      </c>
      <c r="Y27" s="1" t="s">
        <v>577</v>
      </c>
      <c r="Z27" s="1" t="s">
        <v>106</v>
      </c>
      <c r="AA27" s="1" t="s">
        <v>681</v>
      </c>
      <c r="AB27" s="1" t="s">
        <v>62</v>
      </c>
      <c r="AC27" s="1" t="s">
        <v>670</v>
      </c>
      <c r="AD27" s="1" t="s">
        <v>682</v>
      </c>
      <c r="AE27" s="1" t="s">
        <v>626</v>
      </c>
      <c r="AF27" s="1" t="s">
        <v>683</v>
      </c>
      <c r="AG27" s="1" t="s">
        <v>684</v>
      </c>
      <c r="AL27" s="2" t="s">
        <v>685</v>
      </c>
      <c r="AM27" s="2" t="s">
        <v>686</v>
      </c>
      <c r="AN27" s="2" t="s">
        <v>687</v>
      </c>
      <c r="AO27" s="2" t="s">
        <v>688</v>
      </c>
      <c r="AP27" s="2" t="s">
        <v>656</v>
      </c>
      <c r="AT27" s="9" t="s">
        <v>685</v>
      </c>
      <c r="AU27" s="6" t="s">
        <v>620</v>
      </c>
      <c r="AV27" s="6" t="s">
        <v>495</v>
      </c>
      <c r="AW27" s="5" t="s">
        <v>555</v>
      </c>
      <c r="AX27" s="7" t="s">
        <v>526</v>
      </c>
      <c r="AY27" s="6" t="s">
        <v>651</v>
      </c>
    </row>
    <row r="28" spans="7:55" x14ac:dyDescent="0.5">
      <c r="L28" s="1" t="s">
        <v>625</v>
      </c>
      <c r="M28" s="1" t="s">
        <v>606</v>
      </c>
      <c r="N28" s="1" t="s">
        <v>606</v>
      </c>
      <c r="O28" s="1" t="s">
        <v>570</v>
      </c>
      <c r="P28" s="1" t="s">
        <v>364</v>
      </c>
      <c r="Q28" s="1" t="s">
        <v>556</v>
      </c>
      <c r="S28" s="1" t="s">
        <v>625</v>
      </c>
      <c r="T28" s="1" t="s">
        <v>606</v>
      </c>
      <c r="U28" s="1" t="s">
        <v>606</v>
      </c>
      <c r="V28" s="1" t="s">
        <v>570</v>
      </c>
      <c r="W28" s="1" t="s">
        <v>364</v>
      </c>
      <c r="X28" s="1" t="s">
        <v>556</v>
      </c>
      <c r="Y28" s="1" t="s">
        <v>545</v>
      </c>
      <c r="Z28" s="1" t="s">
        <v>654</v>
      </c>
      <c r="AA28" s="1" t="s">
        <v>64</v>
      </c>
      <c r="AB28" s="1" t="s">
        <v>689</v>
      </c>
      <c r="AC28" s="1" t="s">
        <v>369</v>
      </c>
      <c r="AD28" s="1" t="s">
        <v>690</v>
      </c>
      <c r="AE28" s="1" t="s">
        <v>681</v>
      </c>
      <c r="AF28" s="1" t="s">
        <v>673</v>
      </c>
      <c r="AG28" s="1" t="s">
        <v>691</v>
      </c>
      <c r="AL28" s="2"/>
      <c r="AM28" s="2"/>
      <c r="AN28" s="2" t="s">
        <v>692</v>
      </c>
      <c r="AO28" s="2" t="s">
        <v>630</v>
      </c>
      <c r="AP28" s="2" t="s">
        <v>537</v>
      </c>
      <c r="AT28" s="9"/>
      <c r="AU28" s="6" t="s">
        <v>551</v>
      </c>
      <c r="AV28" s="7" t="s">
        <v>361</v>
      </c>
      <c r="AW28" s="4" t="s">
        <v>596</v>
      </c>
      <c r="AX28" s="6" t="s">
        <v>615</v>
      </c>
      <c r="AY28" s="6" t="s">
        <v>533</v>
      </c>
    </row>
    <row r="29" spans="7:55" x14ac:dyDescent="0.5">
      <c r="L29" s="1" t="s">
        <v>693</v>
      </c>
      <c r="M29" s="1" t="s">
        <v>676</v>
      </c>
      <c r="N29" s="1" t="s">
        <v>665</v>
      </c>
      <c r="O29" s="1" t="s">
        <v>694</v>
      </c>
      <c r="P29" s="1" t="s">
        <v>695</v>
      </c>
      <c r="Q29" s="1" t="s">
        <v>514</v>
      </c>
      <c r="S29" s="1" t="s">
        <v>693</v>
      </c>
      <c r="T29" s="1" t="s">
        <v>676</v>
      </c>
      <c r="U29" s="1" t="s">
        <v>665</v>
      </c>
      <c r="V29" s="1" t="s">
        <v>694</v>
      </c>
      <c r="W29" s="1" t="s">
        <v>695</v>
      </c>
      <c r="X29" s="1" t="s">
        <v>514</v>
      </c>
      <c r="Y29" s="1" t="s">
        <v>566</v>
      </c>
      <c r="Z29" s="1" t="s">
        <v>696</v>
      </c>
      <c r="AA29" s="1" t="s">
        <v>584</v>
      </c>
      <c r="AB29" s="1" t="s">
        <v>654</v>
      </c>
      <c r="AC29" s="1" t="s">
        <v>697</v>
      </c>
      <c r="AD29" s="1" t="s">
        <v>698</v>
      </c>
      <c r="AE29" s="1" t="s">
        <v>372</v>
      </c>
      <c r="AF29" s="1" t="s">
        <v>699</v>
      </c>
      <c r="AG29" s="1" t="s">
        <v>382</v>
      </c>
      <c r="AL29" s="2"/>
      <c r="AN29" s="2" t="s">
        <v>700</v>
      </c>
      <c r="AO29" s="2" t="s">
        <v>701</v>
      </c>
      <c r="AP29" s="2" t="s">
        <v>658</v>
      </c>
      <c r="AU29" s="6" t="s">
        <v>584</v>
      </c>
      <c r="AV29" s="6" t="s">
        <v>553</v>
      </c>
      <c r="AW29" s="6" t="s">
        <v>528</v>
      </c>
      <c r="AX29" s="6" t="s">
        <v>357</v>
      </c>
      <c r="AY29" s="6" t="s">
        <v>514</v>
      </c>
    </row>
    <row r="30" spans="7:55" x14ac:dyDescent="0.5">
      <c r="L30" s="1" t="s">
        <v>688</v>
      </c>
      <c r="M30" s="1" t="s">
        <v>585</v>
      </c>
      <c r="N30" s="1" t="s">
        <v>570</v>
      </c>
      <c r="O30" s="1" t="s">
        <v>373</v>
      </c>
      <c r="P30" s="1" t="s">
        <v>702</v>
      </c>
      <c r="Q30" s="1" t="s">
        <v>514</v>
      </c>
      <c r="S30" s="1" t="s">
        <v>688</v>
      </c>
      <c r="T30" s="1" t="s">
        <v>585</v>
      </c>
      <c r="U30" s="1" t="s">
        <v>570</v>
      </c>
      <c r="V30" s="1" t="s">
        <v>373</v>
      </c>
      <c r="W30" s="1" t="s">
        <v>702</v>
      </c>
      <c r="X30" s="1" t="s">
        <v>514</v>
      </c>
      <c r="Y30" s="1" t="s">
        <v>703</v>
      </c>
      <c r="Z30" s="1" t="s">
        <v>676</v>
      </c>
      <c r="AA30" s="1" t="s">
        <v>704</v>
      </c>
      <c r="AB30" s="1" t="s">
        <v>705</v>
      </c>
      <c r="AC30" s="1" t="s">
        <v>706</v>
      </c>
      <c r="AD30" s="1" t="s">
        <v>653</v>
      </c>
      <c r="AE30" s="1" t="s">
        <v>707</v>
      </c>
      <c r="AL30" s="2"/>
      <c r="AN30" s="2" t="s">
        <v>708</v>
      </c>
      <c r="AO30" s="2" t="s">
        <v>709</v>
      </c>
      <c r="AP30" s="2" t="s">
        <v>366</v>
      </c>
      <c r="AU30" s="6" t="s">
        <v>562</v>
      </c>
      <c r="AV30" s="6" t="s">
        <v>577</v>
      </c>
      <c r="AW30" s="7" t="s">
        <v>626</v>
      </c>
      <c r="AX30" s="7" t="s">
        <v>479</v>
      </c>
      <c r="AY30" s="6" t="s">
        <v>521</v>
      </c>
    </row>
    <row r="31" spans="7:55" x14ac:dyDescent="0.5">
      <c r="L31" s="1" t="s">
        <v>647</v>
      </c>
      <c r="M31" s="1" t="s">
        <v>690</v>
      </c>
      <c r="N31" s="1" t="s">
        <v>634</v>
      </c>
      <c r="O31" s="1" t="s">
        <v>630</v>
      </c>
      <c r="P31" s="1" t="s">
        <v>366</v>
      </c>
      <c r="Q31" s="1" t="s">
        <v>521</v>
      </c>
      <c r="S31" s="1" t="s">
        <v>647</v>
      </c>
      <c r="T31" s="1" t="s">
        <v>690</v>
      </c>
      <c r="U31" s="1" t="s">
        <v>634</v>
      </c>
      <c r="V31" s="1" t="s">
        <v>630</v>
      </c>
      <c r="W31" s="1" t="s">
        <v>366</v>
      </c>
      <c r="X31" s="1" t="s">
        <v>521</v>
      </c>
      <c r="Y31" s="1" t="s">
        <v>672</v>
      </c>
      <c r="Z31" s="1" t="s">
        <v>706</v>
      </c>
      <c r="AA31" s="1" t="s">
        <v>368</v>
      </c>
      <c r="AB31" s="1" t="s">
        <v>706</v>
      </c>
      <c r="AC31" s="1" t="s">
        <v>625</v>
      </c>
      <c r="AD31" s="1" t="s">
        <v>710</v>
      </c>
      <c r="AE31" s="1" t="s">
        <v>711</v>
      </c>
      <c r="AL31" s="2"/>
      <c r="AN31" s="2" t="s">
        <v>380</v>
      </c>
      <c r="AO31" s="2" t="s">
        <v>712</v>
      </c>
      <c r="AP31" s="2" t="s">
        <v>713</v>
      </c>
      <c r="AU31" s="6" t="s">
        <v>369</v>
      </c>
      <c r="AV31" s="7" t="s">
        <v>521</v>
      </c>
      <c r="AW31" s="6" t="s">
        <v>636</v>
      </c>
      <c r="AX31" s="7" t="s">
        <v>494</v>
      </c>
      <c r="AY31" s="6" t="s">
        <v>559</v>
      </c>
    </row>
    <row r="32" spans="7:55" x14ac:dyDescent="0.5">
      <c r="L32" s="1" t="s">
        <v>630</v>
      </c>
      <c r="M32" s="1" t="s">
        <v>633</v>
      </c>
      <c r="N32" s="1" t="s">
        <v>371</v>
      </c>
      <c r="O32" s="1" t="s">
        <v>709</v>
      </c>
      <c r="P32" s="1" t="s">
        <v>367</v>
      </c>
      <c r="Q32" s="1" t="s">
        <v>505</v>
      </c>
      <c r="S32" s="1" t="s">
        <v>630</v>
      </c>
      <c r="T32" s="1" t="s">
        <v>633</v>
      </c>
      <c r="U32" s="1" t="s">
        <v>371</v>
      </c>
      <c r="V32" s="1" t="s">
        <v>709</v>
      </c>
      <c r="W32" s="1" t="s">
        <v>367</v>
      </c>
      <c r="X32" s="1" t="s">
        <v>505</v>
      </c>
      <c r="Y32" s="1" t="s">
        <v>640</v>
      </c>
      <c r="Z32" s="1" t="s">
        <v>714</v>
      </c>
      <c r="AA32" s="1" t="s">
        <v>619</v>
      </c>
      <c r="AB32" s="1" t="s">
        <v>715</v>
      </c>
      <c r="AC32" s="1" t="s">
        <v>716</v>
      </c>
      <c r="AD32" s="1" t="s">
        <v>683</v>
      </c>
      <c r="AE32" s="1" t="s">
        <v>717</v>
      </c>
      <c r="AL32" s="2"/>
      <c r="AO32" s="2" t="s">
        <v>718</v>
      </c>
      <c r="AP32" s="2" t="s">
        <v>719</v>
      </c>
      <c r="AU32" s="6" t="s">
        <v>106</v>
      </c>
      <c r="AV32" s="7" t="s">
        <v>589</v>
      </c>
      <c r="AW32" s="6" t="s">
        <v>64</v>
      </c>
      <c r="AX32" s="6" t="s">
        <v>549</v>
      </c>
      <c r="AY32" s="6" t="s">
        <v>541</v>
      </c>
    </row>
    <row r="33" spans="12:51" x14ac:dyDescent="0.5">
      <c r="L33" s="1" t="s">
        <v>720</v>
      </c>
      <c r="M33" s="1" t="s">
        <v>720</v>
      </c>
      <c r="N33" s="1" t="s">
        <v>721</v>
      </c>
      <c r="O33" s="1" t="s">
        <v>662</v>
      </c>
      <c r="P33" s="1" t="s">
        <v>368</v>
      </c>
      <c r="Q33" s="1" t="s">
        <v>536</v>
      </c>
      <c r="S33" s="1" t="s">
        <v>720</v>
      </c>
      <c r="T33" s="1" t="s">
        <v>720</v>
      </c>
      <c r="U33" s="1" t="s">
        <v>721</v>
      </c>
      <c r="V33" s="1" t="s">
        <v>662</v>
      </c>
      <c r="W33" s="1" t="s">
        <v>368</v>
      </c>
      <c r="X33" s="1" t="s">
        <v>536</v>
      </c>
      <c r="Y33" s="1" t="s">
        <v>722</v>
      </c>
      <c r="Z33" s="1" t="s">
        <v>634</v>
      </c>
      <c r="AA33" s="1" t="s">
        <v>369</v>
      </c>
      <c r="AB33" s="1" t="s">
        <v>723</v>
      </c>
      <c r="AC33" s="1" t="s">
        <v>630</v>
      </c>
      <c r="AD33" s="1" t="s">
        <v>376</v>
      </c>
      <c r="AE33" s="1" t="s">
        <v>724</v>
      </c>
      <c r="AO33" s="2" t="s">
        <v>725</v>
      </c>
      <c r="AP33" s="2" t="s">
        <v>726</v>
      </c>
      <c r="AU33" s="6" t="s">
        <v>571</v>
      </c>
      <c r="AV33" s="6" t="s">
        <v>531</v>
      </c>
      <c r="AW33" s="7" t="s">
        <v>656</v>
      </c>
      <c r="AX33" s="6" t="s">
        <v>560</v>
      </c>
      <c r="AY33" s="6" t="s">
        <v>573</v>
      </c>
    </row>
    <row r="34" spans="12:51" x14ac:dyDescent="0.5">
      <c r="L34" s="1" t="s">
        <v>709</v>
      </c>
      <c r="M34" s="1" t="s">
        <v>683</v>
      </c>
      <c r="N34" s="1" t="s">
        <v>647</v>
      </c>
      <c r="O34" s="1" t="s">
        <v>663</v>
      </c>
      <c r="P34" s="1" t="s">
        <v>369</v>
      </c>
      <c r="Q34" s="1" t="s">
        <v>672</v>
      </c>
      <c r="S34" s="1" t="s">
        <v>709</v>
      </c>
      <c r="T34" s="1" t="s">
        <v>683</v>
      </c>
      <c r="U34" s="1" t="s">
        <v>647</v>
      </c>
      <c r="V34" s="1" t="s">
        <v>663</v>
      </c>
      <c r="W34" s="1" t="s">
        <v>369</v>
      </c>
      <c r="X34" s="1" t="s">
        <v>672</v>
      </c>
      <c r="Y34" s="1" t="s">
        <v>368</v>
      </c>
      <c r="Z34" s="1" t="s">
        <v>498</v>
      </c>
      <c r="AA34" s="1" t="s">
        <v>727</v>
      </c>
      <c r="AB34" s="1" t="s">
        <v>688</v>
      </c>
      <c r="AC34" s="1" t="s">
        <v>728</v>
      </c>
      <c r="AD34" s="1" t="s">
        <v>687</v>
      </c>
      <c r="AE34" s="1" t="s">
        <v>687</v>
      </c>
      <c r="AO34" s="2" t="s">
        <v>729</v>
      </c>
      <c r="AP34" s="2" t="s">
        <v>730</v>
      </c>
      <c r="AU34" s="6" t="s">
        <v>675</v>
      </c>
      <c r="AV34" s="6" t="s">
        <v>563</v>
      </c>
      <c r="AW34" s="5" t="s">
        <v>607</v>
      </c>
      <c r="AX34" s="6" t="s">
        <v>623</v>
      </c>
      <c r="AY34" s="6" t="s">
        <v>602</v>
      </c>
    </row>
    <row r="35" spans="12:51" x14ac:dyDescent="0.5">
      <c r="L35" s="1" t="s">
        <v>731</v>
      </c>
      <c r="M35" s="1" t="s">
        <v>732</v>
      </c>
      <c r="N35" s="1" t="s">
        <v>733</v>
      </c>
      <c r="O35" s="1" t="s">
        <v>729</v>
      </c>
      <c r="P35" s="1" t="s">
        <v>586</v>
      </c>
      <c r="Q35" s="1" t="s">
        <v>640</v>
      </c>
      <c r="S35" s="1" t="s">
        <v>731</v>
      </c>
      <c r="T35" s="1" t="s">
        <v>732</v>
      </c>
      <c r="U35" s="1" t="s">
        <v>733</v>
      </c>
      <c r="V35" s="1" t="s">
        <v>729</v>
      </c>
      <c r="W35" s="1" t="s">
        <v>586</v>
      </c>
      <c r="X35" s="1" t="s">
        <v>640</v>
      </c>
      <c r="Y35" s="1" t="s">
        <v>369</v>
      </c>
      <c r="Z35" s="1" t="s">
        <v>734</v>
      </c>
      <c r="AA35" s="1" t="s">
        <v>735</v>
      </c>
      <c r="AB35" s="1" t="s">
        <v>736</v>
      </c>
      <c r="AC35" s="1" t="s">
        <v>731</v>
      </c>
      <c r="AE35" s="1" t="s">
        <v>737</v>
      </c>
      <c r="AO35" s="2" t="s">
        <v>575</v>
      </c>
      <c r="AP35" s="2" t="s">
        <v>644</v>
      </c>
      <c r="AU35" s="6" t="s">
        <v>586</v>
      </c>
      <c r="AV35" s="7" t="s">
        <v>559</v>
      </c>
      <c r="AW35" s="4" t="s">
        <v>106</v>
      </c>
      <c r="AX35" s="7" t="s">
        <v>569</v>
      </c>
      <c r="AY35" s="6" t="s">
        <v>536</v>
      </c>
    </row>
    <row r="36" spans="12:51" x14ac:dyDescent="0.5">
      <c r="L36" s="1" t="s">
        <v>662</v>
      </c>
      <c r="M36" s="1" t="s">
        <v>673</v>
      </c>
      <c r="N36" s="1" t="s">
        <v>664</v>
      </c>
      <c r="O36" s="1" t="s">
        <v>738</v>
      </c>
      <c r="P36" s="1" t="s">
        <v>696</v>
      </c>
      <c r="Q36" s="1" t="s">
        <v>364</v>
      </c>
      <c r="S36" s="1" t="s">
        <v>662</v>
      </c>
      <c r="T36" s="1" t="s">
        <v>673</v>
      </c>
      <c r="U36" s="1" t="s">
        <v>664</v>
      </c>
      <c r="V36" s="1" t="s">
        <v>738</v>
      </c>
      <c r="W36" s="1" t="s">
        <v>696</v>
      </c>
      <c r="X36" s="1" t="s">
        <v>364</v>
      </c>
      <c r="Y36" s="1" t="s">
        <v>654</v>
      </c>
      <c r="Z36" s="1" t="s">
        <v>739</v>
      </c>
      <c r="AA36" s="1" t="s">
        <v>740</v>
      </c>
      <c r="AB36" s="1" t="s">
        <v>630</v>
      </c>
      <c r="AC36" s="1" t="s">
        <v>687</v>
      </c>
      <c r="AE36" s="1" t="s">
        <v>684</v>
      </c>
      <c r="AP36" s="2" t="s">
        <v>694</v>
      </c>
      <c r="AU36" s="6" t="s">
        <v>595</v>
      </c>
      <c r="AV36" s="6" t="s">
        <v>541</v>
      </c>
      <c r="AW36" s="6" t="s">
        <v>571</v>
      </c>
      <c r="AX36" s="7" t="s">
        <v>629</v>
      </c>
      <c r="AY36" s="6" t="s">
        <v>640</v>
      </c>
    </row>
    <row r="37" spans="12:51" x14ac:dyDescent="0.5">
      <c r="L37" s="1" t="s">
        <v>741</v>
      </c>
      <c r="M37" s="1" t="s">
        <v>679</v>
      </c>
      <c r="N37" s="1" t="s">
        <v>742</v>
      </c>
      <c r="P37" s="1" t="s">
        <v>606</v>
      </c>
      <c r="Q37" s="1" t="s">
        <v>626</v>
      </c>
      <c r="S37" s="1" t="s">
        <v>741</v>
      </c>
      <c r="T37" s="1" t="s">
        <v>679</v>
      </c>
      <c r="U37" s="1" t="s">
        <v>742</v>
      </c>
      <c r="W37" s="1" t="s">
        <v>606</v>
      </c>
      <c r="X37" s="1" t="s">
        <v>626</v>
      </c>
      <c r="Y37" s="1" t="s">
        <v>743</v>
      </c>
      <c r="Z37" s="1" t="s">
        <v>662</v>
      </c>
      <c r="AA37" s="1" t="s">
        <v>606</v>
      </c>
      <c r="AB37" s="1" t="s">
        <v>709</v>
      </c>
      <c r="AC37" s="1" t="s">
        <v>678</v>
      </c>
      <c r="AE37" s="1" t="s">
        <v>744</v>
      </c>
      <c r="AP37" s="2" t="s">
        <v>745</v>
      </c>
      <c r="AU37" s="6" t="s">
        <v>606</v>
      </c>
      <c r="AV37" s="6" t="s">
        <v>60</v>
      </c>
      <c r="AW37" s="7" t="s">
        <v>675</v>
      </c>
      <c r="AX37" s="7" t="s">
        <v>582</v>
      </c>
      <c r="AY37" s="6" t="s">
        <v>626</v>
      </c>
    </row>
    <row r="38" spans="12:51" x14ac:dyDescent="0.5">
      <c r="L38" s="1" t="s">
        <v>746</v>
      </c>
      <c r="M38" s="1" t="s">
        <v>687</v>
      </c>
      <c r="N38" s="1" t="s">
        <v>663</v>
      </c>
      <c r="P38" s="1" t="s">
        <v>747</v>
      </c>
      <c r="Q38" s="1" t="s">
        <v>64</v>
      </c>
      <c r="S38" s="1" t="s">
        <v>746</v>
      </c>
      <c r="T38" s="1" t="s">
        <v>687</v>
      </c>
      <c r="U38" s="1" t="s">
        <v>663</v>
      </c>
      <c r="W38" s="1" t="s">
        <v>747</v>
      </c>
      <c r="X38" s="1" t="s">
        <v>64</v>
      </c>
      <c r="Y38" s="1" t="s">
        <v>748</v>
      </c>
      <c r="Z38" s="1" t="s">
        <v>746</v>
      </c>
      <c r="AA38" s="1" t="s">
        <v>749</v>
      </c>
      <c r="AB38" s="1" t="s">
        <v>750</v>
      </c>
      <c r="AC38" s="1" t="s">
        <v>744</v>
      </c>
      <c r="AE38" s="1" t="s">
        <v>708</v>
      </c>
      <c r="AP38" s="2" t="s">
        <v>751</v>
      </c>
      <c r="AU38" s="6" t="s">
        <v>676</v>
      </c>
      <c r="AV38" s="4" t="s">
        <v>573</v>
      </c>
      <c r="AW38" s="4" t="s">
        <v>606</v>
      </c>
      <c r="AX38" s="7" t="s">
        <v>642</v>
      </c>
      <c r="AY38" s="6" t="s">
        <v>681</v>
      </c>
    </row>
    <row r="39" spans="12:51" x14ac:dyDescent="0.5">
      <c r="L39" s="1" t="s">
        <v>663</v>
      </c>
      <c r="M39" s="1" t="s">
        <v>729</v>
      </c>
      <c r="N39" s="1" t="s">
        <v>732</v>
      </c>
      <c r="P39" s="1" t="s">
        <v>752</v>
      </c>
      <c r="Q39" s="1" t="s">
        <v>64</v>
      </c>
      <c r="S39" s="1" t="s">
        <v>663</v>
      </c>
      <c r="T39" s="1" t="s">
        <v>729</v>
      </c>
      <c r="U39" s="1" t="s">
        <v>732</v>
      </c>
      <c r="W39" s="1" t="s">
        <v>752</v>
      </c>
      <c r="X39" s="1" t="s">
        <v>64</v>
      </c>
      <c r="Y39" s="1" t="s">
        <v>753</v>
      </c>
      <c r="Z39" s="1" t="s">
        <v>679</v>
      </c>
      <c r="AA39" s="1" t="s">
        <v>585</v>
      </c>
      <c r="AB39" s="1" t="s">
        <v>662</v>
      </c>
      <c r="AC39" s="1" t="s">
        <v>380</v>
      </c>
      <c r="AE39" s="1" t="s">
        <v>64</v>
      </c>
      <c r="AP39" s="2" t="s">
        <v>624</v>
      </c>
      <c r="AU39" s="6" t="s">
        <v>585</v>
      </c>
      <c r="AV39" s="5" t="s">
        <v>580</v>
      </c>
      <c r="AW39" s="7" t="s">
        <v>665</v>
      </c>
      <c r="AX39" s="7" t="s">
        <v>503</v>
      </c>
      <c r="AY39" s="6" t="s">
        <v>568</v>
      </c>
    </row>
    <row r="40" spans="12:51" x14ac:dyDescent="0.5">
      <c r="L40" s="1" t="s">
        <v>683</v>
      </c>
      <c r="M40" s="1" t="s">
        <v>686</v>
      </c>
      <c r="N40" s="1" t="s">
        <v>376</v>
      </c>
      <c r="P40" s="1" t="s">
        <v>743</v>
      </c>
      <c r="Q40" s="1" t="s">
        <v>754</v>
      </c>
      <c r="S40" s="1" t="s">
        <v>683</v>
      </c>
      <c r="T40" s="1" t="s">
        <v>686</v>
      </c>
      <c r="U40" s="1" t="s">
        <v>376</v>
      </c>
      <c r="W40" s="1" t="s">
        <v>743</v>
      </c>
      <c r="X40" s="1" t="s">
        <v>754</v>
      </c>
      <c r="Y40" s="1" t="s">
        <v>753</v>
      </c>
      <c r="Z40" s="1" t="s">
        <v>755</v>
      </c>
      <c r="AA40" s="1" t="s">
        <v>706</v>
      </c>
      <c r="AB40" s="1" t="s">
        <v>756</v>
      </c>
      <c r="AC40" s="1" t="s">
        <v>757</v>
      </c>
      <c r="AP40" s="2" t="s">
        <v>758</v>
      </c>
      <c r="AU40" s="6" t="s">
        <v>605</v>
      </c>
      <c r="AV40" s="7" t="s">
        <v>552</v>
      </c>
      <c r="AW40" s="6" t="s">
        <v>570</v>
      </c>
      <c r="AX40" s="7" t="s">
        <v>651</v>
      </c>
      <c r="AY40" s="6" t="s">
        <v>584</v>
      </c>
    </row>
    <row r="41" spans="12:51" x14ac:dyDescent="0.5">
      <c r="L41" s="1" t="s">
        <v>759</v>
      </c>
      <c r="M41" s="1" t="s">
        <v>379</v>
      </c>
      <c r="N41" s="1" t="s">
        <v>700</v>
      </c>
      <c r="P41" s="1" t="s">
        <v>634</v>
      </c>
      <c r="Q41" s="1" t="s">
        <v>760</v>
      </c>
      <c r="S41" s="1" t="s">
        <v>759</v>
      </c>
      <c r="T41" s="1" t="s">
        <v>379</v>
      </c>
      <c r="U41" s="1" t="s">
        <v>700</v>
      </c>
      <c r="W41" s="1" t="s">
        <v>634</v>
      </c>
      <c r="X41" s="1" t="s">
        <v>760</v>
      </c>
      <c r="Y41" s="1" t="s">
        <v>688</v>
      </c>
      <c r="AA41" s="1" t="s">
        <v>714</v>
      </c>
      <c r="AB41" s="1" t="s">
        <v>761</v>
      </c>
      <c r="AP41" s="2" t="s">
        <v>762</v>
      </c>
      <c r="AU41" s="6" t="s">
        <v>690</v>
      </c>
      <c r="AV41" s="6" t="s">
        <v>576</v>
      </c>
      <c r="AW41" s="7" t="s">
        <v>634</v>
      </c>
      <c r="AX41" s="6" t="s">
        <v>533</v>
      </c>
      <c r="AY41" s="6" t="s">
        <v>366</v>
      </c>
    </row>
    <row r="42" spans="12:51" x14ac:dyDescent="0.5">
      <c r="L42" s="1" t="s">
        <v>679</v>
      </c>
      <c r="M42" s="1" t="s">
        <v>763</v>
      </c>
      <c r="N42" s="1" t="s">
        <v>380</v>
      </c>
      <c r="P42" s="1" t="s">
        <v>498</v>
      </c>
      <c r="Q42" s="1" t="s">
        <v>730</v>
      </c>
      <c r="S42" s="1" t="s">
        <v>679</v>
      </c>
      <c r="T42" s="1" t="s">
        <v>763</v>
      </c>
      <c r="U42" s="1" t="s">
        <v>380</v>
      </c>
      <c r="W42" s="1" t="s">
        <v>498</v>
      </c>
      <c r="X42" s="1" t="s">
        <v>730</v>
      </c>
      <c r="Y42" s="1" t="s">
        <v>647</v>
      </c>
      <c r="AA42" s="1" t="s">
        <v>634</v>
      </c>
      <c r="AB42" s="1" t="s">
        <v>764</v>
      </c>
      <c r="AP42" s="2" t="s">
        <v>709</v>
      </c>
      <c r="AU42" s="6" t="s">
        <v>625</v>
      </c>
      <c r="AV42" s="4" t="s">
        <v>536</v>
      </c>
      <c r="AW42" s="6" t="s">
        <v>371</v>
      </c>
      <c r="AX42" s="7" t="s">
        <v>514</v>
      </c>
      <c r="AY42" s="6" t="s">
        <v>106</v>
      </c>
    </row>
    <row r="43" spans="12:51" x14ac:dyDescent="0.5">
      <c r="L43" s="1" t="s">
        <v>765</v>
      </c>
      <c r="N43" s="1" t="s">
        <v>757</v>
      </c>
      <c r="P43" s="1" t="s">
        <v>753</v>
      </c>
      <c r="Q43" s="1" t="s">
        <v>644</v>
      </c>
      <c r="S43" s="1" t="s">
        <v>765</v>
      </c>
      <c r="U43" s="1" t="s">
        <v>757</v>
      </c>
      <c r="W43" s="1" t="s">
        <v>753</v>
      </c>
      <c r="X43" s="1" t="s">
        <v>644</v>
      </c>
      <c r="Y43" s="1" t="s">
        <v>766</v>
      </c>
      <c r="AA43" s="1" t="s">
        <v>694</v>
      </c>
      <c r="AB43" s="1" t="s">
        <v>767</v>
      </c>
      <c r="AP43" s="2" t="s">
        <v>768</v>
      </c>
      <c r="AU43" s="6" t="s">
        <v>646</v>
      </c>
      <c r="AV43" s="6" t="s">
        <v>599</v>
      </c>
      <c r="AW43" s="7" t="s">
        <v>721</v>
      </c>
      <c r="AX43" s="7" t="s">
        <v>360</v>
      </c>
      <c r="AY43" s="6" t="s">
        <v>644</v>
      </c>
    </row>
    <row r="44" spans="12:51" x14ac:dyDescent="0.5">
      <c r="L44" s="1" t="s">
        <v>687</v>
      </c>
      <c r="P44" s="1" t="s">
        <v>680</v>
      </c>
      <c r="Q44" s="1" t="s">
        <v>769</v>
      </c>
      <c r="S44" s="1" t="s">
        <v>687</v>
      </c>
      <c r="W44" s="1" t="s">
        <v>680</v>
      </c>
      <c r="X44" s="1" t="s">
        <v>769</v>
      </c>
      <c r="Y44" s="1" t="s">
        <v>709</v>
      </c>
      <c r="AA44" s="1" t="s">
        <v>770</v>
      </c>
      <c r="AB44" s="1" t="s">
        <v>759</v>
      </c>
      <c r="AP44" s="2" t="s">
        <v>687</v>
      </c>
      <c r="AU44" s="6" t="s">
        <v>630</v>
      </c>
      <c r="AV44" s="7" t="s">
        <v>572</v>
      </c>
      <c r="AW44" s="6" t="s">
        <v>647</v>
      </c>
      <c r="AX44" s="7" t="s">
        <v>535</v>
      </c>
      <c r="AY44" s="6" t="s">
        <v>652</v>
      </c>
    </row>
    <row r="45" spans="12:51" x14ac:dyDescent="0.5">
      <c r="L45" s="1" t="s">
        <v>771</v>
      </c>
      <c r="P45" s="1" t="s">
        <v>693</v>
      </c>
      <c r="Q45" s="1" t="s">
        <v>769</v>
      </c>
      <c r="S45" s="1" t="s">
        <v>771</v>
      </c>
      <c r="W45" s="1" t="s">
        <v>693</v>
      </c>
      <c r="X45" s="1" t="s">
        <v>769</v>
      </c>
      <c r="Y45" s="1" t="s">
        <v>772</v>
      </c>
      <c r="AA45" s="1" t="s">
        <v>773</v>
      </c>
      <c r="AB45" s="1" t="s">
        <v>376</v>
      </c>
      <c r="AP45" s="2" t="s">
        <v>618</v>
      </c>
      <c r="AU45" s="6" t="s">
        <v>720</v>
      </c>
      <c r="AV45" s="5" t="s">
        <v>608</v>
      </c>
      <c r="AW45" s="7" t="s">
        <v>733</v>
      </c>
      <c r="AX45" s="6" t="s">
        <v>521</v>
      </c>
      <c r="AY45" s="6" t="s">
        <v>661</v>
      </c>
    </row>
    <row r="46" spans="12:51" x14ac:dyDescent="0.5">
      <c r="P46" s="1" t="s">
        <v>688</v>
      </c>
      <c r="Q46" s="1" t="s">
        <v>694</v>
      </c>
      <c r="W46" s="1" t="s">
        <v>688</v>
      </c>
      <c r="X46" s="1" t="s">
        <v>694</v>
      </c>
      <c r="Y46" s="1" t="s">
        <v>742</v>
      </c>
      <c r="AA46" s="1" t="s">
        <v>753</v>
      </c>
      <c r="AB46" s="1" t="s">
        <v>774</v>
      </c>
      <c r="AP46" s="2" t="s">
        <v>757</v>
      </c>
      <c r="AU46" s="6" t="s">
        <v>663</v>
      </c>
      <c r="AV46" s="4" t="s">
        <v>617</v>
      </c>
      <c r="AW46" s="4" t="s">
        <v>373</v>
      </c>
      <c r="AX46" s="6" t="s">
        <v>559</v>
      </c>
      <c r="AY46" s="6" t="s">
        <v>372</v>
      </c>
    </row>
    <row r="47" spans="12:51" x14ac:dyDescent="0.5">
      <c r="P47" s="1" t="s">
        <v>647</v>
      </c>
      <c r="Q47" s="1" t="s">
        <v>753</v>
      </c>
      <c r="W47" s="1" t="s">
        <v>647</v>
      </c>
      <c r="X47" s="1" t="s">
        <v>753</v>
      </c>
      <c r="Y47" s="1" t="s">
        <v>775</v>
      </c>
      <c r="AA47" s="1" t="s">
        <v>723</v>
      </c>
      <c r="AB47" s="1" t="s">
        <v>679</v>
      </c>
      <c r="AP47" s="2"/>
      <c r="AU47" s="6" t="s">
        <v>683</v>
      </c>
      <c r="AV47" s="6" t="s">
        <v>528</v>
      </c>
      <c r="AW47" s="6" t="s">
        <v>664</v>
      </c>
      <c r="AX47" s="7" t="s">
        <v>541</v>
      </c>
      <c r="AY47" s="6" t="s">
        <v>624</v>
      </c>
    </row>
    <row r="48" spans="12:51" x14ac:dyDescent="0.5">
      <c r="P48" s="1" t="s">
        <v>647</v>
      </c>
      <c r="Q48" s="1" t="s">
        <v>680</v>
      </c>
      <c r="W48" s="1" t="s">
        <v>647</v>
      </c>
      <c r="X48" s="1" t="s">
        <v>680</v>
      </c>
      <c r="Y48" s="1" t="s">
        <v>776</v>
      </c>
      <c r="AA48" s="1" t="s">
        <v>652</v>
      </c>
      <c r="AB48" s="1" t="s">
        <v>777</v>
      </c>
      <c r="AU48" s="6" t="s">
        <v>732</v>
      </c>
      <c r="AV48" s="5" t="s">
        <v>364</v>
      </c>
      <c r="AW48" s="7" t="s">
        <v>742</v>
      </c>
      <c r="AX48" s="6" t="s">
        <v>573</v>
      </c>
      <c r="AY48" s="6" t="s">
        <v>630</v>
      </c>
    </row>
    <row r="49" spans="16:51" x14ac:dyDescent="0.5">
      <c r="P49" s="1" t="s">
        <v>778</v>
      </c>
      <c r="Q49" s="1" t="s">
        <v>779</v>
      </c>
      <c r="W49" s="1" t="s">
        <v>778</v>
      </c>
      <c r="X49" s="1" t="s">
        <v>779</v>
      </c>
      <c r="Y49" s="1" t="s">
        <v>780</v>
      </c>
      <c r="AA49" s="1" t="s">
        <v>721</v>
      </c>
      <c r="AB49" s="1" t="s">
        <v>678</v>
      </c>
      <c r="AU49" s="6" t="s">
        <v>673</v>
      </c>
      <c r="AV49" s="7" t="s">
        <v>626</v>
      </c>
      <c r="AW49" s="6" t="s">
        <v>663</v>
      </c>
      <c r="AX49" s="7" t="s">
        <v>602</v>
      </c>
      <c r="AY49" s="6" t="s">
        <v>643</v>
      </c>
    </row>
    <row r="50" spans="16:51" x14ac:dyDescent="0.5">
      <c r="P50" s="1" t="s">
        <v>373</v>
      </c>
      <c r="Q50" s="1" t="s">
        <v>646</v>
      </c>
      <c r="W50" s="1" t="s">
        <v>373</v>
      </c>
      <c r="X50" s="1" t="s">
        <v>646</v>
      </c>
      <c r="Y50" s="1" t="s">
        <v>379</v>
      </c>
      <c r="AA50" s="1" t="s">
        <v>688</v>
      </c>
      <c r="AB50" s="1" t="s">
        <v>781</v>
      </c>
      <c r="AU50" s="6" t="s">
        <v>679</v>
      </c>
      <c r="AV50" s="6" t="s">
        <v>636</v>
      </c>
      <c r="AW50" s="7" t="s">
        <v>732</v>
      </c>
      <c r="AX50" s="7" t="s">
        <v>536</v>
      </c>
      <c r="AY50" s="6" t="s">
        <v>554</v>
      </c>
    </row>
    <row r="51" spans="16:51" x14ac:dyDescent="0.5">
      <c r="P51" s="1" t="s">
        <v>782</v>
      </c>
      <c r="Q51" s="1" t="s">
        <v>783</v>
      </c>
      <c r="W51" s="1" t="s">
        <v>782</v>
      </c>
      <c r="X51" s="1" t="s">
        <v>783</v>
      </c>
      <c r="Y51" s="1" t="s">
        <v>755</v>
      </c>
      <c r="AA51" s="1" t="s">
        <v>647</v>
      </c>
      <c r="AB51" s="1" t="s">
        <v>784</v>
      </c>
      <c r="AU51" s="6" t="s">
        <v>687</v>
      </c>
      <c r="AV51" s="6" t="s">
        <v>64</v>
      </c>
      <c r="AW51" s="6" t="s">
        <v>376</v>
      </c>
      <c r="AX51" s="7" t="s">
        <v>672</v>
      </c>
      <c r="AY51" s="6" t="s">
        <v>711</v>
      </c>
    </row>
    <row r="52" spans="16:51" x14ac:dyDescent="0.5">
      <c r="P52" s="1" t="s">
        <v>739</v>
      </c>
      <c r="Q52" s="1" t="s">
        <v>768</v>
      </c>
      <c r="W52" s="1" t="s">
        <v>739</v>
      </c>
      <c r="X52" s="1" t="s">
        <v>768</v>
      </c>
      <c r="Y52" s="1" t="s">
        <v>382</v>
      </c>
      <c r="AA52" s="1" t="s">
        <v>785</v>
      </c>
      <c r="AB52" s="1" t="s">
        <v>786</v>
      </c>
      <c r="AU52" s="6" t="s">
        <v>729</v>
      </c>
      <c r="AV52" s="4" t="s">
        <v>598</v>
      </c>
      <c r="AW52" s="5" t="s">
        <v>673</v>
      </c>
      <c r="AX52" s="6" t="s">
        <v>631</v>
      </c>
      <c r="AY52" s="6" t="s">
        <v>717</v>
      </c>
    </row>
    <row r="53" spans="16:51" x14ac:dyDescent="0.5">
      <c r="P53" s="1" t="s">
        <v>646</v>
      </c>
      <c r="Q53" s="1" t="s">
        <v>787</v>
      </c>
      <c r="W53" s="1" t="s">
        <v>646</v>
      </c>
      <c r="X53" s="1" t="s">
        <v>787</v>
      </c>
      <c r="AA53" s="1" t="s">
        <v>373</v>
      </c>
      <c r="AB53" s="1" t="s">
        <v>597</v>
      </c>
      <c r="AU53" s="6" t="s">
        <v>686</v>
      </c>
      <c r="AV53" s="6" t="s">
        <v>656</v>
      </c>
      <c r="AW53" s="4" t="s">
        <v>687</v>
      </c>
      <c r="AX53" s="7" t="s">
        <v>640</v>
      </c>
      <c r="AY53" s="6" t="s">
        <v>662</v>
      </c>
    </row>
    <row r="54" spans="16:51" x14ac:dyDescent="0.5">
      <c r="P54" s="1" t="s">
        <v>766</v>
      </c>
      <c r="Q54" s="1" t="s">
        <v>376</v>
      </c>
      <c r="W54" s="1" t="s">
        <v>766</v>
      </c>
      <c r="X54" s="1" t="s">
        <v>376</v>
      </c>
      <c r="AA54" s="1" t="s">
        <v>788</v>
      </c>
      <c r="AB54" s="1" t="s">
        <v>789</v>
      </c>
      <c r="AU54" s="6" t="s">
        <v>379</v>
      </c>
      <c r="AV54" s="6" t="s">
        <v>571</v>
      </c>
      <c r="AW54" s="5" t="s">
        <v>692</v>
      </c>
      <c r="AX54" s="6" t="s">
        <v>626</v>
      </c>
      <c r="AY54" s="6" t="s">
        <v>663</v>
      </c>
    </row>
    <row r="55" spans="16:51" x14ac:dyDescent="0.5">
      <c r="P55" s="1" t="s">
        <v>375</v>
      </c>
      <c r="Q55" s="1" t="s">
        <v>776</v>
      </c>
      <c r="W55" s="1" t="s">
        <v>375</v>
      </c>
      <c r="X55" s="1" t="s">
        <v>776</v>
      </c>
      <c r="AA55" s="1" t="s">
        <v>664</v>
      </c>
      <c r="AB55" s="1" t="s">
        <v>686</v>
      </c>
      <c r="AU55" s="6" t="s">
        <v>763</v>
      </c>
      <c r="AV55" s="7" t="s">
        <v>675</v>
      </c>
      <c r="AW55" s="7" t="s">
        <v>700</v>
      </c>
      <c r="AX55" s="7" t="s">
        <v>681</v>
      </c>
      <c r="AY55" s="6" t="s">
        <v>673</v>
      </c>
    </row>
    <row r="56" spans="16:51" x14ac:dyDescent="0.5">
      <c r="P56" s="1" t="s">
        <v>554</v>
      </c>
      <c r="Q56" s="1" t="s">
        <v>679</v>
      </c>
      <c r="W56" s="1" t="s">
        <v>554</v>
      </c>
      <c r="X56" s="1" t="s">
        <v>679</v>
      </c>
      <c r="AA56" s="1" t="s">
        <v>720</v>
      </c>
      <c r="AB56" s="1" t="s">
        <v>790</v>
      </c>
      <c r="AU56" s="8"/>
      <c r="AV56" s="5" t="s">
        <v>586</v>
      </c>
      <c r="AW56" s="5" t="s">
        <v>708</v>
      </c>
      <c r="AX56" s="6" t="s">
        <v>568</v>
      </c>
      <c r="AY56" s="6" t="s">
        <v>687</v>
      </c>
    </row>
    <row r="57" spans="16:51" x14ac:dyDescent="0.5">
      <c r="P57" s="1" t="s">
        <v>791</v>
      </c>
      <c r="Q57" s="1" t="s">
        <v>687</v>
      </c>
      <c r="W57" s="1" t="s">
        <v>791</v>
      </c>
      <c r="X57" s="1" t="s">
        <v>687</v>
      </c>
      <c r="AA57" s="1" t="s">
        <v>375</v>
      </c>
      <c r="AB57" s="1" t="s">
        <v>792</v>
      </c>
      <c r="AV57" s="7" t="s">
        <v>654</v>
      </c>
      <c r="AW57" s="6" t="s">
        <v>380</v>
      </c>
      <c r="AX57" s="6" t="s">
        <v>584</v>
      </c>
      <c r="AY57" s="6" t="s">
        <v>737</v>
      </c>
    </row>
    <row r="58" spans="16:51" x14ac:dyDescent="0.5">
      <c r="P58" s="1" t="s">
        <v>376</v>
      </c>
      <c r="Q58" s="1" t="s">
        <v>377</v>
      </c>
      <c r="W58" s="1" t="s">
        <v>376</v>
      </c>
      <c r="X58" s="1" t="s">
        <v>377</v>
      </c>
      <c r="AA58" s="1" t="s">
        <v>554</v>
      </c>
      <c r="AB58" s="1" t="s">
        <v>763</v>
      </c>
      <c r="AV58" s="6" t="s">
        <v>606</v>
      </c>
      <c r="AW58" s="4"/>
      <c r="AX58" s="6" t="s">
        <v>593</v>
      </c>
      <c r="AY58" s="6" t="s">
        <v>708</v>
      </c>
    </row>
    <row r="59" spans="16:51" x14ac:dyDescent="0.5">
      <c r="P59" s="1" t="s">
        <v>776</v>
      </c>
      <c r="Q59" s="1" t="s">
        <v>793</v>
      </c>
      <c r="W59" s="1" t="s">
        <v>776</v>
      </c>
      <c r="X59" s="1" t="s">
        <v>793</v>
      </c>
      <c r="AA59" s="1" t="s">
        <v>794</v>
      </c>
      <c r="AB59" s="1" t="s">
        <v>380</v>
      </c>
      <c r="AU59" s="2"/>
      <c r="AV59" s="6" t="s">
        <v>676</v>
      </c>
      <c r="AW59" s="4"/>
      <c r="AX59" s="6" t="s">
        <v>366</v>
      </c>
      <c r="AY59" s="6" t="s">
        <v>757</v>
      </c>
    </row>
    <row r="60" spans="16:51" x14ac:dyDescent="0.5">
      <c r="P60" s="1" t="s">
        <v>780</v>
      </c>
      <c r="Q60" s="1" t="s">
        <v>744</v>
      </c>
      <c r="W60" s="1" t="s">
        <v>780</v>
      </c>
      <c r="X60" s="1" t="s">
        <v>744</v>
      </c>
      <c r="AA60" s="1" t="s">
        <v>731</v>
      </c>
      <c r="AB60" s="1" t="s">
        <v>795</v>
      </c>
      <c r="AV60" s="7" t="s">
        <v>665</v>
      </c>
      <c r="AW60" s="4"/>
      <c r="AX60" s="6" t="s">
        <v>106</v>
      </c>
      <c r="AY60" s="6"/>
    </row>
    <row r="61" spans="16:51" x14ac:dyDescent="0.5">
      <c r="P61" s="1" t="s">
        <v>575</v>
      </c>
      <c r="Q61" s="1" t="s">
        <v>691</v>
      </c>
      <c r="W61" s="1" t="s">
        <v>575</v>
      </c>
      <c r="X61" s="1" t="s">
        <v>691</v>
      </c>
      <c r="AA61" s="1" t="s">
        <v>796</v>
      </c>
      <c r="AB61" s="1" t="s">
        <v>381</v>
      </c>
      <c r="AV61" s="6" t="s">
        <v>570</v>
      </c>
      <c r="AW61" s="4"/>
      <c r="AX61" s="6" t="s">
        <v>644</v>
      </c>
      <c r="AY61" s="6"/>
    </row>
    <row r="62" spans="16:51" x14ac:dyDescent="0.5">
      <c r="P62" s="1" t="s">
        <v>738</v>
      </c>
      <c r="Q62" s="1" t="s">
        <v>708</v>
      </c>
      <c r="W62" s="1" t="s">
        <v>738</v>
      </c>
      <c r="X62" s="1" t="s">
        <v>708</v>
      </c>
      <c r="AA62" s="1" t="s">
        <v>787</v>
      </c>
      <c r="AB62" s="1" t="s">
        <v>382</v>
      </c>
      <c r="AV62" s="7" t="s">
        <v>634</v>
      </c>
      <c r="AW62" s="4"/>
      <c r="AX62" s="6" t="s">
        <v>652</v>
      </c>
      <c r="AY62" s="6"/>
    </row>
    <row r="63" spans="16:51" x14ac:dyDescent="0.5">
      <c r="P63" s="1" t="s">
        <v>587</v>
      </c>
      <c r="Q63" s="1" t="s">
        <v>381</v>
      </c>
      <c r="W63" s="1" t="s">
        <v>587</v>
      </c>
      <c r="X63" s="1" t="s">
        <v>381</v>
      </c>
      <c r="AA63" s="1" t="s">
        <v>797</v>
      </c>
      <c r="AU63" s="2"/>
      <c r="AV63" s="7" t="s">
        <v>694</v>
      </c>
      <c r="AW63" s="4"/>
      <c r="AX63" s="7" t="s">
        <v>661</v>
      </c>
      <c r="AY63" s="6"/>
    </row>
    <row r="64" spans="16:51" x14ac:dyDescent="0.5">
      <c r="Q64" s="1" t="s">
        <v>757</v>
      </c>
      <c r="X64" s="1" t="s">
        <v>757</v>
      </c>
      <c r="AA64" s="1" t="s">
        <v>798</v>
      </c>
      <c r="AV64" s="6" t="s">
        <v>371</v>
      </c>
      <c r="AW64" s="4"/>
      <c r="AX64" s="6" t="s">
        <v>372</v>
      </c>
      <c r="AY64" s="6"/>
    </row>
    <row r="65" spans="17:51" x14ac:dyDescent="0.5">
      <c r="Q65" s="1" t="s">
        <v>382</v>
      </c>
      <c r="X65" s="1" t="s">
        <v>382</v>
      </c>
      <c r="AA65" s="1" t="s">
        <v>679</v>
      </c>
      <c r="AV65" s="4" t="s">
        <v>674</v>
      </c>
      <c r="AW65" s="4"/>
      <c r="AX65" s="7" t="s">
        <v>624</v>
      </c>
      <c r="AY65" s="6"/>
    </row>
    <row r="66" spans="17:51" x14ac:dyDescent="0.5">
      <c r="Q66" s="1" t="s">
        <v>799</v>
      </c>
      <c r="X66" s="1" t="s">
        <v>799</v>
      </c>
      <c r="AA66" s="1" t="s">
        <v>800</v>
      </c>
      <c r="AV66" s="5" t="s">
        <v>625</v>
      </c>
      <c r="AW66" s="4"/>
      <c r="AX66" s="6" t="s">
        <v>630</v>
      </c>
      <c r="AY66" s="6"/>
    </row>
    <row r="67" spans="17:51" x14ac:dyDescent="0.5">
      <c r="AA67" s="1" t="s">
        <v>801</v>
      </c>
      <c r="AV67" s="7" t="s">
        <v>721</v>
      </c>
      <c r="AW67" s="4"/>
      <c r="AX67" s="6" t="s">
        <v>707</v>
      </c>
      <c r="AY67" s="6"/>
    </row>
    <row r="68" spans="17:51" x14ac:dyDescent="0.5">
      <c r="AA68" s="1" t="s">
        <v>802</v>
      </c>
      <c r="AV68" s="4" t="s">
        <v>688</v>
      </c>
      <c r="AW68" s="4"/>
      <c r="AX68" s="6" t="s">
        <v>643</v>
      </c>
      <c r="AY68" s="6"/>
    </row>
    <row r="69" spans="17:51" x14ac:dyDescent="0.5">
      <c r="AA69" s="1" t="s">
        <v>803</v>
      </c>
      <c r="AV69" s="6" t="s">
        <v>647</v>
      </c>
      <c r="AW69" s="4"/>
      <c r="AX69" s="6" t="s">
        <v>554</v>
      </c>
      <c r="AY69" s="6"/>
    </row>
    <row r="70" spans="17:51" x14ac:dyDescent="0.5">
      <c r="AA70" s="1" t="s">
        <v>763</v>
      </c>
      <c r="AV70" s="7" t="s">
        <v>733</v>
      </c>
      <c r="AW70" s="9"/>
      <c r="AX70" s="6" t="s">
        <v>711</v>
      </c>
      <c r="AY70" s="6"/>
    </row>
    <row r="71" spans="17:51" x14ac:dyDescent="0.5">
      <c r="AV71" s="6" t="s">
        <v>373</v>
      </c>
      <c r="AX71" s="6" t="s">
        <v>660</v>
      </c>
      <c r="AY71" s="6"/>
    </row>
    <row r="72" spans="17:51" x14ac:dyDescent="0.5">
      <c r="AV72" s="6" t="s">
        <v>664</v>
      </c>
      <c r="AX72" s="7" t="s">
        <v>717</v>
      </c>
      <c r="AY72" s="6"/>
    </row>
    <row r="73" spans="17:51" x14ac:dyDescent="0.5">
      <c r="AV73" s="7" t="s">
        <v>630</v>
      </c>
      <c r="AX73" s="6" t="s">
        <v>724</v>
      </c>
      <c r="AY73" s="6"/>
    </row>
    <row r="74" spans="17:51" x14ac:dyDescent="0.5">
      <c r="AV74" s="4" t="s">
        <v>701</v>
      </c>
      <c r="AX74" s="7" t="s">
        <v>662</v>
      </c>
      <c r="AY74" s="6"/>
    </row>
    <row r="75" spans="17:51" x14ac:dyDescent="0.5">
      <c r="AV75" s="5" t="s">
        <v>709</v>
      </c>
      <c r="AX75" s="6" t="s">
        <v>663</v>
      </c>
      <c r="AY75" s="6"/>
    </row>
    <row r="76" spans="17:51" x14ac:dyDescent="0.5">
      <c r="AV76" s="4" t="s">
        <v>712</v>
      </c>
      <c r="AX76" s="6" t="s">
        <v>683</v>
      </c>
      <c r="AY76" s="6"/>
    </row>
    <row r="77" spans="17:51" x14ac:dyDescent="0.5">
      <c r="AV77" s="7" t="s">
        <v>742</v>
      </c>
      <c r="AX77" s="7" t="s">
        <v>673</v>
      </c>
      <c r="AY77" s="6"/>
    </row>
    <row r="78" spans="17:51" x14ac:dyDescent="0.5">
      <c r="AV78" s="7" t="s">
        <v>662</v>
      </c>
      <c r="AX78" s="7" t="s">
        <v>699</v>
      </c>
      <c r="AY78" s="6"/>
    </row>
    <row r="79" spans="17:51" x14ac:dyDescent="0.5">
      <c r="AV79" s="6" t="s">
        <v>663</v>
      </c>
      <c r="AX79" s="6" t="s">
        <v>687</v>
      </c>
      <c r="AY79" s="6"/>
    </row>
    <row r="80" spans="17:51" x14ac:dyDescent="0.5">
      <c r="AV80" s="5" t="s">
        <v>718</v>
      </c>
      <c r="AX80" s="6" t="s">
        <v>737</v>
      </c>
      <c r="AY80" s="6"/>
    </row>
    <row r="81" spans="48:51" x14ac:dyDescent="0.5">
      <c r="AV81" s="7" t="s">
        <v>732</v>
      </c>
      <c r="AX81" s="7" t="s">
        <v>678</v>
      </c>
      <c r="AY81" s="7"/>
    </row>
    <row r="82" spans="48:51" x14ac:dyDescent="0.5">
      <c r="AV82" s="4" t="s">
        <v>725</v>
      </c>
      <c r="AX82" s="6" t="s">
        <v>684</v>
      </c>
      <c r="AY82" s="6"/>
    </row>
    <row r="83" spans="48:51" x14ac:dyDescent="0.5">
      <c r="AV83" s="6" t="s">
        <v>376</v>
      </c>
      <c r="AX83" s="7" t="s">
        <v>744</v>
      </c>
      <c r="AY83" s="7"/>
    </row>
    <row r="84" spans="48:51" x14ac:dyDescent="0.5">
      <c r="AV84" s="7" t="s">
        <v>729</v>
      </c>
      <c r="AX84" s="7" t="s">
        <v>691</v>
      </c>
      <c r="AY84" s="6"/>
    </row>
    <row r="85" spans="48:51" x14ac:dyDescent="0.5">
      <c r="AV85" s="4" t="s">
        <v>575</v>
      </c>
      <c r="AX85" s="6" t="s">
        <v>708</v>
      </c>
      <c r="AY85" s="6"/>
    </row>
    <row r="86" spans="48:51" x14ac:dyDescent="0.5">
      <c r="AV86" s="6" t="s">
        <v>738</v>
      </c>
      <c r="AX86" s="10" t="s">
        <v>757</v>
      </c>
      <c r="AY86" s="6"/>
    </row>
    <row r="87" spans="48:51" x14ac:dyDescent="0.5">
      <c r="AV87" s="7" t="s">
        <v>700</v>
      </c>
      <c r="AX87" s="7" t="s">
        <v>382</v>
      </c>
      <c r="AY87" s="10"/>
    </row>
    <row r="88" spans="48:51" x14ac:dyDescent="0.5">
      <c r="AV88" s="6" t="s">
        <v>380</v>
      </c>
      <c r="AX88" s="7"/>
    </row>
    <row r="89" spans="48:51" x14ac:dyDescent="0.5">
      <c r="AV89" s="7"/>
      <c r="AX89" s="7"/>
    </row>
    <row r="90" spans="48:51" x14ac:dyDescent="0.5">
      <c r="AV90" s="7"/>
      <c r="AX90" s="7"/>
    </row>
    <row r="91" spans="48:51" x14ac:dyDescent="0.5">
      <c r="AV91" s="6"/>
      <c r="AX91" s="7"/>
    </row>
    <row r="92" spans="48:51" x14ac:dyDescent="0.5">
      <c r="AV92" s="7"/>
      <c r="AX92" s="10"/>
    </row>
    <row r="93" spans="48:51" x14ac:dyDescent="0.5">
      <c r="AV93" s="7"/>
    </row>
    <row r="94" spans="48:51" x14ac:dyDescent="0.5">
      <c r="AV94" s="7"/>
    </row>
    <row r="95" spans="48:51" x14ac:dyDescent="0.5">
      <c r="AV95" s="7"/>
    </row>
    <row r="96" spans="48:51" x14ac:dyDescent="0.5">
      <c r="AV96" s="7"/>
    </row>
    <row r="97" spans="48:48" x14ac:dyDescent="0.5">
      <c r="AV97" s="6"/>
    </row>
    <row r="98" spans="48:48" x14ac:dyDescent="0.5">
      <c r="AV98" s="7"/>
    </row>
    <row r="99" spans="48:48" x14ac:dyDescent="0.5">
      <c r="AV99" s="7"/>
    </row>
    <row r="100" spans="48:48" x14ac:dyDescent="0.5">
      <c r="AV100" s="7"/>
    </row>
    <row r="101" spans="48:48" x14ac:dyDescent="0.5">
      <c r="AV101" s="7"/>
    </row>
    <row r="102" spans="48:48" x14ac:dyDescent="0.5">
      <c r="AV102" s="7"/>
    </row>
    <row r="103" spans="48:48" x14ac:dyDescent="0.5">
      <c r="AV103" s="5"/>
    </row>
    <row r="104" spans="48:48" x14ac:dyDescent="0.5">
      <c r="AV104" s="7"/>
    </row>
    <row r="105" spans="48:48" x14ac:dyDescent="0.5">
      <c r="AV105" s="7"/>
    </row>
    <row r="106" spans="48:48" x14ac:dyDescent="0.5">
      <c r="AV106" s="7"/>
    </row>
    <row r="107" spans="48:48" x14ac:dyDescent="0.5">
      <c r="AV107" s="7"/>
    </row>
    <row r="108" spans="48:48" x14ac:dyDescent="0.5">
      <c r="AV108" s="10"/>
    </row>
  </sheetData>
  <sortState xmlns:xlrd2="http://schemas.microsoft.com/office/spreadsheetml/2017/richdata2" ref="AU6:AU66">
    <sortCondition ref="AU5:AU66"/>
  </sortState>
  <mergeCells count="10">
    <mergeCell ref="L2:Q2"/>
    <mergeCell ref="S2:X2"/>
    <mergeCell ref="Y2:AB2"/>
    <mergeCell ref="AC2:AG2"/>
    <mergeCell ref="AL2:AQ2"/>
    <mergeCell ref="AL3:AN3"/>
    <mergeCell ref="AO3:AQ3"/>
    <mergeCell ref="AT1:AY1"/>
    <mergeCell ref="S1:AG1"/>
    <mergeCell ref="AL1:AQ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0d3609084ddb063b5cee30209fffb50e">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9a35c40912acb536c870627743568d9d"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570A3-B631-40CC-B5FB-755C6CEBE026}">
  <ds:schemaRefs>
    <ds:schemaRef ds:uri="http://schemas.microsoft.com/office/2006/metadata/properties"/>
    <ds:schemaRef ds:uri="http://schemas.microsoft.com/office/infopath/2007/PartnerControls"/>
    <ds:schemaRef ds:uri="5fb26c54-8ae7-4c35-a8dd-e5095fbe886d"/>
    <ds:schemaRef ds:uri="91d06b0e-e43f-423b-9ab9-9a6b45a2a239"/>
  </ds:schemaRefs>
</ds:datastoreItem>
</file>

<file path=customXml/itemProps2.xml><?xml version="1.0" encoding="utf-8"?>
<ds:datastoreItem xmlns:ds="http://schemas.openxmlformats.org/officeDocument/2006/customXml" ds:itemID="{701C3B80-C494-4A7E-8EE1-70DEC22B7EE3}">
  <ds:schemaRefs>
    <ds:schemaRef ds:uri="http://schemas.microsoft.com/sharepoint/v3/contenttype/forms"/>
  </ds:schemaRefs>
</ds:datastoreItem>
</file>

<file path=customXml/itemProps3.xml><?xml version="1.0" encoding="utf-8"?>
<ds:datastoreItem xmlns:ds="http://schemas.openxmlformats.org/officeDocument/2006/customXml" ds:itemID="{0F910BB2-4983-4EC1-BFA0-F4A6FD8A56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91d06b0e-e43f-423b-9ab9-9a6b45a2a2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120</vt:i4>
      </vt:variant>
    </vt:vector>
  </HeadingPairs>
  <TitlesOfParts>
    <vt:vector size="127" baseType="lpstr">
      <vt:lpstr>Paso1 Analisis perfil egreso</vt:lpstr>
      <vt:lpstr>Paso 2 Redacción competen</vt:lpstr>
      <vt:lpstr>Paso 3 Redacción RA </vt:lpstr>
      <vt:lpstr>Paso 4 Estrategias mesocurricu</vt:lpstr>
      <vt:lpstr>Paso 5 Estrategias micro</vt:lpstr>
      <vt:lpstr>Taxonomia para Competencias</vt:lpstr>
      <vt:lpstr>Taxonomias para RA</vt:lpstr>
      <vt:lpstr>'Paso 5 Estrategias micro'!actitudinalB</vt:lpstr>
      <vt:lpstr>actitudinalB</vt:lpstr>
      <vt:lpstr>ActitudinalBAK</vt:lpstr>
      <vt:lpstr>'Paso 5 Estrategias micro'!AK</vt:lpstr>
      <vt:lpstr>AK</vt:lpstr>
      <vt:lpstr>'Paso 5 Estrategias micro'!AnálisisAK</vt:lpstr>
      <vt:lpstr>AnálisisAK</vt:lpstr>
      <vt:lpstr>'Paso 5 Estrategias micro'!AnálisisB</vt:lpstr>
      <vt:lpstr>AnálisisB</vt:lpstr>
      <vt:lpstr>'Paso 5 Estrategias micro'!AnálisisBAK</vt:lpstr>
      <vt:lpstr>AnálisisBAK</vt:lpstr>
      <vt:lpstr>'Paso 5 Estrategias micro'!AnalizarLK</vt:lpstr>
      <vt:lpstr>AnalizarLK</vt:lpstr>
      <vt:lpstr>'Paso 5 Estrategias micro'!AplicaciónB</vt:lpstr>
      <vt:lpstr>AplicaciónB</vt:lpstr>
      <vt:lpstr>'Paso 5 Estrategias micro'!AplicaciónBAK</vt:lpstr>
      <vt:lpstr>AplicaciónBAK</vt:lpstr>
      <vt:lpstr>'Paso 5 Estrategias micro'!AplicarLK</vt:lpstr>
      <vt:lpstr>AplicarLK</vt:lpstr>
      <vt:lpstr>'Paso 5 Estrategias micro'!áreasprofesionales</vt:lpstr>
      <vt:lpstr>áreasprofesionales</vt:lpstr>
      <vt:lpstr>'Paso 5 Estrategias micro'!BAK</vt:lpstr>
      <vt:lpstr>BAK</vt:lpstr>
      <vt:lpstr>Bloom</vt:lpstr>
      <vt:lpstr>'Paso 5 Estrategias micro'!CaracterizarBAK</vt:lpstr>
      <vt:lpstr>CaracterizarBAK</vt:lpstr>
      <vt:lpstr>'Paso 5 Estrategias micro'!Cognitivo</vt:lpstr>
      <vt:lpstr>Cognitivo</vt:lpstr>
      <vt:lpstr>'Paso 5 Estrategias micro'!cognitivoB</vt:lpstr>
      <vt:lpstr>cognitivoB</vt:lpstr>
      <vt:lpstr>CognitivoBAK</vt:lpstr>
      <vt:lpstr>competencias</vt:lpstr>
      <vt:lpstr>ComprenderLK</vt:lpstr>
      <vt:lpstr>'Paso 5 Estrategias micro'!ComprensiónAK</vt:lpstr>
      <vt:lpstr>ComprensiónAK</vt:lpstr>
      <vt:lpstr>'Paso 5 Estrategias micro'!ComprensionB</vt:lpstr>
      <vt:lpstr>ComprensionB</vt:lpstr>
      <vt:lpstr>'Paso 5 Estrategias micro'!ComprensiónBAK</vt:lpstr>
      <vt:lpstr>ComprensiónBAK</vt:lpstr>
      <vt:lpstr>'Paso 5 Estrategias micro'!ConceptosLK</vt:lpstr>
      <vt:lpstr>ConceptosLK</vt:lpstr>
      <vt:lpstr>'Paso 5 Estrategias micro'!ConocimientoB</vt:lpstr>
      <vt:lpstr>ConocimientoB</vt:lpstr>
      <vt:lpstr>'Paso 5 Estrategias micro'!ConocimientoBAK</vt:lpstr>
      <vt:lpstr>ConocimientoBAK</vt:lpstr>
      <vt:lpstr>'Paso 5 Estrategias micro'!Conocimientos</vt:lpstr>
      <vt:lpstr>Conocimientos</vt:lpstr>
      <vt:lpstr>'Paso 5 Estrategias micro'!ControlBAK</vt:lpstr>
      <vt:lpstr>ControlBAK</vt:lpstr>
      <vt:lpstr>'Paso 5 Estrategias micro'!CrearLK</vt:lpstr>
      <vt:lpstr>CrearLK</vt:lpstr>
      <vt:lpstr>dominios</vt:lpstr>
      <vt:lpstr>'Paso 5 Estrategias micro'!EvaluaciónB</vt:lpstr>
      <vt:lpstr>EvaluaciónB</vt:lpstr>
      <vt:lpstr>'Paso 5 Estrategias micro'!EvaluaciónBAK</vt:lpstr>
      <vt:lpstr>EvaluaciónBAK</vt:lpstr>
      <vt:lpstr>EvaluarLK</vt:lpstr>
      <vt:lpstr>'Paso 5 Estrategias micro'!HechosLK</vt:lpstr>
      <vt:lpstr>HechosLK</vt:lpstr>
      <vt:lpstr>'Paso 5 Estrategias micro'!ImitaciónBAK</vt:lpstr>
      <vt:lpstr>ImitaciónBAK</vt:lpstr>
      <vt:lpstr>'Paso 5 Estrategias micro'!InformaciónAK</vt:lpstr>
      <vt:lpstr>InformaciónAK</vt:lpstr>
      <vt:lpstr>'Paso 5 Estrategias micro'!LK</vt:lpstr>
      <vt:lpstr>LK</vt:lpstr>
      <vt:lpstr>'Paso 5 Estrategias micro'!ManipulaciónBAK</vt:lpstr>
      <vt:lpstr>ManipulaciónBAK</vt:lpstr>
      <vt:lpstr>'Paso 5 Estrategias micro'!MetacogniciónAK</vt:lpstr>
      <vt:lpstr>MetacogniciónAK</vt:lpstr>
      <vt:lpstr>'Paso 5 Estrategias micro'!MetacogniciónLK</vt:lpstr>
      <vt:lpstr>MetacogniciónLK</vt:lpstr>
      <vt:lpstr>'Paso 5 Estrategias micro'!MetocogniciónAK</vt:lpstr>
      <vt:lpstr>MetocogniciónAK</vt:lpstr>
      <vt:lpstr>ocupacional</vt:lpstr>
      <vt:lpstr>'Paso 5 Estrategias micro'!OrganizarBAK</vt:lpstr>
      <vt:lpstr>OrganizarBAK</vt:lpstr>
      <vt:lpstr>PercepciónBAK</vt:lpstr>
      <vt:lpstr>'Paso 5 Estrategias micro'!poblacionactuacion</vt:lpstr>
      <vt:lpstr>poblacionactuacion</vt:lpstr>
      <vt:lpstr>'Paso 5 Estrategias micro'!poblaciones</vt:lpstr>
      <vt:lpstr>poblaciones</vt:lpstr>
      <vt:lpstr>'Paso 5 Estrategias micro'!poblacionesactuación</vt:lpstr>
      <vt:lpstr>poblacionesactuación</vt:lpstr>
      <vt:lpstr>'Paso 5 Estrategias micro'!PrecisiónBAK</vt:lpstr>
      <vt:lpstr>PrecisiónBAK</vt:lpstr>
      <vt:lpstr>'Paso 5 Estrategias micro'!procedimentalB</vt:lpstr>
      <vt:lpstr>procedimentalB</vt:lpstr>
      <vt:lpstr>ProcedimentalBAK</vt:lpstr>
      <vt:lpstr>'Paso 5 Estrategias micro'!ProcedimientosLK</vt:lpstr>
      <vt:lpstr>ProcedimientosLK</vt:lpstr>
      <vt:lpstr>'Paso 5 Estrategias micro'!ProcesosAK</vt:lpstr>
      <vt:lpstr>ProcesosAK</vt:lpstr>
      <vt:lpstr>'Paso 5 Estrategias micro'!PsicomotorAK</vt:lpstr>
      <vt:lpstr>PsicomotorAK</vt:lpstr>
      <vt:lpstr>RecordarLK</vt:lpstr>
      <vt:lpstr>RecuperaciónAK</vt:lpstr>
      <vt:lpstr>'Paso 5 Estrategias micro'!ResponderBAK</vt:lpstr>
      <vt:lpstr>ResponderBAK</vt:lpstr>
      <vt:lpstr>resultadoaprendizaje</vt:lpstr>
      <vt:lpstr>Saber</vt:lpstr>
      <vt:lpstr>'Paso 5 Estrategias micro'!Saberhacer</vt:lpstr>
      <vt:lpstr>Saberhacer</vt:lpstr>
      <vt:lpstr>'Paso 5 Estrategias micro'!saberser</vt:lpstr>
      <vt:lpstr>saberser</vt:lpstr>
      <vt:lpstr>'Paso 5 Estrategias micro'!SíntesisB</vt:lpstr>
      <vt:lpstr>SíntesisB</vt:lpstr>
      <vt:lpstr>'Paso 5 Estrategias micro'!SíntesisBAK</vt:lpstr>
      <vt:lpstr>SíntesisBAK</vt:lpstr>
      <vt:lpstr>'Paso 5 Estrategias micro'!tareas</vt:lpstr>
      <vt:lpstr>tareas</vt:lpstr>
      <vt:lpstr>'Paso 5 Estrategias micro'!tareasprofesionales</vt:lpstr>
      <vt:lpstr>tareasprofesionales</vt:lpstr>
      <vt:lpstr>'Paso 5 Estrategias micro'!taxonomiasra</vt:lpstr>
      <vt:lpstr>taxonomiasra</vt:lpstr>
      <vt:lpstr>UsoConocimientoAK</vt:lpstr>
      <vt:lpstr>'Paso 5 Estrategias micro'!Valoragregado</vt:lpstr>
      <vt:lpstr>Valoragregado</vt:lpstr>
      <vt:lpstr>'Paso 5 Estrategias micro'!ValorarBAK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2026-04-21T20:17:08Z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