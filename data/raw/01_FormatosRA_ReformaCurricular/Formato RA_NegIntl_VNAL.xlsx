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4319" documentId="13_ncr:1_{D69AA465-0F16-4CD4-A28F-76D6A3A07DF5}" xr6:coauthVersionLast="47" xr6:coauthVersionMax="47" xr10:uidLastSave="{829BDAB7-545F-4E7B-BEE1-B917AA73E1AB}"/>
  <bookViews>
    <workbookView xWindow="-110" yWindow="-110" windowWidth="19420" windowHeight="10300" firstSheet="2"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 r:id="rId9"/>
  </externalReferences>
  <definedNames>
    <definedName name="_xlnm._FilterDatabase" localSheetId="2" hidden="1">'Paso 3 Redacción RA '!$A$2:$I$15</definedName>
    <definedName name="_xlnm._FilterDatabase" localSheetId="3" hidden="1">'Paso 4 Estrategias mesocurricu'!$A$2:$E$16</definedName>
    <definedName name="_xlnm._FilterDatabase" localSheetId="4" hidden="1">'Paso 5 Estrategias micro'!$A$1:$Q$158</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4" i="10" l="1"/>
  <c r="L153" i="10"/>
  <c r="L152" i="10"/>
  <c r="L151" i="10"/>
  <c r="L146" i="10"/>
  <c r="L141" i="10"/>
  <c r="L136" i="10"/>
  <c r="L132" i="10"/>
  <c r="L127" i="10"/>
  <c r="L122" i="10"/>
  <c r="L117" i="10"/>
  <c r="L113" i="10"/>
  <c r="L108" i="10"/>
  <c r="L103" i="10"/>
  <c r="L98" i="10"/>
  <c r="L94" i="10"/>
  <c r="L89" i="10"/>
  <c r="L84" i="10"/>
  <c r="L79" i="10"/>
  <c r="L74" i="10"/>
  <c r="L73" i="10"/>
  <c r="L69" i="10"/>
  <c r="L64" i="10"/>
  <c r="L60" i="10"/>
  <c r="L55" i="10"/>
  <c r="L54" i="10"/>
  <c r="L50" i="10"/>
  <c r="L49" i="10"/>
  <c r="L45" i="10"/>
  <c r="L40" i="10"/>
  <c r="L35" i="10"/>
  <c r="L34" i="10"/>
  <c r="L31" i="10"/>
  <c r="L27" i="10"/>
  <c r="L23" i="10"/>
  <c r="L18" i="10"/>
  <c r="L15" i="10"/>
  <c r="L14" i="10"/>
  <c r="L13" i="10"/>
  <c r="L9" i="10"/>
  <c r="L6" i="10"/>
  <c r="L3" i="10"/>
  <c r="K154" i="10"/>
  <c r="K153" i="10"/>
  <c r="K152" i="10"/>
  <c r="K151" i="10"/>
  <c r="K146" i="10"/>
  <c r="K141" i="10"/>
  <c r="K136" i="10"/>
  <c r="K132" i="10"/>
  <c r="K127" i="10"/>
  <c r="K122" i="10"/>
  <c r="K117" i="10"/>
  <c r="K113" i="10"/>
  <c r="K108" i="10"/>
  <c r="K103" i="10"/>
  <c r="K98" i="10"/>
  <c r="K94" i="10"/>
  <c r="K89" i="10"/>
  <c r="K84" i="10"/>
  <c r="K79" i="10"/>
  <c r="K74" i="10"/>
  <c r="K73" i="10"/>
  <c r="K69" i="10"/>
  <c r="K64" i="10"/>
  <c r="K60" i="10"/>
  <c r="K55" i="10"/>
  <c r="K54" i="10"/>
  <c r="K50" i="10"/>
  <c r="K49" i="10"/>
  <c r="K45" i="10"/>
  <c r="K40" i="10"/>
  <c r="K35" i="10"/>
  <c r="K34" i="10"/>
  <c r="K31" i="10"/>
  <c r="K27" i="10"/>
  <c r="K23" i="10"/>
  <c r="K18" i="10"/>
  <c r="K15" i="10"/>
  <c r="K14" i="10"/>
  <c r="K13" i="10"/>
  <c r="K9" i="10"/>
  <c r="K6" i="10"/>
  <c r="K3" i="10"/>
  <c r="A27" i="10"/>
  <c r="A50" i="10"/>
  <c r="M50" i="10" l="1"/>
  <c r="M27" i="10"/>
  <c r="A56" i="10" l="1"/>
  <c r="A57" i="10"/>
  <c r="A58" i="10"/>
  <c r="A59" i="10"/>
  <c r="A55" i="10"/>
  <c r="A53" i="10"/>
  <c r="J155" i="10" l="1"/>
  <c r="K155" i="10" s="1"/>
  <c r="J157" i="10"/>
  <c r="K157" i="10" s="1"/>
  <c r="D155" i="10"/>
  <c r="A73" i="10"/>
  <c r="A54" i="10"/>
  <c r="A49" i="10"/>
  <c r="A34" i="10"/>
  <c r="A14" i="10"/>
  <c r="A13" i="10"/>
  <c r="A150" i="10"/>
  <c r="A149" i="10"/>
  <c r="A148" i="10"/>
  <c r="A147" i="10"/>
  <c r="A146" i="10"/>
  <c r="A140" i="10"/>
  <c r="A139" i="10"/>
  <c r="A138" i="10"/>
  <c r="A137" i="10"/>
  <c r="A136" i="10"/>
  <c r="A145" i="10"/>
  <c r="A144" i="10"/>
  <c r="A143" i="10"/>
  <c r="A142" i="10"/>
  <c r="A141" i="10"/>
  <c r="A135" i="10"/>
  <c r="A134" i="10"/>
  <c r="A133" i="10"/>
  <c r="A132" i="10"/>
  <c r="A131" i="10"/>
  <c r="A130" i="10"/>
  <c r="A129" i="10"/>
  <c r="A128" i="10"/>
  <c r="A127" i="10"/>
  <c r="A126" i="10"/>
  <c r="A125" i="10"/>
  <c r="A124" i="10"/>
  <c r="A123" i="10"/>
  <c r="A122" i="10"/>
  <c r="A116" i="10"/>
  <c r="A115" i="10"/>
  <c r="A114" i="10"/>
  <c r="A113" i="10"/>
  <c r="A112" i="10"/>
  <c r="A111" i="10"/>
  <c r="A110" i="10"/>
  <c r="A109" i="10"/>
  <c r="A108" i="10"/>
  <c r="A102" i="10"/>
  <c r="A101" i="10"/>
  <c r="A100" i="10"/>
  <c r="A99" i="10"/>
  <c r="A98" i="10"/>
  <c r="A88" i="10"/>
  <c r="A87" i="10"/>
  <c r="A86" i="10"/>
  <c r="A85" i="10"/>
  <c r="A84" i="10"/>
  <c r="A107" i="10"/>
  <c r="A106" i="10"/>
  <c r="A105" i="10"/>
  <c r="A104" i="10"/>
  <c r="A103" i="10"/>
  <c r="A93" i="10"/>
  <c r="A92" i="10"/>
  <c r="A91" i="10"/>
  <c r="A90" i="10"/>
  <c r="A89" i="10"/>
  <c r="A97" i="10"/>
  <c r="A96" i="10"/>
  <c r="A95" i="10"/>
  <c r="A94" i="10"/>
  <c r="A121" i="10"/>
  <c r="A120" i="10"/>
  <c r="A119" i="10"/>
  <c r="A118" i="10"/>
  <c r="A117" i="10"/>
  <c r="A83" i="10"/>
  <c r="A82" i="10"/>
  <c r="A81" i="10"/>
  <c r="A80" i="10"/>
  <c r="A79" i="10"/>
  <c r="A39" i="10"/>
  <c r="A38" i="10"/>
  <c r="A37" i="10"/>
  <c r="A36" i="10"/>
  <c r="A35" i="10"/>
  <c r="A72" i="10"/>
  <c r="A71" i="10"/>
  <c r="A70" i="10"/>
  <c r="A69" i="10"/>
  <c r="A63" i="10"/>
  <c r="A62" i="10"/>
  <c r="A61" i="10"/>
  <c r="A60" i="10"/>
  <c r="A78" i="10"/>
  <c r="A77" i="10"/>
  <c r="A76" i="10"/>
  <c r="A75" i="10"/>
  <c r="A74" i="10"/>
  <c r="A68" i="10"/>
  <c r="A67" i="10"/>
  <c r="A66" i="10"/>
  <c r="A65" i="10"/>
  <c r="A64" i="10"/>
  <c r="A52" i="10"/>
  <c r="A51" i="10"/>
  <c r="A48" i="10"/>
  <c r="A47" i="10"/>
  <c r="A46" i="10"/>
  <c r="A45" i="10"/>
  <c r="A44" i="10"/>
  <c r="A43" i="10"/>
  <c r="A42" i="10"/>
  <c r="A41" i="10"/>
  <c r="A40" i="10"/>
  <c r="A30" i="10"/>
  <c r="A29" i="10"/>
  <c r="A28" i="10"/>
  <c r="A33" i="10"/>
  <c r="A32" i="10"/>
  <c r="A31" i="10"/>
  <c r="A26" i="10"/>
  <c r="A25" i="10"/>
  <c r="A24" i="10"/>
  <c r="A23" i="10"/>
  <c r="A22" i="10"/>
  <c r="A21" i="10"/>
  <c r="A20" i="10"/>
  <c r="A19" i="10"/>
  <c r="A18" i="10"/>
  <c r="A17" i="10"/>
  <c r="A16" i="10"/>
  <c r="A15" i="10"/>
  <c r="A12" i="10"/>
  <c r="A11" i="10"/>
  <c r="A10" i="10"/>
  <c r="A9" i="10"/>
  <c r="A7" i="10"/>
  <c r="A8" i="10"/>
  <c r="A6" i="10"/>
  <c r="A4" i="10"/>
  <c r="A5" i="10"/>
  <c r="A3" i="10"/>
  <c r="J158" i="10"/>
  <c r="K158" i="10" s="1"/>
  <c r="J156" i="10"/>
  <c r="K156" i="10" s="1"/>
  <c r="L155" i="10" l="1" a="1"/>
  <c r="L155" i="10" s="1"/>
  <c r="M9" i="10" l="1"/>
  <c r="M23" i="10"/>
  <c r="M64" i="10"/>
  <c r="M69" i="10"/>
  <c r="M117" i="10"/>
  <c r="M103" i="10"/>
  <c r="M84" i="10"/>
  <c r="M98" i="10"/>
  <c r="M127" i="10"/>
  <c r="M108" i="10"/>
  <c r="M31" i="10"/>
  <c r="M3" i="10"/>
  <c r="M15" i="10"/>
  <c r="M136" i="10"/>
  <c r="M151" i="10"/>
  <c r="M6" i="10"/>
  <c r="M18" i="10"/>
  <c r="M60" i="10"/>
  <c r="M79" i="10"/>
  <c r="M152" i="10"/>
  <c r="M74" i="10"/>
  <c r="M35" i="10"/>
  <c r="M89" i="10"/>
  <c r="M122" i="10"/>
  <c r="M141" i="10"/>
  <c r="M154" i="10"/>
  <c r="M40" i="10"/>
  <c r="M45" i="10"/>
  <c r="M146" i="10"/>
  <c r="M73" i="10"/>
  <c r="M94" i="10"/>
  <c r="M113" i="10"/>
  <c r="M132" i="10"/>
  <c r="M153" i="10"/>
  <c r="M49" i="10" l="1"/>
  <c r="M54" i="10"/>
  <c r="M34" i="10"/>
  <c r="M14" i="10"/>
  <c r="M1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tc={52323564-B7DA-4226-9AD3-8895C0D9D3E4}</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 ref="J40" authorId="1" shapeId="0" xr:uid="{52323564-B7DA-4226-9AD3-8895C0D9D3E4}">
      <text>
        <t>[Comentario encadenado]
Su versión de Excel le permite leer este comentario encadenado; sin embargo, las ediciones que se apliquen se quitarán si el archivo se abre en una versión más reciente de Excel. Más información: https://go.microsoft.com/fwlink/?linkid=870924
Comentario:
    En Banner esta de dos créditos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<sst xmlns="http://schemas.openxmlformats.org/spreadsheetml/2006/main" count="2402" uniqueCount="788">
  <si>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</si>
  <si>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</si>
  <si>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</si>
  <si>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</si>
  <si>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</si>
  <si>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</si>
  <si>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</si>
  <si>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</si>
  <si>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</si>
  <si>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</si>
  <si>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</si>
  <si>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</si>
  <si>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</si>
  <si>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</si>
  <si>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</si>
  <si>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</si>
  <si>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</si>
  <si>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</si>
  <si>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Negocios Internacionales</t>
  </si>
  <si>
    <t>Presencial</t>
  </si>
  <si>
    <t>Nuestro egresado del Programa de Negocios Internacionales es profesional con conocimientos en logística, finanzas globales y gestión de los negocios internacionales.  Además, domina la legislación comercial internacional, la investigación de mercados y las relaciones internacionales. Con esta formación se destaca en la dirección estratégica, el emprendimiento y la solución de problemáticas, facilitando el intercambio de bienes y servicios a nivel mundial. Lidera la expansión internacional de las organizaciones, analizando los datos del entorno económico para tomar decisiones basadas en regulaciones actualizadas y gestionar los recursos, garantizando su viabilidad y su crecimiento sostenible.</t>
  </si>
  <si>
    <t xml:space="preserve">Las oportunidades de desempeño laboral del Profesional en Negocios Internacionales son muy amplias, con acceso a diferentes posiciones públicas y privadas, en organizaciones nacionales e internacionales. Los profesionales en negocios internacionales serán capaces de desempeñarse como asesores, analistas, investigadores o líderes en el campo de los negocios y comercio internacional, la logística y la gerencia empresarial, tanto en el ámbito nacional como internacional.
</t>
  </si>
  <si>
    <t>Legislación y políticas de los negocios y las relaciones internacionales</t>
  </si>
  <si>
    <t xml:space="preserve">aplicar en la proyección y gestión de procesos y procedimientos de operaciones de negociación y comercio </t>
  </si>
  <si>
    <t>orientados al manejo sostenible de los recursos, en el marco de la mediación de las controversias, según el entorno político y económico, el contexto social y las necesidades del sector.</t>
  </si>
  <si>
    <t>Dirección de Comercio Exterior/Departamento de Logística y Aduanas/Gestión de Expansión Internacional/Inteligencia de Mercados Globales/Sector Público y Diplomacia/Dirección de Comercio Exterior y Negociaciones Internacionales/Departamento de Relaciones/Área de Gestión de Tratados y Acuerdos Comerciales/Área Representación en Organismos Multilaterales/Área de Estrategia y Expansión de Negocios Internacionales/Área de Gestión y Cumplimiento de Normativas Comerciales/
Unidad de Evaluación de Riesgos y Oportunidades Globales/Área de Optimización de Procesos de Comercio Exterior/Unidad de Análisis de Mercados y Comercio Internacional/Unidad de Estudios sobre Integración Económica y Globalización/Unidad de Desarrollo de Políticas de Comercio y Relaciones Internacionales/Unidad de Innovación en Modelos de Negocios Internacionales</t>
  </si>
  <si>
    <t>Diseñar estrategias para la expansión internacional/Gestionar relaciones con clientes y proveedores internacionales/Supervisar el cumplimiento de normativas comerciales en mercados globales/Coordinar la cadena de suministro y distribución internacional/Asegurar el cumplimiento de regulaciones aduaneras en exportaciones e importaciones.Identificar oportunidades de mercado para la internacionalización de la empresa/Realizar estudios de viabilidad y riesgos en nuevos mercados/
Diseñar modelos de negocio adaptados a las condiciones económicas y regulatorias de cada país/Analizar tendencias económicas y comerciales a nivel internacional/Evaluar la competencia en mercados extranjeros y desarrollar estrategias de posicionamiento/Utilizar herramientas de análisis de datos para tomar decisiones basadas en información estratégica/Operaciones de soporte en entidades Gubernamentales/Operaciones de negociación y soporte en instituciones privadas/Operaciones de negociación y soporte en empresas</t>
  </si>
  <si>
    <t>Ministerio de Comercio, Industria y Turismo, DIAN, INVIMA, ICA, Proexport, Bancóldex/Agencias de aduanas, almacenes generales de depósito, depósitos habilitados, agentes de carga internacional, sociedades regionales portuarias, transportadores internacionales/Exportadoras, importadores, industrias nacionales, entidades financieras, compañías de financiamiento comercial, corredores de bolsa, inversionistas, zonas francas/Sector Empresarial (Corporaciones y Multinacionales)</t>
  </si>
  <si>
    <t>El profesional en Negocios Internacionales se destaca por su enfoque global en la creación y expansión de empresas, identificando oportunidades de internacionalización en el sector servicios. Su capacidad para gestionar entornos dinámicos le permite integrar factores culturales, políticos y económicos en la toma de decisiones estratégicas. Además, lidera equipos multiculturales y diseña estrategias sostenibles que fortalecen la competitividad y el posicionamiento global de las organizaciones.</t>
  </si>
  <si>
    <t xml:space="preserve">Logística, distribución física  y modos de prestación de comercio de servicios internacionales </t>
  </si>
  <si>
    <t>desarrollar operaciones de intercambio de bienes y servicios en actores ubicados en distintos países</t>
  </si>
  <si>
    <t>orientando la toma decisiones según la normatividad nacional e internacional.</t>
  </si>
  <si>
    <t>Investigación de mercados</t>
  </si>
  <si>
    <t>tomar decisiones estratégicas en el ámbito de las operaciones internaciones para las organizaciones,</t>
  </si>
  <si>
    <t>teniendo en cuenta el entorno económico, las técnicas de negociación internacional y las herramientas tecnológicas para el análisis y el manejo de la información.</t>
  </si>
  <si>
    <t xml:space="preserve">Gestión de Negocios Internacionales </t>
  </si>
  <si>
    <t xml:space="preserve">liderar la internacionalización de las organizaciones </t>
  </si>
  <si>
    <t>garantizando la administración de los recursos (humanos, financieros y tecnológicos), la viabilidad financiera y la planeación estratégica.</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</si>
  <si>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</si>
  <si>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</si>
  <si>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</si>
  <si>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</si>
  <si>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</si>
  <si>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</si>
  <si>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</si>
  <si>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</si>
  <si>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</si>
  <si>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</si>
  <si>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</si>
  <si>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</si>
  <si>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</si>
  <si>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</si>
  <si>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</si>
  <si>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</si>
  <si>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</si>
  <si>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</si>
  <si>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Dominar</t>
  </si>
  <si>
    <t>Dominar la legislación y las políticas de los negocios y las relaciones internacionales para aplicarlas en la proyección y gestión de procesos y procedimientos de operaciones de negociación y comercio orientados al manejo sostenible de los recursos, en el marco de la mediación de las controversias, según el entorno político y económico, el contexto social y las necesidades del sector.</t>
  </si>
  <si>
    <t>Específica</t>
  </si>
  <si>
    <t>Gestionar</t>
  </si>
  <si>
    <t>Gestionar los procedimientos logísticos y de distribución física, así como los modos de prestación de comercio de servicios internacionales para desarrollar operaciones de intercambio de bienes y servicios, con actores ubicados en distintos países, orientando la toma decisiones según la normatividad nacional e internacional.</t>
  </si>
  <si>
    <t>Desarrollar</t>
  </si>
  <si>
    <t>teniendo encuentra el entorno económico, las técnicas de negociación internacional y las herramientas tecnológicas para el análisis y el manejo de la información.</t>
  </si>
  <si>
    <t>Desarrollar procesos de investigación de mercados para tomar decisiones estratégicas en el ámbito de las operaciones internaciones para las organizaciones, teniendo en cuenta el entorno económico, las técnicas de negociación internacional y las herramientas tecnológicas para el análisis y el manejo de la información.</t>
  </si>
  <si>
    <t>Dirigir</t>
  </si>
  <si>
    <t>Dirigir la gestión de los negocios internacionales para liderar la internacionalización de las organizaciones garantizando la administración de los recursos (humanos, financieros y tecnológicos), la viabilidad financiera y la planeación estratégica.</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</si>
  <si>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</si>
  <si>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</si>
  <si>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</si>
  <si>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</si>
  <si>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</si>
  <si>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</si>
  <si>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</si>
  <si>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</si>
  <si>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</si>
  <si>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</si>
  <si>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</si>
  <si>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</si>
  <si>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</si>
  <si>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</si>
  <si>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</si>
  <si>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</si>
  <si>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</si>
  <si>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</si>
  <si>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</si>
  <si>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</si>
  <si>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</si>
  <si>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</si>
  <si>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</si>
  <si>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</si>
  <si>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Reconocer</t>
  </si>
  <si>
    <t>Reconoce las políticas internacionales, los procedimientos aduaneros, tributarios, logísticos y cambiarios de las exportaciones e importaciones, y los modos de prestación de comercio de servicios internacionales, para analizar, de forma estratégica y contextualizada, las dinámicas de relacionamiento de los negocios internacionales.</t>
  </si>
  <si>
    <t>ProcedimentalBAK</t>
  </si>
  <si>
    <t>PrecisiónBAK</t>
  </si>
  <si>
    <t>Proponer</t>
  </si>
  <si>
    <t>Propone estrategias de negociación internacional para diseñar soluciones a problemas de las controversias que emergen del relacionamiento o en la gestión de la cadena logística y de distribución física internacional, según el tipo de organización y su objeto social.</t>
  </si>
  <si>
    <t>Dominar la legislación y las políticas de los negocios y las relaciones internacionales para aplicarlas en la proyección y gestión de procesos y procedimientos de operaciones de negociación y comercio orientados al manejo sostenible de los recursos, en el marco de la mediación de las controversias, según el entorno político, el contexto social y las necesidades del sector.</t>
  </si>
  <si>
    <t>ActitudinalBAK</t>
  </si>
  <si>
    <t>ResponderBAK</t>
  </si>
  <si>
    <t>Aplicar</t>
  </si>
  <si>
    <t>Aplica técnicas de negociación internacional, a partir del análisis de información y la investigación de mercados, para tomar decisiones de acuerdo con las necesidades organizacionales dando cumplimiento a lo establecido en los marcos jurídicos y económicos globales y el manejo sostenible de los recursos.</t>
  </si>
  <si>
    <t>Gestionar los procedimientos logísticos y de distribución fisica, así como los modos de prestación de comercio de servicios internacionales para desarrollar operaciones de intercambio de bienes y servicios, con actores ubicados en distintos países, orientando la toma decisiones según la normatividad nacional e internacional.</t>
  </si>
  <si>
    <t>Evaluar</t>
  </si>
  <si>
    <t>Evalúa condiciones de viabilidad en el diseño de propuestas de negociación internacional y de operaciones de intercambio de bienes y servicios, de acuerdo con las regulaciones vigentes y los estudios de mercado, para generar rutas estratégicas que contribuyan a la competitividad y a la creación de valor de las organizaciones.</t>
  </si>
  <si>
    <t>Analiza el entorno político y económico, el contexto social y las necesidades de las organizaciones para establecer estrategias de internacionalización, siguiendo procesos de investigación de mercados y contemplando el manejo sostenible de recursos.</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</si>
  <si>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</si>
  <si>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</si>
  <si>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</si>
  <si>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</si>
  <si>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</si>
  <si>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</si>
  <si>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</si>
  <si>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</si>
  <si>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</si>
  <si>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</si>
  <si>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</si>
  <si>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</si>
  <si>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</si>
  <si>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</si>
  <si>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</si>
  <si>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</si>
  <si>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</si>
  <si>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Pruebas estandarizadas</t>
  </si>
  <si>
    <t>Prueba presentada por todos los estudiantes para validar los conocimientos y conceptos asociados al dominio cognitivo de los resultados de aprendizaje.</t>
  </si>
  <si>
    <t>Valoración de la estrategia respecto al nivel de aporte a los resultados de aprendizaje del programa.</t>
  </si>
  <si>
    <t>Ayudar a tomar decisiones que permitan a los estudiantes alcanzar los resultados esperados de aprendizaje del Programa</t>
  </si>
  <si>
    <t>Encuesta de valoración para los estudiantes</t>
  </si>
  <si>
    <t xml:space="preserve"> Número de estudiantes que participan en la estrategia. </t>
  </si>
  <si>
    <t>Listados de participación de los estudiantes</t>
  </si>
  <si>
    <t xml:space="preserve"> Número de pruebas realizadas cada dos años.</t>
  </si>
  <si>
    <t>Informe o Reporte</t>
  </si>
  <si>
    <t>Investigación Formativa:
Eventos Poli PIF 
Semilleros.
Innobusiness.
Trabajos de grado.</t>
  </si>
  <si>
    <t xml:space="preserve">   PoliPIF: Evento organizado desde la Facultad con frecuencia semestral.
   Semilleros: Formación continua a lo largo del Plan de Estudio para los estudiantes que deseen participar. </t>
  </si>
  <si>
    <t>Informar y formar a los estudiantes en temas de investigación formativa asociados a los Negocios Internacionales</t>
  </si>
  <si>
    <t xml:space="preserve">Número de estudiantes que participan en la estrategia. </t>
  </si>
  <si>
    <t>Número de semilleros y encuentros realizados cada dos años.</t>
  </si>
  <si>
    <t>Participación en eventos académicos 
(Simposio de Negocios Internacionales, Mesas de Negociación, Competencia de Negocios Internacionales, entre otros).</t>
  </si>
  <si>
    <t xml:space="preserve"> - Participación en eventos académicos: Al menos una participación durante el semestre.</t>
  </si>
  <si>
    <t>Informar y formar a los estudiantes en temas de actualización asociados a los Negocios Internacionales</t>
  </si>
  <si>
    <t>Número de eventos académicos desarrollados en el periodo de tiempo establecidos por el programa.</t>
  </si>
  <si>
    <t xml:space="preserve"> Experiencias de Internacionalización
(Movilidad, Bilingüismo, Participación en redes, entre otros)</t>
  </si>
  <si>
    <t xml:space="preserve"> Experiencias de Internacionalización: Al menos una experiencia por semestre.</t>
  </si>
  <si>
    <t>Número de experiencias desarrolladas en el periodo de tiempo establecidos por el programa.</t>
  </si>
  <si>
    <t>Actividades de Proyección Social: Consultorios
Charlas a empresarios y sector externo (comunidades)</t>
  </si>
  <si>
    <t>Estrategia en la que los profesores y los estudiantes apoyan a las empresas con recomendaciones sobre el mercado más conveniente de acuerdo con su actividad económica y con la realización del plan de negocio.</t>
  </si>
  <si>
    <t>Informar y formar a los estudiantes en temas de consultoría, asociados a los Negocios Internacionales</t>
  </si>
  <si>
    <t>Número de eventos académicos, experiencias de internacionalización y actividades de proyección social realizados cada dos años.</t>
  </si>
  <si>
    <t>Centro de Liderazgo 360</t>
  </si>
  <si>
    <t>Articulación con el Centro de Liderazgo 360 para recibir charlas o participar en eventos de autoconomiento en habilidades poderosas de liderazgo personal, social y organizacional,  a través de los cuales se invita a pensar, actuar y reaccionar diferente en los escenarios de desempeño con el acompañamiento de mentores y coaches.</t>
  </si>
  <si>
    <t>Informar y formar a los estudiantes sobre y para desarrollar habilidades de liderazgo.</t>
  </si>
  <si>
    <t>Número de veces que se aplicó la estrategia en los periodos que determine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</si>
  <si>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</si>
  <si>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</si>
  <si>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</si>
  <si>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</si>
  <si>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</si>
  <si>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</si>
  <si>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</si>
  <si>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</si>
  <si>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</si>
  <si>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</si>
  <si>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</si>
  <si>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</si>
  <si>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</si>
  <si>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</si>
  <si>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</si>
  <si>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</si>
  <si>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</si>
  <si>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</si>
  <si>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</si>
  <si>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</si>
  <si>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</si>
  <si>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</si>
  <si>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</si>
  <si>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</si>
  <si>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</si>
  <si>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</si>
  <si>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</si>
  <si>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</si>
  <si>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</si>
  <si>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</si>
  <si>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</si>
  <si>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I</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</si>
  <si>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</si>
  <si>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</si>
  <si>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TP</t>
  </si>
  <si>
    <t>X</t>
  </si>
  <si>
    <t>1. Fundamentación teórica y técnica contable
2. Elementos de los Estados Financieros y sus características
3. Transacciones comerciales y operaciones con cuentas de resultado
4. Estructura de los Estados Financieros</t>
  </si>
  <si>
    <t>Trabajo directo:
Encuentros sincrónicos
Mensajería interna
Anuncios
Trabajo independiente:
Lecturas fundamentales y complementarias
Recursos de apoyo o Material de Trabajo
Participación en foros</t>
  </si>
  <si>
    <t>Actividad de puntos evaluables - semana 2: Cuestionario de 5 preguntas
Entrega previa 1 - semana 3: Laboratorio, taller, ejercicios, resolución de casos o de problemas, desarrollo de procesos o ejecución de propuestas
Parcial - semana 4: Cuestionarios de entre 15 y 20 preguntas
Entrega previa 2 - semana 5: Laboratorio, taller, ejercicios, resolución de casos o de problemas, desarrollo de procesos o ejecución de propuestas
Entrega final - semana 7: Laboratorio, taller, ejercicios, resolución de casos o de problemas, desarrollo de procesos o ejecución de propuestas
Evaluación final - semana 8: Cuestionario de entre 15 y 20 preguntas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</si>
  <si>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</si>
  <si>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Introducción a los Negocios Internacionales</t>
  </si>
  <si>
    <t>Conoce los conceptos básicos de los Negocios Internacionales para describir las formas como las organizaciones interactúan en el marco de la globalización.</t>
  </si>
  <si>
    <t>T</t>
  </si>
  <si>
    <t xml:space="preserve">1. Fundamentos de Negocios Internacionales   
2. Marco de los Negocios Internacionales (entornos)  
3. Organizaciones internacionales  
4. Tendencias de los negocios internacionales </t>
  </si>
  <si>
    <t>Trabajo directo:
Encuentros sincrónicos
Mensajería interna
Anuncios
Trabajo independiente:
Lecturas fundamentales y complementarias
Recursos de apoyo
Participación en foros</t>
  </si>
  <si>
    <t>Evaluación formativa:
Conferencias
Foros
Evaluación sumativa:
Quiz semana 2
Evaluación parcial
Foro evaluativo
Quiz semana 7
Examen final</t>
  </si>
  <si>
    <t>Inglés General I</t>
  </si>
  <si>
    <t xml:space="preserve">Reconoce reglas gramaticales, sintácticas, léxicas y pragmáticas para comprender textos a un nivel principiante.  
Elabora textos orales y escritos, como mensajes y presentaciones sencillas, sobre temas personales. 
Participa en situaciones comunicativas, como diálogos y mensajes digitales, a un nivel principiante. </t>
  </si>
  <si>
    <t>1. Conoce a una Estrella de Rock
2. En Contra de la Ley 
3. Expansión A 
4. En el Restaurante
5. En un Viaje de Negocios
6. Expansión B
7. Salgamos 
8. Sobre la Gente
9. Expansión C
10. En Venta
11. En Movimiento
12. Expansión D
13. Salud y Condición Física
14. Ocupaciones</t>
  </si>
  <si>
    <t xml:space="preserve">Trabajo directo:                                                          Encuentros sincrónicos semanales para aclaración de conceptos o procedimientos.                                                      
Talleres de Aprendizaje Virtual                       
Interacción estudiante-tutor a través de foro consultivo, mensajería del aula y anuncios.
Trabajo independiente:                                                          Desarrollo de ejercicios de comprensión y producción del idioma a partir de lecturas, videos y audios, alojados en la plataforma English Discoveries. </t>
  </si>
  <si>
    <t>Evaluación formativa:                                  Retroalimentación inmediata y continua por parte de la plataforma English Discoveries.  
Socialización de actividades evaluativas
Evaluación sumativa:
Quices
Tarea
Exámenes: parcial y final</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</si>
  <si>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</si>
  <si>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sobre los impactos de los avances tecnológicos en el ámbito profesional y ciudadano para generar análisis alrededor de estos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</si>
  <si>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</si>
  <si>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Encuentros sincrónicos
Mensajería interna
Anuncios
Trabajo independiente:
Lecturas fundamentales y complementarias
Material de trabajo
Participación en foros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</si>
  <si>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</si>
  <si>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</si>
  <si>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</si>
  <si>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</si>
  <si>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</si>
  <si>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</si>
  <si>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</si>
  <si>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</si>
  <si>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</si>
  <si>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Comercio Internacional</t>
  </si>
  <si>
    <t xml:space="preserve">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 </t>
  </si>
  <si>
    <t>1. Conceptualización general del comercio internacional
2. El comercio internacional y la política macroeconómica
3. Facilitación del comercio y aseguramiento de la cadena logística
4. Operaciones comerciales importación y exportación</t>
  </si>
  <si>
    <t>Inglés General 2</t>
  </si>
  <si>
    <t xml:space="preserve">Reconoce reglas gramaticales, sintácticas, léxicas y pragmáticas para comprender textos a un nivel elemental.  
 Elabora textos orales y escritos, como mensajes y presentaciones simples, sobre temas personales y sociales.  
Participa en situaciones comunicativas, como diálogos y mensajes digitales, a un nivel elemental. </t>
  </si>
  <si>
    <t>1. Comprar y Vender
2. Alimentación Saludable
3. Expansión A
4. Obtener Ayuda
5. Deportes
6. Expansión B
7. ¡Disfruta tu Comida!
8. Gente interesante
9. Expansión C
10. Vida familiar
11. Un Mal Día
12. Expansión D
13. Vivienda
14. Pasatiempos</t>
  </si>
  <si>
    <t>Trabajo directo:
Encuentros sincrónicos semanales para aclaración de conceptos o procedimientos.                                                    
Talleres de Aprendizaje Virtual                       
Interacción estudiante-tutor a través de foro consultivo, mensajería del aula y anuncios.
Trabajo independiente: 
Desarrollo de ejercicios de comprensión y producción del idioma a partir de lecturas, videos y audios, aloja</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</si>
  <si>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</si>
  <si>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Proceso Administrativo</t>
  </si>
  <si>
    <t>Reconoce las etapas del proceso administrativo (planeación, organización, dirección y control) para aplicarlas en situaciones organizacionales.</t>
  </si>
  <si>
    <t xml:space="preserve">1. Planeación 
2. Organización 	 
3. Dirección:  Integración de Personal - Motivación – liderazgo y comunicación 
4. Control </t>
  </si>
  <si>
    <t>Evaluación Formativa: Actividades interactivas de refuerzo, actividades realizadas en los encuentros sincrónicos 
Evaluación sumativa: Actividad de puntos evaluables(50 puntos)                                                                                           
Quiz(75 puntos)                                                                                                                                    
Entrega 1(100 puntos)                                                                                                        
Actividad de puntos evaluables(50 puntos)                                                                                    
Entrega final de documento(100 puntos)                                                                 
Evaluación final(125 puntos)</t>
  </si>
  <si>
    <t>Razonamiento Variacional</t>
  </si>
  <si>
    <t>Aplica los conceptos de derivadas e integrales para la solución de problemas relacionados con sus contexto profesional y personal, tomando como referencia sus reglas o propiedades.</t>
  </si>
  <si>
    <t>1. Función y Nociones de Limites
2. Derivadas y reglas de la derivación
3. Aplicación de las Derivadas
4. Integrales</t>
  </si>
  <si>
    <t>Evaluación Formativa: Actividades interactivas de refuerzo, actividades realizadas en los encuentros sincrónicos                                                                  
Evaluación sumativa: Actividad de puntos evaluables(50 puntos)                                                                 
Desarrollo del trabajo colaborativo                                                                                                 
Actividad de puntos evaluables(100 puntos)                                                                               
Evaluación trabajo en equipo
• Retroalimentación (150 puntos)
• Sustentación (40 puntos)
• Autoevaluación                                                                                                         
Evaluación final(150 puntos)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</si>
  <si>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</si>
  <si>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</si>
  <si>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</si>
  <si>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Microeconomía</t>
  </si>
  <si>
    <t xml:space="preserve">Calcula el equilibrio de mercado a partir de los cambios generados en la oferta y la demanda y su implicación en los agentes económicos individuales familias y empresas para soportar la toma de decisiones. </t>
  </si>
  <si>
    <t xml:space="preserve">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  </t>
  </si>
  <si>
    <t>Legislación de los Negocios Internacionales</t>
  </si>
  <si>
    <t>Identifica las obligaciones en los contratos y documentos generados de una transacción internacional derivadas de las operaciones de los negocios internacionales.</t>
  </si>
  <si>
    <t>1. Sistema multilateral de comercio y su armonización en Colombia.
2.  Convenciones de Viena.
3. Tratados comerciales y acuerdos de integración vigentes.
4. Regímenes aduaneros.</t>
  </si>
  <si>
    <t>Evaluación Formativa: Actividades interactivas de refuerzo, actividades realizadas en los encuentros sincrónicos 
Evaluación sumativa: Actividad de puntos evaluables(50 puntos)                                                                                           
Quiz(75 puntos)                                                                                                                                    
Entrega 1(100 puntos)                                                                                                        
Actividad de puntos evaluables(50 puntos)                                                                                     
Entrega final de documento(100 puntos)                                                                  
Evaluación final(125 puntos)</t>
  </si>
  <si>
    <t>Inglés General 3</t>
  </si>
  <si>
    <t>Reconoce reglas gramaticales, sintácticas, léxicas y pragmáticas para comprender textos a un nivel básico. 
Elabora textos orales y escritos, como mensajes y presentaciones simples, sobre temas personales y sociales.  
Participa en situaciones comunicativas, como diálogos y mensajes digitales, a un nivel básico.</t>
  </si>
  <si>
    <t xml:space="preserve">1. Conseguir Trabajo  
2. Asuntos de Negocios  
3. Expansión A
4. Planear las Vacaciones  
5. Salir a Cenar  
6. Expansión B
7. Viajar al Exterior  
8. Emociones  
9. Expansión C
10. Sacar Excusas  
11. ¡Tiquetes, por favor!  
12. Expansión D
13. Ahorro de Energía  
14.Aprendiendo un Segundo Idioma </t>
  </si>
  <si>
    <t>Trabajo directo:
Encuentros sincrónicos semanales para aclaración de conceptos o procedimientos.                                                    
Talleres de Aprendizaje Virtual                       
Interacción estudiante-tutor a través de foro consultivo, mensajería del aula y anuncios.
Trabajo independiente: 
Desarrollo de ejercicios de comprensión y producción del idioma a partir de lecturas, videos y audios, alojados en la plataforma English Discoveries.</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</si>
  <si>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</si>
  <si>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</si>
  <si>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</si>
  <si>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</si>
  <si>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</si>
  <si>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</si>
  <si>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</si>
  <si>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</si>
  <si>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Pensamiento Crítico y Ciudadanías Activas</t>
  </si>
  <si>
    <t xml:space="preserve">Identifica los Derechos y Deberes consignados en la Constitución 1991 en relación con la ciudadanía de manera local y global para la comprensión de inmersiones sociales éticas. 
Reflexiona sobre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</si>
  <si>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</si>
  <si>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</si>
  <si>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</si>
  <si>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</si>
  <si>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 xml:space="preserve">1. Principales Herramientas de Matemáticas Financieras 
2. Diagnóstico Financiero y análisis de la información 
3. Introducción a herramientas BI 
4. Análisis de información financiera con herramientas BI </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</si>
  <si>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
Autoevaluación (semana 8 - Cuestionario final de, mínimo, cinco preguntas, en el cual el estudiante reflexiona sobre su propio desempeño, habilidades y resultados en un contexto específico. )</t>
  </si>
  <si>
    <t>Inglés General 4</t>
  </si>
  <si>
    <t>Reconoce reglas gramaticales, sintácticas, léxicas y pragmáticas para comprender textos a un nivel pre-intermedio.  
Elabora textos orales y escritos, como resúmenes y presentaciones, sobre temas profesionales y sociales, expresando puntos de vista sencillos.  
Participa en situaciones comunicativas, como diálogos y foros, a un nivel pre-intermedio.</t>
  </si>
  <si>
    <t>1. Educación
2. Lejos de casa
3. Expansión A
4. Celebraciones
5. Mal Tiempo
6. Expansión B
7. Arte y entretenimiento
8. En el Trabajo
9. Expansión C
10. Envío de Paquetes 
11. ¡Emergencia!
12. Expansión D
13. En el Banco
14. Dispositivos</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</si>
  <si>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</si>
  <si>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</si>
  <si>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</si>
  <si>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</si>
  <si>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</si>
  <si>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</si>
  <si>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 y múltiple</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</si>
  <si>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</si>
  <si>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</si>
  <si>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</si>
  <si>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</si>
  <si>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Logística y Distribución Física Internacional</t>
  </si>
  <si>
    <t xml:space="preserve">Identifica los principales componentes de la logística y la cadena de distribución física internacional en la Organización para proponer estrategias operativas que conduzcan a la competitividad del Negocio y tengan en cuenta el tipo de organización y el objeto social de la misma. </t>
  </si>
  <si>
    <t xml:space="preserve">1. Conceptualización de cadena logística y sus componentes.  
2. Distribución física internacional.   
3. Aseguramiento de la cadena logística.   
4. Tendencias logísticas y mejores prácticas de la cadena logística. </t>
  </si>
  <si>
    <t>Globalization and International Development</t>
  </si>
  <si>
    <t>Analyzes the evolution of the globalization process in the general context of international business environment by using different indicators for gaining a global perspective of business and countries.</t>
  </si>
  <si>
    <t xml:space="preserve">1. Introduction to International Business Environment  
2. State and Market Indicators 
3. Enterprises and Geopolitical risk 
4. Corporate Diplomacy </t>
  </si>
  <si>
    <t>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t>
  </si>
  <si>
    <t>Economía Internacional</t>
  </si>
  <si>
    <r>
      <rPr>
        <sz val="11"/>
        <color rgb="FF000000"/>
        <rFont val="Gill Sans MT"/>
      </rPr>
      <t xml:space="preserve">Analiza los instrumentos de política comercial que fomentan o restringen el intercambio con base en los elementos conceptuales para describir el impacto en el comercio internacional.
</t>
    </r>
    <r>
      <rPr>
        <sz val="11"/>
        <color rgb="FFFF0000"/>
        <rFont val="Gill Sans MT"/>
      </rPr>
      <t xml:space="preserve">
</t>
    </r>
    <r>
      <rPr>
        <sz val="11"/>
        <color rgb="FF000000"/>
        <rFont val="Gill Sans MT"/>
      </rPr>
      <t>Describe las interrelaciones monetarias y macroeconómicas que definen la relación del sistema financiero nacional e internacional con base en los principios de la macroeconomía abierta, para analizar sus efectos a los diferentes agentes económicos y/o empresa.</t>
    </r>
  </si>
  <si>
    <t xml:space="preserve">1.Teorías y conceptos del Comercio Internacional 
2. Restricciones y Política Comercial en Colombia: Aranceles y otras políticas 
3. El sistema monetario internacional y la política cambiaria 
4. El sistema financiero internacional y los procesos de integración regional </t>
  </si>
  <si>
    <t>Big Data para Analítica de Negocios</t>
  </si>
  <si>
    <t>Identifica los elementos propios de un modelo de Big Data para diseñar soluciones a problemas de las organizaciones en un contexto internacional, a partir de técnicas de analítica de datos.</t>
  </si>
  <si>
    <t xml:space="preserve">1. Análisis de escenarios 
2. Arquitectura de sistemas 
3. Bases de datos NoQLS 
4. Sistemas dinámicos </t>
  </si>
  <si>
    <t xml:space="preserve">Evaluación formativa:
Encuentros sincrónicos
Evaluación sumativa:
Actividad de puntos evaluables 
Entrega previa 1 y 2: Laboratorio, taller, ejercicios, resolución de casos o de problemas, desarrollo de procesos o ejecución de propuestas. 
Parcial 
Entrega final: Laboratorio, taller, ejercicios, resolución de casos o de problemas, desarrollo de procesos o ejecución de propuestas. 
Evaluación final </t>
  </si>
  <si>
    <t>Inglés General 5</t>
  </si>
  <si>
    <t xml:space="preserve">Reconoce reglas gramaticales, sintácticas, léxicas y pragmáticas complejas para comprender textos a un nivel intermedio. 
Elabora textos orales y escritos, como reportes y presentaciones, sobre un rango amplio de temas académicos, profesionales y sociales, expresando sus puntos de vista.  
Participa en situaciones comunicativas, como debates y foros, como usuario independiente de la lengua.  </t>
  </si>
  <si>
    <t>1. La Compra de un Auto 
2. Accidentes
3. Problemas
4. Ayuda
5. Sueños y Ambiciones
6. Asuntos de Dinero
7. Política
8. Instrucciones
9. Reciclaje
10. Producción de Películas
11. Reuniones
12. Ventas
13. Dirigiendo un Negocio
14. El Mundo Laboral
15. Trabajo en el Extranjero
16. Asuntos de Negocios</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</si>
  <si>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</si>
  <si>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Regional Culture and Economic of America</t>
  </si>
  <si>
    <t>Analyzes information on economic, political, legal, social, and cultural aspects that allows making decisions to identify business development opportunities with the American countries.</t>
  </si>
  <si>
    <t xml:space="preserve">1. History and Culture of America and its Economic Development 
2. Overview of the US and Latin America in the 21st Century 
3. Regional integration processes and trade policy in the American continent 
4. Colombia and its relationship with the American countries </t>
  </si>
  <si>
    <t>Mercadeo Internacional</t>
  </si>
  <si>
    <t>Relaciona los conceptos de marketing internacional, sus entornos, regulaciones y cultura, junto con los elementos de marketing intersectorial y transcultural y marketing digital, para proponer estrategias de internacionalización efectivas que aborden las diferencias culturales y regulatorias, optimizando la presencia global de los productos y servicios.</t>
  </si>
  <si>
    <t xml:space="preserve">1.Introduction to International Marketing (4P)  
2.International Markets environment, regulations and culture.  
3.Cross-Industry &amp; Cross-Cultural Marketing  
4.Digital Marketing </t>
  </si>
  <si>
    <t>Innovación y Emprendimiento Sostenible</t>
  </si>
  <si>
    <t>Diseña soluciones empresariales sostenibles con alto potencial internacional para proponer una iniciativa empresarial mediante procesos formales de innovación.</t>
  </si>
  <si>
    <t xml:space="preserve">1.Conceptualization of Entrepreneurship and Innovation 
2.Innovation, Digital Transformation and Entrepreneurial models 
3.Social and sustainable entrepreneurship 
4.​​Impact measurement and funding for social and sustainable entrepreneurship​ </t>
  </si>
  <si>
    <t>Trabajo directo:
Ecuentros sincrónicos
Mensajería interna
Anuncios
Trabajo independiente:
Lecturas fundamentales y complementarias
Recursos de apoyo
Participación en foros</t>
  </si>
  <si>
    <t>Inglés General 6</t>
  </si>
  <si>
    <t xml:space="preserve">Reconoce reglas gramaticales, sintácticas, léxicas y pragmáticas complejas para comprender textos a un nivel intermedio-alto.  
Elabora textos orales y escritos, como reportes y presentaciones, sobre un rango amplio de temas académicos, profesionales y sociales, expresando sus puntos de vista.  
Participa en situaciones comunicativas, como debates y foros, como usuario independiente de la lengua.  </t>
  </si>
  <si>
    <t xml:space="preserve">1. Mercadeo Internacional 
2. Relaciones de negocios 
3. Éxito 
4. Satisfacción laboral 
5. Estilos gerenciales 
6. Integración de equipos 
7. Servicio al cliente 
8. Manejo de situaciones de crisis 
9. Fusiones y adquisiciones </t>
  </si>
  <si>
    <t>Negociación Internacional</t>
  </si>
  <si>
    <t>Conoce los diferentes pasos necesarios en un proceso de negocios y cooperación internacional, para seleccionar el mejor negocio en el ámbito internacional, dentro de los diferentes términos de cada acuerdo.</t>
  </si>
  <si>
    <t xml:space="preserve">1. Conceptual Aspects of Negotiation 
2. Strategy, Culture, and Regional Commercial Negotiation 
3. International Cooperation Development 
4. Methodology and Logical Framework for International Cooperation Projects </t>
  </si>
  <si>
    <t>Mercado de Capitales y Manejo de Tasas de Cambio</t>
  </si>
  <si>
    <t xml:space="preserve">
Identifica las operaciones bursátiles y las posibles respuestas del mercado financiero y de capitales, los futuros y el riesgo, para plantear posibles escenarios organizacionales en los mercados externos.
Aplica el comportamiento de las tasas de cambio para definir estrategias de toma de decisiones en contextos fluctuantes en operaciones de comercio internacional como alternativa de inversión.</t>
  </si>
  <si>
    <t xml:space="preserve">1. Mercado Internacional de capitales 
2. Tasas de Cambio 
3. Mercado de divisas 
4. Mercados alternos de divisas </t>
  </si>
  <si>
    <t xml:space="preserve">Evaluación formativa:
Encuentros sincrónicos
Participación en foros
Evaluación sumativa:
Actividad de puntos evaluables 
Entrega previa 1: Laboratorio, taller, ejercicios, resolución de casos o de problemas, desarrollo de procesos o ejecución de propuestas. 
Parcial 
Entrega previa 2: Laboratorio, taller, ejercicios, resolución de casos o de problemas, desarrollo de procesos o ejecución de propuestas. 
Entrega final: Laboratorio, taller, ejercicios, resolución de casos o de problemas, desarrollo de procesos o ejecución de propuestas. 
Evaluación final </t>
  </si>
  <si>
    <t>Regional Culture and Economic of Europe</t>
  </si>
  <si>
    <t xml:space="preserve">Analyzes information about economic, political, legal, social, and cultural aspects that allows making decisions to identify business development opportunities business with the European countries. </t>
  </si>
  <si>
    <t xml:space="preserve">1.History and culture of Europe and its economic development 
2.Processes of the economic integration of Europe 
3.Current situation of the region and special case studies 
4.Latin America, Colombia, and the European continent </t>
  </si>
  <si>
    <t>Inglés General 7</t>
  </si>
  <si>
    <t>Reconoce reglas gramaticales, sintácticas, léxicas y pragmáticas complejas para comprender textos avanzados.  
Elabora textos orales y escritos, como ensayos y presentaciones, sobre un rango amplio de temas académicos, profesionales y sociales, expresando sus puntos de vista.  
Participa en situaciones comunicativas, como debates y foros, como usuario independiente de la lengua.</t>
  </si>
  <si>
    <t xml:space="preserve">1.Primeras impresiones 
2. Energías limpias 
3.Mercadeo 
4. Tendencias laborales 
5. Ética laboral 
6. Estrategias  
7. Negocios en línea 
8. Nuevos negocios 
9. Manejo de proyectos </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</si>
  <si>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Desarrolo de los contenidos de  unidades 1-12
Exámenes: parcial y final.</t>
  </si>
  <si>
    <t>Regional Studies of Asia an Africa</t>
  </si>
  <si>
    <t>Analyzes information about economic, political, legal, social, and cultural aspects that allows making decisions to identify business development opportunities business with the Asian and African countries.</t>
  </si>
  <si>
    <t xml:space="preserve">1.History, Geography and Culture of Asia  
2.​​History, Geography and Culture of Africa​  
3.Trade Policies and International Development in Asia and Africa 
4.Business Culture in Asia y Africa </t>
  </si>
  <si>
    <t>International Strategic Managment</t>
  </si>
  <si>
    <t>Applies various managerial decision-making and leadership techniques to propose and evaluate multiple solutions to strategic challenges and problems faced by international companies in simulated scenarios or case studies.</t>
  </si>
  <si>
    <t xml:space="preserve">1. Conceptual Foundations of International Strategic Management 
2. Structural Complexities in the External Environment 
3. International Coordination of a Firm  
4. Value Chain Activities and Trends </t>
  </si>
  <si>
    <t>Práctica Empresarial</t>
  </si>
  <si>
    <t>Describe de manera clara la problemática identificada en la empresa para proponer soluciones con base en los conocimientos que han adquirido durante su formación académica.</t>
  </si>
  <si>
    <t>P</t>
  </si>
  <si>
    <t>1. Contexto del lugar de la práctica y funciones a realizar
2. Diagnóstico (identificación de la oportunidad de mejora)
3. Elaboración Propuesta de mejoramiento
4. Seguimiento jefe inmediato</t>
  </si>
  <si>
    <t>Evaluación formativa:
Encuentros sincrónicos
Foros
Evaluación sumativa: 
Entrega de diagnostico
Entrega de plan de mejora
Entrega de resultados finales 
Sustentación final ante empresario y pares académicos</t>
  </si>
  <si>
    <t>Electiva 1</t>
  </si>
  <si>
    <t>Electiva 2</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</si>
  <si>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</si>
  <si>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</si>
  <si>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</si>
  <si>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</si>
  <si>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</si>
  <si>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</si>
  <si>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</si>
  <si>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</si>
  <si>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</si>
  <si>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</si>
  <si>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</si>
  <si>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</si>
  <si>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</si>
  <si>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</si>
  <si>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</si>
  <si>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</si>
  <si>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</si>
  <si>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</si>
  <si>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Diseñar</t>
  </si>
  <si>
    <t>Establecer</t>
  </si>
  <si>
    <t>Fiscalizar</t>
  </si>
  <si>
    <t>Formular</t>
  </si>
  <si>
    <t>Generar</t>
  </si>
  <si>
    <t>Hacer</t>
  </si>
  <si>
    <t>Implementar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</si>
  <si>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</si>
  <si>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</si>
  <si>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</si>
  <si>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</si>
  <si>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</si>
  <si>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</si>
  <si>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</si>
  <si>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</si>
  <si>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</si>
  <si>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</si>
  <si>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</si>
  <si>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</si>
  <si>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</si>
  <si>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</si>
  <si>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</si>
  <si>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</si>
  <si>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</si>
  <si>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</si>
  <si>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</si>
  <si>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</si>
  <si>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</si>
  <si>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</si>
  <si>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</si>
  <si>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</si>
  <si>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</si>
  <si>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</si>
  <si>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</si>
  <si>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</si>
  <si>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</si>
  <si>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</si>
  <si>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</si>
  <si>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</si>
  <si>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AplicaciónBAK</t>
  </si>
  <si>
    <t>SíntesisBAK</t>
  </si>
  <si>
    <t>EvaluaciónBAK</t>
  </si>
  <si>
    <t>ImitaciónBAK</t>
  </si>
  <si>
    <t>ManipulaciónBAK</t>
  </si>
  <si>
    <t>ControlBAK</t>
  </si>
  <si>
    <t>PercepciónBAK</t>
  </si>
  <si>
    <t>ValorarBAK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</si>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</sst>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sz val="11"/>
      <color rgb="FF000000"/>
      <name val="Gill Sans MT"/>
    </font>
    <font>
      <sz val="11"/>
      <color rgb="FFFF0000"/>
      <name val="Gill Sans MT"/>
    </font>
    <font>
      <sz val="11"/>
      <color theme="1"/>
      <name val="Gill Sans MT"/>
    </font>
    <font>
      <sz val="11"/>
      <color rgb="FF000000"/>
      <name val="Gill Sans MT"/>
      <charset val="1"/>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right/>
      <top/>
      <bottom style="medium">
        <color rgb="FF000000"/>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right/>
      <top style="medium">
        <color indexed="64"/>
      </top>
      <bottom style="medium">
        <color rgb="FF000000"/>
      </bottom>
      <diagonal/>
    </border>
    <border>
      <left/>
      <right/>
      <top style="medium">
        <color rgb="FF000000"/>
      </top>
      <bottom/>
      <diagonal/>
    </border>
    <border>
      <left style="thin">
        <color auto="1"/>
      </left>
      <right style="thin">
        <color auto="1"/>
      </right>
      <top style="thin">
        <color auto="1"/>
      </top>
      <bottom/>
      <diagonal/>
    </border>
    <border>
      <left/>
      <right/>
      <top/>
      <bottom style="thin">
        <color auto="1"/>
      </bottom>
      <diagonal/>
    </border>
    <border>
      <left style="thin">
        <color rgb="FF1FB2DE"/>
      </left>
      <right/>
      <top/>
      <bottom style="thin">
        <color indexed="64"/>
      </bottom>
      <diagonal/>
    </border>
  </borders>
  <cellStyleXfs count="1">
    <xf numFmtId="0" fontId="0" fillId="0" borderId="0"/>
  </cellStyleXfs>
  <cellXfs count="174">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8"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1" fillId="0" borderId="0" xfId="0" applyFont="1" applyAlignment="1">
      <alignment horizontal="center" vertical="center" wrapText="1"/>
    </xf>
    <xf numFmtId="0" fontId="22" fillId="8"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9" fillId="0" borderId="0" xfId="0" applyFont="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49" fontId="3" fillId="7" borderId="5" xfId="0" applyNumberFormat="1"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10" borderId="4" xfId="0" applyFont="1" applyFill="1" applyBorder="1" applyAlignment="1">
      <alignment horizontal="left" vertical="center" wrapText="1"/>
    </xf>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0" borderId="4" xfId="0" applyFont="1" applyFill="1" applyBorder="1" applyAlignment="1" applyProtection="1">
      <alignment horizontal="left" vertical="center"/>
      <protection locked="0"/>
    </xf>
    <xf numFmtId="0" fontId="3" fillId="10" borderId="4" xfId="0" applyFont="1" applyFill="1" applyBorder="1" applyAlignment="1" applyProtection="1">
      <alignment horizontal="center" vertical="center" wrapText="1"/>
      <protection locked="0"/>
    </xf>
    <xf numFmtId="0" fontId="4" fillId="10" borderId="4" xfId="0" applyFont="1" applyFill="1" applyBorder="1" applyAlignment="1">
      <alignment horizontal="left" vertical="center" wrapText="1"/>
    </xf>
    <xf numFmtId="0" fontId="4" fillId="10" borderId="4" xfId="0" applyFont="1" applyFill="1" applyBorder="1" applyAlignment="1" applyProtection="1">
      <alignment horizontal="left" vertical="center" wrapText="1"/>
      <protection locked="0"/>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3" fillId="10" borderId="5" xfId="0" applyFont="1" applyFill="1" applyBorder="1" applyAlignment="1" applyProtection="1">
      <alignment horizontal="center" vertical="center" wrapText="1"/>
      <protection locked="0"/>
    </xf>
    <xf numFmtId="0" fontId="4" fillId="10"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3" fillId="0" borderId="5" xfId="0" applyFont="1" applyBorder="1" applyAlignment="1">
      <alignment horizontal="left" vertical="center"/>
    </xf>
    <xf numFmtId="0" fontId="3" fillId="0" borderId="8" xfId="0" applyFont="1" applyBorder="1" applyAlignment="1">
      <alignment horizontal="left" vertical="center"/>
    </xf>
    <xf numFmtId="0" fontId="3" fillId="0" borderId="8" xfId="0" applyFont="1"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4" fillId="6" borderId="9" xfId="0" applyFont="1" applyFill="1" applyBorder="1" applyAlignment="1">
      <alignment horizontal="center" vertical="center" wrapText="1"/>
    </xf>
    <xf numFmtId="0" fontId="24" fillId="6" borderId="10" xfId="0" applyFont="1" applyFill="1" applyBorder="1" applyAlignment="1">
      <alignment horizontal="center" vertical="center" wrapText="1"/>
    </xf>
    <xf numFmtId="0" fontId="23" fillId="0" borderId="0" xfId="0" applyFont="1" applyAlignment="1">
      <alignment horizontal="center" vertical="center" wrapText="1"/>
    </xf>
    <xf numFmtId="0" fontId="24" fillId="6" borderId="1" xfId="0" applyFont="1" applyFill="1" applyBorder="1" applyAlignment="1">
      <alignment horizontal="center" vertical="center" wrapText="1"/>
    </xf>
    <xf numFmtId="0" fontId="20" fillId="0" borderId="0" xfId="0" applyFont="1" applyAlignment="1">
      <alignment horizontal="center" vertical="center" wrapText="1"/>
    </xf>
    <xf numFmtId="0" fontId="4" fillId="0" borderId="8" xfId="0" applyFont="1" applyBorder="1" applyAlignment="1">
      <alignment vertical="center" wrapText="1"/>
    </xf>
    <xf numFmtId="0" fontId="3" fillId="7" borderId="7" xfId="0" applyFont="1" applyFill="1" applyBorder="1" applyAlignment="1">
      <alignment horizontal="left" vertical="center"/>
    </xf>
    <xf numFmtId="0" fontId="4" fillId="0" borderId="7" xfId="0" applyFont="1" applyBorder="1" applyAlignment="1">
      <alignment vertical="center"/>
    </xf>
    <xf numFmtId="0" fontId="4" fillId="0" borderId="7" xfId="0" applyFont="1" applyBorder="1" applyAlignment="1">
      <alignment horizontal="left" vertical="center" wrapText="1"/>
    </xf>
    <xf numFmtId="0" fontId="15" fillId="0" borderId="0" xfId="0" applyFont="1" applyAlignment="1">
      <alignment vertical="center" wrapText="1"/>
    </xf>
    <xf numFmtId="0" fontId="3" fillId="0" borderId="8" xfId="0" applyFont="1" applyBorder="1" applyAlignment="1">
      <alignment vertical="center" wrapText="1"/>
    </xf>
    <xf numFmtId="0" fontId="3" fillId="0" borderId="8" xfId="0" applyFont="1" applyBorder="1" applyAlignment="1">
      <alignment vertical="center"/>
    </xf>
    <xf numFmtId="0" fontId="3" fillId="0" borderId="7" xfId="0" applyFont="1" applyBorder="1" applyAlignment="1">
      <alignment horizontal="left" vertical="center"/>
    </xf>
    <xf numFmtId="0" fontId="3" fillId="7" borderId="11" xfId="0" applyFont="1" applyFill="1" applyBorder="1" applyAlignment="1">
      <alignment horizontal="center" vertical="center"/>
    </xf>
    <xf numFmtId="0" fontId="4" fillId="7" borderId="11" xfId="0" applyFont="1" applyFill="1" applyBorder="1" applyAlignment="1">
      <alignment horizontal="center" vertical="center" wrapText="1"/>
    </xf>
    <xf numFmtId="0" fontId="3" fillId="7" borderId="11" xfId="0" applyFont="1" applyFill="1" applyBorder="1" applyAlignment="1">
      <alignment horizontal="left" vertical="center" wrapText="1"/>
    </xf>
    <xf numFmtId="0" fontId="3" fillId="7" borderId="11" xfId="0" applyFont="1" applyFill="1" applyBorder="1" applyAlignment="1">
      <alignment horizontal="center" vertical="center" wrapText="1"/>
    </xf>
    <xf numFmtId="0" fontId="27" fillId="10" borderId="4"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3" fillId="0" borderId="0" xfId="0" applyFont="1" applyAlignment="1">
      <alignment horizontal="right" vertical="center" wrapText="1"/>
    </xf>
    <xf numFmtId="0" fontId="7" fillId="3" borderId="13"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3" fillId="0" borderId="0" xfId="0" applyFont="1" applyAlignment="1">
      <alignment horizontal="center" vertical="center"/>
    </xf>
    <xf numFmtId="0" fontId="3" fillId="0" borderId="7" xfId="0" applyFont="1" applyBorder="1" applyAlignment="1">
      <alignment horizontal="center" vertical="center"/>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3" fillId="0" borderId="12" xfId="0" applyFont="1" applyBorder="1" applyAlignment="1" applyProtection="1">
      <alignment horizontal="left" vertical="center" wrapText="1"/>
      <protection locked="0"/>
    </xf>
    <xf numFmtId="0" fontId="3" fillId="0" borderId="12" xfId="0" applyFont="1" applyBorder="1" applyAlignment="1">
      <alignment horizontal="center" vertical="center" wrapText="1"/>
    </xf>
    <xf numFmtId="0" fontId="25" fillId="0" borderId="5" xfId="0" applyFont="1" applyBorder="1" applyAlignment="1" applyProtection="1">
      <alignment horizontal="left" vertical="center" wrapText="1"/>
      <protection locked="0"/>
    </xf>
    <xf numFmtId="0" fontId="3" fillId="0" borderId="12" xfId="0" applyFont="1" applyBorder="1" applyAlignment="1">
      <alignment horizontal="left" vertical="center" wrapText="1"/>
    </xf>
    <xf numFmtId="0" fontId="3" fillId="0" borderId="8" xfId="0" applyFont="1" applyBorder="1" applyAlignment="1" applyProtection="1">
      <alignment horizontal="left" vertical="center" wrapText="1"/>
      <protection locked="0"/>
    </xf>
    <xf numFmtId="0" fontId="3" fillId="0" borderId="8" xfId="0" applyFont="1" applyBorder="1" applyAlignment="1">
      <alignment horizontal="center" vertical="center" wrapText="1"/>
    </xf>
    <xf numFmtId="0" fontId="27" fillId="0" borderId="5" xfId="0" applyFont="1" applyBorder="1" applyAlignment="1" applyProtection="1">
      <alignment horizontal="left" vertical="center" wrapText="1"/>
      <protection locked="0"/>
    </xf>
    <xf numFmtId="0" fontId="28" fillId="0" borderId="5" xfId="0" applyFont="1" applyBorder="1" applyAlignment="1" applyProtection="1">
      <alignment horizontal="left" vertical="center" wrapText="1"/>
      <protection locked="0"/>
    </xf>
    <xf numFmtId="0" fontId="4" fillId="0" borderId="8" xfId="0" applyFont="1" applyBorder="1" applyAlignment="1" applyProtection="1">
      <alignment horizontal="left" vertical="center" wrapText="1"/>
      <protection locked="0"/>
    </xf>
    <xf numFmtId="0" fontId="4" fillId="0" borderId="6" xfId="0" applyFont="1" applyBorder="1" applyAlignment="1">
      <alignment vertical="center" wrapText="1"/>
    </xf>
    <xf numFmtId="0" fontId="4" fillId="0" borderId="0" xfId="0" applyFont="1" applyAlignment="1">
      <alignment vertical="center" wrapText="1"/>
    </xf>
    <xf numFmtId="0" fontId="18" fillId="2" borderId="1" xfId="0" applyFont="1" applyFill="1" applyBorder="1" applyAlignment="1">
      <alignment horizontal="center" vertical="center" wrapText="1"/>
    </xf>
    <xf numFmtId="0" fontId="4" fillId="0" borderId="0" xfId="0" applyFont="1" applyAlignment="1">
      <alignment horizontal="left" vertical="center" wrapText="1"/>
    </xf>
    <xf numFmtId="0" fontId="17" fillId="6" borderId="15" xfId="0" applyFont="1" applyFill="1" applyBorder="1" applyAlignment="1">
      <alignment horizontal="center" vertical="center" wrapText="1"/>
    </xf>
    <xf numFmtId="0" fontId="17" fillId="6" borderId="14" xfId="0" applyFont="1" applyFill="1" applyBorder="1" applyAlignment="1">
      <alignment horizontal="center" vertical="center" wrapText="1"/>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left" vertical="center" wrapText="1"/>
    </xf>
    <xf numFmtId="0" fontId="4"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6" xfId="0" applyFont="1" applyBorder="1" applyAlignment="1">
      <alignment horizontal="left"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9" fillId="0" borderId="6"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4" fillId="0" borderId="5" xfId="0" applyFont="1" applyBorder="1" applyAlignment="1">
      <alignment horizontal="center" vertical="center" wrapText="1"/>
    </xf>
    <xf numFmtId="0" fontId="9" fillId="0" borderId="5" xfId="0" applyFont="1" applyBorder="1" applyAlignment="1">
      <alignment vertical="center" wrapText="1"/>
    </xf>
    <xf numFmtId="0" fontId="4" fillId="0" borderId="5" xfId="0" applyFont="1" applyBorder="1" applyAlignment="1">
      <alignment vertical="center" wrapText="1"/>
    </xf>
    <xf numFmtId="0" fontId="4" fillId="0" borderId="7" xfId="0" applyFont="1" applyBorder="1" applyAlignment="1">
      <alignment vertical="center" wrapText="1"/>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InformacionCurricularProgramas/FIDI/ETIC/ProgramasPresenciales/FormatosRA/2024/FormatoRA_IngTelecomunicaciones_PMED.xlsx" TargetMode="External"/><Relationship Id="rId2" Type="http://schemas.microsoft.com/office/2019/04/relationships/externalLinkLongPath" Target="/personal/dvelasquez_poligran_edu_co/Documents/02_Curriculo_Virtual/05_Documentos_Reforzamiento%20curricular/ReforzamientoCurricular2022/03_Entregables/Nivel%20Micro/InformacionCurricularProgramas/FIDI/ETIC/ProgramasPresenciales/FormatosRA/2024/FormatoRA_IngTelecomunicaciones_PMED.xlsx?E6B33712" TargetMode="External"/><Relationship Id="rId1" Type="http://schemas.openxmlformats.org/officeDocument/2006/relationships/externalLinkPath" Target="file:///\\E6B33712\FormatoRA_IngTelecomunicaciones_PMED.xlsx" TargetMode="External"/><Relationship Id="rId4" Type="http://schemas.openxmlformats.org/officeDocument/2006/relationships/externalLinkPath" Target="../../../../dvelasquez_poligran_edu_co/Documents/02_Curriculo_Virtual/05_Documentos_Reforzamiento%20curricular/ReforzamientoCurricular2022/03_Entregables/Nivel%20Micro/InformacionCurricularProgramas/FIDI/ETIC/ProgramasPresenciales/FormatosRA/2024/FormatoRA_IngTelecomunicaciones_PM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ZBKCLGWKAVXVEJZ3SKXTRLRPQL">
      <xxl21:absoluteUrl r:id="rId3"/>
      <xxl21:relativeUrl r:id="rId4"/>
    </xxl21:alternateUrls>
    <sheetNames>
      <sheetName val="Paso1 Analisis perfil egreso"/>
      <sheetName val="Paso 2 Redacción competen"/>
      <sheetName val="Paso 3 Redacción RA"/>
      <sheetName val="Paso 3 Redacción RA - Backup "/>
      <sheetName val="Paso 4 Estrategias mesocurricu"/>
      <sheetName val="Paso 5 Estrategias micro (2024)"/>
      <sheetName val="IL por Área"/>
      <sheetName val="Malla - Listada"/>
      <sheetName val="Malla - Gráfica"/>
      <sheetName val="Taxonomía para competencias"/>
      <sheetName val="Taxonomias para RA"/>
      <sheetName val="Paso 5 Estrategias microcurricu"/>
      <sheetName val="Paso 6 Estrategias micro Detall"/>
      <sheetName val="Horas trabajo individual"/>
      <sheetName val="Circuits Team"/>
      <sheetName val="Mal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person displayName="Diana Shirley Velasquez Rojas" id="{1C1AD70B-C598-47A4-A472-CA932FFE7C21}" userId="S::dvelasquez@poligran.edu.co::c7f3f5aa-9de1-4023-9a93-b741ed2115e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40" dT="2024-07-08T19:30:31.04" personId="{1C1AD70B-C598-47A4-A472-CA932FFE7C21}" id="{52323564-B7DA-4226-9AD3-8895C0D9D3E4}">
    <text>En Banner esta de dos créditos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heetViews>
  <sheetFormatPr baseColWidth="10" defaultColWidth="76.26953125" defaultRowHeight="16.5" x14ac:dyDescent="0.35"/>
  <cols>
    <col min="1" max="1" width="23.1796875" style="20" customWidth="1"/>
    <col min="2" max="2" width="17.1796875" style="20" customWidth="1"/>
    <col min="3" max="3" width="53.54296875" style="20" customWidth="1"/>
    <col min="4" max="4" width="42.7265625" style="20" customWidth="1"/>
    <col min="5" max="5" width="32.1796875" style="20" customWidth="1"/>
    <col min="6" max="6" width="34" style="12" customWidth="1"/>
    <col min="7" max="7" width="51" style="20" customWidth="1"/>
    <col min="8" max="8" width="50.1796875" style="20" customWidth="1"/>
    <col min="9" max="9" width="50.54296875" style="20" customWidth="1"/>
    <col min="10" max="10" width="34.7265625" style="20" customWidth="1"/>
    <col min="11" max="11" width="51.81640625" style="20" customWidth="1"/>
    <col min="12" max="16384" width="76.26953125" style="20"/>
  </cols>
  <sheetData>
    <row r="1" spans="1:11" s="18" customFormat="1" ht="55.5" x14ac:dyDescent="0.35">
      <c r="A1" s="15" t="s">
        <v>0</v>
      </c>
      <c r="B1" s="15" t="s">
        <v>1</v>
      </c>
      <c r="C1" s="15" t="s">
        <v>2</v>
      </c>
      <c r="D1" s="15" t="s">
        <v>3</v>
      </c>
      <c r="E1" s="151" t="s">
        <v>4</v>
      </c>
      <c r="F1" s="151"/>
      <c r="G1" s="151"/>
      <c r="H1" s="151" t="s">
        <v>5</v>
      </c>
      <c r="I1" s="151"/>
      <c r="J1" s="151"/>
      <c r="K1" s="119" t="s">
        <v>6</v>
      </c>
    </row>
    <row r="2" spans="1:11" s="18" customFormat="1" x14ac:dyDescent="0.35">
      <c r="A2" s="34" t="s">
        <v>7</v>
      </c>
      <c r="B2" s="34" t="s">
        <v>8</v>
      </c>
      <c r="C2" s="34" t="s">
        <v>9</v>
      </c>
      <c r="D2" s="34" t="s">
        <v>10</v>
      </c>
      <c r="E2" s="120" t="s">
        <v>11</v>
      </c>
      <c r="F2" s="120" t="s">
        <v>12</v>
      </c>
      <c r="G2" s="120" t="s">
        <v>13</v>
      </c>
      <c r="H2" s="120" t="s">
        <v>14</v>
      </c>
      <c r="I2" s="124" t="s">
        <v>15</v>
      </c>
      <c r="J2" s="124" t="s">
        <v>16</v>
      </c>
      <c r="K2" s="124" t="s">
        <v>17</v>
      </c>
    </row>
    <row r="3" spans="1:11" ht="64.5" customHeight="1" x14ac:dyDescent="0.35">
      <c r="A3" s="132" t="s">
        <v>18</v>
      </c>
      <c r="B3" s="132" t="s">
        <v>19</v>
      </c>
      <c r="C3" s="152" t="s">
        <v>20</v>
      </c>
      <c r="D3" s="135" t="s">
        <v>21</v>
      </c>
      <c r="E3" s="16" t="s">
        <v>22</v>
      </c>
      <c r="F3" s="19" t="s">
        <v>23</v>
      </c>
      <c r="G3" s="19" t="s">
        <v>24</v>
      </c>
      <c r="H3" s="149" t="s">
        <v>25</v>
      </c>
      <c r="I3" s="149" t="s">
        <v>26</v>
      </c>
      <c r="J3" s="149" t="s">
        <v>27</v>
      </c>
      <c r="K3" s="132" t="s">
        <v>28</v>
      </c>
    </row>
    <row r="4" spans="1:11" ht="57.75" customHeight="1" x14ac:dyDescent="0.35">
      <c r="A4" s="132"/>
      <c r="B4" s="132"/>
      <c r="C4" s="152"/>
      <c r="D4" s="135"/>
      <c r="E4" s="21" t="s">
        <v>29</v>
      </c>
      <c r="F4" s="21" t="s">
        <v>30</v>
      </c>
      <c r="G4" s="21" t="s">
        <v>31</v>
      </c>
      <c r="H4" s="150"/>
      <c r="I4" s="150"/>
      <c r="J4" s="150"/>
      <c r="K4" s="132"/>
    </row>
    <row r="5" spans="1:11" ht="60.75" customHeight="1" x14ac:dyDescent="0.35">
      <c r="A5" s="132"/>
      <c r="B5" s="132"/>
      <c r="C5" s="152"/>
      <c r="D5" s="135"/>
      <c r="E5" s="16" t="s">
        <v>32</v>
      </c>
      <c r="F5" s="16" t="s">
        <v>33</v>
      </c>
      <c r="G5" s="16" t="s">
        <v>34</v>
      </c>
      <c r="H5" s="150"/>
      <c r="I5" s="150"/>
      <c r="J5" s="150"/>
      <c r="K5" s="132"/>
    </row>
    <row r="6" spans="1:11" ht="49.5" x14ac:dyDescent="0.35">
      <c r="A6" s="132"/>
      <c r="B6" s="132"/>
      <c r="C6" s="152"/>
      <c r="D6" s="135"/>
      <c r="E6" s="98" t="s">
        <v>35</v>
      </c>
      <c r="F6" s="98" t="s">
        <v>36</v>
      </c>
      <c r="G6" s="98" t="s">
        <v>37</v>
      </c>
      <c r="H6" s="150"/>
      <c r="I6" s="150"/>
      <c r="J6" s="150"/>
      <c r="K6" s="132"/>
    </row>
    <row r="7" spans="1:11" ht="66" x14ac:dyDescent="0.35">
      <c r="A7" s="132"/>
      <c r="B7" s="132"/>
      <c r="C7" s="152"/>
      <c r="D7" s="135"/>
      <c r="E7" s="20" t="s">
        <v>38</v>
      </c>
      <c r="F7" s="20" t="s">
        <v>39</v>
      </c>
      <c r="G7" s="19" t="s">
        <v>40</v>
      </c>
      <c r="H7" s="150"/>
      <c r="I7" s="150"/>
      <c r="J7" s="150"/>
      <c r="K7" s="132"/>
    </row>
    <row r="8" spans="1:11" x14ac:dyDescent="0.35">
      <c r="A8" s="132"/>
      <c r="B8" s="132"/>
      <c r="C8" s="152"/>
      <c r="D8" s="135"/>
      <c r="H8" s="16"/>
    </row>
    <row r="9" spans="1:11" x14ac:dyDescent="0.35">
      <c r="E9" s="21"/>
      <c r="F9" s="16"/>
      <c r="G9" s="21"/>
      <c r="H9" s="16"/>
    </row>
    <row r="10" spans="1:11" x14ac:dyDescent="0.35">
      <c r="E10" s="16"/>
      <c r="F10" s="16"/>
      <c r="G10" s="16"/>
      <c r="H10" s="16"/>
    </row>
    <row r="11" spans="1:11" x14ac:dyDescent="0.35">
      <c r="E11" s="21"/>
      <c r="F11" s="21"/>
      <c r="G11" s="21"/>
      <c r="H11" s="16"/>
    </row>
    <row r="12" spans="1:11" x14ac:dyDescent="0.35">
      <c r="E12" s="21"/>
      <c r="F12" s="21"/>
      <c r="G12" s="21"/>
      <c r="H12" s="16"/>
    </row>
    <row r="13" spans="1:11" x14ac:dyDescent="0.35">
      <c r="E13" s="16"/>
      <c r="F13" s="16"/>
      <c r="H13" s="16"/>
    </row>
    <row r="14" spans="1:11" x14ac:dyDescent="0.35">
      <c r="E14" s="16"/>
      <c r="F14" s="16"/>
      <c r="H14" s="16"/>
      <c r="I14" s="19"/>
    </row>
    <row r="15" spans="1:11" x14ac:dyDescent="0.35">
      <c r="E15" s="16"/>
      <c r="F15" s="16"/>
    </row>
  </sheetData>
  <mergeCells count="10">
    <mergeCell ref="E1:G1"/>
    <mergeCell ref="H1:J1"/>
    <mergeCell ref="D3:D8"/>
    <mergeCell ref="C3:C8"/>
    <mergeCell ref="B3:B8"/>
    <mergeCell ref="K3:K7"/>
    <mergeCell ref="H3:H7"/>
    <mergeCell ref="I3:I7"/>
    <mergeCell ref="J3:J7"/>
    <mergeCell ref="A3:A8"/>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53125" defaultRowHeight="16.5" x14ac:dyDescent="0.35"/>
  <cols>
    <col min="1" max="1" width="19" style="20" customWidth="1"/>
    <col min="2" max="2" width="22" style="20" customWidth="1"/>
    <col min="3" max="3" width="30.453125" style="20" customWidth="1"/>
    <col min="4" max="4" width="34" style="20" customWidth="1"/>
    <col min="5" max="5" width="56.7265625" style="20" customWidth="1"/>
    <col min="6" max="6" width="90.453125" style="20" customWidth="1"/>
    <col min="7" max="7" width="32.453125" style="20" customWidth="1"/>
    <col min="8" max="16384" width="11.453125" style="20"/>
  </cols>
  <sheetData>
    <row r="1" spans="1:7" x14ac:dyDescent="0.35">
      <c r="A1" s="153" t="s">
        <v>41</v>
      </c>
      <c r="B1" s="154"/>
      <c r="C1" s="154"/>
      <c r="D1" s="154"/>
      <c r="E1" s="154"/>
      <c r="F1" s="154"/>
      <c r="G1" s="154"/>
    </row>
    <row r="2" spans="1:7" s="31" customFormat="1" ht="52" x14ac:dyDescent="0.35">
      <c r="A2" s="28" t="s">
        <v>42</v>
      </c>
      <c r="B2" s="29" t="s">
        <v>43</v>
      </c>
      <c r="C2" s="29" t="s">
        <v>44</v>
      </c>
      <c r="D2" s="29" t="s">
        <v>45</v>
      </c>
      <c r="E2" s="29" t="s">
        <v>46</v>
      </c>
      <c r="F2" s="30" t="s">
        <v>47</v>
      </c>
      <c r="G2" s="30" t="s">
        <v>48</v>
      </c>
    </row>
    <row r="3" spans="1:7" s="36" customFormat="1" x14ac:dyDescent="0.35">
      <c r="A3" s="32" t="s">
        <v>49</v>
      </c>
      <c r="B3" s="33" t="s">
        <v>50</v>
      </c>
      <c r="C3" s="33" t="s">
        <v>51</v>
      </c>
      <c r="D3" s="33" t="s">
        <v>52</v>
      </c>
      <c r="E3" s="33" t="s">
        <v>53</v>
      </c>
      <c r="F3" s="34" t="s">
        <v>54</v>
      </c>
      <c r="G3" s="34" t="s">
        <v>55</v>
      </c>
    </row>
    <row r="4" spans="1:7" ht="66" x14ac:dyDescent="0.35">
      <c r="A4" s="20">
        <v>1</v>
      </c>
      <c r="B4" s="12" t="s">
        <v>56</v>
      </c>
      <c r="C4" s="20" t="s">
        <v>22</v>
      </c>
      <c r="D4" s="19" t="s">
        <v>23</v>
      </c>
      <c r="E4" s="19" t="s">
        <v>24</v>
      </c>
      <c r="F4" s="17" t="s">
        <v>57</v>
      </c>
      <c r="G4" s="17" t="s">
        <v>58</v>
      </c>
    </row>
    <row r="5" spans="1:7" s="19" customFormat="1" ht="66" x14ac:dyDescent="0.35">
      <c r="A5" s="19">
        <v>2</v>
      </c>
      <c r="B5" s="19" t="s">
        <v>59</v>
      </c>
      <c r="C5" s="19" t="s">
        <v>29</v>
      </c>
      <c r="D5" s="19" t="s">
        <v>30</v>
      </c>
      <c r="E5" s="19" t="s">
        <v>31</v>
      </c>
      <c r="F5" s="19" t="s">
        <v>60</v>
      </c>
      <c r="G5" s="19" t="s">
        <v>58</v>
      </c>
    </row>
    <row r="6" spans="1:7" s="110" customFormat="1" ht="49.5" x14ac:dyDescent="0.35">
      <c r="A6" s="46">
        <v>3</v>
      </c>
      <c r="B6" s="2" t="s">
        <v>61</v>
      </c>
      <c r="C6" s="19" t="s">
        <v>32</v>
      </c>
      <c r="D6" s="20" t="s">
        <v>33</v>
      </c>
      <c r="E6" s="20" t="s">
        <v>62</v>
      </c>
      <c r="F6" s="19" t="s">
        <v>63</v>
      </c>
      <c r="G6" s="19" t="s">
        <v>58</v>
      </c>
    </row>
    <row r="7" spans="1:7" ht="49.5" x14ac:dyDescent="0.35">
      <c r="A7" s="111">
        <v>4</v>
      </c>
      <c r="B7" s="112" t="s">
        <v>64</v>
      </c>
      <c r="C7" s="111" t="s">
        <v>35</v>
      </c>
      <c r="D7" s="111" t="s">
        <v>36</v>
      </c>
      <c r="E7" s="111" t="s">
        <v>37</v>
      </c>
      <c r="F7" s="111" t="s">
        <v>65</v>
      </c>
      <c r="G7" s="20" t="s">
        <v>58</v>
      </c>
    </row>
    <row r="8" spans="1:7" ht="66" x14ac:dyDescent="0.35">
      <c r="A8" s="123">
        <v>5</v>
      </c>
      <c r="B8" s="21" t="s">
        <v>66</v>
      </c>
      <c r="C8" s="20" t="s">
        <v>38</v>
      </c>
      <c r="D8" s="20" t="s">
        <v>39</v>
      </c>
      <c r="E8" s="19" t="s">
        <v>40</v>
      </c>
      <c r="F8" s="19" t="s">
        <v>67</v>
      </c>
      <c r="G8" s="27" t="s">
        <v>68</v>
      </c>
    </row>
    <row r="9" spans="1:7" x14ac:dyDescent="0.35">
      <c r="A9" s="18"/>
      <c r="C9" s="21"/>
      <c r="D9" s="21"/>
      <c r="E9" s="21"/>
      <c r="F9" s="19"/>
    </row>
    <row r="10" spans="1:7" x14ac:dyDescent="0.35">
      <c r="A10" s="18"/>
      <c r="C10" s="21"/>
      <c r="D10" s="21"/>
      <c r="E10" s="21"/>
      <c r="F10" s="19"/>
    </row>
    <row r="11" spans="1:7" x14ac:dyDescent="0.35">
      <c r="A11" s="18"/>
      <c r="C11" s="21"/>
      <c r="D11" s="21"/>
      <c r="E11" s="21"/>
      <c r="F11" s="19"/>
    </row>
    <row r="12" spans="1:7" x14ac:dyDescent="0.35">
      <c r="A12" s="18"/>
      <c r="C12" s="21"/>
      <c r="D12" s="21"/>
      <c r="E12" s="21"/>
      <c r="F12" s="19"/>
    </row>
    <row r="13" spans="1:7" x14ac:dyDescent="0.35">
      <c r="A13" s="18"/>
      <c r="C13" s="21"/>
      <c r="D13" s="21"/>
      <c r="E13" s="21"/>
      <c r="F13" s="19"/>
    </row>
  </sheetData>
  <mergeCells count="1">
    <mergeCell ref="A1:G1"/>
  </mergeCells>
  <dataValidations count="2">
    <dataValidation type="list" allowBlank="1" showInputMessage="1" showErrorMessage="1" sqref="F5 C4: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zoomScaleNormal="100" workbookViewId="0">
      <pane ySplit="2" topLeftCell="A3" activePane="bottomLeft" state="frozen"/>
      <selection pane="bottomLeft"/>
    </sheetView>
  </sheetViews>
  <sheetFormatPr baseColWidth="10" defaultColWidth="11.453125" defaultRowHeight="16.5" x14ac:dyDescent="0.35"/>
  <cols>
    <col min="1" max="1" width="77.453125" style="16" customWidth="1"/>
    <col min="2" max="2" width="23.1796875" style="18" customWidth="1"/>
    <col min="3" max="3" width="23" style="20" customWidth="1"/>
    <col min="4" max="4" width="30.7265625" style="20" customWidth="1"/>
    <col min="5" max="5" width="25.54296875" style="20" customWidth="1"/>
    <col min="6" max="6" width="21.81640625" style="20" customWidth="1"/>
    <col min="7" max="7" width="27.453125" style="12" customWidth="1"/>
    <col min="8" max="8" width="20" style="12" customWidth="1"/>
    <col min="9" max="9" width="72" style="41" customWidth="1"/>
    <col min="10" max="16384" width="11.453125" style="16"/>
  </cols>
  <sheetData>
    <row r="1" spans="1:11" s="38" customFormat="1" ht="52" x14ac:dyDescent="0.35">
      <c r="A1" s="15" t="s">
        <v>69</v>
      </c>
      <c r="B1" s="15" t="s">
        <v>70</v>
      </c>
      <c r="C1" s="29" t="s">
        <v>71</v>
      </c>
      <c r="D1" s="121" t="s">
        <v>72</v>
      </c>
      <c r="E1" s="121" t="s">
        <v>73</v>
      </c>
      <c r="F1" s="29" t="s">
        <v>74</v>
      </c>
      <c r="G1" s="29" t="s">
        <v>75</v>
      </c>
      <c r="H1" s="29" t="s">
        <v>76</v>
      </c>
      <c r="I1" s="15" t="s">
        <v>77</v>
      </c>
    </row>
    <row r="2" spans="1:11" s="39" customFormat="1" x14ac:dyDescent="0.35">
      <c r="A2" s="37" t="s">
        <v>78</v>
      </c>
      <c r="B2" s="37" t="s">
        <v>79</v>
      </c>
      <c r="C2" s="33" t="s">
        <v>80</v>
      </c>
      <c r="D2" s="122" t="s">
        <v>81</v>
      </c>
      <c r="E2" s="122" t="s">
        <v>82</v>
      </c>
      <c r="F2" s="33" t="s">
        <v>83</v>
      </c>
      <c r="G2" s="33" t="s">
        <v>84</v>
      </c>
      <c r="H2" s="33" t="s">
        <v>85</v>
      </c>
      <c r="I2" s="37" t="s">
        <v>86</v>
      </c>
    </row>
    <row r="3" spans="1:11" ht="84.75" customHeight="1" x14ac:dyDescent="0.35">
      <c r="A3" s="20" t="s">
        <v>57</v>
      </c>
      <c r="B3" s="18">
        <v>1</v>
      </c>
      <c r="C3" s="20" t="s">
        <v>11</v>
      </c>
      <c r="D3" s="20" t="s">
        <v>22</v>
      </c>
      <c r="E3" s="20" t="s">
        <v>87</v>
      </c>
      <c r="F3" s="12" t="s">
        <v>88</v>
      </c>
      <c r="G3" s="12" t="s">
        <v>89</v>
      </c>
      <c r="H3" s="12" t="s">
        <v>90</v>
      </c>
      <c r="I3" s="16" t="s">
        <v>91</v>
      </c>
    </row>
    <row r="4" spans="1:11" ht="84.75" customHeight="1" x14ac:dyDescent="0.5">
      <c r="A4" s="20" t="s">
        <v>57</v>
      </c>
      <c r="B4" s="18">
        <v>4</v>
      </c>
      <c r="C4" s="20" t="s">
        <v>12</v>
      </c>
      <c r="D4" s="20" t="s">
        <v>23</v>
      </c>
      <c r="E4" s="20" t="s">
        <v>87</v>
      </c>
      <c r="F4" s="12" t="s">
        <v>92</v>
      </c>
      <c r="G4" s="12" t="s">
        <v>93</v>
      </c>
      <c r="H4" s="12" t="s">
        <v>94</v>
      </c>
      <c r="I4" s="19" t="s">
        <v>95</v>
      </c>
      <c r="K4" s="69"/>
    </row>
    <row r="5" spans="1:11" ht="84.75" customHeight="1" thickBot="1" x14ac:dyDescent="0.4">
      <c r="A5" s="42" t="s">
        <v>96</v>
      </c>
      <c r="B5" s="25">
        <v>6</v>
      </c>
      <c r="C5" s="42" t="s">
        <v>13</v>
      </c>
      <c r="D5" s="42" t="s">
        <v>24</v>
      </c>
      <c r="E5" s="42" t="s">
        <v>87</v>
      </c>
      <c r="F5" s="43" t="s">
        <v>97</v>
      </c>
      <c r="G5" s="43" t="s">
        <v>98</v>
      </c>
      <c r="H5" s="43" t="s">
        <v>99</v>
      </c>
      <c r="I5" s="26" t="s">
        <v>100</v>
      </c>
    </row>
    <row r="6" spans="1:11" s="21" customFormat="1" ht="84.75" customHeight="1" x14ac:dyDescent="0.35">
      <c r="A6" s="19" t="s">
        <v>60</v>
      </c>
      <c r="B6" s="40">
        <v>1</v>
      </c>
      <c r="C6" s="19" t="s">
        <v>11</v>
      </c>
      <c r="D6" s="19" t="s">
        <v>29</v>
      </c>
      <c r="E6" s="19" t="s">
        <v>87</v>
      </c>
      <c r="F6" s="2" t="s">
        <v>88</v>
      </c>
      <c r="G6" s="2" t="s">
        <v>89</v>
      </c>
      <c r="H6" s="2" t="s">
        <v>90</v>
      </c>
      <c r="I6" s="21" t="s">
        <v>91</v>
      </c>
    </row>
    <row r="7" spans="1:11" s="21" customFormat="1" ht="84.75" customHeight="1" x14ac:dyDescent="0.35">
      <c r="A7" s="19" t="s">
        <v>101</v>
      </c>
      <c r="B7" s="40">
        <v>5</v>
      </c>
      <c r="C7" s="19" t="s">
        <v>12</v>
      </c>
      <c r="D7" s="19" t="s">
        <v>30</v>
      </c>
      <c r="E7" s="19" t="s">
        <v>87</v>
      </c>
      <c r="F7" s="2" t="s">
        <v>92</v>
      </c>
      <c r="G7" s="2" t="s">
        <v>93</v>
      </c>
      <c r="H7" s="2" t="s">
        <v>102</v>
      </c>
      <c r="I7" s="19" t="s">
        <v>103</v>
      </c>
    </row>
    <row r="8" spans="1:11" s="21" customFormat="1" ht="84.75" customHeight="1" x14ac:dyDescent="0.35">
      <c r="A8" s="44" t="s">
        <v>101</v>
      </c>
      <c r="B8" s="45">
        <v>6</v>
      </c>
      <c r="C8" s="44" t="s">
        <v>13</v>
      </c>
      <c r="D8" s="44" t="s">
        <v>31</v>
      </c>
      <c r="E8" s="44" t="s">
        <v>87</v>
      </c>
      <c r="F8" s="108" t="s">
        <v>97</v>
      </c>
      <c r="G8" s="108" t="s">
        <v>98</v>
      </c>
      <c r="H8" s="108" t="s">
        <v>99</v>
      </c>
      <c r="I8" s="109" t="s">
        <v>100</v>
      </c>
    </row>
    <row r="9" spans="1:11" s="24" customFormat="1" ht="84.75" customHeight="1" x14ac:dyDescent="0.35">
      <c r="A9" s="19" t="s">
        <v>63</v>
      </c>
      <c r="B9" s="40">
        <v>2</v>
      </c>
      <c r="C9" s="19" t="s">
        <v>11</v>
      </c>
      <c r="D9" s="19" t="s">
        <v>32</v>
      </c>
      <c r="E9" s="20" t="s">
        <v>87</v>
      </c>
      <c r="F9" s="12" t="s">
        <v>88</v>
      </c>
      <c r="G9" s="12" t="s">
        <v>89</v>
      </c>
      <c r="H9" s="12" t="s">
        <v>66</v>
      </c>
      <c r="I9" s="16" t="s">
        <v>104</v>
      </c>
    </row>
    <row r="10" spans="1:11" s="24" customFormat="1" ht="84.75" customHeight="1" x14ac:dyDescent="0.35">
      <c r="A10" s="19" t="s">
        <v>63</v>
      </c>
      <c r="B10" s="40">
        <v>5</v>
      </c>
      <c r="C10" s="19" t="s">
        <v>12</v>
      </c>
      <c r="D10" s="19" t="s">
        <v>33</v>
      </c>
      <c r="E10" s="20" t="s">
        <v>87</v>
      </c>
      <c r="F10" s="12" t="s">
        <v>92</v>
      </c>
      <c r="G10" s="12" t="s">
        <v>93</v>
      </c>
      <c r="H10" s="12" t="s">
        <v>102</v>
      </c>
      <c r="I10" s="19" t="s">
        <v>103</v>
      </c>
    </row>
    <row r="11" spans="1:11" s="24" customFormat="1" ht="84.75" customHeight="1" thickBot="1" x14ac:dyDescent="0.4">
      <c r="A11" s="44" t="s">
        <v>63</v>
      </c>
      <c r="B11" s="45">
        <v>6</v>
      </c>
      <c r="C11" s="44" t="s">
        <v>13</v>
      </c>
      <c r="D11" s="44" t="s">
        <v>34</v>
      </c>
      <c r="E11" s="42" t="s">
        <v>87</v>
      </c>
      <c r="F11" s="43" t="s">
        <v>97</v>
      </c>
      <c r="G11" s="43" t="s">
        <v>98</v>
      </c>
      <c r="H11" s="43" t="s">
        <v>99</v>
      </c>
      <c r="I11" s="26" t="s">
        <v>100</v>
      </c>
    </row>
    <row r="12" spans="1:11" ht="84.75" customHeight="1" x14ac:dyDescent="0.35">
      <c r="A12" s="19" t="s">
        <v>65</v>
      </c>
      <c r="B12" s="40">
        <v>2</v>
      </c>
      <c r="C12" s="19" t="s">
        <v>11</v>
      </c>
      <c r="D12" s="19" t="s">
        <v>35</v>
      </c>
      <c r="E12" s="20" t="s">
        <v>87</v>
      </c>
      <c r="F12" s="12" t="s">
        <v>88</v>
      </c>
      <c r="G12" s="12" t="s">
        <v>89</v>
      </c>
      <c r="H12" s="12" t="s">
        <v>66</v>
      </c>
      <c r="I12" s="16" t="s">
        <v>104</v>
      </c>
    </row>
    <row r="13" spans="1:11" ht="84.75" customHeight="1" x14ac:dyDescent="0.35">
      <c r="A13" s="19" t="s">
        <v>65</v>
      </c>
      <c r="B13" s="40">
        <v>4</v>
      </c>
      <c r="C13" s="19" t="s">
        <v>12</v>
      </c>
      <c r="D13" s="19" t="s">
        <v>36</v>
      </c>
      <c r="E13" s="20" t="s">
        <v>87</v>
      </c>
      <c r="F13" s="12" t="s">
        <v>92</v>
      </c>
      <c r="G13" s="12" t="s">
        <v>93</v>
      </c>
      <c r="H13" s="12" t="s">
        <v>94</v>
      </c>
      <c r="I13" s="16" t="s">
        <v>95</v>
      </c>
    </row>
    <row r="14" spans="1:11" ht="84.75" customHeight="1" x14ac:dyDescent="0.35">
      <c r="A14" s="44" t="s">
        <v>65</v>
      </c>
      <c r="B14" s="45">
        <v>6</v>
      </c>
      <c r="C14" s="106" t="s">
        <v>13</v>
      </c>
      <c r="D14" s="44" t="s">
        <v>37</v>
      </c>
      <c r="E14" s="42" t="s">
        <v>87</v>
      </c>
      <c r="F14" s="43" t="s">
        <v>97</v>
      </c>
      <c r="G14" s="43" t="s">
        <v>98</v>
      </c>
      <c r="H14" s="43" t="s">
        <v>99</v>
      </c>
      <c r="I14" s="26" t="s">
        <v>100</v>
      </c>
    </row>
    <row r="15" spans="1:11" ht="84.75" customHeight="1" x14ac:dyDescent="0.35">
      <c r="A15" s="19" t="s">
        <v>67</v>
      </c>
      <c r="B15" s="51">
        <v>3</v>
      </c>
      <c r="C15" s="19" t="s">
        <v>11</v>
      </c>
      <c r="D15" s="27" t="s">
        <v>38</v>
      </c>
      <c r="E15" s="50" t="s">
        <v>105</v>
      </c>
      <c r="F15" s="96" t="s">
        <v>106</v>
      </c>
      <c r="G15" s="96" t="s">
        <v>107</v>
      </c>
      <c r="H15" s="23" t="s">
        <v>108</v>
      </c>
      <c r="I15" s="16" t="s">
        <v>109</v>
      </c>
    </row>
    <row r="16" spans="1:11" x14ac:dyDescent="0.35">
      <c r="A16" s="19"/>
      <c r="C16" s="19"/>
      <c r="D16" s="19"/>
      <c r="E16" s="19"/>
      <c r="F16" s="19"/>
      <c r="G16" s="2"/>
      <c r="H16" s="2"/>
      <c r="I16" s="16"/>
    </row>
    <row r="17" spans="1:9" x14ac:dyDescent="0.35">
      <c r="A17" s="19"/>
      <c r="C17" s="19"/>
      <c r="D17" s="19"/>
      <c r="E17" s="19"/>
      <c r="F17" s="19"/>
      <c r="G17" s="2"/>
      <c r="H17" s="2"/>
      <c r="I17" s="16"/>
    </row>
    <row r="18" spans="1:9" x14ac:dyDescent="0.35">
      <c r="A18" s="19"/>
      <c r="C18" s="19"/>
      <c r="D18" s="19"/>
      <c r="E18" s="19"/>
      <c r="F18" s="19"/>
      <c r="G18" s="2"/>
      <c r="H18" s="2"/>
      <c r="I18" s="16"/>
    </row>
    <row r="19" spans="1:9" x14ac:dyDescent="0.35">
      <c r="A19" s="19"/>
      <c r="C19" s="19"/>
      <c r="D19" s="19"/>
      <c r="E19" s="19"/>
      <c r="F19" s="19"/>
      <c r="G19" s="2"/>
      <c r="H19" s="2"/>
      <c r="I19" s="19"/>
    </row>
    <row r="20" spans="1:9" x14ac:dyDescent="0.35">
      <c r="A20" s="19"/>
      <c r="C20" s="19"/>
      <c r="D20" s="19"/>
      <c r="E20" s="19"/>
      <c r="F20" s="19"/>
      <c r="G20" s="2"/>
      <c r="H20" s="2"/>
      <c r="I20" s="16"/>
    </row>
    <row r="21" spans="1:9" x14ac:dyDescent="0.35">
      <c r="A21" s="19"/>
      <c r="C21" s="19"/>
      <c r="D21" s="19"/>
      <c r="E21" s="19"/>
      <c r="F21" s="19"/>
      <c r="G21" s="2"/>
      <c r="H21" s="2"/>
      <c r="I21" s="19"/>
    </row>
    <row r="22" spans="1:9" x14ac:dyDescent="0.35">
      <c r="A22" s="19"/>
      <c r="C22" s="19"/>
      <c r="D22" s="19"/>
      <c r="E22" s="19"/>
      <c r="F22" s="19"/>
      <c r="G22" s="2"/>
      <c r="H22" s="2"/>
      <c r="I22" s="16"/>
    </row>
    <row r="24" spans="1:9" x14ac:dyDescent="0.5">
      <c r="A24" s="22"/>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34"/>
  <sheetViews>
    <sheetView zoomScaleNormal="100" workbookViewId="0"/>
  </sheetViews>
  <sheetFormatPr baseColWidth="10" defaultColWidth="11.453125" defaultRowHeight="16.5" x14ac:dyDescent="0.35"/>
  <cols>
    <col min="1" max="1" width="98.81640625" style="12" customWidth="1"/>
    <col min="2" max="2" width="44" style="52" customWidth="1"/>
    <col min="3" max="3" width="38.26953125" style="12" customWidth="1"/>
    <col min="4" max="4" width="45.1796875" style="12" customWidth="1"/>
    <col min="5" max="5" width="39.1796875" style="12" customWidth="1"/>
    <col min="6" max="6" width="47.7265625" style="12" customWidth="1"/>
    <col min="7" max="16384" width="11.453125" style="12"/>
  </cols>
  <sheetData>
    <row r="1" spans="1:6" ht="65" x14ac:dyDescent="0.35">
      <c r="A1" s="15" t="s">
        <v>110</v>
      </c>
      <c r="B1" s="15" t="s">
        <v>111</v>
      </c>
      <c r="C1" s="15" t="s">
        <v>112</v>
      </c>
      <c r="D1" s="15" t="s">
        <v>113</v>
      </c>
      <c r="E1" s="15" t="s">
        <v>114</v>
      </c>
      <c r="F1" s="15" t="s">
        <v>115</v>
      </c>
    </row>
    <row r="2" spans="1:6" ht="33" x14ac:dyDescent="0.35">
      <c r="A2" s="37" t="s">
        <v>116</v>
      </c>
      <c r="B2" s="37" t="s">
        <v>117</v>
      </c>
      <c r="C2" s="37" t="s">
        <v>118</v>
      </c>
      <c r="D2" s="37" t="s">
        <v>119</v>
      </c>
      <c r="E2" s="37" t="s">
        <v>120</v>
      </c>
      <c r="F2" s="37" t="s">
        <v>121</v>
      </c>
    </row>
    <row r="3" spans="1:6" ht="50.25" customHeight="1" x14ac:dyDescent="0.35">
      <c r="A3" s="17" t="s">
        <v>91</v>
      </c>
      <c r="B3" s="162" t="s">
        <v>122</v>
      </c>
      <c r="C3" s="165" t="s">
        <v>123</v>
      </c>
      <c r="D3" s="47" t="s">
        <v>124</v>
      </c>
      <c r="E3" s="161" t="s">
        <v>125</v>
      </c>
      <c r="F3" s="17" t="s">
        <v>126</v>
      </c>
    </row>
    <row r="4" spans="1:6" ht="50.25" customHeight="1" x14ac:dyDescent="0.35">
      <c r="A4" s="20" t="s">
        <v>100</v>
      </c>
      <c r="B4" s="163"/>
      <c r="C4" s="166"/>
      <c r="D4" s="46" t="s">
        <v>127</v>
      </c>
      <c r="E4" s="135"/>
      <c r="F4" s="20" t="s">
        <v>128</v>
      </c>
    </row>
    <row r="5" spans="1:6" ht="50.25" customHeight="1" x14ac:dyDescent="0.35">
      <c r="A5" s="20" t="s">
        <v>103</v>
      </c>
      <c r="B5" s="163"/>
      <c r="C5" s="166"/>
      <c r="D5" s="46" t="s">
        <v>129</v>
      </c>
      <c r="E5" s="135"/>
      <c r="F5" s="20" t="s">
        <v>130</v>
      </c>
    </row>
    <row r="6" spans="1:6" ht="50.25" customHeight="1" x14ac:dyDescent="0.35">
      <c r="A6" s="42" t="s">
        <v>104</v>
      </c>
      <c r="B6" s="164"/>
      <c r="C6" s="167"/>
      <c r="D6" s="48"/>
      <c r="E6" s="136"/>
      <c r="F6" s="42"/>
    </row>
    <row r="7" spans="1:6" ht="50.25" customHeight="1" x14ac:dyDescent="0.35">
      <c r="A7" s="50" t="s">
        <v>91</v>
      </c>
      <c r="B7" s="168" t="s">
        <v>131</v>
      </c>
      <c r="C7" s="169" t="s">
        <v>132</v>
      </c>
      <c r="D7" s="49" t="s">
        <v>124</v>
      </c>
      <c r="E7" s="134" t="s">
        <v>133</v>
      </c>
      <c r="F7" s="50" t="s">
        <v>126</v>
      </c>
    </row>
    <row r="8" spans="1:6" ht="50.25" customHeight="1" x14ac:dyDescent="0.35">
      <c r="A8" s="20" t="s">
        <v>95</v>
      </c>
      <c r="B8" s="163"/>
      <c r="C8" s="166"/>
      <c r="D8" s="46" t="s">
        <v>134</v>
      </c>
      <c r="E8" s="135"/>
      <c r="F8" s="20" t="s">
        <v>128</v>
      </c>
    </row>
    <row r="9" spans="1:6" ht="50.25" customHeight="1" x14ac:dyDescent="0.35">
      <c r="A9" s="20" t="s">
        <v>100</v>
      </c>
      <c r="B9" s="163"/>
      <c r="C9" s="166"/>
      <c r="D9" s="46" t="s">
        <v>135</v>
      </c>
      <c r="E9" s="135"/>
      <c r="F9" s="20" t="s">
        <v>130</v>
      </c>
    </row>
    <row r="10" spans="1:6" ht="50.25" customHeight="1" x14ac:dyDescent="0.35">
      <c r="A10" s="20" t="s">
        <v>103</v>
      </c>
      <c r="B10" s="163"/>
      <c r="C10" s="166"/>
      <c r="D10" s="46"/>
      <c r="E10" s="135"/>
      <c r="F10" s="20"/>
    </row>
    <row r="11" spans="1:6" ht="50.25" customHeight="1" x14ac:dyDescent="0.35">
      <c r="A11" s="42" t="s">
        <v>104</v>
      </c>
      <c r="B11" s="164"/>
      <c r="C11" s="167"/>
      <c r="D11" s="48"/>
      <c r="E11" s="136"/>
      <c r="F11" s="42"/>
    </row>
    <row r="12" spans="1:6" ht="50.25" customHeight="1" x14ac:dyDescent="0.35">
      <c r="A12" s="50" t="s">
        <v>91</v>
      </c>
      <c r="B12" s="168" t="s">
        <v>136</v>
      </c>
      <c r="C12" s="170" t="s">
        <v>137</v>
      </c>
      <c r="D12" s="49" t="s">
        <v>124</v>
      </c>
      <c r="E12" s="134" t="s">
        <v>138</v>
      </c>
      <c r="F12" s="50" t="s">
        <v>126</v>
      </c>
    </row>
    <row r="13" spans="1:6" ht="50.25" customHeight="1" x14ac:dyDescent="0.35">
      <c r="A13" s="20" t="s">
        <v>95</v>
      </c>
      <c r="B13" s="163"/>
      <c r="C13" s="150"/>
      <c r="D13" s="46" t="s">
        <v>134</v>
      </c>
      <c r="E13" s="135"/>
      <c r="F13" s="20" t="s">
        <v>128</v>
      </c>
    </row>
    <row r="14" spans="1:6" ht="50.25" customHeight="1" x14ac:dyDescent="0.35">
      <c r="A14" s="20" t="s">
        <v>100</v>
      </c>
      <c r="B14" s="163"/>
      <c r="C14" s="150"/>
      <c r="D14" s="46" t="s">
        <v>139</v>
      </c>
      <c r="E14" s="135"/>
      <c r="F14" s="20" t="s">
        <v>130</v>
      </c>
    </row>
    <row r="15" spans="1:6" ht="50.25" customHeight="1" x14ac:dyDescent="0.35">
      <c r="A15" s="20" t="s">
        <v>103</v>
      </c>
      <c r="B15" s="163"/>
      <c r="C15" s="150"/>
      <c r="D15" s="46"/>
      <c r="E15" s="135"/>
      <c r="F15" s="20"/>
    </row>
    <row r="16" spans="1:6" ht="50.25" customHeight="1" x14ac:dyDescent="0.35">
      <c r="A16" s="42" t="s">
        <v>104</v>
      </c>
      <c r="B16" s="164"/>
      <c r="C16" s="171"/>
      <c r="D16" s="48"/>
      <c r="E16" s="136"/>
      <c r="F16" s="42"/>
    </row>
    <row r="17" spans="1:6" ht="50.25" customHeight="1" x14ac:dyDescent="0.35">
      <c r="A17" s="20" t="s">
        <v>91</v>
      </c>
      <c r="B17" s="131" t="s">
        <v>140</v>
      </c>
      <c r="C17" s="131" t="s">
        <v>141</v>
      </c>
      <c r="D17" s="46" t="s">
        <v>124</v>
      </c>
      <c r="E17" s="134" t="s">
        <v>138</v>
      </c>
      <c r="F17" s="20" t="s">
        <v>126</v>
      </c>
    </row>
    <row r="18" spans="1:6" ht="50.25" customHeight="1" x14ac:dyDescent="0.35">
      <c r="A18" s="20" t="s">
        <v>95</v>
      </c>
      <c r="B18" s="132"/>
      <c r="C18" s="132"/>
      <c r="D18" s="46" t="s">
        <v>134</v>
      </c>
      <c r="E18" s="135"/>
      <c r="F18" s="20" t="s">
        <v>128</v>
      </c>
    </row>
    <row r="19" spans="1:6" ht="50.25" customHeight="1" x14ac:dyDescent="0.35">
      <c r="A19" s="20" t="s">
        <v>100</v>
      </c>
      <c r="B19" s="132"/>
      <c r="C19" s="132"/>
      <c r="D19" s="46" t="s">
        <v>142</v>
      </c>
      <c r="E19" s="135"/>
      <c r="F19" s="20" t="s">
        <v>130</v>
      </c>
    </row>
    <row r="20" spans="1:6" ht="50.25" customHeight="1" x14ac:dyDescent="0.35">
      <c r="A20" s="20" t="s">
        <v>103</v>
      </c>
      <c r="B20" s="132"/>
      <c r="C20" s="132"/>
      <c r="E20" s="135"/>
    </row>
    <row r="21" spans="1:6" ht="50.25" customHeight="1" x14ac:dyDescent="0.35">
      <c r="A21" s="42" t="s">
        <v>104</v>
      </c>
      <c r="B21" s="133"/>
      <c r="C21" s="133"/>
      <c r="D21" s="43"/>
      <c r="E21" s="136"/>
      <c r="F21" s="43"/>
    </row>
    <row r="22" spans="1:6" ht="50.25" customHeight="1" x14ac:dyDescent="0.35">
      <c r="A22" s="50" t="s">
        <v>91</v>
      </c>
      <c r="B22" s="131" t="s">
        <v>143</v>
      </c>
      <c r="C22" s="134" t="s">
        <v>144</v>
      </c>
      <c r="D22" s="49" t="s">
        <v>124</v>
      </c>
      <c r="E22" s="134" t="s">
        <v>145</v>
      </c>
      <c r="F22" s="50" t="s">
        <v>126</v>
      </c>
    </row>
    <row r="23" spans="1:6" ht="50.25" customHeight="1" x14ac:dyDescent="0.35">
      <c r="A23" s="20" t="s">
        <v>95</v>
      </c>
      <c r="B23" s="132"/>
      <c r="C23" s="135"/>
      <c r="D23" s="46" t="s">
        <v>134</v>
      </c>
      <c r="E23" s="135"/>
      <c r="F23" s="20" t="s">
        <v>128</v>
      </c>
    </row>
    <row r="24" spans="1:6" ht="50.25" customHeight="1" x14ac:dyDescent="0.35">
      <c r="A24" s="20" t="s">
        <v>100</v>
      </c>
      <c r="B24" s="132"/>
      <c r="C24" s="135"/>
      <c r="D24" s="46" t="s">
        <v>146</v>
      </c>
      <c r="E24" s="135"/>
      <c r="F24" s="20" t="s">
        <v>130</v>
      </c>
    </row>
    <row r="25" spans="1:6" ht="50.25" customHeight="1" x14ac:dyDescent="0.35">
      <c r="A25" s="20" t="s">
        <v>103</v>
      </c>
      <c r="B25" s="132"/>
      <c r="C25" s="135"/>
      <c r="E25" s="135"/>
    </row>
    <row r="26" spans="1:6" ht="50.25" customHeight="1" x14ac:dyDescent="0.35">
      <c r="A26" s="42" t="s">
        <v>104</v>
      </c>
      <c r="B26" s="133"/>
      <c r="C26" s="136"/>
      <c r="D26" s="43"/>
      <c r="E26" s="136"/>
      <c r="F26" s="43"/>
    </row>
    <row r="27" spans="1:6" ht="49.5" x14ac:dyDescent="0.35">
      <c r="A27" s="20" t="s">
        <v>104</v>
      </c>
      <c r="B27" s="155" t="s">
        <v>147</v>
      </c>
      <c r="C27" s="158" t="s">
        <v>148</v>
      </c>
      <c r="D27" s="12" t="s">
        <v>134</v>
      </c>
      <c r="E27" s="134" t="s">
        <v>149</v>
      </c>
      <c r="F27" s="12" t="s">
        <v>128</v>
      </c>
    </row>
    <row r="28" spans="1:6" ht="49.5" x14ac:dyDescent="0.35">
      <c r="A28" s="20" t="s">
        <v>95</v>
      </c>
      <c r="B28" s="156"/>
      <c r="C28" s="152"/>
      <c r="D28" s="20" t="s">
        <v>150</v>
      </c>
      <c r="E28" s="135"/>
      <c r="F28" s="12" t="s">
        <v>130</v>
      </c>
    </row>
    <row r="29" spans="1:6" ht="49.5" x14ac:dyDescent="0.35">
      <c r="A29" s="111" t="s">
        <v>100</v>
      </c>
      <c r="B29" s="157"/>
      <c r="C29" s="159"/>
      <c r="D29" s="112"/>
      <c r="E29" s="160"/>
      <c r="F29" s="112"/>
    </row>
    <row r="30" spans="1:6" x14ac:dyDescent="0.35">
      <c r="A30" s="20"/>
    </row>
    <row r="31" spans="1:6" x14ac:dyDescent="0.35">
      <c r="A31" s="20"/>
    </row>
    <row r="32" spans="1:6" x14ac:dyDescent="0.35">
      <c r="A32" s="20"/>
    </row>
    <row r="33" spans="1:1" x14ac:dyDescent="0.35">
      <c r="A33" s="20"/>
    </row>
    <row r="34" spans="1:1" x14ac:dyDescent="0.35">
      <c r="A34" s="20"/>
    </row>
  </sheetData>
  <mergeCells count="18">
    <mergeCell ref="E17:E21"/>
    <mergeCell ref="B17:B21"/>
    <mergeCell ref="C17:C21"/>
    <mergeCell ref="E3:E6"/>
    <mergeCell ref="E12:E16"/>
    <mergeCell ref="E7:E11"/>
    <mergeCell ref="B3:B6"/>
    <mergeCell ref="C3:C6"/>
    <mergeCell ref="B7:B11"/>
    <mergeCell ref="C7:C11"/>
    <mergeCell ref="B12:B16"/>
    <mergeCell ref="C12:C16"/>
    <mergeCell ref="B22:B26"/>
    <mergeCell ref="C22:C26"/>
    <mergeCell ref="B27:B29"/>
    <mergeCell ref="C27:C29"/>
    <mergeCell ref="E27:E29"/>
    <mergeCell ref="E22:E26"/>
  </mergeCells>
  <dataValidations count="1">
    <dataValidation type="list" allowBlank="1" showInputMessage="1" showErrorMessage="1" sqref="A3:A34"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Q223"/>
  <sheetViews>
    <sheetView tabSelected="1" topLeftCell="D1" zoomScale="63" zoomScaleNormal="60" workbookViewId="0">
      <pane ySplit="1" topLeftCell="A3" activePane="bottomLeft" state="frozen"/>
      <selection activeCell="B1" sqref="B1"/>
      <selection pane="bottomLeft" activeCell="H3" sqref="H3:H5"/>
    </sheetView>
  </sheetViews>
  <sheetFormatPr baseColWidth="10" defaultColWidth="58.7265625" defaultRowHeight="16" x14ac:dyDescent="0.35"/>
  <cols>
    <col min="1" max="1" width="14.453125" style="67" customWidth="1"/>
    <col min="2" max="2" width="73.453125" style="59" customWidth="1"/>
    <col min="3" max="3" width="14.26953125" style="53" customWidth="1"/>
    <col min="4" max="4" width="24.54296875" style="54" customWidth="1"/>
    <col min="5" max="5" width="58.7265625" style="67"/>
    <col min="6" max="6" width="18.81640625" style="53" customWidth="1"/>
    <col min="7" max="7" width="19.26953125" style="53" customWidth="1"/>
    <col min="8" max="8" width="18.453125" style="53" customWidth="1"/>
    <col min="9" max="10" width="14.26953125" style="53" customWidth="1"/>
    <col min="11" max="11" width="16.7265625" style="53" customWidth="1"/>
    <col min="12" max="12" width="24" style="53" customWidth="1"/>
    <col min="13" max="13" width="16.7265625" style="53" customWidth="1"/>
    <col min="14" max="14" width="36" style="67" customWidth="1"/>
    <col min="15" max="15" width="40.453125" style="67" customWidth="1"/>
    <col min="16" max="16" width="45.81640625" style="67" customWidth="1"/>
    <col min="17" max="17" width="101.1796875" style="67" customWidth="1"/>
    <col min="18" max="16384" width="58.7265625" style="53"/>
  </cols>
  <sheetData>
    <row r="1" spans="1:17" s="12" customFormat="1" ht="65" x14ac:dyDescent="0.35">
      <c r="A1" s="15" t="s">
        <v>151</v>
      </c>
      <c r="B1" s="15" t="s">
        <v>152</v>
      </c>
      <c r="C1" s="15" t="s">
        <v>153</v>
      </c>
      <c r="D1" s="15" t="s">
        <v>154</v>
      </c>
      <c r="E1" s="15" t="s">
        <v>155</v>
      </c>
      <c r="F1" s="15" t="s">
        <v>156</v>
      </c>
      <c r="G1" s="125" t="s">
        <v>157</v>
      </c>
      <c r="H1" s="125"/>
      <c r="I1" s="125"/>
      <c r="J1" s="15" t="s">
        <v>158</v>
      </c>
      <c r="K1" s="15" t="s">
        <v>159</v>
      </c>
      <c r="L1" s="15" t="s">
        <v>160</v>
      </c>
      <c r="M1" s="15" t="s">
        <v>161</v>
      </c>
      <c r="N1" s="15" t="s">
        <v>162</v>
      </c>
      <c r="O1" s="15" t="s">
        <v>163</v>
      </c>
      <c r="P1" s="15" t="s">
        <v>164</v>
      </c>
      <c r="Q1" s="15" t="s">
        <v>165</v>
      </c>
    </row>
    <row r="2" spans="1:17" s="12" customFormat="1" ht="49.5" x14ac:dyDescent="0.35">
      <c r="A2" s="37" t="s">
        <v>166</v>
      </c>
      <c r="B2" s="37" t="s">
        <v>116</v>
      </c>
      <c r="C2" s="37" t="s">
        <v>167</v>
      </c>
      <c r="D2" s="37" t="s">
        <v>168</v>
      </c>
      <c r="E2" s="37" t="s">
        <v>169</v>
      </c>
      <c r="F2" s="37" t="s">
        <v>170</v>
      </c>
      <c r="G2" s="37" t="s">
        <v>171</v>
      </c>
      <c r="H2" s="37" t="s">
        <v>172</v>
      </c>
      <c r="I2" s="37" t="s">
        <v>173</v>
      </c>
      <c r="J2" s="37" t="s">
        <v>174</v>
      </c>
      <c r="K2" s="37" t="s">
        <v>175</v>
      </c>
      <c r="L2" s="37" t="s">
        <v>176</v>
      </c>
      <c r="M2" s="37" t="s">
        <v>177</v>
      </c>
      <c r="N2" s="37" t="s">
        <v>178</v>
      </c>
      <c r="O2" s="37" t="s">
        <v>179</v>
      </c>
      <c r="P2" s="37" t="s">
        <v>180</v>
      </c>
      <c r="Q2" s="37" t="s">
        <v>181</v>
      </c>
    </row>
    <row r="3" spans="1:17" s="52" customFormat="1" ht="66" x14ac:dyDescent="0.35">
      <c r="A3" s="23" t="str">
        <f>_xlfn.XLOOKUP(B3,'Paso 3 Redacción RA '!I$3:I$15,'Paso 3 Redacción RA '!C$3:C$15,,0,1)</f>
        <v>Saberhacer</v>
      </c>
      <c r="B3" s="16" t="s">
        <v>95</v>
      </c>
      <c r="C3" s="126" t="s">
        <v>182</v>
      </c>
      <c r="D3" s="126" t="s">
        <v>183</v>
      </c>
      <c r="E3" s="128" t="s">
        <v>184</v>
      </c>
      <c r="F3" s="126" t="s">
        <v>185</v>
      </c>
      <c r="G3" s="126"/>
      <c r="H3" s="126" t="s">
        <v>186</v>
      </c>
      <c r="I3" s="126"/>
      <c r="J3" s="126">
        <v>3</v>
      </c>
      <c r="K3" s="126">
        <f>J3*12</f>
        <v>36</v>
      </c>
      <c r="L3" s="126">
        <f>36*J3</f>
        <v>108</v>
      </c>
      <c r="M3" s="126">
        <f>SUM(K3:L3)</f>
        <v>144</v>
      </c>
      <c r="N3" s="128" t="s">
        <v>187</v>
      </c>
      <c r="O3" s="128" t="s">
        <v>188</v>
      </c>
      <c r="P3" s="128" t="s">
        <v>189</v>
      </c>
      <c r="Q3" s="128" t="s">
        <v>190</v>
      </c>
    </row>
    <row r="4" spans="1:17" s="52" customFormat="1" ht="66" x14ac:dyDescent="0.35">
      <c r="A4" s="23" t="str">
        <f>_xlfn.XLOOKUP(B4,'Paso 3 Redacción RA '!I$3:I$15,'Paso 3 Redacción RA '!C$3:C$15,,0,1)</f>
        <v>Saberser</v>
      </c>
      <c r="B4" s="16" t="s">
        <v>100</v>
      </c>
      <c r="C4" s="126"/>
      <c r="D4" s="126"/>
      <c r="E4" s="128"/>
      <c r="F4" s="126"/>
      <c r="G4" s="126"/>
      <c r="H4" s="126"/>
      <c r="I4" s="126"/>
      <c r="J4" s="126"/>
      <c r="K4" s="126"/>
      <c r="L4" s="126"/>
      <c r="M4" s="126"/>
      <c r="N4" s="128"/>
      <c r="O4" s="128"/>
      <c r="P4" s="128"/>
      <c r="Q4" s="128"/>
    </row>
    <row r="5" spans="1:17" s="52" customFormat="1" ht="66" x14ac:dyDescent="0.35">
      <c r="A5" s="97" t="str">
        <f>_xlfn.XLOOKUP(B5,'Paso 3 Redacción RA '!I$3:I$15,'Paso 3 Redacción RA '!C$3:C$15,,0,1)</f>
        <v>Saberhacer</v>
      </c>
      <c r="B5" s="26" t="s">
        <v>103</v>
      </c>
      <c r="C5" s="127"/>
      <c r="D5" s="127"/>
      <c r="E5" s="129"/>
      <c r="F5" s="127"/>
      <c r="G5" s="127"/>
      <c r="H5" s="127"/>
      <c r="I5" s="127"/>
      <c r="J5" s="127"/>
      <c r="K5" s="127"/>
      <c r="L5" s="127"/>
      <c r="M5" s="127"/>
      <c r="N5" s="129"/>
      <c r="O5" s="129"/>
      <c r="P5" s="129"/>
      <c r="Q5" s="129"/>
    </row>
    <row r="6" spans="1:17" s="52" customFormat="1" ht="66" x14ac:dyDescent="0.35">
      <c r="A6" s="23" t="str">
        <f>_xlfn.XLOOKUP(B6,'Paso 3 Redacción RA '!I$3:I$15,'Paso 3 Redacción RA '!C$3:C$15,,0,1)</f>
        <v>Saber</v>
      </c>
      <c r="B6" s="16" t="s">
        <v>91</v>
      </c>
      <c r="C6" s="130" t="s">
        <v>182</v>
      </c>
      <c r="D6" s="131" t="s">
        <v>191</v>
      </c>
      <c r="E6" s="134" t="s">
        <v>192</v>
      </c>
      <c r="F6" s="131" t="s">
        <v>193</v>
      </c>
      <c r="G6" s="131"/>
      <c r="H6" s="131" t="s">
        <v>186</v>
      </c>
      <c r="I6" s="131"/>
      <c r="J6" s="131">
        <v>3</v>
      </c>
      <c r="K6" s="131">
        <f>J6*12</f>
        <v>36</v>
      </c>
      <c r="L6" s="131">
        <f>36*J6</f>
        <v>108</v>
      </c>
      <c r="M6" s="131">
        <f>SUM(K6:L6)</f>
        <v>144</v>
      </c>
      <c r="N6" s="134" t="s">
        <v>194</v>
      </c>
      <c r="O6" s="134" t="s">
        <v>195</v>
      </c>
      <c r="P6" s="134" t="s">
        <v>196</v>
      </c>
      <c r="Q6" s="134" t="s">
        <v>190</v>
      </c>
    </row>
    <row r="7" spans="1:17" s="52" customFormat="1" ht="66" x14ac:dyDescent="0.35">
      <c r="A7" s="23" t="str">
        <f>_xlfn.XLOOKUP(B7,'Paso 3 Redacción RA '!I$3:I$15,'Paso 3 Redacción RA '!C$3:C$15,,0,1)</f>
        <v>Saberhacer</v>
      </c>
      <c r="B7" s="16" t="s">
        <v>95</v>
      </c>
      <c r="C7" s="126"/>
      <c r="D7" s="132"/>
      <c r="E7" s="135"/>
      <c r="F7" s="132"/>
      <c r="G7" s="132"/>
      <c r="H7" s="132"/>
      <c r="I7" s="132"/>
      <c r="J7" s="132"/>
      <c r="K7" s="132"/>
      <c r="L7" s="132"/>
      <c r="M7" s="132"/>
      <c r="N7" s="135"/>
      <c r="O7" s="135"/>
      <c r="P7" s="135"/>
      <c r="Q7" s="135"/>
    </row>
    <row r="8" spans="1:17" s="52" customFormat="1" ht="50" thickBot="1" x14ac:dyDescent="0.4">
      <c r="A8" s="97" t="str">
        <f>_xlfn.XLOOKUP(B8,'Paso 3 Redacción RA '!I$3:I$15,'Paso 3 Redacción RA '!C$3:C$15,,0,1)</f>
        <v>Saber</v>
      </c>
      <c r="B8" s="26" t="s">
        <v>104</v>
      </c>
      <c r="C8" s="127"/>
      <c r="D8" s="133"/>
      <c r="E8" s="136"/>
      <c r="F8" s="133"/>
      <c r="G8" s="133"/>
      <c r="H8" s="133"/>
      <c r="I8" s="133"/>
      <c r="J8" s="133"/>
      <c r="K8" s="133"/>
      <c r="L8" s="133"/>
      <c r="M8" s="133"/>
      <c r="N8" s="136"/>
      <c r="O8" s="136"/>
      <c r="P8" s="136"/>
      <c r="Q8" s="136"/>
    </row>
    <row r="9" spans="1:17" s="52" customFormat="1" ht="66" x14ac:dyDescent="0.35">
      <c r="A9" s="23" t="str">
        <f>_xlfn.XLOOKUP(B9,'Paso 3 Redacción RA '!I$3:I$15,'Paso 3 Redacción RA '!C$3:C$15,,0,1)</f>
        <v>Saber</v>
      </c>
      <c r="B9" s="16" t="s">
        <v>91</v>
      </c>
      <c r="C9" s="130" t="s">
        <v>182</v>
      </c>
      <c r="D9" s="130" t="s">
        <v>197</v>
      </c>
      <c r="E9" s="137" t="s">
        <v>198</v>
      </c>
      <c r="F9" s="130" t="s">
        <v>185</v>
      </c>
      <c r="G9" s="130"/>
      <c r="H9" s="130" t="s">
        <v>186</v>
      </c>
      <c r="I9" s="130"/>
      <c r="J9" s="130">
        <v>3</v>
      </c>
      <c r="K9" s="130">
        <f>J9*12</f>
        <v>36</v>
      </c>
      <c r="L9" s="130">
        <f>36*J9</f>
        <v>108</v>
      </c>
      <c r="M9" s="130">
        <f>SUM(K9:L9)</f>
        <v>144</v>
      </c>
      <c r="N9" s="137" t="s">
        <v>199</v>
      </c>
      <c r="O9" s="137" t="s">
        <v>200</v>
      </c>
      <c r="P9" s="137" t="s">
        <v>201</v>
      </c>
      <c r="Q9" s="137" t="s">
        <v>190</v>
      </c>
    </row>
    <row r="10" spans="1:17" s="52" customFormat="1" ht="66" x14ac:dyDescent="0.35">
      <c r="A10" s="23" t="str">
        <f>_xlfn.XLOOKUP(B10,'Paso 3 Redacción RA '!I$3:I$15,'Paso 3 Redacción RA '!C$3:C$15,,0,1)</f>
        <v>Saberhacer</v>
      </c>
      <c r="B10" s="16" t="s">
        <v>95</v>
      </c>
      <c r="C10" s="126"/>
      <c r="D10" s="126"/>
      <c r="E10" s="138"/>
      <c r="F10" s="126"/>
      <c r="G10" s="126"/>
      <c r="H10" s="126"/>
      <c r="I10" s="126"/>
      <c r="J10" s="126"/>
      <c r="K10" s="126"/>
      <c r="L10" s="126"/>
      <c r="M10" s="126"/>
      <c r="N10" s="138"/>
      <c r="O10" s="138"/>
      <c r="P10" s="138"/>
      <c r="Q10" s="138"/>
    </row>
    <row r="11" spans="1:17" s="52" customFormat="1" ht="66" x14ac:dyDescent="0.35">
      <c r="A11" s="23" t="str">
        <f>_xlfn.XLOOKUP(B11,'Paso 3 Redacción RA '!I$3:I$15,'Paso 3 Redacción RA '!C$3:C$15,,0,1)</f>
        <v>Saberser</v>
      </c>
      <c r="B11" s="16" t="s">
        <v>100</v>
      </c>
      <c r="C11" s="126"/>
      <c r="D11" s="126"/>
      <c r="E11" s="138"/>
      <c r="F11" s="126"/>
      <c r="G11" s="126"/>
      <c r="H11" s="126"/>
      <c r="I11" s="126"/>
      <c r="J11" s="126"/>
      <c r="K11" s="126"/>
      <c r="L11" s="126"/>
      <c r="M11" s="126"/>
      <c r="N11" s="138"/>
      <c r="O11" s="138"/>
      <c r="P11" s="138"/>
      <c r="Q11" s="138"/>
    </row>
    <row r="12" spans="1:17" s="52" customFormat="1" ht="50" thickBot="1" x14ac:dyDescent="0.4">
      <c r="A12" s="97" t="str">
        <f>_xlfn.XLOOKUP(B12,'Paso 3 Redacción RA '!I$3:I$15,'Paso 3 Redacción RA '!C$3:C$15,,0,1)</f>
        <v>Saber</v>
      </c>
      <c r="B12" s="16" t="s">
        <v>104</v>
      </c>
      <c r="C12" s="127"/>
      <c r="D12" s="127"/>
      <c r="E12" s="139"/>
      <c r="F12" s="127"/>
      <c r="G12" s="127"/>
      <c r="H12" s="127"/>
      <c r="I12" s="127"/>
      <c r="J12" s="127"/>
      <c r="K12" s="127"/>
      <c r="L12" s="127"/>
      <c r="M12" s="127"/>
      <c r="N12" s="139"/>
      <c r="O12" s="139"/>
      <c r="P12" s="139"/>
      <c r="Q12" s="139"/>
    </row>
    <row r="13" spans="1:17" s="52" customFormat="1" ht="409.5" x14ac:dyDescent="0.35">
      <c r="A13" s="107" t="str">
        <f>_xlfn.XLOOKUP(B13,'Paso 3 Redacción RA '!I$3:I$15,'Paso 3 Redacción RA '!C$3:C$15,,0,1)</f>
        <v>Saber</v>
      </c>
      <c r="B13" s="95" t="s">
        <v>109</v>
      </c>
      <c r="C13" s="75" t="s">
        <v>182</v>
      </c>
      <c r="D13" s="76" t="s">
        <v>202</v>
      </c>
      <c r="E13" s="77" t="s">
        <v>203</v>
      </c>
      <c r="F13" s="76" t="s">
        <v>185</v>
      </c>
      <c r="G13" s="75" t="s">
        <v>186</v>
      </c>
      <c r="H13" s="75"/>
      <c r="I13" s="75"/>
      <c r="J13" s="75">
        <v>3</v>
      </c>
      <c r="K13" s="75">
        <f>12*J13</f>
        <v>36</v>
      </c>
      <c r="L13" s="75">
        <f>36*J13</f>
        <v>108</v>
      </c>
      <c r="M13" s="75">
        <f>SUM(K13:L13)</f>
        <v>144</v>
      </c>
      <c r="N13" s="74" t="s">
        <v>204</v>
      </c>
      <c r="O13" s="95" t="s">
        <v>205</v>
      </c>
      <c r="P13" s="95" t="s">
        <v>206</v>
      </c>
      <c r="Q13" s="74" t="s">
        <v>190</v>
      </c>
    </row>
    <row r="14" spans="1:17" s="52" customFormat="1" ht="409.5" x14ac:dyDescent="0.35">
      <c r="A14" s="107" t="str">
        <f>_xlfn.XLOOKUP(B14,'Paso 3 Redacción RA '!I$3:I$15,'Paso 3 Redacción RA '!C$3:C$15,,0,1)</f>
        <v>Saber</v>
      </c>
      <c r="B14" s="95" t="s">
        <v>109</v>
      </c>
      <c r="C14" s="75" t="s">
        <v>182</v>
      </c>
      <c r="D14" s="76" t="s">
        <v>207</v>
      </c>
      <c r="E14" s="74" t="s">
        <v>208</v>
      </c>
      <c r="F14" s="75" t="s">
        <v>185</v>
      </c>
      <c r="G14" s="75" t="s">
        <v>186</v>
      </c>
      <c r="H14" s="75"/>
      <c r="I14" s="75"/>
      <c r="J14" s="75">
        <v>3</v>
      </c>
      <c r="K14" s="75">
        <f>12*J14</f>
        <v>36</v>
      </c>
      <c r="L14" s="75">
        <f>36*J14</f>
        <v>108</v>
      </c>
      <c r="M14" s="75">
        <f>SUM(K14:L14)</f>
        <v>144</v>
      </c>
      <c r="N14" s="78" t="s">
        <v>209</v>
      </c>
      <c r="O14" s="95" t="s">
        <v>205</v>
      </c>
      <c r="P14" s="99" t="s">
        <v>210</v>
      </c>
      <c r="Q14" s="74" t="s">
        <v>211</v>
      </c>
    </row>
    <row r="15" spans="1:17" s="52" customFormat="1" ht="66" x14ac:dyDescent="0.35">
      <c r="A15" s="23" t="str">
        <f>_xlfn.XLOOKUP(B15,'Paso 3 Redacción RA '!I$3:I$15,'Paso 3 Redacción RA '!C$3:C$15,,0,1)</f>
        <v>Saberhacer</v>
      </c>
      <c r="B15" s="16" t="s">
        <v>95</v>
      </c>
      <c r="C15" s="131">
        <v>2</v>
      </c>
      <c r="D15" s="131" t="s">
        <v>212</v>
      </c>
      <c r="E15" s="137" t="s">
        <v>213</v>
      </c>
      <c r="F15" s="131" t="s">
        <v>185</v>
      </c>
      <c r="G15" s="131"/>
      <c r="H15" s="131" t="s">
        <v>186</v>
      </c>
      <c r="I15" s="131"/>
      <c r="J15" s="131">
        <v>3</v>
      </c>
      <c r="K15" s="131">
        <f>J15*12</f>
        <v>36</v>
      </c>
      <c r="L15" s="131">
        <f>36*J15</f>
        <v>108</v>
      </c>
      <c r="M15" s="131">
        <f>SUM(K15:L15)</f>
        <v>144</v>
      </c>
      <c r="N15" s="137" t="s">
        <v>214</v>
      </c>
      <c r="O15" s="137" t="s">
        <v>188</v>
      </c>
      <c r="P15" s="137" t="s">
        <v>189</v>
      </c>
      <c r="Q15" s="137" t="s">
        <v>190</v>
      </c>
    </row>
    <row r="16" spans="1:17" s="52" customFormat="1" ht="66" x14ac:dyDescent="0.35">
      <c r="A16" s="23" t="str">
        <f>_xlfn.XLOOKUP(B16,'Paso 3 Redacción RA '!I$3:I$15,'Paso 3 Redacción RA '!C$3:C$15,,0,1)</f>
        <v>Saberser</v>
      </c>
      <c r="B16" s="16" t="s">
        <v>100</v>
      </c>
      <c r="C16" s="132"/>
      <c r="D16" s="132"/>
      <c r="E16" s="138"/>
      <c r="F16" s="132"/>
      <c r="G16" s="132"/>
      <c r="H16" s="132"/>
      <c r="I16" s="132"/>
      <c r="J16" s="132"/>
      <c r="K16" s="132"/>
      <c r="L16" s="132"/>
      <c r="M16" s="132"/>
      <c r="N16" s="138"/>
      <c r="O16" s="138"/>
      <c r="P16" s="138"/>
      <c r="Q16" s="138"/>
    </row>
    <row r="17" spans="1:17" s="52" customFormat="1" ht="66.5" thickBot="1" x14ac:dyDescent="0.4">
      <c r="A17" s="113" t="str">
        <f>_xlfn.XLOOKUP(B17,'Paso 3 Redacción RA '!I$3:I$15,'Paso 3 Redacción RA '!C$3:C$15,,0,1)</f>
        <v>Saberhacer</v>
      </c>
      <c r="B17" s="26" t="s">
        <v>103</v>
      </c>
      <c r="C17" s="132"/>
      <c r="D17" s="132"/>
      <c r="E17" s="138"/>
      <c r="F17" s="132"/>
      <c r="G17" s="132"/>
      <c r="H17" s="132"/>
      <c r="I17" s="132"/>
      <c r="J17" s="132"/>
      <c r="K17" s="132"/>
      <c r="L17" s="132"/>
      <c r="M17" s="132"/>
      <c r="N17" s="138"/>
      <c r="O17" s="138"/>
      <c r="P17" s="138"/>
      <c r="Q17" s="138"/>
    </row>
    <row r="18" spans="1:17" s="52" customFormat="1" ht="66" x14ac:dyDescent="0.35">
      <c r="A18" s="23" t="str">
        <f>_xlfn.XLOOKUP(B18,'Paso 3 Redacción RA '!I$3:I$15,'Paso 3 Redacción RA '!C$3:C$15,,0,1)</f>
        <v>Saber</v>
      </c>
      <c r="B18" s="16" t="s">
        <v>91</v>
      </c>
      <c r="C18" s="131">
        <v>2</v>
      </c>
      <c r="D18" s="131" t="s">
        <v>215</v>
      </c>
      <c r="E18" s="137" t="s">
        <v>216</v>
      </c>
      <c r="F18" s="131" t="s">
        <v>193</v>
      </c>
      <c r="G18" s="131"/>
      <c r="H18" s="131" t="s">
        <v>186</v>
      </c>
      <c r="I18" s="131"/>
      <c r="J18" s="131">
        <v>3</v>
      </c>
      <c r="K18" s="131">
        <f>J18*12</f>
        <v>36</v>
      </c>
      <c r="L18" s="131">
        <f>36*J18</f>
        <v>108</v>
      </c>
      <c r="M18" s="131">
        <f>SUM(K18:L18)</f>
        <v>144</v>
      </c>
      <c r="N18" s="137" t="s">
        <v>217</v>
      </c>
      <c r="O18" s="137" t="s">
        <v>195</v>
      </c>
      <c r="P18" s="137" t="s">
        <v>196</v>
      </c>
      <c r="Q18" s="137" t="s">
        <v>190</v>
      </c>
    </row>
    <row r="19" spans="1:17" s="52" customFormat="1" ht="66" x14ac:dyDescent="0.35">
      <c r="A19" s="23" t="str">
        <f>_xlfn.XLOOKUP(B19,'Paso 3 Redacción RA '!I$3:I$15,'Paso 3 Redacción RA '!C$3:C$15,,0,1)</f>
        <v>Saberhacer</v>
      </c>
      <c r="B19" s="16" t="s">
        <v>95</v>
      </c>
      <c r="C19" s="132"/>
      <c r="D19" s="132"/>
      <c r="E19" s="138"/>
      <c r="F19" s="132"/>
      <c r="G19" s="132"/>
      <c r="H19" s="132"/>
      <c r="I19" s="132"/>
      <c r="J19" s="132"/>
      <c r="K19" s="132"/>
      <c r="L19" s="132"/>
      <c r="M19" s="132"/>
      <c r="N19" s="138"/>
      <c r="O19" s="138"/>
      <c r="P19" s="138"/>
      <c r="Q19" s="138"/>
    </row>
    <row r="20" spans="1:17" s="52" customFormat="1" ht="66" x14ac:dyDescent="0.35">
      <c r="A20" s="23" t="str">
        <f>_xlfn.XLOOKUP(B20,'Paso 3 Redacción RA '!I$3:I$15,'Paso 3 Redacción RA '!C$3:C$15,,0,1)</f>
        <v>Saberser</v>
      </c>
      <c r="B20" s="16" t="s">
        <v>100</v>
      </c>
      <c r="C20" s="132"/>
      <c r="D20" s="132"/>
      <c r="E20" s="138"/>
      <c r="F20" s="132"/>
      <c r="G20" s="132"/>
      <c r="H20" s="132"/>
      <c r="I20" s="132"/>
      <c r="J20" s="132"/>
      <c r="K20" s="132"/>
      <c r="L20" s="132"/>
      <c r="M20" s="132"/>
      <c r="N20" s="138"/>
      <c r="O20" s="138"/>
      <c r="P20" s="138"/>
      <c r="Q20" s="138"/>
    </row>
    <row r="21" spans="1:17" s="52" customFormat="1" ht="66" x14ac:dyDescent="0.35">
      <c r="A21" s="23" t="str">
        <f>_xlfn.XLOOKUP(B21,'Paso 3 Redacción RA '!I$3:I$15,'Paso 3 Redacción RA '!C$3:C$15,,0,1)</f>
        <v>Saberhacer</v>
      </c>
      <c r="B21" s="16" t="s">
        <v>103</v>
      </c>
      <c r="C21" s="132"/>
      <c r="D21" s="132"/>
      <c r="E21" s="138"/>
      <c r="F21" s="132"/>
      <c r="G21" s="132"/>
      <c r="H21" s="132"/>
      <c r="I21" s="132"/>
      <c r="J21" s="132"/>
      <c r="K21" s="132"/>
      <c r="L21" s="132"/>
      <c r="M21" s="132"/>
      <c r="N21" s="138"/>
      <c r="O21" s="138"/>
      <c r="P21" s="138"/>
      <c r="Q21" s="138"/>
    </row>
    <row r="22" spans="1:17" s="52" customFormat="1" ht="49.5" x14ac:dyDescent="0.35">
      <c r="A22" s="97" t="str">
        <f>_xlfn.XLOOKUP(B22,'Paso 3 Redacción RA '!I$3:I$15,'Paso 3 Redacción RA '!C$3:C$15,,0,1)</f>
        <v>Saber</v>
      </c>
      <c r="B22" s="26" t="s">
        <v>104</v>
      </c>
      <c r="C22" s="133"/>
      <c r="D22" s="133"/>
      <c r="E22" s="139"/>
      <c r="F22" s="133"/>
      <c r="G22" s="133"/>
      <c r="H22" s="133"/>
      <c r="I22" s="133"/>
      <c r="J22" s="133"/>
      <c r="K22" s="133"/>
      <c r="L22" s="133"/>
      <c r="M22" s="133"/>
      <c r="N22" s="139"/>
      <c r="O22" s="139"/>
      <c r="P22" s="139"/>
      <c r="Q22" s="139"/>
    </row>
    <row r="23" spans="1:17" s="52" customFormat="1" ht="66" x14ac:dyDescent="0.35">
      <c r="A23" s="23" t="str">
        <f>_xlfn.XLOOKUP(B23,'Paso 3 Redacción RA '!I$3:I$15,'Paso 3 Redacción RA '!C$3:C$15,,0,1)</f>
        <v>Saber</v>
      </c>
      <c r="B23" s="16" t="s">
        <v>91</v>
      </c>
      <c r="C23" s="131">
        <v>2</v>
      </c>
      <c r="D23" s="131" t="s">
        <v>218</v>
      </c>
      <c r="E23" s="137" t="s">
        <v>219</v>
      </c>
      <c r="F23" s="131" t="s">
        <v>185</v>
      </c>
      <c r="G23" s="131"/>
      <c r="H23" s="131" t="s">
        <v>186</v>
      </c>
      <c r="I23" s="131"/>
      <c r="J23" s="131">
        <v>3</v>
      </c>
      <c r="K23" s="131">
        <f>J23*12</f>
        <v>36</v>
      </c>
      <c r="L23" s="131">
        <f>36*J23</f>
        <v>108</v>
      </c>
      <c r="M23" s="131">
        <f>SUM(K23:L23)</f>
        <v>144</v>
      </c>
      <c r="N23" s="137" t="s">
        <v>220</v>
      </c>
      <c r="O23" s="137" t="s">
        <v>221</v>
      </c>
      <c r="P23" s="137" t="s">
        <v>222</v>
      </c>
      <c r="Q23" s="137" t="s">
        <v>190</v>
      </c>
    </row>
    <row r="24" spans="1:17" s="52" customFormat="1" ht="66" x14ac:dyDescent="0.35">
      <c r="A24" s="23" t="str">
        <f>_xlfn.XLOOKUP(B24,'Paso 3 Redacción RA '!I$3:I$15,'Paso 3 Redacción RA '!C$3:C$15,,0,1)</f>
        <v>Saberhacer</v>
      </c>
      <c r="B24" s="16" t="s">
        <v>95</v>
      </c>
      <c r="C24" s="132"/>
      <c r="D24" s="132"/>
      <c r="E24" s="138"/>
      <c r="F24" s="132"/>
      <c r="G24" s="132"/>
      <c r="H24" s="132"/>
      <c r="I24" s="132"/>
      <c r="J24" s="132"/>
      <c r="K24" s="132"/>
      <c r="L24" s="132"/>
      <c r="M24" s="132"/>
      <c r="N24" s="138"/>
      <c r="O24" s="138"/>
      <c r="P24" s="138"/>
      <c r="Q24" s="138"/>
    </row>
    <row r="25" spans="1:17" s="52" customFormat="1" ht="66" x14ac:dyDescent="0.35">
      <c r="A25" s="23" t="str">
        <f>_xlfn.XLOOKUP(B25,'Paso 3 Redacción RA '!I$3:I$15,'Paso 3 Redacción RA '!C$3:C$15,,0,1)</f>
        <v>Saberser</v>
      </c>
      <c r="B25" s="16" t="s">
        <v>100</v>
      </c>
      <c r="C25" s="132"/>
      <c r="D25" s="132"/>
      <c r="E25" s="138"/>
      <c r="F25" s="132"/>
      <c r="G25" s="132"/>
      <c r="H25" s="132"/>
      <c r="I25" s="132"/>
      <c r="J25" s="132"/>
      <c r="K25" s="132"/>
      <c r="L25" s="132"/>
      <c r="M25" s="132"/>
      <c r="N25" s="138"/>
      <c r="O25" s="138"/>
      <c r="P25" s="138"/>
      <c r="Q25" s="138"/>
    </row>
    <row r="26" spans="1:17" s="52" customFormat="1" ht="50" thickBot="1" x14ac:dyDescent="0.4">
      <c r="A26" s="97" t="str">
        <f>_xlfn.XLOOKUP(B26,'Paso 3 Redacción RA '!I$3:I$15,'Paso 3 Redacción RA '!C$3:C$15,,0,1)</f>
        <v>Saber</v>
      </c>
      <c r="B26" s="26" t="s">
        <v>104</v>
      </c>
      <c r="C26" s="133"/>
      <c r="D26" s="133"/>
      <c r="E26" s="139"/>
      <c r="F26" s="133"/>
      <c r="G26" s="133"/>
      <c r="H26" s="133"/>
      <c r="I26" s="133"/>
      <c r="J26" s="133"/>
      <c r="K26" s="133"/>
      <c r="L26" s="133"/>
      <c r="M26" s="133"/>
      <c r="N26" s="139"/>
      <c r="O26" s="139"/>
      <c r="P26" s="139"/>
      <c r="Q26" s="139"/>
    </row>
    <row r="27" spans="1:17" s="52" customFormat="1" ht="66" x14ac:dyDescent="0.35">
      <c r="A27" s="23" t="str">
        <f>_xlfn.XLOOKUP(B27,'Paso 3 Redacción RA '!I$3:I$15,'Paso 3 Redacción RA '!C$3:C$15,,0,1)</f>
        <v>Saberhacer</v>
      </c>
      <c r="B27" s="16" t="s">
        <v>95</v>
      </c>
      <c r="C27" s="131">
        <v>2</v>
      </c>
      <c r="D27" s="131" t="s">
        <v>223</v>
      </c>
      <c r="E27" s="137" t="s">
        <v>224</v>
      </c>
      <c r="F27" s="131" t="s">
        <v>193</v>
      </c>
      <c r="G27" s="131"/>
      <c r="H27" s="131" t="s">
        <v>186</v>
      </c>
      <c r="I27" s="131"/>
      <c r="J27" s="131">
        <v>3</v>
      </c>
      <c r="K27" s="131">
        <f>J27*12</f>
        <v>36</v>
      </c>
      <c r="L27" s="131">
        <f>36*J27</f>
        <v>108</v>
      </c>
      <c r="M27" s="131">
        <f>SUM(K27:L27)</f>
        <v>144</v>
      </c>
      <c r="N27" s="137" t="s">
        <v>225</v>
      </c>
      <c r="O27" s="137" t="s">
        <v>195</v>
      </c>
      <c r="P27" s="137" t="s">
        <v>226</v>
      </c>
      <c r="Q27" s="137" t="s">
        <v>190</v>
      </c>
    </row>
    <row r="28" spans="1:17" s="52" customFormat="1" ht="66" x14ac:dyDescent="0.35">
      <c r="A28" s="23" t="str">
        <f>_xlfn.XLOOKUP(B28,'Paso 3 Redacción RA '!I$3:I$15,'Paso 3 Redacción RA '!C$3:C$15,,0,1)</f>
        <v>Saberser</v>
      </c>
      <c r="B28" s="16" t="s">
        <v>100</v>
      </c>
      <c r="C28" s="132"/>
      <c r="D28" s="132"/>
      <c r="E28" s="138"/>
      <c r="F28" s="132"/>
      <c r="G28" s="132"/>
      <c r="H28" s="132"/>
      <c r="I28" s="132"/>
      <c r="J28" s="132"/>
      <c r="K28" s="132"/>
      <c r="L28" s="132"/>
      <c r="M28" s="132"/>
      <c r="N28" s="138"/>
      <c r="O28" s="138"/>
      <c r="P28" s="138"/>
      <c r="Q28" s="138"/>
    </row>
    <row r="29" spans="1:17" s="52" customFormat="1" ht="66" x14ac:dyDescent="0.35">
      <c r="A29" s="23" t="str">
        <f>_xlfn.XLOOKUP(B29,'Paso 3 Redacción RA '!I$3:I$15,'Paso 3 Redacción RA '!C$3:C$15,,0,1)</f>
        <v>Saberhacer</v>
      </c>
      <c r="B29" s="16" t="s">
        <v>103</v>
      </c>
      <c r="C29" s="132"/>
      <c r="D29" s="132"/>
      <c r="E29" s="138"/>
      <c r="F29" s="132"/>
      <c r="G29" s="132"/>
      <c r="H29" s="132"/>
      <c r="I29" s="132"/>
      <c r="J29" s="132"/>
      <c r="K29" s="132"/>
      <c r="L29" s="132"/>
      <c r="M29" s="132"/>
      <c r="N29" s="138"/>
      <c r="O29" s="138"/>
      <c r="P29" s="138"/>
      <c r="Q29" s="138"/>
    </row>
    <row r="30" spans="1:17" s="52" customFormat="1" ht="50" thickBot="1" x14ac:dyDescent="0.4">
      <c r="A30" s="97" t="str">
        <f>_xlfn.XLOOKUP(B30,'Paso 3 Redacción RA '!I$3:I$15,'Paso 3 Redacción RA '!C$3:C$15,,0,1)</f>
        <v>Saber</v>
      </c>
      <c r="B30" s="26" t="s">
        <v>104</v>
      </c>
      <c r="C30" s="133"/>
      <c r="D30" s="133"/>
      <c r="E30" s="139"/>
      <c r="F30" s="133"/>
      <c r="G30" s="133"/>
      <c r="H30" s="133"/>
      <c r="I30" s="133"/>
      <c r="J30" s="133"/>
      <c r="K30" s="133"/>
      <c r="L30" s="133"/>
      <c r="M30" s="133"/>
      <c r="N30" s="139"/>
      <c r="O30" s="139"/>
      <c r="P30" s="139"/>
      <c r="Q30" s="139"/>
    </row>
    <row r="31" spans="1:17" s="52" customFormat="1" ht="66" x14ac:dyDescent="0.35">
      <c r="A31" s="23" t="str">
        <f>_xlfn.XLOOKUP(B31,'Paso 3 Redacción RA '!I$3:I$15,'Paso 3 Redacción RA '!C$3:C$15,,0,1)</f>
        <v>Saberhacer</v>
      </c>
      <c r="B31" s="16" t="s">
        <v>95</v>
      </c>
      <c r="C31" s="131">
        <v>2</v>
      </c>
      <c r="D31" s="131" t="s">
        <v>227</v>
      </c>
      <c r="E31" s="137" t="s">
        <v>228</v>
      </c>
      <c r="F31" s="131" t="s">
        <v>185</v>
      </c>
      <c r="G31" s="131"/>
      <c r="H31" s="131" t="s">
        <v>186</v>
      </c>
      <c r="I31" s="131"/>
      <c r="J31" s="131">
        <v>3</v>
      </c>
      <c r="K31" s="131">
        <f>J31*12</f>
        <v>36</v>
      </c>
      <c r="L31" s="131">
        <f>36*J31</f>
        <v>108</v>
      </c>
      <c r="M31" s="131">
        <f>SUM(K31:L31)</f>
        <v>144</v>
      </c>
      <c r="N31" s="137" t="s">
        <v>229</v>
      </c>
      <c r="O31" s="137" t="s">
        <v>195</v>
      </c>
      <c r="P31" s="137" t="s">
        <v>230</v>
      </c>
      <c r="Q31" s="137" t="s">
        <v>190</v>
      </c>
    </row>
    <row r="32" spans="1:17" s="52" customFormat="1" ht="66" x14ac:dyDescent="0.35">
      <c r="A32" s="23" t="str">
        <f>_xlfn.XLOOKUP(B32,'Paso 3 Redacción RA '!I$3:I$15,'Paso 3 Redacción RA '!C$3:C$15,,0,1)</f>
        <v>Saberhacer</v>
      </c>
      <c r="B32" s="16" t="s">
        <v>103</v>
      </c>
      <c r="C32" s="132"/>
      <c r="D32" s="132"/>
      <c r="E32" s="138"/>
      <c r="F32" s="132"/>
      <c r="G32" s="132"/>
      <c r="H32" s="132"/>
      <c r="I32" s="132"/>
      <c r="J32" s="132"/>
      <c r="K32" s="132"/>
      <c r="L32" s="132"/>
      <c r="M32" s="132"/>
      <c r="N32" s="138"/>
      <c r="O32" s="138"/>
      <c r="P32" s="138"/>
      <c r="Q32" s="138"/>
    </row>
    <row r="33" spans="1:17" s="52" customFormat="1" ht="49.5" x14ac:dyDescent="0.35">
      <c r="A33" s="97" t="str">
        <f>_xlfn.XLOOKUP(B33,'Paso 3 Redacción RA '!I$3:I$15,'Paso 3 Redacción RA '!C$3:C$15,,0,1)</f>
        <v>Saber</v>
      </c>
      <c r="B33" s="16" t="s">
        <v>104</v>
      </c>
      <c r="C33" s="133"/>
      <c r="D33" s="133"/>
      <c r="E33" s="139"/>
      <c r="F33" s="133"/>
      <c r="G33" s="133"/>
      <c r="H33" s="133"/>
      <c r="I33" s="133"/>
      <c r="J33" s="133"/>
      <c r="K33" s="133"/>
      <c r="L33" s="133"/>
      <c r="M33" s="133"/>
      <c r="N33" s="139"/>
      <c r="O33" s="139"/>
      <c r="P33" s="139"/>
      <c r="Q33" s="139"/>
    </row>
    <row r="34" spans="1:17" s="52" customFormat="1" ht="409.5" x14ac:dyDescent="0.35">
      <c r="A34" s="107" t="str">
        <f>_xlfn.XLOOKUP(B34,'Paso 3 Redacción RA '!I$3:I$15,'Paso 3 Redacción RA '!C$3:C$15,,0,1)</f>
        <v>Saber</v>
      </c>
      <c r="B34" s="95" t="s">
        <v>109</v>
      </c>
      <c r="C34" s="75">
        <v>2</v>
      </c>
      <c r="D34" s="76" t="s">
        <v>231</v>
      </c>
      <c r="E34" s="74" t="s">
        <v>232</v>
      </c>
      <c r="F34" s="75" t="s">
        <v>185</v>
      </c>
      <c r="G34" s="76" t="s">
        <v>186</v>
      </c>
      <c r="H34" s="76"/>
      <c r="I34" s="76"/>
      <c r="J34" s="75">
        <v>3</v>
      </c>
      <c r="K34" s="75">
        <f>12*J34</f>
        <v>36</v>
      </c>
      <c r="L34" s="75">
        <f>36*J34</f>
        <v>108</v>
      </c>
      <c r="M34" s="75">
        <f>SUM(K34:L34)</f>
        <v>144</v>
      </c>
      <c r="N34" s="77" t="s">
        <v>233</v>
      </c>
      <c r="O34" s="99" t="s">
        <v>205</v>
      </c>
      <c r="P34" s="99" t="s">
        <v>206</v>
      </c>
      <c r="Q34" s="74" t="s">
        <v>190</v>
      </c>
    </row>
    <row r="35" spans="1:17" s="52" customFormat="1" ht="66" x14ac:dyDescent="0.35">
      <c r="A35" s="23" t="str">
        <f>_xlfn.XLOOKUP(B35,'Paso 3 Redacción RA '!I$3:I$15,'Paso 3 Redacción RA '!C$3:C$15,,0,1)</f>
        <v>Saber</v>
      </c>
      <c r="B35" s="16" t="s">
        <v>91</v>
      </c>
      <c r="C35" s="131">
        <v>3</v>
      </c>
      <c r="D35" s="131" t="s">
        <v>234</v>
      </c>
      <c r="E35" s="137" t="s">
        <v>235</v>
      </c>
      <c r="F35" s="131" t="s">
        <v>185</v>
      </c>
      <c r="G35" s="131"/>
      <c r="H35" s="131" t="s">
        <v>186</v>
      </c>
      <c r="I35" s="131"/>
      <c r="J35" s="131">
        <v>3</v>
      </c>
      <c r="K35" s="131">
        <f>J35*12</f>
        <v>36</v>
      </c>
      <c r="L35" s="131">
        <f>36*J35</f>
        <v>108</v>
      </c>
      <c r="M35" s="131">
        <f>SUM(K35:L35)</f>
        <v>144</v>
      </c>
      <c r="N35" s="137" t="s">
        <v>236</v>
      </c>
      <c r="O35" s="137" t="s">
        <v>195</v>
      </c>
      <c r="P35" s="137" t="s">
        <v>189</v>
      </c>
      <c r="Q35" s="137" t="s">
        <v>190</v>
      </c>
    </row>
    <row r="36" spans="1:17" s="52" customFormat="1" ht="66" x14ac:dyDescent="0.35">
      <c r="A36" s="23" t="str">
        <f>_xlfn.XLOOKUP(B36,'Paso 3 Redacción RA '!I$3:I$15,'Paso 3 Redacción RA '!C$3:C$15,,0,1)</f>
        <v>Saberhacer</v>
      </c>
      <c r="B36" s="16" t="s">
        <v>95</v>
      </c>
      <c r="C36" s="132"/>
      <c r="D36" s="132"/>
      <c r="E36" s="138"/>
      <c r="F36" s="132"/>
      <c r="G36" s="132"/>
      <c r="H36" s="132"/>
      <c r="I36" s="132"/>
      <c r="J36" s="132"/>
      <c r="K36" s="132"/>
      <c r="L36" s="132"/>
      <c r="M36" s="132"/>
      <c r="N36" s="138"/>
      <c r="O36" s="138"/>
      <c r="P36" s="138"/>
      <c r="Q36" s="138"/>
    </row>
    <row r="37" spans="1:17" s="52" customFormat="1" ht="66" x14ac:dyDescent="0.35">
      <c r="A37" s="23" t="str">
        <f>_xlfn.XLOOKUP(B37,'Paso 3 Redacción RA '!I$3:I$15,'Paso 3 Redacción RA '!C$3:C$15,,0,1)</f>
        <v>Saberser</v>
      </c>
      <c r="B37" s="16" t="s">
        <v>100</v>
      </c>
      <c r="C37" s="132"/>
      <c r="D37" s="132"/>
      <c r="E37" s="138"/>
      <c r="F37" s="132"/>
      <c r="G37" s="132"/>
      <c r="H37" s="132"/>
      <c r="I37" s="132"/>
      <c r="J37" s="132"/>
      <c r="K37" s="132"/>
      <c r="L37" s="132"/>
      <c r="M37" s="132"/>
      <c r="N37" s="138"/>
      <c r="O37" s="138"/>
      <c r="P37" s="138"/>
      <c r="Q37" s="138"/>
    </row>
    <row r="38" spans="1:17" s="52" customFormat="1" ht="66" x14ac:dyDescent="0.35">
      <c r="A38" s="23" t="str">
        <f>_xlfn.XLOOKUP(B38,'Paso 3 Redacción RA '!I$3:I$15,'Paso 3 Redacción RA '!C$3:C$15,,0,1)</f>
        <v>Saberhacer</v>
      </c>
      <c r="B38" s="16" t="s">
        <v>103</v>
      </c>
      <c r="C38" s="132"/>
      <c r="D38" s="132"/>
      <c r="E38" s="138"/>
      <c r="F38" s="132"/>
      <c r="G38" s="132"/>
      <c r="H38" s="132"/>
      <c r="I38" s="132"/>
      <c r="J38" s="132"/>
      <c r="K38" s="132"/>
      <c r="L38" s="132"/>
      <c r="M38" s="132"/>
      <c r="N38" s="138"/>
      <c r="O38" s="138"/>
      <c r="P38" s="138"/>
      <c r="Q38" s="138"/>
    </row>
    <row r="39" spans="1:17" s="52" customFormat="1" ht="50" thickBot="1" x14ac:dyDescent="0.4">
      <c r="A39" s="97" t="str">
        <f>_xlfn.XLOOKUP(B39,'Paso 3 Redacción RA '!I$3:I$15,'Paso 3 Redacción RA '!C$3:C$15,,0,1)</f>
        <v>Saber</v>
      </c>
      <c r="B39" s="26" t="s">
        <v>104</v>
      </c>
      <c r="C39" s="133"/>
      <c r="D39" s="133"/>
      <c r="E39" s="139"/>
      <c r="F39" s="133"/>
      <c r="G39" s="133"/>
      <c r="H39" s="133"/>
      <c r="I39" s="133"/>
      <c r="J39" s="133"/>
      <c r="K39" s="133"/>
      <c r="L39" s="133"/>
      <c r="M39" s="133"/>
      <c r="N39" s="139"/>
      <c r="O39" s="139"/>
      <c r="P39" s="139"/>
      <c r="Q39" s="139"/>
    </row>
    <row r="40" spans="1:17" s="52" customFormat="1" ht="66" x14ac:dyDescent="0.35">
      <c r="A40" s="23" t="str">
        <f>_xlfn.XLOOKUP(B40,'Paso 3 Redacción RA '!I$3:I$15,'Paso 3 Redacción RA '!C$3:C$15,,0,1)</f>
        <v>Saber</v>
      </c>
      <c r="B40" s="16" t="s">
        <v>91</v>
      </c>
      <c r="C40" s="131">
        <v>3</v>
      </c>
      <c r="D40" s="131" t="s">
        <v>237</v>
      </c>
      <c r="E40" s="137" t="s">
        <v>238</v>
      </c>
      <c r="F40" s="131" t="s">
        <v>193</v>
      </c>
      <c r="G40" s="131"/>
      <c r="H40" s="131" t="s">
        <v>186</v>
      </c>
      <c r="I40" s="131"/>
      <c r="J40" s="131">
        <v>3</v>
      </c>
      <c r="K40" s="131">
        <f>J40*12</f>
        <v>36</v>
      </c>
      <c r="L40" s="131">
        <f>36*J40</f>
        <v>108</v>
      </c>
      <c r="M40" s="131">
        <f>SUM(K40:L40)</f>
        <v>144</v>
      </c>
      <c r="N40" s="137" t="s">
        <v>239</v>
      </c>
      <c r="O40" s="137" t="s">
        <v>195</v>
      </c>
      <c r="P40" s="137" t="s">
        <v>240</v>
      </c>
      <c r="Q40" s="137" t="s">
        <v>190</v>
      </c>
    </row>
    <row r="41" spans="1:17" s="52" customFormat="1" ht="66" x14ac:dyDescent="0.35">
      <c r="A41" s="23" t="str">
        <f>_xlfn.XLOOKUP(B41,'Paso 3 Redacción RA '!I$3:I$15,'Paso 3 Redacción RA '!C$3:C$15,,0,1)</f>
        <v>Saberhacer</v>
      </c>
      <c r="B41" s="16" t="s">
        <v>95</v>
      </c>
      <c r="C41" s="132"/>
      <c r="D41" s="132"/>
      <c r="E41" s="138"/>
      <c r="F41" s="132"/>
      <c r="G41" s="132"/>
      <c r="H41" s="132"/>
      <c r="I41" s="132"/>
      <c r="J41" s="132"/>
      <c r="K41" s="132"/>
      <c r="L41" s="132"/>
      <c r="M41" s="132"/>
      <c r="N41" s="138"/>
      <c r="O41" s="138"/>
      <c r="P41" s="138"/>
      <c r="Q41" s="138"/>
    </row>
    <row r="42" spans="1:17" s="52" customFormat="1" ht="66" x14ac:dyDescent="0.35">
      <c r="A42" s="23" t="str">
        <f>_xlfn.XLOOKUP(B42,'Paso 3 Redacción RA '!I$3:I$15,'Paso 3 Redacción RA '!C$3:C$15,,0,1)</f>
        <v>Saberser</v>
      </c>
      <c r="B42" s="16" t="s">
        <v>100</v>
      </c>
      <c r="C42" s="132"/>
      <c r="D42" s="132"/>
      <c r="E42" s="138"/>
      <c r="F42" s="132"/>
      <c r="G42" s="132"/>
      <c r="H42" s="132"/>
      <c r="I42" s="132"/>
      <c r="J42" s="132"/>
      <c r="K42" s="132"/>
      <c r="L42" s="132"/>
      <c r="M42" s="132"/>
      <c r="N42" s="138"/>
      <c r="O42" s="138"/>
      <c r="P42" s="138"/>
      <c r="Q42" s="138"/>
    </row>
    <row r="43" spans="1:17" s="52" customFormat="1" ht="66" x14ac:dyDescent="0.35">
      <c r="A43" s="23" t="str">
        <f>_xlfn.XLOOKUP(B43,'Paso 3 Redacción RA '!I$3:I$15,'Paso 3 Redacción RA '!C$3:C$15,,0,1)</f>
        <v>Saberhacer</v>
      </c>
      <c r="B43" s="16" t="s">
        <v>103</v>
      </c>
      <c r="C43" s="132"/>
      <c r="D43" s="132"/>
      <c r="E43" s="138"/>
      <c r="F43" s="132"/>
      <c r="G43" s="132"/>
      <c r="H43" s="132"/>
      <c r="I43" s="132"/>
      <c r="J43" s="132"/>
      <c r="K43" s="132"/>
      <c r="L43" s="132"/>
      <c r="M43" s="132"/>
      <c r="N43" s="138"/>
      <c r="O43" s="138"/>
      <c r="P43" s="138"/>
      <c r="Q43" s="138"/>
    </row>
    <row r="44" spans="1:17" s="52" customFormat="1" ht="49.5" x14ac:dyDescent="0.35">
      <c r="A44" s="97" t="str">
        <f>_xlfn.XLOOKUP(B44,'Paso 3 Redacción RA '!I$3:I$15,'Paso 3 Redacción RA '!C$3:C$15,,0,1)</f>
        <v>Saber</v>
      </c>
      <c r="B44" s="26" t="s">
        <v>104</v>
      </c>
      <c r="C44" s="133"/>
      <c r="D44" s="133"/>
      <c r="E44" s="139"/>
      <c r="F44" s="133"/>
      <c r="G44" s="133"/>
      <c r="H44" s="133"/>
      <c r="I44" s="133"/>
      <c r="J44" s="133"/>
      <c r="K44" s="133"/>
      <c r="L44" s="133"/>
      <c r="M44" s="133"/>
      <c r="N44" s="139"/>
      <c r="O44" s="139"/>
      <c r="P44" s="139"/>
      <c r="Q44" s="139"/>
    </row>
    <row r="45" spans="1:17" s="52" customFormat="1" ht="66" x14ac:dyDescent="0.35">
      <c r="A45" s="23" t="str">
        <f>_xlfn.XLOOKUP(B45,'Paso 3 Redacción RA '!I$3:I$15,'Paso 3 Redacción RA '!C$3:C$15,,0,1)</f>
        <v>Saber</v>
      </c>
      <c r="B45" s="16" t="s">
        <v>91</v>
      </c>
      <c r="C45" s="131">
        <v>3</v>
      </c>
      <c r="D45" s="131" t="s">
        <v>241</v>
      </c>
      <c r="E45" s="137" t="s">
        <v>242</v>
      </c>
      <c r="F45" s="131" t="s">
        <v>185</v>
      </c>
      <c r="G45" s="131"/>
      <c r="H45" s="131" t="s">
        <v>186</v>
      </c>
      <c r="I45" s="131"/>
      <c r="J45" s="131">
        <v>3</v>
      </c>
      <c r="K45" s="131">
        <f>J45*12</f>
        <v>36</v>
      </c>
      <c r="L45" s="131">
        <f>36*J45</f>
        <v>108</v>
      </c>
      <c r="M45" s="131">
        <f>SUM(K45:L45)</f>
        <v>144</v>
      </c>
      <c r="N45" s="137" t="s">
        <v>243</v>
      </c>
      <c r="O45" s="137" t="s">
        <v>244</v>
      </c>
      <c r="P45" s="137" t="s">
        <v>245</v>
      </c>
      <c r="Q45" s="137" t="s">
        <v>190</v>
      </c>
    </row>
    <row r="46" spans="1:17" s="52" customFormat="1" ht="66" x14ac:dyDescent="0.35">
      <c r="A46" s="23" t="str">
        <f>_xlfn.XLOOKUP(B46,'Paso 3 Redacción RA '!I$3:I$15,'Paso 3 Redacción RA '!C$3:C$15,,0,1)</f>
        <v>Saberhacer</v>
      </c>
      <c r="B46" s="16" t="s">
        <v>95</v>
      </c>
      <c r="C46" s="132"/>
      <c r="D46" s="132"/>
      <c r="E46" s="138"/>
      <c r="F46" s="132"/>
      <c r="G46" s="132"/>
      <c r="H46" s="132"/>
      <c r="I46" s="132"/>
      <c r="J46" s="132"/>
      <c r="K46" s="132"/>
      <c r="L46" s="132"/>
      <c r="M46" s="132"/>
      <c r="N46" s="138"/>
      <c r="O46" s="138"/>
      <c r="P46" s="138"/>
      <c r="Q46" s="138"/>
    </row>
    <row r="47" spans="1:17" s="52" customFormat="1" ht="66" x14ac:dyDescent="0.35">
      <c r="A47" s="23" t="str">
        <f>_xlfn.XLOOKUP(B47,'Paso 3 Redacción RA '!I$3:I$15,'Paso 3 Redacción RA '!C$3:C$15,,0,1)</f>
        <v>Saberser</v>
      </c>
      <c r="B47" s="16" t="s">
        <v>100</v>
      </c>
      <c r="C47" s="132"/>
      <c r="D47" s="132"/>
      <c r="E47" s="138"/>
      <c r="F47" s="132"/>
      <c r="G47" s="132"/>
      <c r="H47" s="132"/>
      <c r="I47" s="132"/>
      <c r="J47" s="132"/>
      <c r="K47" s="132"/>
      <c r="L47" s="132"/>
      <c r="M47" s="132"/>
      <c r="N47" s="138"/>
      <c r="O47" s="138"/>
      <c r="P47" s="138"/>
      <c r="Q47" s="138"/>
    </row>
    <row r="48" spans="1:17" s="52" customFormat="1" ht="50" thickBot="1" x14ac:dyDescent="0.4">
      <c r="A48" s="97" t="str">
        <f>_xlfn.XLOOKUP(B48,'Paso 3 Redacción RA '!I$3:I$15,'Paso 3 Redacción RA '!C$3:C$15,,0,1)</f>
        <v>Saber</v>
      </c>
      <c r="B48" s="16" t="s">
        <v>104</v>
      </c>
      <c r="C48" s="133"/>
      <c r="D48" s="133"/>
      <c r="E48" s="139"/>
      <c r="F48" s="133"/>
      <c r="G48" s="133"/>
      <c r="H48" s="133"/>
      <c r="I48" s="133"/>
      <c r="J48" s="133"/>
      <c r="K48" s="133"/>
      <c r="L48" s="133"/>
      <c r="M48" s="133"/>
      <c r="N48" s="139"/>
      <c r="O48" s="139"/>
      <c r="P48" s="139"/>
      <c r="Q48" s="139"/>
    </row>
    <row r="49" spans="1:17" s="52" customFormat="1" ht="363" x14ac:dyDescent="0.35">
      <c r="A49" s="107" t="str">
        <f>_xlfn.XLOOKUP(B49,'Paso 3 Redacción RA '!I$3:I$15,'Paso 3 Redacción RA '!C$3:C$15,,0,1)</f>
        <v>Saber</v>
      </c>
      <c r="B49" s="95" t="s">
        <v>109</v>
      </c>
      <c r="C49" s="75">
        <v>3</v>
      </c>
      <c r="D49" s="76" t="s">
        <v>246</v>
      </c>
      <c r="E49" s="74" t="s">
        <v>247</v>
      </c>
      <c r="F49" s="75" t="s">
        <v>185</v>
      </c>
      <c r="G49" s="76" t="s">
        <v>186</v>
      </c>
      <c r="H49" s="76"/>
      <c r="I49" s="76"/>
      <c r="J49" s="75">
        <v>3</v>
      </c>
      <c r="K49" s="75">
        <f>12*J49</f>
        <v>36</v>
      </c>
      <c r="L49" s="75">
        <f>36*J49</f>
        <v>108</v>
      </c>
      <c r="M49" s="75">
        <f>SUM(K49:L49)</f>
        <v>144</v>
      </c>
      <c r="N49" s="74" t="s">
        <v>248</v>
      </c>
      <c r="O49" s="99" t="s">
        <v>205</v>
      </c>
      <c r="P49" s="99" t="s">
        <v>249</v>
      </c>
      <c r="Q49" s="74" t="s">
        <v>190</v>
      </c>
    </row>
    <row r="50" spans="1:17" s="52" customFormat="1" ht="66" x14ac:dyDescent="0.35">
      <c r="A50" s="23" t="str">
        <f>_xlfn.XLOOKUP(B50,'Paso 3 Redacción RA '!I$3:I$15,'Paso 3 Redacción RA '!C$3:C$15,,0,1)</f>
        <v>Saberhacer</v>
      </c>
      <c r="B50" s="16" t="s">
        <v>95</v>
      </c>
      <c r="C50" s="131">
        <v>3</v>
      </c>
      <c r="D50" s="131" t="s">
        <v>250</v>
      </c>
      <c r="E50" s="137" t="s">
        <v>251</v>
      </c>
      <c r="F50" s="131" t="s">
        <v>185</v>
      </c>
      <c r="G50" s="131"/>
      <c r="H50" s="131" t="s">
        <v>186</v>
      </c>
      <c r="I50" s="131"/>
      <c r="J50" s="131">
        <v>3</v>
      </c>
      <c r="K50" s="131">
        <f>J50*12</f>
        <v>36</v>
      </c>
      <c r="L50" s="131">
        <f>36*J50</f>
        <v>108</v>
      </c>
      <c r="M50" s="131">
        <f>SUM(K50:L50)</f>
        <v>144</v>
      </c>
      <c r="N50" s="137" t="s">
        <v>252</v>
      </c>
      <c r="O50" s="137" t="s">
        <v>195</v>
      </c>
      <c r="P50" s="137" t="s">
        <v>189</v>
      </c>
      <c r="Q50" s="137" t="s">
        <v>190</v>
      </c>
    </row>
    <row r="51" spans="1:17" s="52" customFormat="1" ht="66" x14ac:dyDescent="0.35">
      <c r="A51" s="23" t="str">
        <f>_xlfn.XLOOKUP(B51,'Paso 3 Redacción RA '!I$3:I$15,'Paso 3 Redacción RA '!C$3:C$15,,0,1)</f>
        <v>Saberser</v>
      </c>
      <c r="B51" s="16" t="s">
        <v>100</v>
      </c>
      <c r="C51" s="132"/>
      <c r="D51" s="132"/>
      <c r="E51" s="138"/>
      <c r="F51" s="132"/>
      <c r="G51" s="132"/>
      <c r="H51" s="132"/>
      <c r="I51" s="132"/>
      <c r="J51" s="132"/>
      <c r="K51" s="132"/>
      <c r="L51" s="132"/>
      <c r="M51" s="132"/>
      <c r="N51" s="138"/>
      <c r="O51" s="138"/>
      <c r="P51" s="138"/>
      <c r="Q51" s="138"/>
    </row>
    <row r="52" spans="1:17" s="52" customFormat="1" ht="66" x14ac:dyDescent="0.35">
      <c r="A52" s="23" t="str">
        <f>_xlfn.XLOOKUP(B52,'Paso 3 Redacción RA '!I$3:I$15,'Paso 3 Redacción RA '!C$3:C$15,,0,1)</f>
        <v>Saberhacer</v>
      </c>
      <c r="B52" s="16" t="s">
        <v>103</v>
      </c>
      <c r="C52" s="132"/>
      <c r="D52" s="132"/>
      <c r="E52" s="138"/>
      <c r="F52" s="132"/>
      <c r="G52" s="132"/>
      <c r="H52" s="132"/>
      <c r="I52" s="132"/>
      <c r="J52" s="132"/>
      <c r="K52" s="132"/>
      <c r="L52" s="132"/>
      <c r="M52" s="132"/>
      <c r="N52" s="138"/>
      <c r="O52" s="138"/>
      <c r="P52" s="138"/>
      <c r="Q52" s="138"/>
    </row>
    <row r="53" spans="1:17" s="52" customFormat="1" ht="50" thickBot="1" x14ac:dyDescent="0.4">
      <c r="A53" s="97" t="str">
        <f>_xlfn.XLOOKUP(B53,'Paso 3 Redacción RA '!I$3:I$15,'Paso 3 Redacción RA '!C$3:C$15,,0,1)</f>
        <v>Saber</v>
      </c>
      <c r="B53" s="26" t="s">
        <v>104</v>
      </c>
      <c r="C53" s="132"/>
      <c r="D53" s="132"/>
      <c r="E53" s="138"/>
      <c r="F53" s="132"/>
      <c r="G53" s="132"/>
      <c r="H53" s="132"/>
      <c r="I53" s="132"/>
      <c r="J53" s="132"/>
      <c r="K53" s="132"/>
      <c r="L53" s="132"/>
      <c r="M53" s="132"/>
      <c r="N53" s="138"/>
      <c r="O53" s="138"/>
      <c r="P53" s="138"/>
      <c r="Q53" s="138"/>
    </row>
    <row r="54" spans="1:17" s="12" customFormat="1" ht="198" x14ac:dyDescent="0.35">
      <c r="A54" s="107" t="str">
        <f>_xlfn.XLOOKUP(B54,'Paso 3 Redacción RA '!I$3:I$15,'Paso 3 Redacción RA '!C$3:C$15,,0,1)</f>
        <v>Saber</v>
      </c>
      <c r="B54" s="95" t="s">
        <v>109</v>
      </c>
      <c r="C54" s="114">
        <v>3</v>
      </c>
      <c r="D54" s="115" t="s">
        <v>253</v>
      </c>
      <c r="E54" s="116" t="s">
        <v>254</v>
      </c>
      <c r="F54" s="117" t="s">
        <v>185</v>
      </c>
      <c r="G54" s="117" t="s">
        <v>186</v>
      </c>
      <c r="H54" s="117"/>
      <c r="I54" s="117"/>
      <c r="J54" s="114">
        <v>3</v>
      </c>
      <c r="K54" s="117">
        <f>12*J54</f>
        <v>36</v>
      </c>
      <c r="L54" s="117">
        <f>36*J54</f>
        <v>108</v>
      </c>
      <c r="M54" s="117">
        <f>SUM(K54:L54)</f>
        <v>144</v>
      </c>
      <c r="N54" s="116" t="s">
        <v>255</v>
      </c>
      <c r="O54" s="116" t="s">
        <v>205</v>
      </c>
      <c r="P54" s="116" t="s">
        <v>256</v>
      </c>
      <c r="Q54" s="116" t="s">
        <v>190</v>
      </c>
    </row>
    <row r="55" spans="1:17" s="52" customFormat="1" ht="66" x14ac:dyDescent="0.35">
      <c r="A55" s="23" t="str">
        <f>_xlfn.XLOOKUP(B55,'Paso 3 Redacción RA '!I$3:I$15,'Paso 3 Redacción RA '!C$3:C$15,,0,1)</f>
        <v>Saber</v>
      </c>
      <c r="B55" s="16" t="s">
        <v>91</v>
      </c>
      <c r="C55" s="141">
        <v>4</v>
      </c>
      <c r="D55" s="141" t="s">
        <v>257</v>
      </c>
      <c r="E55" s="143" t="s">
        <v>258</v>
      </c>
      <c r="F55" s="141" t="s">
        <v>185</v>
      </c>
      <c r="G55" s="141"/>
      <c r="H55" s="141" t="s">
        <v>186</v>
      </c>
      <c r="I55" s="141"/>
      <c r="J55" s="141">
        <v>4</v>
      </c>
      <c r="K55" s="141">
        <f>12*J55</f>
        <v>48</v>
      </c>
      <c r="L55" s="141">
        <f>36*J55</f>
        <v>144</v>
      </c>
      <c r="M55" s="141"/>
      <c r="N55" s="140" t="s">
        <v>259</v>
      </c>
      <c r="O55" s="140" t="s">
        <v>188</v>
      </c>
      <c r="P55" s="140" t="s">
        <v>260</v>
      </c>
      <c r="Q55" s="140" t="s">
        <v>190</v>
      </c>
    </row>
    <row r="56" spans="1:17" s="52" customFormat="1" ht="66" x14ac:dyDescent="0.35">
      <c r="A56" s="23" t="str">
        <f>_xlfn.XLOOKUP(B56,'Paso 3 Redacción RA '!I$3:I$15,'Paso 3 Redacción RA '!C$3:C$15,,0,1)</f>
        <v>Saberhacer</v>
      </c>
      <c r="B56" s="16" t="s">
        <v>95</v>
      </c>
      <c r="C56" s="132"/>
      <c r="D56" s="132"/>
      <c r="E56" s="135"/>
      <c r="F56" s="132"/>
      <c r="G56" s="132"/>
      <c r="H56" s="132"/>
      <c r="I56" s="132"/>
      <c r="J56" s="132"/>
      <c r="K56" s="132"/>
      <c r="L56" s="132"/>
      <c r="M56" s="132"/>
      <c r="N56" s="138"/>
      <c r="O56" s="138"/>
      <c r="P56" s="138"/>
      <c r="Q56" s="138"/>
    </row>
    <row r="57" spans="1:17" s="52" customFormat="1" ht="66" x14ac:dyDescent="0.35">
      <c r="A57" s="23" t="str">
        <f>_xlfn.XLOOKUP(B57,'Paso 3 Redacción RA '!I$3:I$15,'Paso 3 Redacción RA '!C$3:C$15,,0,1)</f>
        <v>Saberser</v>
      </c>
      <c r="B57" s="16" t="s">
        <v>100</v>
      </c>
      <c r="C57" s="132"/>
      <c r="D57" s="132"/>
      <c r="E57" s="135"/>
      <c r="F57" s="132"/>
      <c r="G57" s="132"/>
      <c r="H57" s="132"/>
      <c r="I57" s="132"/>
      <c r="J57" s="132"/>
      <c r="K57" s="132"/>
      <c r="L57" s="132"/>
      <c r="M57" s="132"/>
      <c r="N57" s="138"/>
      <c r="O57" s="138"/>
      <c r="P57" s="138"/>
      <c r="Q57" s="138"/>
    </row>
    <row r="58" spans="1:17" s="52" customFormat="1" ht="66" x14ac:dyDescent="0.35">
      <c r="A58" s="23" t="str">
        <f>_xlfn.XLOOKUP(B58,'Paso 3 Redacción RA '!I$3:I$15,'Paso 3 Redacción RA '!C$3:C$15,,0,1)</f>
        <v>Saberhacer</v>
      </c>
      <c r="B58" s="16" t="s">
        <v>103</v>
      </c>
      <c r="C58" s="132"/>
      <c r="D58" s="132"/>
      <c r="E58" s="135"/>
      <c r="F58" s="132"/>
      <c r="G58" s="132"/>
      <c r="H58" s="132"/>
      <c r="I58" s="132"/>
      <c r="J58" s="132"/>
      <c r="K58" s="132"/>
      <c r="L58" s="132"/>
      <c r="M58" s="132"/>
      <c r="N58" s="138"/>
      <c r="O58" s="138"/>
      <c r="P58" s="138"/>
      <c r="Q58" s="138"/>
    </row>
    <row r="59" spans="1:17" s="52" customFormat="1" ht="49.5" x14ac:dyDescent="0.35">
      <c r="A59" s="113" t="str">
        <f>_xlfn.XLOOKUP(B59,'Paso 3 Redacción RA '!I$3:I$15,'Paso 3 Redacción RA '!C$3:C$15,,0,1)</f>
        <v>Saber</v>
      </c>
      <c r="B59" s="26" t="s">
        <v>104</v>
      </c>
      <c r="C59" s="133"/>
      <c r="D59" s="133"/>
      <c r="E59" s="136"/>
      <c r="F59" s="133"/>
      <c r="G59" s="133"/>
      <c r="H59" s="133"/>
      <c r="I59" s="133"/>
      <c r="J59" s="133"/>
      <c r="K59" s="133"/>
      <c r="L59" s="133"/>
      <c r="M59" s="133"/>
      <c r="N59" s="139"/>
      <c r="O59" s="139"/>
      <c r="P59" s="139"/>
      <c r="Q59" s="139"/>
    </row>
    <row r="60" spans="1:17" s="52" customFormat="1" ht="66" x14ac:dyDescent="0.35">
      <c r="A60" s="23" t="str">
        <f>_xlfn.XLOOKUP(B60,'Paso 3 Redacción RA '!I$3:I$15,'Paso 3 Redacción RA '!C$3:C$15,,0,1)</f>
        <v>Saber</v>
      </c>
      <c r="B60" s="16" t="s">
        <v>91</v>
      </c>
      <c r="C60" s="131">
        <v>4</v>
      </c>
      <c r="D60" s="131" t="s">
        <v>261</v>
      </c>
      <c r="E60" s="137" t="s">
        <v>262</v>
      </c>
      <c r="F60" s="131" t="s">
        <v>185</v>
      </c>
      <c r="G60" s="131"/>
      <c r="H60" s="131" t="s">
        <v>186</v>
      </c>
      <c r="I60" s="131"/>
      <c r="J60" s="131">
        <v>3</v>
      </c>
      <c r="K60" s="131">
        <f>J60*12</f>
        <v>36</v>
      </c>
      <c r="L60" s="131">
        <f>36*J60</f>
        <v>108</v>
      </c>
      <c r="M60" s="131">
        <f>SUM(K60:L60)</f>
        <v>144</v>
      </c>
      <c r="N60" s="137" t="s">
        <v>263</v>
      </c>
      <c r="O60" s="137" t="s">
        <v>244</v>
      </c>
      <c r="P60" s="137" t="s">
        <v>264</v>
      </c>
      <c r="Q60" s="137" t="s">
        <v>190</v>
      </c>
    </row>
    <row r="61" spans="1:17" s="52" customFormat="1" ht="66" x14ac:dyDescent="0.35">
      <c r="A61" s="23" t="str">
        <f>_xlfn.XLOOKUP(B61,'Paso 3 Redacción RA '!I$3:I$15,'Paso 3 Redacción RA '!C$3:C$15,,0,1)</f>
        <v>Saberhacer</v>
      </c>
      <c r="B61" s="16" t="s">
        <v>95</v>
      </c>
      <c r="C61" s="132"/>
      <c r="D61" s="132"/>
      <c r="E61" s="138"/>
      <c r="F61" s="132"/>
      <c r="G61" s="132"/>
      <c r="H61" s="132"/>
      <c r="I61" s="132"/>
      <c r="J61" s="132"/>
      <c r="K61" s="132"/>
      <c r="L61" s="132"/>
      <c r="M61" s="132"/>
      <c r="N61" s="138"/>
      <c r="O61" s="138"/>
      <c r="P61" s="138"/>
      <c r="Q61" s="138"/>
    </row>
    <row r="62" spans="1:17" s="52" customFormat="1" ht="66" x14ac:dyDescent="0.35">
      <c r="A62" s="23" t="str">
        <f>_xlfn.XLOOKUP(B62,'Paso 3 Redacción RA '!I$3:I$15,'Paso 3 Redacción RA '!C$3:C$15,,0,1)</f>
        <v>Saberser</v>
      </c>
      <c r="B62" s="16" t="s">
        <v>100</v>
      </c>
      <c r="C62" s="132"/>
      <c r="D62" s="132"/>
      <c r="E62" s="138"/>
      <c r="F62" s="132"/>
      <c r="G62" s="132"/>
      <c r="H62" s="132"/>
      <c r="I62" s="132"/>
      <c r="J62" s="132"/>
      <c r="K62" s="132"/>
      <c r="L62" s="132"/>
      <c r="M62" s="132"/>
      <c r="N62" s="138"/>
      <c r="O62" s="138"/>
      <c r="P62" s="138"/>
      <c r="Q62" s="138"/>
    </row>
    <row r="63" spans="1:17" s="52" customFormat="1" ht="50" thickBot="1" x14ac:dyDescent="0.4">
      <c r="A63" s="97" t="str">
        <f>_xlfn.XLOOKUP(B63,'Paso 3 Redacción RA '!I$3:I$15,'Paso 3 Redacción RA '!C$3:C$15,,0,1)</f>
        <v>Saber</v>
      </c>
      <c r="B63" s="26" t="s">
        <v>104</v>
      </c>
      <c r="C63" s="133"/>
      <c r="D63" s="133"/>
      <c r="E63" s="139"/>
      <c r="F63" s="133"/>
      <c r="G63" s="133"/>
      <c r="H63" s="133"/>
      <c r="I63" s="133"/>
      <c r="J63" s="133"/>
      <c r="K63" s="133"/>
      <c r="L63" s="133"/>
      <c r="M63" s="133"/>
      <c r="N63" s="139"/>
      <c r="O63" s="139"/>
      <c r="P63" s="139"/>
      <c r="Q63" s="139"/>
    </row>
    <row r="64" spans="1:17" s="52" customFormat="1" ht="66" x14ac:dyDescent="0.35">
      <c r="A64" s="23" t="str">
        <f>_xlfn.XLOOKUP(B64,'Paso 3 Redacción RA '!I$3:I$15,'Paso 3 Redacción RA '!C$3:C$15,,0,1)</f>
        <v>Saber</v>
      </c>
      <c r="B64" s="16" t="s">
        <v>91</v>
      </c>
      <c r="C64" s="131">
        <v>4</v>
      </c>
      <c r="D64" s="131" t="s">
        <v>265</v>
      </c>
      <c r="E64" s="142" t="s">
        <v>266</v>
      </c>
      <c r="F64" s="131" t="s">
        <v>185</v>
      </c>
      <c r="G64" s="131"/>
      <c r="H64" s="131" t="s">
        <v>186</v>
      </c>
      <c r="I64" s="131"/>
      <c r="J64" s="131">
        <v>3</v>
      </c>
      <c r="K64" s="131">
        <f>J64*12</f>
        <v>36</v>
      </c>
      <c r="L64" s="131">
        <f>36*J64</f>
        <v>108</v>
      </c>
      <c r="M64" s="131">
        <f>SUM(K64:L64)</f>
        <v>144</v>
      </c>
      <c r="N64" s="137" t="s">
        <v>267</v>
      </c>
      <c r="O64" s="137" t="s">
        <v>195</v>
      </c>
      <c r="P64" s="137" t="s">
        <v>189</v>
      </c>
      <c r="Q64" s="137" t="s">
        <v>190</v>
      </c>
    </row>
    <row r="65" spans="1:17" s="52" customFormat="1" ht="66" x14ac:dyDescent="0.35">
      <c r="A65" s="23" t="str">
        <f>_xlfn.XLOOKUP(B65,'Paso 3 Redacción RA '!I$3:I$15,'Paso 3 Redacción RA '!C$3:C$15,,0,1)</f>
        <v>Saberhacer</v>
      </c>
      <c r="B65" s="16" t="s">
        <v>95</v>
      </c>
      <c r="C65" s="132"/>
      <c r="D65" s="132"/>
      <c r="E65" s="128"/>
      <c r="F65" s="132"/>
      <c r="G65" s="132"/>
      <c r="H65" s="132"/>
      <c r="I65" s="132"/>
      <c r="J65" s="132"/>
      <c r="K65" s="132"/>
      <c r="L65" s="132"/>
      <c r="M65" s="132"/>
      <c r="N65" s="138"/>
      <c r="O65" s="138"/>
      <c r="P65" s="138"/>
      <c r="Q65" s="138"/>
    </row>
    <row r="66" spans="1:17" s="52" customFormat="1" ht="66" x14ac:dyDescent="0.35">
      <c r="A66" s="23" t="str">
        <f>_xlfn.XLOOKUP(B66,'Paso 3 Redacción RA '!I$3:I$15,'Paso 3 Redacción RA '!C$3:C$15,,0,1)</f>
        <v>Saberser</v>
      </c>
      <c r="B66" s="16" t="s">
        <v>100</v>
      </c>
      <c r="C66" s="132"/>
      <c r="D66" s="132"/>
      <c r="E66" s="128"/>
      <c r="F66" s="132"/>
      <c r="G66" s="132"/>
      <c r="H66" s="132"/>
      <c r="I66" s="132"/>
      <c r="J66" s="132"/>
      <c r="K66" s="132"/>
      <c r="L66" s="132"/>
      <c r="M66" s="132"/>
      <c r="N66" s="138"/>
      <c r="O66" s="138"/>
      <c r="P66" s="138"/>
      <c r="Q66" s="138"/>
    </row>
    <row r="67" spans="1:17" s="52" customFormat="1" ht="66" x14ac:dyDescent="0.35">
      <c r="A67" s="23" t="str">
        <f>_xlfn.XLOOKUP(B67,'Paso 3 Redacción RA '!I$3:I$15,'Paso 3 Redacción RA '!C$3:C$15,,0,1)</f>
        <v>Saberhacer</v>
      </c>
      <c r="B67" s="16" t="s">
        <v>103</v>
      </c>
      <c r="C67" s="132"/>
      <c r="D67" s="132"/>
      <c r="E67" s="128"/>
      <c r="F67" s="132"/>
      <c r="G67" s="132"/>
      <c r="H67" s="132"/>
      <c r="I67" s="132"/>
      <c r="J67" s="132"/>
      <c r="K67" s="132"/>
      <c r="L67" s="132"/>
      <c r="M67" s="132"/>
      <c r="N67" s="138"/>
      <c r="O67" s="138"/>
      <c r="P67" s="138"/>
      <c r="Q67" s="138"/>
    </row>
    <row r="68" spans="1:17" s="52" customFormat="1" ht="49.5" x14ac:dyDescent="0.35">
      <c r="A68" s="97" t="str">
        <f>_xlfn.XLOOKUP(B68,'Paso 3 Redacción RA '!I$3:I$15,'Paso 3 Redacción RA '!C$3:C$15,,0,1)</f>
        <v>Saber</v>
      </c>
      <c r="B68" s="98" t="s">
        <v>104</v>
      </c>
      <c r="C68" s="133"/>
      <c r="D68" s="133"/>
      <c r="E68" s="129"/>
      <c r="F68" s="133"/>
      <c r="G68" s="133"/>
      <c r="H68" s="133"/>
      <c r="I68" s="133"/>
      <c r="J68" s="133"/>
      <c r="K68" s="133"/>
      <c r="L68" s="133"/>
      <c r="M68" s="133"/>
      <c r="N68" s="139"/>
      <c r="O68" s="139"/>
      <c r="P68" s="139"/>
      <c r="Q68" s="139"/>
    </row>
    <row r="69" spans="1:17" s="52" customFormat="1" ht="66" x14ac:dyDescent="0.35">
      <c r="A69" s="23" t="str">
        <f>_xlfn.XLOOKUP(B69,'Paso 3 Redacción RA '!I$3:I$15,'Paso 3 Redacción RA '!C$3:C$15,,0,1)</f>
        <v>Saber</v>
      </c>
      <c r="B69" s="16" t="s">
        <v>91</v>
      </c>
      <c r="C69" s="131">
        <v>4</v>
      </c>
      <c r="D69" s="131" t="s">
        <v>268</v>
      </c>
      <c r="E69" s="134" t="s">
        <v>269</v>
      </c>
      <c r="F69" s="131" t="s">
        <v>185</v>
      </c>
      <c r="G69" s="131"/>
      <c r="H69" s="131" t="s">
        <v>186</v>
      </c>
      <c r="I69" s="131"/>
      <c r="J69" s="131">
        <v>3</v>
      </c>
      <c r="K69" s="131">
        <f>J69*12</f>
        <v>36</v>
      </c>
      <c r="L69" s="131">
        <f>36*J69</f>
        <v>108</v>
      </c>
      <c r="M69" s="131">
        <f>SUM(K69:L69)</f>
        <v>144</v>
      </c>
      <c r="N69" s="137" t="s">
        <v>270</v>
      </c>
      <c r="O69" s="137" t="s">
        <v>195</v>
      </c>
      <c r="P69" s="137" t="s">
        <v>189</v>
      </c>
      <c r="Q69" s="137" t="s">
        <v>190</v>
      </c>
    </row>
    <row r="70" spans="1:17" s="52" customFormat="1" ht="66" customHeight="1" x14ac:dyDescent="0.35">
      <c r="A70" s="23" t="str">
        <f>_xlfn.XLOOKUP(B70,'Paso 3 Redacción RA '!I$3:I$15,'Paso 3 Redacción RA '!C$3:C$15,,0,1)</f>
        <v>Saberhacer</v>
      </c>
      <c r="B70" s="16" t="s">
        <v>95</v>
      </c>
      <c r="C70" s="132"/>
      <c r="D70" s="132"/>
      <c r="E70" s="135"/>
      <c r="F70" s="132"/>
      <c r="G70" s="132"/>
      <c r="H70" s="132"/>
      <c r="I70" s="132"/>
      <c r="J70" s="132"/>
      <c r="K70" s="132"/>
      <c r="L70" s="132"/>
      <c r="M70" s="132"/>
      <c r="N70" s="138"/>
      <c r="O70" s="138"/>
      <c r="P70" s="138"/>
      <c r="Q70" s="138"/>
    </row>
    <row r="71" spans="1:17" s="52" customFormat="1" ht="66" customHeight="1" x14ac:dyDescent="0.35">
      <c r="A71" s="23" t="str">
        <f>_xlfn.XLOOKUP(B71,'Paso 3 Redacción RA '!I$3:I$15,'Paso 3 Redacción RA '!C$3:C$15,,0,1)</f>
        <v>Saberhacer</v>
      </c>
      <c r="B71" s="16" t="s">
        <v>103</v>
      </c>
      <c r="C71" s="132"/>
      <c r="D71" s="132"/>
      <c r="E71" s="135"/>
      <c r="F71" s="132"/>
      <c r="G71" s="132"/>
      <c r="H71" s="132"/>
      <c r="I71" s="132"/>
      <c r="J71" s="132"/>
      <c r="K71" s="132"/>
      <c r="L71" s="132"/>
      <c r="M71" s="132"/>
      <c r="N71" s="138"/>
      <c r="O71" s="138"/>
      <c r="P71" s="138"/>
      <c r="Q71" s="138"/>
    </row>
    <row r="72" spans="1:17" s="52" customFormat="1" ht="49.5" customHeight="1" x14ac:dyDescent="0.35">
      <c r="A72" s="97" t="str">
        <f>_xlfn.XLOOKUP(B72,'Paso 3 Redacción RA '!I$3:I$15,'Paso 3 Redacción RA '!C$3:C$15,,0,1)</f>
        <v>Saber</v>
      </c>
      <c r="B72" s="26" t="s">
        <v>104</v>
      </c>
      <c r="C72" s="133"/>
      <c r="D72" s="133"/>
      <c r="E72" s="136"/>
      <c r="F72" s="133"/>
      <c r="G72" s="133"/>
      <c r="H72" s="133"/>
      <c r="I72" s="133"/>
      <c r="J72" s="133"/>
      <c r="K72" s="133"/>
      <c r="L72" s="133"/>
      <c r="M72" s="133"/>
      <c r="N72" s="139"/>
      <c r="O72" s="139"/>
      <c r="P72" s="139"/>
      <c r="Q72" s="139"/>
    </row>
    <row r="73" spans="1:17" s="52" customFormat="1" ht="346.5" x14ac:dyDescent="0.35">
      <c r="A73" s="107" t="str">
        <f>_xlfn.XLOOKUP(B73,'Paso 3 Redacción RA '!I$3:I$15,'Paso 3 Redacción RA '!C$3:C$15,,0,1)</f>
        <v>Saber</v>
      </c>
      <c r="B73" s="95" t="s">
        <v>109</v>
      </c>
      <c r="C73" s="79">
        <v>4</v>
      </c>
      <c r="D73" s="75" t="s">
        <v>271</v>
      </c>
      <c r="E73" s="74" t="s">
        <v>272</v>
      </c>
      <c r="F73" s="75" t="s">
        <v>185</v>
      </c>
      <c r="G73" s="80" t="s">
        <v>186</v>
      </c>
      <c r="H73" s="80"/>
      <c r="I73" s="80"/>
      <c r="J73" s="76">
        <v>3</v>
      </c>
      <c r="K73" s="80">
        <f>J73*12</f>
        <v>36</v>
      </c>
      <c r="L73" s="80">
        <f>36*J73</f>
        <v>108</v>
      </c>
      <c r="M73" s="80">
        <f>SUM(K73:L73)</f>
        <v>144</v>
      </c>
      <c r="N73" s="81" t="s">
        <v>273</v>
      </c>
      <c r="O73" s="100" t="s">
        <v>205</v>
      </c>
      <c r="P73" s="100" t="s">
        <v>274</v>
      </c>
      <c r="Q73" s="82" t="s">
        <v>190</v>
      </c>
    </row>
    <row r="74" spans="1:17" s="52" customFormat="1" ht="66" x14ac:dyDescent="0.35">
      <c r="A74" s="23" t="str">
        <f>_xlfn.XLOOKUP(B74,'Paso 3 Redacción RA '!I$3:I$15,'Paso 3 Redacción RA '!C$3:C$15,,0,1)</f>
        <v>Saber</v>
      </c>
      <c r="B74" s="16" t="s">
        <v>91</v>
      </c>
      <c r="C74" s="131">
        <v>5</v>
      </c>
      <c r="D74" s="131" t="s">
        <v>275</v>
      </c>
      <c r="E74" s="137" t="s">
        <v>276</v>
      </c>
      <c r="F74" s="131" t="s">
        <v>193</v>
      </c>
      <c r="G74" s="131"/>
      <c r="H74" s="131" t="s">
        <v>186</v>
      </c>
      <c r="I74" s="131"/>
      <c r="J74" s="131">
        <v>3</v>
      </c>
      <c r="K74" s="131">
        <f>J74*12</f>
        <v>36</v>
      </c>
      <c r="L74" s="131">
        <f>36*J74</f>
        <v>108</v>
      </c>
      <c r="M74" s="131">
        <f>SUM(K74:L74)</f>
        <v>144</v>
      </c>
      <c r="N74" s="137" t="s">
        <v>277</v>
      </c>
      <c r="O74" s="137" t="s">
        <v>195</v>
      </c>
      <c r="P74" s="137" t="s">
        <v>240</v>
      </c>
      <c r="Q74" s="137" t="s">
        <v>190</v>
      </c>
    </row>
    <row r="75" spans="1:17" s="52" customFormat="1" ht="66" x14ac:dyDescent="0.35">
      <c r="A75" s="23" t="str">
        <f>_xlfn.XLOOKUP(B75,'Paso 3 Redacción RA '!I$3:I$15,'Paso 3 Redacción RA '!C$3:C$15,,0,1)</f>
        <v>Saberhacer</v>
      </c>
      <c r="B75" s="16" t="s">
        <v>95</v>
      </c>
      <c r="C75" s="132"/>
      <c r="D75" s="132"/>
      <c r="E75" s="138"/>
      <c r="F75" s="132"/>
      <c r="G75" s="132"/>
      <c r="H75" s="132"/>
      <c r="I75" s="132"/>
      <c r="J75" s="132"/>
      <c r="K75" s="132"/>
      <c r="L75" s="132"/>
      <c r="M75" s="132"/>
      <c r="N75" s="138"/>
      <c r="O75" s="138"/>
      <c r="P75" s="138"/>
      <c r="Q75" s="138"/>
    </row>
    <row r="76" spans="1:17" s="52" customFormat="1" ht="66" x14ac:dyDescent="0.35">
      <c r="A76" s="23" t="str">
        <f>_xlfn.XLOOKUP(B76,'Paso 3 Redacción RA '!I$3:I$15,'Paso 3 Redacción RA '!C$3:C$15,,0,1)</f>
        <v>Saberser</v>
      </c>
      <c r="B76" s="16" t="s">
        <v>100</v>
      </c>
      <c r="C76" s="132"/>
      <c r="D76" s="132"/>
      <c r="E76" s="138"/>
      <c r="F76" s="132"/>
      <c r="G76" s="132"/>
      <c r="H76" s="132"/>
      <c r="I76" s="132"/>
      <c r="J76" s="132"/>
      <c r="K76" s="132"/>
      <c r="L76" s="132"/>
      <c r="M76" s="132"/>
      <c r="N76" s="138"/>
      <c r="O76" s="138"/>
      <c r="P76" s="138"/>
      <c r="Q76" s="138"/>
    </row>
    <row r="77" spans="1:17" s="52" customFormat="1" ht="66" x14ac:dyDescent="0.35">
      <c r="A77" s="23" t="str">
        <f>_xlfn.XLOOKUP(B77,'Paso 3 Redacción RA '!I$3:I$15,'Paso 3 Redacción RA '!C$3:C$15,,0,1)</f>
        <v>Saberhacer</v>
      </c>
      <c r="B77" s="16" t="s">
        <v>103</v>
      </c>
      <c r="C77" s="132"/>
      <c r="D77" s="132"/>
      <c r="E77" s="138"/>
      <c r="F77" s="132"/>
      <c r="G77" s="132"/>
      <c r="H77" s="132"/>
      <c r="I77" s="132"/>
      <c r="J77" s="132"/>
      <c r="K77" s="132"/>
      <c r="L77" s="132"/>
      <c r="M77" s="132"/>
      <c r="N77" s="138"/>
      <c r="O77" s="138"/>
      <c r="P77" s="138"/>
      <c r="Q77" s="138"/>
    </row>
    <row r="78" spans="1:17" s="52" customFormat="1" ht="50" thickBot="1" x14ac:dyDescent="0.4">
      <c r="A78" s="97" t="str">
        <f>_xlfn.XLOOKUP(B78,'Paso 3 Redacción RA '!I$3:I$15,'Paso 3 Redacción RA '!C$3:C$15,,0,1)</f>
        <v>Saber</v>
      </c>
      <c r="B78" s="26" t="s">
        <v>104</v>
      </c>
      <c r="C78" s="133"/>
      <c r="D78" s="133"/>
      <c r="E78" s="139"/>
      <c r="F78" s="133"/>
      <c r="G78" s="133"/>
      <c r="H78" s="133"/>
      <c r="I78" s="133"/>
      <c r="J78" s="133"/>
      <c r="K78" s="133"/>
      <c r="L78" s="133"/>
      <c r="M78" s="133"/>
      <c r="N78" s="139"/>
      <c r="O78" s="139"/>
      <c r="P78" s="139"/>
      <c r="Q78" s="139"/>
    </row>
    <row r="79" spans="1:17" s="52" customFormat="1" ht="66" x14ac:dyDescent="0.35">
      <c r="A79" s="23" t="str">
        <f>_xlfn.XLOOKUP(B79,'Paso 3 Redacción RA '!I$3:I$15,'Paso 3 Redacción RA '!C$3:C$15,,0,1)</f>
        <v>Saber</v>
      </c>
      <c r="B79" s="16" t="s">
        <v>91</v>
      </c>
      <c r="C79" s="131">
        <v>5</v>
      </c>
      <c r="D79" s="131" t="s">
        <v>278</v>
      </c>
      <c r="E79" s="137" t="s">
        <v>279</v>
      </c>
      <c r="F79" s="131" t="s">
        <v>185</v>
      </c>
      <c r="G79" s="131"/>
      <c r="H79" s="131" t="s">
        <v>186</v>
      </c>
      <c r="I79" s="131"/>
      <c r="J79" s="131">
        <v>4</v>
      </c>
      <c r="K79" s="131">
        <f>J79*12</f>
        <v>48</v>
      </c>
      <c r="L79" s="131">
        <f>36*J79</f>
        <v>144</v>
      </c>
      <c r="M79" s="131">
        <f>SUM(K79:L79)</f>
        <v>192</v>
      </c>
      <c r="N79" s="137" t="s">
        <v>280</v>
      </c>
      <c r="O79" s="137" t="s">
        <v>195</v>
      </c>
      <c r="P79" s="137" t="s">
        <v>281</v>
      </c>
      <c r="Q79" s="137" t="s">
        <v>190</v>
      </c>
    </row>
    <row r="80" spans="1:17" s="52" customFormat="1" ht="66" x14ac:dyDescent="0.35">
      <c r="A80" s="23" t="str">
        <f>_xlfn.XLOOKUP(B80,'Paso 3 Redacción RA '!I$3:I$15,'Paso 3 Redacción RA '!C$3:C$15,,0,1)</f>
        <v>Saberhacer</v>
      </c>
      <c r="B80" s="16" t="s">
        <v>95</v>
      </c>
      <c r="C80" s="132"/>
      <c r="D80" s="132"/>
      <c r="E80" s="138"/>
      <c r="F80" s="132"/>
      <c r="G80" s="132"/>
      <c r="H80" s="132"/>
      <c r="I80" s="132"/>
      <c r="J80" s="132"/>
      <c r="K80" s="132"/>
      <c r="L80" s="132"/>
      <c r="M80" s="132"/>
      <c r="N80" s="138"/>
      <c r="O80" s="138"/>
      <c r="P80" s="138"/>
      <c r="Q80" s="138"/>
    </row>
    <row r="81" spans="1:17" s="52" customFormat="1" ht="66" x14ac:dyDescent="0.35">
      <c r="A81" s="23" t="str">
        <f>_xlfn.XLOOKUP(B81,'Paso 3 Redacción RA '!I$3:I$15,'Paso 3 Redacción RA '!C$3:C$15,,0,1)</f>
        <v>Saberser</v>
      </c>
      <c r="B81" s="16" t="s">
        <v>100</v>
      </c>
      <c r="C81" s="132"/>
      <c r="D81" s="132"/>
      <c r="E81" s="138"/>
      <c r="F81" s="132"/>
      <c r="G81" s="132"/>
      <c r="H81" s="132"/>
      <c r="I81" s="132"/>
      <c r="J81" s="132"/>
      <c r="K81" s="132"/>
      <c r="L81" s="132"/>
      <c r="M81" s="132"/>
      <c r="N81" s="138"/>
      <c r="O81" s="138"/>
      <c r="P81" s="138"/>
      <c r="Q81" s="138"/>
    </row>
    <row r="82" spans="1:17" s="52" customFormat="1" ht="66" x14ac:dyDescent="0.35">
      <c r="A82" s="23" t="str">
        <f>_xlfn.XLOOKUP(B82,'Paso 3 Redacción RA '!I$3:I$15,'Paso 3 Redacción RA '!C$3:C$15,,0,1)</f>
        <v>Saberhacer</v>
      </c>
      <c r="B82" s="16" t="s">
        <v>103</v>
      </c>
      <c r="C82" s="132"/>
      <c r="D82" s="132"/>
      <c r="E82" s="138"/>
      <c r="F82" s="132"/>
      <c r="G82" s="132"/>
      <c r="H82" s="132"/>
      <c r="I82" s="132"/>
      <c r="J82" s="132"/>
      <c r="K82" s="132"/>
      <c r="L82" s="132"/>
      <c r="M82" s="132"/>
      <c r="N82" s="138"/>
      <c r="O82" s="138"/>
      <c r="P82" s="138"/>
      <c r="Q82" s="138"/>
    </row>
    <row r="83" spans="1:17" s="52" customFormat="1" ht="50" thickBot="1" x14ac:dyDescent="0.4">
      <c r="A83" s="97" t="str">
        <f>_xlfn.XLOOKUP(B83,'Paso 3 Redacción RA '!I$3:I$15,'Paso 3 Redacción RA '!C$3:C$15,,0,1)</f>
        <v>Saber</v>
      </c>
      <c r="B83" s="26" t="s">
        <v>104</v>
      </c>
      <c r="C83" s="133"/>
      <c r="D83" s="133"/>
      <c r="E83" s="144"/>
      <c r="F83" s="133"/>
      <c r="G83" s="133"/>
      <c r="H83" s="133"/>
      <c r="I83" s="133"/>
      <c r="J83" s="133"/>
      <c r="K83" s="133"/>
      <c r="L83" s="133"/>
      <c r="M83" s="133"/>
      <c r="N83" s="139"/>
      <c r="O83" s="139"/>
      <c r="P83" s="139"/>
      <c r="Q83" s="139"/>
    </row>
    <row r="84" spans="1:17" s="52" customFormat="1" ht="66" x14ac:dyDescent="0.35">
      <c r="A84" s="23" t="str">
        <f>_xlfn.XLOOKUP(B84,'Paso 3 Redacción RA '!I$3:I$15,'Paso 3 Redacción RA '!C$3:C$15,,0,1)</f>
        <v>Saber</v>
      </c>
      <c r="B84" s="16" t="s">
        <v>91</v>
      </c>
      <c r="C84" s="131">
        <v>5</v>
      </c>
      <c r="D84" s="131" t="s">
        <v>282</v>
      </c>
      <c r="E84" s="146" t="s">
        <v>283</v>
      </c>
      <c r="F84" s="131" t="s">
        <v>193</v>
      </c>
      <c r="G84" s="131"/>
      <c r="H84" s="131" t="s">
        <v>186</v>
      </c>
      <c r="I84" s="131"/>
      <c r="J84" s="131">
        <v>3</v>
      </c>
      <c r="K84" s="131">
        <f>J84*12</f>
        <v>36</v>
      </c>
      <c r="L84" s="131">
        <f>36*J84</f>
        <v>108</v>
      </c>
      <c r="M84" s="131">
        <f>SUM(K84:L84)</f>
        <v>144</v>
      </c>
      <c r="N84" s="137" t="s">
        <v>284</v>
      </c>
      <c r="O84" s="137" t="s">
        <v>195</v>
      </c>
      <c r="P84" s="137" t="s">
        <v>240</v>
      </c>
      <c r="Q84" s="137" t="s">
        <v>190</v>
      </c>
    </row>
    <row r="85" spans="1:17" s="52" customFormat="1" ht="66" x14ac:dyDescent="0.35">
      <c r="A85" s="23" t="str">
        <f>_xlfn.XLOOKUP(B85,'Paso 3 Redacción RA '!I$3:I$15,'Paso 3 Redacción RA '!C$3:C$15,,0,1)</f>
        <v>Saberhacer</v>
      </c>
      <c r="B85" s="16" t="s">
        <v>95</v>
      </c>
      <c r="C85" s="132"/>
      <c r="D85" s="132"/>
      <c r="E85" s="138"/>
      <c r="F85" s="132"/>
      <c r="G85" s="132"/>
      <c r="H85" s="132"/>
      <c r="I85" s="132"/>
      <c r="J85" s="132"/>
      <c r="K85" s="132"/>
      <c r="L85" s="132"/>
      <c r="M85" s="132"/>
      <c r="N85" s="138"/>
      <c r="O85" s="138"/>
      <c r="P85" s="138"/>
      <c r="Q85" s="138"/>
    </row>
    <row r="86" spans="1:17" s="52" customFormat="1" ht="66" x14ac:dyDescent="0.35">
      <c r="A86" s="23" t="str">
        <f>_xlfn.XLOOKUP(B86,'Paso 3 Redacción RA '!I$3:I$15,'Paso 3 Redacción RA '!C$3:C$15,,0,1)</f>
        <v>Saberser</v>
      </c>
      <c r="B86" s="16" t="s">
        <v>100</v>
      </c>
      <c r="C86" s="132"/>
      <c r="D86" s="132"/>
      <c r="E86" s="138"/>
      <c r="F86" s="132"/>
      <c r="G86" s="132"/>
      <c r="H86" s="132"/>
      <c r="I86" s="132"/>
      <c r="J86" s="132"/>
      <c r="K86" s="132"/>
      <c r="L86" s="132"/>
      <c r="M86" s="132"/>
      <c r="N86" s="138"/>
      <c r="O86" s="138"/>
      <c r="P86" s="138"/>
      <c r="Q86" s="138"/>
    </row>
    <row r="87" spans="1:17" s="52" customFormat="1" ht="66" x14ac:dyDescent="0.35">
      <c r="A87" s="23" t="str">
        <f>_xlfn.XLOOKUP(B87,'Paso 3 Redacción RA '!I$3:I$15,'Paso 3 Redacción RA '!C$3:C$15,,0,1)</f>
        <v>Saberhacer</v>
      </c>
      <c r="B87" s="16" t="s">
        <v>103</v>
      </c>
      <c r="C87" s="132"/>
      <c r="D87" s="132"/>
      <c r="E87" s="138"/>
      <c r="F87" s="132"/>
      <c r="G87" s="132"/>
      <c r="H87" s="132"/>
      <c r="I87" s="132"/>
      <c r="J87" s="132"/>
      <c r="K87" s="132"/>
      <c r="L87" s="132"/>
      <c r="M87" s="132"/>
      <c r="N87" s="138"/>
      <c r="O87" s="138"/>
      <c r="P87" s="138"/>
      <c r="Q87" s="138"/>
    </row>
    <row r="88" spans="1:17" s="52" customFormat="1" ht="50" thickBot="1" x14ac:dyDescent="0.4">
      <c r="A88" s="97" t="str">
        <f>_xlfn.XLOOKUP(B88,'Paso 3 Redacción RA '!I$3:I$15,'Paso 3 Redacción RA '!C$3:C$15,,0,1)</f>
        <v>Saber</v>
      </c>
      <c r="B88" s="26" t="s">
        <v>104</v>
      </c>
      <c r="C88" s="133"/>
      <c r="D88" s="133"/>
      <c r="E88" s="139"/>
      <c r="F88" s="133"/>
      <c r="G88" s="133"/>
      <c r="H88" s="133"/>
      <c r="I88" s="133"/>
      <c r="J88" s="133"/>
      <c r="K88" s="133"/>
      <c r="L88" s="133"/>
      <c r="M88" s="133"/>
      <c r="N88" s="139"/>
      <c r="O88" s="139"/>
      <c r="P88" s="139"/>
      <c r="Q88" s="139"/>
    </row>
    <row r="89" spans="1:17" s="52" customFormat="1" ht="66" x14ac:dyDescent="0.35">
      <c r="A89" s="23" t="str">
        <f>_xlfn.XLOOKUP(B89,'Paso 3 Redacción RA '!I$3:I$15,'Paso 3 Redacción RA '!C$3:C$15,,0,1)</f>
        <v>Saber</v>
      </c>
      <c r="B89" s="16" t="s">
        <v>91</v>
      </c>
      <c r="C89" s="131">
        <v>5</v>
      </c>
      <c r="D89" s="131" t="s">
        <v>285</v>
      </c>
      <c r="E89" s="142" t="s">
        <v>286</v>
      </c>
      <c r="F89" s="131" t="s">
        <v>185</v>
      </c>
      <c r="G89" s="131"/>
      <c r="H89" s="131" t="s">
        <v>186</v>
      </c>
      <c r="I89" s="131"/>
      <c r="J89" s="131">
        <v>3</v>
      </c>
      <c r="K89" s="131">
        <f>J89*12</f>
        <v>36</v>
      </c>
      <c r="L89" s="131">
        <f>36*J89</f>
        <v>108</v>
      </c>
      <c r="M89" s="131">
        <f>SUM(K89:L89)</f>
        <v>144</v>
      </c>
      <c r="N89" s="137" t="s">
        <v>287</v>
      </c>
      <c r="O89" s="137" t="s">
        <v>195</v>
      </c>
      <c r="P89" s="137" t="s">
        <v>288</v>
      </c>
      <c r="Q89" s="137" t="s">
        <v>190</v>
      </c>
    </row>
    <row r="90" spans="1:17" s="52" customFormat="1" ht="66" x14ac:dyDescent="0.35">
      <c r="A90" s="23" t="str">
        <f>_xlfn.XLOOKUP(B90,'Paso 3 Redacción RA '!I$3:I$15,'Paso 3 Redacción RA '!C$3:C$15,,0,1)</f>
        <v>Saberhacer</v>
      </c>
      <c r="B90" s="16" t="s">
        <v>95</v>
      </c>
      <c r="C90" s="132"/>
      <c r="D90" s="132"/>
      <c r="E90" s="128"/>
      <c r="F90" s="132"/>
      <c r="G90" s="132"/>
      <c r="H90" s="132"/>
      <c r="I90" s="132"/>
      <c r="J90" s="132"/>
      <c r="K90" s="132"/>
      <c r="L90" s="132"/>
      <c r="M90" s="132"/>
      <c r="N90" s="138"/>
      <c r="O90" s="138"/>
      <c r="P90" s="138"/>
      <c r="Q90" s="138"/>
    </row>
    <row r="91" spans="1:17" s="52" customFormat="1" ht="66" x14ac:dyDescent="0.35">
      <c r="A91" s="23" t="str">
        <f>_xlfn.XLOOKUP(B91,'Paso 3 Redacción RA '!I$3:I$15,'Paso 3 Redacción RA '!C$3:C$15,,0,1)</f>
        <v>Saberser</v>
      </c>
      <c r="B91" s="16" t="s">
        <v>100</v>
      </c>
      <c r="C91" s="132"/>
      <c r="D91" s="132"/>
      <c r="E91" s="128"/>
      <c r="F91" s="132"/>
      <c r="G91" s="132"/>
      <c r="H91" s="132"/>
      <c r="I91" s="132"/>
      <c r="J91" s="132"/>
      <c r="K91" s="132"/>
      <c r="L91" s="132"/>
      <c r="M91" s="132"/>
      <c r="N91" s="138"/>
      <c r="O91" s="138"/>
      <c r="P91" s="138"/>
      <c r="Q91" s="138"/>
    </row>
    <row r="92" spans="1:17" s="52" customFormat="1" ht="66" x14ac:dyDescent="0.35">
      <c r="A92" s="23" t="str">
        <f>_xlfn.XLOOKUP(B92,'Paso 3 Redacción RA '!I$3:I$15,'Paso 3 Redacción RA '!C$3:C$15,,0,1)</f>
        <v>Saberhacer</v>
      </c>
      <c r="B92" s="16" t="s">
        <v>103</v>
      </c>
      <c r="C92" s="132"/>
      <c r="D92" s="132"/>
      <c r="E92" s="128"/>
      <c r="F92" s="132"/>
      <c r="G92" s="132"/>
      <c r="H92" s="132"/>
      <c r="I92" s="132"/>
      <c r="J92" s="132"/>
      <c r="K92" s="132"/>
      <c r="L92" s="132"/>
      <c r="M92" s="132"/>
      <c r="N92" s="138"/>
      <c r="O92" s="138"/>
      <c r="P92" s="138"/>
      <c r="Q92" s="138"/>
    </row>
    <row r="93" spans="1:17" s="52" customFormat="1" ht="50" thickBot="1" x14ac:dyDescent="0.4">
      <c r="A93" s="97" t="str">
        <f>_xlfn.XLOOKUP(B93,'Paso 3 Redacción RA '!I$3:I$15,'Paso 3 Redacción RA '!C$3:C$15,,0,1)</f>
        <v>Saber</v>
      </c>
      <c r="B93" s="26" t="s">
        <v>104</v>
      </c>
      <c r="C93" s="133"/>
      <c r="D93" s="133"/>
      <c r="E93" s="129"/>
      <c r="F93" s="133"/>
      <c r="G93" s="133"/>
      <c r="H93" s="133"/>
      <c r="I93" s="133"/>
      <c r="J93" s="133"/>
      <c r="K93" s="133"/>
      <c r="L93" s="133"/>
      <c r="M93" s="133"/>
      <c r="N93" s="139"/>
      <c r="O93" s="139"/>
      <c r="P93" s="139"/>
      <c r="Q93" s="139"/>
    </row>
    <row r="94" spans="1:17" s="52" customFormat="1" ht="66" x14ac:dyDescent="0.35">
      <c r="A94" s="23" t="str">
        <f>_xlfn.XLOOKUP(B94,'Paso 3 Redacción RA '!I$3:I$15,'Paso 3 Redacción RA '!C$3:C$15,,0,1)</f>
        <v>Saber</v>
      </c>
      <c r="B94" s="16" t="s">
        <v>91</v>
      </c>
      <c r="C94" s="131">
        <v>5</v>
      </c>
      <c r="D94" s="131" t="s">
        <v>289</v>
      </c>
      <c r="E94" s="138" t="s">
        <v>290</v>
      </c>
      <c r="F94" s="132" t="s">
        <v>185</v>
      </c>
      <c r="G94" s="132"/>
      <c r="H94" s="132" t="s">
        <v>186</v>
      </c>
      <c r="I94" s="132"/>
      <c r="J94" s="132">
        <v>3</v>
      </c>
      <c r="K94" s="132">
        <f>J94*12</f>
        <v>36</v>
      </c>
      <c r="L94" s="132">
        <f>36*J94</f>
        <v>108</v>
      </c>
      <c r="M94" s="132">
        <f>SUM(K94:L94)</f>
        <v>144</v>
      </c>
      <c r="N94" s="138" t="s">
        <v>291</v>
      </c>
      <c r="O94" s="137" t="s">
        <v>244</v>
      </c>
      <c r="P94" s="137" t="s">
        <v>292</v>
      </c>
      <c r="Q94" s="137" t="s">
        <v>190</v>
      </c>
    </row>
    <row r="95" spans="1:17" s="52" customFormat="1" ht="66" x14ac:dyDescent="0.35">
      <c r="A95" s="23" t="str">
        <f>_xlfn.XLOOKUP(B95,'Paso 3 Redacción RA '!I$3:I$15,'Paso 3 Redacción RA '!C$3:C$15,,0,1)</f>
        <v>Saberhacer</v>
      </c>
      <c r="B95" s="16" t="s">
        <v>95</v>
      </c>
      <c r="C95" s="132"/>
      <c r="D95" s="132"/>
      <c r="E95" s="138"/>
      <c r="F95" s="132"/>
      <c r="G95" s="132"/>
      <c r="H95" s="132"/>
      <c r="I95" s="132"/>
      <c r="J95" s="132"/>
      <c r="K95" s="132"/>
      <c r="L95" s="132"/>
      <c r="M95" s="132"/>
      <c r="N95" s="138"/>
      <c r="O95" s="138"/>
      <c r="P95" s="138"/>
      <c r="Q95" s="138"/>
    </row>
    <row r="96" spans="1:17" s="52" customFormat="1" ht="66" x14ac:dyDescent="0.35">
      <c r="A96" s="23" t="str">
        <f>_xlfn.XLOOKUP(B96,'Paso 3 Redacción RA '!I$3:I$15,'Paso 3 Redacción RA '!C$3:C$15,,0,1)</f>
        <v>Saberser</v>
      </c>
      <c r="B96" s="16" t="s">
        <v>100</v>
      </c>
      <c r="C96" s="132"/>
      <c r="D96" s="132"/>
      <c r="E96" s="138"/>
      <c r="F96" s="132"/>
      <c r="G96" s="132"/>
      <c r="H96" s="132"/>
      <c r="I96" s="132"/>
      <c r="J96" s="132"/>
      <c r="K96" s="132"/>
      <c r="L96" s="132"/>
      <c r="M96" s="132"/>
      <c r="N96" s="138"/>
      <c r="O96" s="138"/>
      <c r="P96" s="138"/>
      <c r="Q96" s="138"/>
    </row>
    <row r="97" spans="1:17" s="52" customFormat="1" ht="50" thickBot="1" x14ac:dyDescent="0.4">
      <c r="A97" s="113" t="str">
        <f>_xlfn.XLOOKUP(B97,'Paso 3 Redacción RA '!I$3:I$15,'Paso 3 Redacción RA '!C$3:C$15,,0,1)</f>
        <v>Saber</v>
      </c>
      <c r="B97" s="26" t="s">
        <v>104</v>
      </c>
      <c r="C97" s="132"/>
      <c r="D97" s="132"/>
      <c r="E97" s="138"/>
      <c r="F97" s="132"/>
      <c r="G97" s="132"/>
      <c r="H97" s="132"/>
      <c r="I97" s="132"/>
      <c r="J97" s="132"/>
      <c r="K97" s="132"/>
      <c r="L97" s="132"/>
      <c r="M97" s="132"/>
      <c r="N97" s="138"/>
      <c r="O97" s="138"/>
      <c r="P97" s="138"/>
      <c r="Q97" s="138"/>
    </row>
    <row r="98" spans="1:17" s="52" customFormat="1" ht="66" x14ac:dyDescent="0.35">
      <c r="A98" s="23" t="str">
        <f>_xlfn.XLOOKUP(B98,'Paso 3 Redacción RA '!I$3:I$15,'Paso 3 Redacción RA '!C$3:C$15,,0,1)</f>
        <v>Saber</v>
      </c>
      <c r="B98" s="16" t="s">
        <v>91</v>
      </c>
      <c r="C98" s="131">
        <v>6</v>
      </c>
      <c r="D98" s="131" t="s">
        <v>293</v>
      </c>
      <c r="E98" s="146" t="s">
        <v>294</v>
      </c>
      <c r="F98" s="131" t="s">
        <v>185</v>
      </c>
      <c r="G98" s="131"/>
      <c r="H98" s="131" t="s">
        <v>186</v>
      </c>
      <c r="I98" s="131"/>
      <c r="J98" s="131">
        <v>4</v>
      </c>
      <c r="K98" s="131">
        <f>J98*12</f>
        <v>48</v>
      </c>
      <c r="L98" s="131">
        <f>36*J98</f>
        <v>144</v>
      </c>
      <c r="M98" s="131">
        <f>SUM(K98:L98)</f>
        <v>192</v>
      </c>
      <c r="N98" s="137" t="s">
        <v>295</v>
      </c>
      <c r="O98" s="137" t="s">
        <v>195</v>
      </c>
      <c r="P98" s="137" t="s">
        <v>274</v>
      </c>
      <c r="Q98" s="137" t="s">
        <v>190</v>
      </c>
    </row>
    <row r="99" spans="1:17" s="52" customFormat="1" ht="66" x14ac:dyDescent="0.35">
      <c r="A99" s="23" t="str">
        <f>_xlfn.XLOOKUP(B99,'Paso 3 Redacción RA '!I$3:I$15,'Paso 3 Redacción RA '!C$3:C$15,,0,1)</f>
        <v>Saberhacer</v>
      </c>
      <c r="B99" s="16" t="s">
        <v>95</v>
      </c>
      <c r="C99" s="132"/>
      <c r="D99" s="132"/>
      <c r="E99" s="138"/>
      <c r="F99" s="132"/>
      <c r="G99" s="132"/>
      <c r="H99" s="132"/>
      <c r="I99" s="132"/>
      <c r="J99" s="132"/>
      <c r="K99" s="132"/>
      <c r="L99" s="132"/>
      <c r="M99" s="132"/>
      <c r="N99" s="138"/>
      <c r="O99" s="138"/>
      <c r="P99" s="138"/>
      <c r="Q99" s="138"/>
    </row>
    <row r="100" spans="1:17" s="52" customFormat="1" ht="66" x14ac:dyDescent="0.35">
      <c r="A100" s="23" t="str">
        <f>_xlfn.XLOOKUP(B100,'Paso 3 Redacción RA '!I$3:I$15,'Paso 3 Redacción RA '!C$3:C$15,,0,1)</f>
        <v>Saberser</v>
      </c>
      <c r="B100" s="16" t="s">
        <v>100</v>
      </c>
      <c r="C100" s="132"/>
      <c r="D100" s="132"/>
      <c r="E100" s="138"/>
      <c r="F100" s="132"/>
      <c r="G100" s="132"/>
      <c r="H100" s="132"/>
      <c r="I100" s="132"/>
      <c r="J100" s="132"/>
      <c r="K100" s="132"/>
      <c r="L100" s="132"/>
      <c r="M100" s="132"/>
      <c r="N100" s="138"/>
      <c r="O100" s="138"/>
      <c r="P100" s="138"/>
      <c r="Q100" s="138"/>
    </row>
    <row r="101" spans="1:17" s="52" customFormat="1" ht="66" x14ac:dyDescent="0.35">
      <c r="A101" s="23" t="str">
        <f>_xlfn.XLOOKUP(B101,'Paso 3 Redacción RA '!I$3:I$15,'Paso 3 Redacción RA '!C$3:C$15,,0,1)</f>
        <v>Saberhacer</v>
      </c>
      <c r="B101" s="16" t="s">
        <v>103</v>
      </c>
      <c r="C101" s="132"/>
      <c r="D101" s="132"/>
      <c r="E101" s="138"/>
      <c r="F101" s="132"/>
      <c r="G101" s="132"/>
      <c r="H101" s="132"/>
      <c r="I101" s="132"/>
      <c r="J101" s="132"/>
      <c r="K101" s="132"/>
      <c r="L101" s="132"/>
      <c r="M101" s="132"/>
      <c r="N101" s="138"/>
      <c r="O101" s="138"/>
      <c r="P101" s="138"/>
      <c r="Q101" s="138"/>
    </row>
    <row r="102" spans="1:17" s="52" customFormat="1" ht="50" thickBot="1" x14ac:dyDescent="0.4">
      <c r="A102" s="97" t="str">
        <f>_xlfn.XLOOKUP(B102,'Paso 3 Redacción RA '!I$3:I$15,'Paso 3 Redacción RA '!C$3:C$15,,0,1)</f>
        <v>Saber</v>
      </c>
      <c r="B102" s="26" t="s">
        <v>104</v>
      </c>
      <c r="C102" s="133"/>
      <c r="D102" s="133"/>
      <c r="E102" s="139"/>
      <c r="F102" s="133"/>
      <c r="G102" s="133"/>
      <c r="H102" s="133"/>
      <c r="I102" s="133"/>
      <c r="J102" s="133"/>
      <c r="K102" s="133"/>
      <c r="L102" s="133"/>
      <c r="M102" s="133"/>
      <c r="N102" s="139"/>
      <c r="O102" s="139"/>
      <c r="P102" s="139"/>
      <c r="Q102" s="139"/>
    </row>
    <row r="103" spans="1:17" s="52" customFormat="1" ht="66" x14ac:dyDescent="0.35">
      <c r="A103" s="23" t="str">
        <f>_xlfn.XLOOKUP(B103,'Paso 3 Redacción RA '!I$3:I$15,'Paso 3 Redacción RA '!C$3:C$15,,0,1)</f>
        <v>Saber</v>
      </c>
      <c r="B103" s="16" t="s">
        <v>91</v>
      </c>
      <c r="C103" s="131">
        <v>6</v>
      </c>
      <c r="D103" s="131" t="s">
        <v>296</v>
      </c>
      <c r="E103" s="137" t="s">
        <v>297</v>
      </c>
      <c r="F103" s="131" t="s">
        <v>185</v>
      </c>
      <c r="G103" s="131"/>
      <c r="H103" s="131" t="s">
        <v>186</v>
      </c>
      <c r="I103" s="131"/>
      <c r="J103" s="131">
        <v>3</v>
      </c>
      <c r="K103" s="131">
        <f>J103*12</f>
        <v>36</v>
      </c>
      <c r="L103" s="131">
        <f>36*J103</f>
        <v>108</v>
      </c>
      <c r="M103" s="131">
        <f>SUM(K103:L103)</f>
        <v>144</v>
      </c>
      <c r="N103" s="137" t="s">
        <v>298</v>
      </c>
      <c r="O103" s="137" t="s">
        <v>195</v>
      </c>
      <c r="P103" s="137" t="s">
        <v>249</v>
      </c>
      <c r="Q103" s="137" t="s">
        <v>190</v>
      </c>
    </row>
    <row r="104" spans="1:17" s="52" customFormat="1" ht="66" x14ac:dyDescent="0.35">
      <c r="A104" s="23" t="str">
        <f>_xlfn.XLOOKUP(B104,'Paso 3 Redacción RA '!I$3:I$15,'Paso 3 Redacción RA '!C$3:C$15,,0,1)</f>
        <v>Saberhacer</v>
      </c>
      <c r="B104" s="16" t="s">
        <v>95</v>
      </c>
      <c r="C104" s="132"/>
      <c r="D104" s="132"/>
      <c r="E104" s="138"/>
      <c r="F104" s="132"/>
      <c r="G104" s="132"/>
      <c r="H104" s="132"/>
      <c r="I104" s="132"/>
      <c r="J104" s="132"/>
      <c r="K104" s="132"/>
      <c r="L104" s="132"/>
      <c r="M104" s="132"/>
      <c r="N104" s="138"/>
      <c r="O104" s="138"/>
      <c r="P104" s="138"/>
      <c r="Q104" s="138"/>
    </row>
    <row r="105" spans="1:17" s="52" customFormat="1" ht="66" x14ac:dyDescent="0.35">
      <c r="A105" s="23" t="str">
        <f>_xlfn.XLOOKUP(B105,'Paso 3 Redacción RA '!I$3:I$15,'Paso 3 Redacción RA '!C$3:C$15,,0,1)</f>
        <v>Saberser</v>
      </c>
      <c r="B105" s="16" t="s">
        <v>100</v>
      </c>
      <c r="C105" s="132"/>
      <c r="D105" s="132"/>
      <c r="E105" s="138"/>
      <c r="F105" s="132"/>
      <c r="G105" s="132"/>
      <c r="H105" s="132"/>
      <c r="I105" s="132"/>
      <c r="J105" s="132"/>
      <c r="K105" s="132"/>
      <c r="L105" s="132"/>
      <c r="M105" s="132"/>
      <c r="N105" s="138"/>
      <c r="O105" s="138"/>
      <c r="P105" s="138"/>
      <c r="Q105" s="138"/>
    </row>
    <row r="106" spans="1:17" s="52" customFormat="1" ht="66" x14ac:dyDescent="0.35">
      <c r="A106" s="23" t="str">
        <f>_xlfn.XLOOKUP(B106,'Paso 3 Redacción RA '!I$3:I$15,'Paso 3 Redacción RA '!C$3:C$15,,0,1)</f>
        <v>Saberhacer</v>
      </c>
      <c r="B106" s="16" t="s">
        <v>103</v>
      </c>
      <c r="C106" s="132"/>
      <c r="D106" s="132"/>
      <c r="E106" s="138"/>
      <c r="F106" s="132"/>
      <c r="G106" s="132"/>
      <c r="H106" s="132"/>
      <c r="I106" s="132"/>
      <c r="J106" s="132"/>
      <c r="K106" s="132"/>
      <c r="L106" s="132"/>
      <c r="M106" s="132"/>
      <c r="N106" s="138"/>
      <c r="O106" s="138"/>
      <c r="P106" s="138"/>
      <c r="Q106" s="138"/>
    </row>
    <row r="107" spans="1:17" s="52" customFormat="1" ht="50" thickBot="1" x14ac:dyDescent="0.4">
      <c r="A107" s="97" t="str">
        <f>_xlfn.XLOOKUP(B107,'Paso 3 Redacción RA '!I$3:I$15,'Paso 3 Redacción RA '!C$3:C$15,,0,1)</f>
        <v>Saber</v>
      </c>
      <c r="B107" s="26" t="s">
        <v>104</v>
      </c>
      <c r="C107" s="133"/>
      <c r="D107" s="133"/>
      <c r="E107" s="139"/>
      <c r="F107" s="133"/>
      <c r="G107" s="133"/>
      <c r="H107" s="133"/>
      <c r="I107" s="133"/>
      <c r="J107" s="133"/>
      <c r="K107" s="133"/>
      <c r="L107" s="133"/>
      <c r="M107" s="133"/>
      <c r="N107" s="139"/>
      <c r="O107" s="139"/>
      <c r="P107" s="139"/>
      <c r="Q107" s="139"/>
    </row>
    <row r="108" spans="1:17" s="52" customFormat="1" ht="66" x14ac:dyDescent="0.35">
      <c r="A108" s="23" t="str">
        <f>_xlfn.XLOOKUP(B108,'Paso 3 Redacción RA '!I$3:I$15,'Paso 3 Redacción RA '!C$3:C$15,,0,1)</f>
        <v>Saber</v>
      </c>
      <c r="B108" s="16" t="s">
        <v>91</v>
      </c>
      <c r="C108" s="131">
        <v>6</v>
      </c>
      <c r="D108" s="131" t="s">
        <v>299</v>
      </c>
      <c r="E108" s="147" t="s">
        <v>300</v>
      </c>
      <c r="F108" s="131" t="s">
        <v>185</v>
      </c>
      <c r="G108" s="131"/>
      <c r="H108" s="131" t="s">
        <v>186</v>
      </c>
      <c r="I108" s="131"/>
      <c r="J108" s="131">
        <v>4</v>
      </c>
      <c r="K108" s="131">
        <f>J108*12</f>
        <v>48</v>
      </c>
      <c r="L108" s="131">
        <f>36*J108</f>
        <v>144</v>
      </c>
      <c r="M108" s="131">
        <f>SUM(K108:L108)</f>
        <v>192</v>
      </c>
      <c r="N108" s="137" t="s">
        <v>301</v>
      </c>
      <c r="O108" s="137" t="s">
        <v>302</v>
      </c>
      <c r="P108" s="137" t="s">
        <v>274</v>
      </c>
      <c r="Q108" s="137" t="s">
        <v>190</v>
      </c>
    </row>
    <row r="109" spans="1:17" s="52" customFormat="1" ht="66" x14ac:dyDescent="0.35">
      <c r="A109" s="23" t="str">
        <f>_xlfn.XLOOKUP(B109,'Paso 3 Redacción RA '!I$3:I$15,'Paso 3 Redacción RA '!C$3:C$15,,0,1)</f>
        <v>Saberhacer</v>
      </c>
      <c r="B109" s="16" t="s">
        <v>95</v>
      </c>
      <c r="C109" s="132"/>
      <c r="D109" s="132"/>
      <c r="E109" s="138"/>
      <c r="F109" s="132"/>
      <c r="G109" s="132"/>
      <c r="H109" s="132"/>
      <c r="I109" s="132"/>
      <c r="J109" s="132"/>
      <c r="K109" s="132"/>
      <c r="L109" s="132"/>
      <c r="M109" s="132"/>
      <c r="N109" s="138"/>
      <c r="O109" s="138"/>
      <c r="P109" s="138"/>
      <c r="Q109" s="138"/>
    </row>
    <row r="110" spans="1:17" s="52" customFormat="1" ht="66" x14ac:dyDescent="0.35">
      <c r="A110" s="23" t="str">
        <f>_xlfn.XLOOKUP(B110,'Paso 3 Redacción RA '!I$3:I$15,'Paso 3 Redacción RA '!C$3:C$15,,0,1)</f>
        <v>Saberser</v>
      </c>
      <c r="B110" s="16" t="s">
        <v>100</v>
      </c>
      <c r="C110" s="132"/>
      <c r="D110" s="132"/>
      <c r="E110" s="138"/>
      <c r="F110" s="132"/>
      <c r="G110" s="132"/>
      <c r="H110" s="132"/>
      <c r="I110" s="132"/>
      <c r="J110" s="132"/>
      <c r="K110" s="132"/>
      <c r="L110" s="132"/>
      <c r="M110" s="132"/>
      <c r="N110" s="138"/>
      <c r="O110" s="138"/>
      <c r="P110" s="138"/>
      <c r="Q110" s="138"/>
    </row>
    <row r="111" spans="1:17" s="52" customFormat="1" ht="66" x14ac:dyDescent="0.35">
      <c r="A111" s="23" t="str">
        <f>_xlfn.XLOOKUP(B111,'Paso 3 Redacción RA '!I$3:I$15,'Paso 3 Redacción RA '!C$3:C$15,,0,1)</f>
        <v>Saberhacer</v>
      </c>
      <c r="B111" s="16" t="s">
        <v>103</v>
      </c>
      <c r="C111" s="132"/>
      <c r="D111" s="132"/>
      <c r="E111" s="138"/>
      <c r="F111" s="132"/>
      <c r="G111" s="132"/>
      <c r="H111" s="132"/>
      <c r="I111" s="132"/>
      <c r="J111" s="132"/>
      <c r="K111" s="132"/>
      <c r="L111" s="132"/>
      <c r="M111" s="132"/>
      <c r="N111" s="138"/>
      <c r="O111" s="138"/>
      <c r="P111" s="138"/>
      <c r="Q111" s="138"/>
    </row>
    <row r="112" spans="1:17" s="52" customFormat="1" ht="50" thickBot="1" x14ac:dyDescent="0.4">
      <c r="A112" s="97" t="str">
        <f>_xlfn.XLOOKUP(B112,'Paso 3 Redacción RA '!I$3:I$15,'Paso 3 Redacción RA '!C$3:C$15,,0,1)</f>
        <v>Saber</v>
      </c>
      <c r="B112" s="26" t="s">
        <v>104</v>
      </c>
      <c r="C112" s="133"/>
      <c r="D112" s="133"/>
      <c r="E112" s="139"/>
      <c r="F112" s="133"/>
      <c r="G112" s="133"/>
      <c r="H112" s="133"/>
      <c r="I112" s="133"/>
      <c r="J112" s="133"/>
      <c r="K112" s="133"/>
      <c r="L112" s="133"/>
      <c r="M112" s="133"/>
      <c r="N112" s="139"/>
      <c r="O112" s="139"/>
      <c r="P112" s="139"/>
      <c r="Q112" s="139"/>
    </row>
    <row r="113" spans="1:17" s="52" customFormat="1" ht="66" x14ac:dyDescent="0.35">
      <c r="A113" s="23" t="str">
        <f>_xlfn.XLOOKUP(B113,'Paso 3 Redacción RA '!I$3:I$15,'Paso 3 Redacción RA '!C$3:C$15,,0,1)</f>
        <v>Saber</v>
      </c>
      <c r="B113" s="16" t="s">
        <v>91</v>
      </c>
      <c r="C113" s="131">
        <v>6</v>
      </c>
      <c r="D113" s="131" t="s">
        <v>303</v>
      </c>
      <c r="E113" s="137" t="s">
        <v>304</v>
      </c>
      <c r="F113" s="131" t="s">
        <v>185</v>
      </c>
      <c r="G113" s="131"/>
      <c r="H113" s="131" t="s">
        <v>186</v>
      </c>
      <c r="I113" s="131"/>
      <c r="J113" s="131">
        <v>3</v>
      </c>
      <c r="K113" s="131">
        <f>J113*12</f>
        <v>36</v>
      </c>
      <c r="L113" s="131">
        <f>36*J113</f>
        <v>108</v>
      </c>
      <c r="M113" s="131">
        <f>SUM(K113:L113)</f>
        <v>144</v>
      </c>
      <c r="N113" s="137" t="s">
        <v>305</v>
      </c>
      <c r="O113" s="137" t="s">
        <v>195</v>
      </c>
      <c r="P113" s="137" t="s">
        <v>292</v>
      </c>
      <c r="Q113" s="137" t="s">
        <v>190</v>
      </c>
    </row>
    <row r="114" spans="1:17" s="52" customFormat="1" ht="66" x14ac:dyDescent="0.35">
      <c r="A114" s="23" t="str">
        <f>_xlfn.XLOOKUP(B114,'Paso 3 Redacción RA '!I$3:I$15,'Paso 3 Redacción RA '!C$3:C$15,,0,1)</f>
        <v>Saberhacer</v>
      </c>
      <c r="B114" s="16" t="s">
        <v>95</v>
      </c>
      <c r="C114" s="132"/>
      <c r="D114" s="132"/>
      <c r="E114" s="138"/>
      <c r="F114" s="132"/>
      <c r="G114" s="132"/>
      <c r="H114" s="132"/>
      <c r="I114" s="132"/>
      <c r="J114" s="132"/>
      <c r="K114" s="132"/>
      <c r="L114" s="132"/>
      <c r="M114" s="132"/>
      <c r="N114" s="138"/>
      <c r="O114" s="138"/>
      <c r="P114" s="138"/>
      <c r="Q114" s="138"/>
    </row>
    <row r="115" spans="1:17" s="52" customFormat="1" ht="66" x14ac:dyDescent="0.35">
      <c r="A115" s="23" t="str">
        <f>_xlfn.XLOOKUP(B115,'Paso 3 Redacción RA '!I$3:I$15,'Paso 3 Redacción RA '!C$3:C$15,,0,1)</f>
        <v>Saberser</v>
      </c>
      <c r="B115" s="16" t="s">
        <v>100</v>
      </c>
      <c r="C115" s="132"/>
      <c r="D115" s="132"/>
      <c r="E115" s="138"/>
      <c r="F115" s="132"/>
      <c r="G115" s="132"/>
      <c r="H115" s="132"/>
      <c r="I115" s="132"/>
      <c r="J115" s="132"/>
      <c r="K115" s="132"/>
      <c r="L115" s="132"/>
      <c r="M115" s="132"/>
      <c r="N115" s="138"/>
      <c r="O115" s="138"/>
      <c r="P115" s="138"/>
      <c r="Q115" s="138"/>
    </row>
    <row r="116" spans="1:17" s="52" customFormat="1" ht="50" thickBot="1" x14ac:dyDescent="0.4">
      <c r="A116" s="113" t="str">
        <f>_xlfn.XLOOKUP(B116,'Paso 3 Redacción RA '!I$3:I$15,'Paso 3 Redacción RA '!C$3:C$15,,0,1)</f>
        <v>Saber</v>
      </c>
      <c r="B116" s="26" t="s">
        <v>104</v>
      </c>
      <c r="C116" s="133"/>
      <c r="D116" s="133"/>
      <c r="E116" s="139"/>
      <c r="F116" s="132"/>
      <c r="G116" s="132"/>
      <c r="H116" s="132"/>
      <c r="I116" s="132"/>
      <c r="J116" s="132"/>
      <c r="K116" s="132"/>
      <c r="L116" s="132"/>
      <c r="M116" s="132"/>
      <c r="N116" s="138"/>
      <c r="O116" s="138"/>
      <c r="P116" s="138"/>
      <c r="Q116" s="138"/>
    </row>
    <row r="117" spans="1:17" s="52" customFormat="1" ht="66" x14ac:dyDescent="0.35">
      <c r="A117" s="23" t="str">
        <f>_xlfn.XLOOKUP(B117,'Paso 3 Redacción RA '!I$3:I$15,'Paso 3 Redacción RA '!C$3:C$15,,0,1)</f>
        <v>Saber</v>
      </c>
      <c r="B117" s="16" t="s">
        <v>91</v>
      </c>
      <c r="C117" s="132">
        <v>6</v>
      </c>
      <c r="D117" s="132" t="s">
        <v>306</v>
      </c>
      <c r="E117" s="138" t="s">
        <v>307</v>
      </c>
      <c r="F117" s="131" t="s">
        <v>185</v>
      </c>
      <c r="G117" s="131"/>
      <c r="H117" s="131" t="s">
        <v>186</v>
      </c>
      <c r="I117" s="131"/>
      <c r="J117" s="131">
        <v>4</v>
      </c>
      <c r="K117" s="131">
        <f>J117*12</f>
        <v>48</v>
      </c>
      <c r="L117" s="131">
        <f>36*J117</f>
        <v>144</v>
      </c>
      <c r="M117" s="131">
        <f>SUM(K117:L117)</f>
        <v>192</v>
      </c>
      <c r="N117" s="137" t="s">
        <v>308</v>
      </c>
      <c r="O117" s="137" t="s">
        <v>302</v>
      </c>
      <c r="P117" s="137" t="s">
        <v>249</v>
      </c>
      <c r="Q117" s="137" t="s">
        <v>190</v>
      </c>
    </row>
    <row r="118" spans="1:17" s="52" customFormat="1" ht="66" x14ac:dyDescent="0.35">
      <c r="A118" s="23" t="str">
        <f>_xlfn.XLOOKUP(B118,'Paso 3 Redacción RA '!I$3:I$15,'Paso 3 Redacción RA '!C$3:C$15,,0,1)</f>
        <v>Saberhacer</v>
      </c>
      <c r="B118" s="16" t="s">
        <v>95</v>
      </c>
      <c r="C118" s="132"/>
      <c r="D118" s="132"/>
      <c r="E118" s="138"/>
      <c r="F118" s="132"/>
      <c r="G118" s="132"/>
      <c r="H118" s="132"/>
      <c r="I118" s="132"/>
      <c r="J118" s="132"/>
      <c r="K118" s="132"/>
      <c r="L118" s="132"/>
      <c r="M118" s="132"/>
      <c r="N118" s="138"/>
      <c r="O118" s="138"/>
      <c r="P118" s="138"/>
      <c r="Q118" s="138"/>
    </row>
    <row r="119" spans="1:17" s="52" customFormat="1" ht="66" x14ac:dyDescent="0.35">
      <c r="A119" s="23" t="str">
        <f>_xlfn.XLOOKUP(B119,'Paso 3 Redacción RA '!I$3:I$15,'Paso 3 Redacción RA '!C$3:C$15,,0,1)</f>
        <v>Saberser</v>
      </c>
      <c r="B119" s="16" t="s">
        <v>100</v>
      </c>
      <c r="C119" s="132"/>
      <c r="D119" s="132"/>
      <c r="E119" s="138"/>
      <c r="F119" s="132"/>
      <c r="G119" s="132"/>
      <c r="H119" s="132"/>
      <c r="I119" s="132"/>
      <c r="J119" s="132"/>
      <c r="K119" s="132"/>
      <c r="L119" s="132"/>
      <c r="M119" s="132"/>
      <c r="N119" s="138"/>
      <c r="O119" s="138"/>
      <c r="P119" s="138"/>
      <c r="Q119" s="138"/>
    </row>
    <row r="120" spans="1:17" s="52" customFormat="1" ht="66" x14ac:dyDescent="0.35">
      <c r="A120" s="23" t="str">
        <f>_xlfn.XLOOKUP(B120,'Paso 3 Redacción RA '!I$3:I$15,'Paso 3 Redacción RA '!C$3:C$15,,0,1)</f>
        <v>Saberhacer</v>
      </c>
      <c r="B120" s="16" t="s">
        <v>103</v>
      </c>
      <c r="C120" s="132"/>
      <c r="D120" s="132"/>
      <c r="E120" s="138"/>
      <c r="F120" s="132"/>
      <c r="G120" s="132"/>
      <c r="H120" s="132"/>
      <c r="I120" s="132"/>
      <c r="J120" s="132"/>
      <c r="K120" s="132"/>
      <c r="L120" s="132"/>
      <c r="M120" s="132"/>
      <c r="N120" s="138"/>
      <c r="O120" s="138"/>
      <c r="P120" s="138"/>
      <c r="Q120" s="138"/>
    </row>
    <row r="121" spans="1:17" s="52" customFormat="1" ht="50" thickBot="1" x14ac:dyDescent="0.4">
      <c r="A121" s="97" t="str">
        <f>_xlfn.XLOOKUP(B121,'Paso 3 Redacción RA '!I$3:I$15,'Paso 3 Redacción RA '!C$3:C$15,,0,1)</f>
        <v>Saber</v>
      </c>
      <c r="B121" s="26" t="s">
        <v>104</v>
      </c>
      <c r="C121" s="133"/>
      <c r="D121" s="133"/>
      <c r="E121" s="144"/>
      <c r="F121" s="145"/>
      <c r="G121" s="145"/>
      <c r="H121" s="145"/>
      <c r="I121" s="145"/>
      <c r="J121" s="145"/>
      <c r="K121" s="145"/>
      <c r="L121" s="145"/>
      <c r="M121" s="145"/>
      <c r="N121" s="144"/>
      <c r="O121" s="139"/>
      <c r="P121" s="139"/>
      <c r="Q121" s="139"/>
    </row>
    <row r="122" spans="1:17" s="52" customFormat="1" ht="66" x14ac:dyDescent="0.35">
      <c r="A122" s="23" t="str">
        <f>_xlfn.XLOOKUP(B122,'Paso 3 Redacción RA '!I$3:I$15,'Paso 3 Redacción RA '!C$3:C$15,,0,1)</f>
        <v>Saber</v>
      </c>
      <c r="B122" s="16" t="s">
        <v>91</v>
      </c>
      <c r="C122" s="131">
        <v>7</v>
      </c>
      <c r="D122" s="131" t="s">
        <v>309</v>
      </c>
      <c r="E122" s="146" t="s">
        <v>310</v>
      </c>
      <c r="F122" s="131" t="s">
        <v>185</v>
      </c>
      <c r="G122" s="131"/>
      <c r="H122" s="131" t="s">
        <v>186</v>
      </c>
      <c r="I122" s="131"/>
      <c r="J122" s="131">
        <v>3</v>
      </c>
      <c r="K122" s="131">
        <f>J122*12</f>
        <v>36</v>
      </c>
      <c r="L122" s="131">
        <f>36*J122</f>
        <v>108</v>
      </c>
      <c r="M122" s="131">
        <f>SUM(K122:L122)</f>
        <v>144</v>
      </c>
      <c r="N122" s="137" t="s">
        <v>311</v>
      </c>
      <c r="O122" s="137" t="s">
        <v>195</v>
      </c>
      <c r="P122" s="137" t="s">
        <v>312</v>
      </c>
      <c r="Q122" s="137" t="s">
        <v>190</v>
      </c>
    </row>
    <row r="123" spans="1:17" s="52" customFormat="1" ht="66" x14ac:dyDescent="0.35">
      <c r="A123" s="23" t="str">
        <f>_xlfn.XLOOKUP(B123,'Paso 3 Redacción RA '!I$3:I$15,'Paso 3 Redacción RA '!C$3:C$15,,0,1)</f>
        <v>Saberhacer</v>
      </c>
      <c r="B123" s="16" t="s">
        <v>95</v>
      </c>
      <c r="C123" s="132"/>
      <c r="D123" s="132"/>
      <c r="E123" s="138"/>
      <c r="F123" s="132"/>
      <c r="G123" s="132"/>
      <c r="H123" s="132"/>
      <c r="I123" s="132"/>
      <c r="J123" s="132"/>
      <c r="K123" s="132"/>
      <c r="L123" s="132"/>
      <c r="M123" s="132"/>
      <c r="N123" s="138"/>
      <c r="O123" s="138"/>
      <c r="P123" s="138"/>
      <c r="Q123" s="138"/>
    </row>
    <row r="124" spans="1:17" s="52" customFormat="1" ht="66" x14ac:dyDescent="0.35">
      <c r="A124" s="23" t="str">
        <f>_xlfn.XLOOKUP(B124,'Paso 3 Redacción RA '!I$3:I$15,'Paso 3 Redacción RA '!C$3:C$15,,0,1)</f>
        <v>Saberser</v>
      </c>
      <c r="B124" s="16" t="s">
        <v>100</v>
      </c>
      <c r="C124" s="132"/>
      <c r="D124" s="132"/>
      <c r="E124" s="138"/>
      <c r="F124" s="132"/>
      <c r="G124" s="132"/>
      <c r="H124" s="132"/>
      <c r="I124" s="132"/>
      <c r="J124" s="132"/>
      <c r="K124" s="132"/>
      <c r="L124" s="132"/>
      <c r="M124" s="132"/>
      <c r="N124" s="138"/>
      <c r="O124" s="138"/>
      <c r="P124" s="138"/>
      <c r="Q124" s="138"/>
    </row>
    <row r="125" spans="1:17" s="52" customFormat="1" ht="66" x14ac:dyDescent="0.35">
      <c r="A125" s="23" t="str">
        <f>_xlfn.XLOOKUP(B125,'Paso 3 Redacción RA '!I$3:I$15,'Paso 3 Redacción RA '!C$3:C$15,,0,1)</f>
        <v>Saberhacer</v>
      </c>
      <c r="B125" s="16" t="s">
        <v>103</v>
      </c>
      <c r="C125" s="132"/>
      <c r="D125" s="132"/>
      <c r="E125" s="138"/>
      <c r="F125" s="132"/>
      <c r="G125" s="132"/>
      <c r="H125" s="132"/>
      <c r="I125" s="132"/>
      <c r="J125" s="132"/>
      <c r="K125" s="132"/>
      <c r="L125" s="132"/>
      <c r="M125" s="132"/>
      <c r="N125" s="138"/>
      <c r="O125" s="138"/>
      <c r="P125" s="138"/>
      <c r="Q125" s="138"/>
    </row>
    <row r="126" spans="1:17" s="52" customFormat="1" ht="50" thickBot="1" x14ac:dyDescent="0.4">
      <c r="A126" s="97" t="str">
        <f>_xlfn.XLOOKUP(B126,'Paso 3 Redacción RA '!I$3:I$15,'Paso 3 Redacción RA '!C$3:C$15,,0,1)</f>
        <v>Saber</v>
      </c>
      <c r="B126" s="26" t="s">
        <v>104</v>
      </c>
      <c r="C126" s="133"/>
      <c r="D126" s="133"/>
      <c r="E126" s="139"/>
      <c r="F126" s="133"/>
      <c r="G126" s="133"/>
      <c r="H126" s="133"/>
      <c r="I126" s="133"/>
      <c r="J126" s="133"/>
      <c r="K126" s="133"/>
      <c r="L126" s="133"/>
      <c r="M126" s="133"/>
      <c r="N126" s="139"/>
      <c r="O126" s="139"/>
      <c r="P126" s="139"/>
      <c r="Q126" s="139"/>
    </row>
    <row r="127" spans="1:17" s="52" customFormat="1" ht="66" x14ac:dyDescent="0.35">
      <c r="A127" s="23" t="str">
        <f>_xlfn.XLOOKUP(B127,'Paso 3 Redacción RA '!I$3:I$15,'Paso 3 Redacción RA '!C$3:C$15,,0,1)</f>
        <v>Saber</v>
      </c>
      <c r="B127" s="16" t="s">
        <v>91</v>
      </c>
      <c r="C127" s="131">
        <v>7</v>
      </c>
      <c r="D127" s="131" t="s">
        <v>313</v>
      </c>
      <c r="E127" s="142" t="s">
        <v>314</v>
      </c>
      <c r="F127" s="131" t="s">
        <v>185</v>
      </c>
      <c r="G127" s="131"/>
      <c r="H127" s="131" t="s">
        <v>186</v>
      </c>
      <c r="I127" s="131"/>
      <c r="J127" s="131">
        <v>4</v>
      </c>
      <c r="K127" s="131">
        <f>J127*12</f>
        <v>48</v>
      </c>
      <c r="L127" s="131">
        <f>36*J127</f>
        <v>144</v>
      </c>
      <c r="M127" s="131">
        <f>SUM(K127:L127)</f>
        <v>192</v>
      </c>
      <c r="N127" s="137" t="s">
        <v>315</v>
      </c>
      <c r="O127" s="137" t="s">
        <v>302</v>
      </c>
      <c r="P127" s="137" t="s">
        <v>274</v>
      </c>
      <c r="Q127" s="137" t="s">
        <v>190</v>
      </c>
    </row>
    <row r="128" spans="1:17" s="52" customFormat="1" ht="66" x14ac:dyDescent="0.35">
      <c r="A128" s="23" t="str">
        <f>_xlfn.XLOOKUP(B128,'Paso 3 Redacción RA '!I$3:I$15,'Paso 3 Redacción RA '!C$3:C$15,,0,1)</f>
        <v>Saberhacer</v>
      </c>
      <c r="B128" s="16" t="s">
        <v>95</v>
      </c>
      <c r="C128" s="132"/>
      <c r="D128" s="132"/>
      <c r="E128" s="128"/>
      <c r="F128" s="132"/>
      <c r="G128" s="132"/>
      <c r="H128" s="132"/>
      <c r="I128" s="132"/>
      <c r="J128" s="132"/>
      <c r="K128" s="132"/>
      <c r="L128" s="132"/>
      <c r="M128" s="132"/>
      <c r="N128" s="138"/>
      <c r="O128" s="138"/>
      <c r="P128" s="138"/>
      <c r="Q128" s="138"/>
    </row>
    <row r="129" spans="1:17" s="52" customFormat="1" ht="66" x14ac:dyDescent="0.35">
      <c r="A129" s="23" t="str">
        <f>_xlfn.XLOOKUP(B129,'Paso 3 Redacción RA '!I$3:I$15,'Paso 3 Redacción RA '!C$3:C$15,,0,1)</f>
        <v>Saberser</v>
      </c>
      <c r="B129" s="16" t="s">
        <v>100</v>
      </c>
      <c r="C129" s="132"/>
      <c r="D129" s="132"/>
      <c r="E129" s="128"/>
      <c r="F129" s="132"/>
      <c r="G129" s="132"/>
      <c r="H129" s="132"/>
      <c r="I129" s="132"/>
      <c r="J129" s="132"/>
      <c r="K129" s="132"/>
      <c r="L129" s="132"/>
      <c r="M129" s="132"/>
      <c r="N129" s="138"/>
      <c r="O129" s="138"/>
      <c r="P129" s="138"/>
      <c r="Q129" s="138"/>
    </row>
    <row r="130" spans="1:17" s="52" customFormat="1" ht="66" x14ac:dyDescent="0.35">
      <c r="A130" s="23" t="str">
        <f>_xlfn.XLOOKUP(B130,'Paso 3 Redacción RA '!I$3:I$15,'Paso 3 Redacción RA '!C$3:C$15,,0,1)</f>
        <v>Saberhacer</v>
      </c>
      <c r="B130" s="16" t="s">
        <v>103</v>
      </c>
      <c r="C130" s="132"/>
      <c r="D130" s="132"/>
      <c r="E130" s="128"/>
      <c r="F130" s="132"/>
      <c r="G130" s="132"/>
      <c r="H130" s="132"/>
      <c r="I130" s="132"/>
      <c r="J130" s="132"/>
      <c r="K130" s="132"/>
      <c r="L130" s="132"/>
      <c r="M130" s="132"/>
      <c r="N130" s="138"/>
      <c r="O130" s="138"/>
      <c r="P130" s="138"/>
      <c r="Q130" s="138"/>
    </row>
    <row r="131" spans="1:17" s="52" customFormat="1" ht="50" thickBot="1" x14ac:dyDescent="0.4">
      <c r="A131" s="97" t="str">
        <f>_xlfn.XLOOKUP(B131,'Paso 3 Redacción RA '!I$3:I$15,'Paso 3 Redacción RA '!C$3:C$15,,0,1)</f>
        <v>Saber</v>
      </c>
      <c r="B131" s="26" t="s">
        <v>104</v>
      </c>
      <c r="C131" s="133"/>
      <c r="D131" s="133"/>
      <c r="E131" s="129"/>
      <c r="F131" s="133"/>
      <c r="G131" s="133"/>
      <c r="H131" s="133"/>
      <c r="I131" s="133"/>
      <c r="J131" s="133"/>
      <c r="K131" s="133"/>
      <c r="L131" s="133"/>
      <c r="M131" s="133"/>
      <c r="N131" s="139"/>
      <c r="O131" s="139"/>
      <c r="P131" s="139"/>
      <c r="Q131" s="139"/>
    </row>
    <row r="132" spans="1:17" s="52" customFormat="1" ht="66" x14ac:dyDescent="0.35">
      <c r="A132" s="23" t="str">
        <f>_xlfn.XLOOKUP(B132,'Paso 3 Redacción RA '!I$3:I$15,'Paso 3 Redacción RA '!C$3:C$15,,0,1)</f>
        <v>Saber</v>
      </c>
      <c r="B132" s="16" t="s">
        <v>91</v>
      </c>
      <c r="C132" s="131">
        <v>7</v>
      </c>
      <c r="D132" s="131" t="s">
        <v>316</v>
      </c>
      <c r="E132" s="137" t="s">
        <v>317</v>
      </c>
      <c r="F132" s="131" t="s">
        <v>185</v>
      </c>
      <c r="G132" s="131"/>
      <c r="H132" s="131" t="s">
        <v>186</v>
      </c>
      <c r="I132" s="131"/>
      <c r="J132" s="131">
        <v>3</v>
      </c>
      <c r="K132" s="131">
        <f>J132*12</f>
        <v>36</v>
      </c>
      <c r="L132" s="131">
        <f>36*J132</f>
        <v>108</v>
      </c>
      <c r="M132" s="131">
        <f>SUM(K132:L132)</f>
        <v>144</v>
      </c>
      <c r="N132" s="137" t="s">
        <v>318</v>
      </c>
      <c r="O132" s="137" t="s">
        <v>302</v>
      </c>
      <c r="P132" s="137" t="s">
        <v>319</v>
      </c>
      <c r="Q132" s="137" t="s">
        <v>190</v>
      </c>
    </row>
    <row r="133" spans="1:17" s="52" customFormat="1" ht="66" x14ac:dyDescent="0.35">
      <c r="A133" s="23" t="str">
        <f>_xlfn.XLOOKUP(B133,'Paso 3 Redacción RA '!I$3:I$15,'Paso 3 Redacción RA '!C$3:C$15,,0,1)</f>
        <v>Saberhacer</v>
      </c>
      <c r="B133" s="16" t="s">
        <v>95</v>
      </c>
      <c r="C133" s="132"/>
      <c r="D133" s="132"/>
      <c r="E133" s="138"/>
      <c r="F133" s="132"/>
      <c r="G133" s="132"/>
      <c r="H133" s="132"/>
      <c r="I133" s="132"/>
      <c r="J133" s="132"/>
      <c r="K133" s="132"/>
      <c r="L133" s="132"/>
      <c r="M133" s="132"/>
      <c r="N133" s="138"/>
      <c r="O133" s="138"/>
      <c r="P133" s="138"/>
      <c r="Q133" s="138"/>
    </row>
    <row r="134" spans="1:17" s="52" customFormat="1" ht="66" x14ac:dyDescent="0.35">
      <c r="A134" s="23" t="str">
        <f>_xlfn.XLOOKUP(B134,'Paso 3 Redacción RA '!I$3:I$15,'Paso 3 Redacción RA '!C$3:C$15,,0,1)</f>
        <v>Saberser</v>
      </c>
      <c r="B134" s="16" t="s">
        <v>100</v>
      </c>
      <c r="C134" s="132"/>
      <c r="D134" s="132"/>
      <c r="E134" s="138"/>
      <c r="F134" s="132"/>
      <c r="G134" s="132"/>
      <c r="H134" s="132"/>
      <c r="I134" s="132"/>
      <c r="J134" s="132"/>
      <c r="K134" s="132"/>
      <c r="L134" s="132"/>
      <c r="M134" s="132"/>
      <c r="N134" s="138"/>
      <c r="O134" s="138"/>
      <c r="P134" s="138"/>
      <c r="Q134" s="138"/>
    </row>
    <row r="135" spans="1:17" s="52" customFormat="1" ht="50" thickBot="1" x14ac:dyDescent="0.4">
      <c r="A135" s="97" t="str">
        <f>_xlfn.XLOOKUP(B135,'Paso 3 Redacción RA '!I$3:I$15,'Paso 3 Redacción RA '!C$3:C$15,,0,1)</f>
        <v>Saber</v>
      </c>
      <c r="B135" s="98" t="s">
        <v>104</v>
      </c>
      <c r="C135" s="133"/>
      <c r="D135" s="133"/>
      <c r="E135" s="139"/>
      <c r="F135" s="133"/>
      <c r="G135" s="133"/>
      <c r="H135" s="133"/>
      <c r="I135" s="133"/>
      <c r="J135" s="133"/>
      <c r="K135" s="133"/>
      <c r="L135" s="133"/>
      <c r="M135" s="133"/>
      <c r="N135" s="139"/>
      <c r="O135" s="139"/>
      <c r="P135" s="139"/>
      <c r="Q135" s="139"/>
    </row>
    <row r="136" spans="1:17" s="52" customFormat="1" ht="66" x14ac:dyDescent="0.35">
      <c r="A136" s="23" t="str">
        <f>_xlfn.XLOOKUP(B136,'Paso 3 Redacción RA '!I$3:I$15,'Paso 3 Redacción RA '!C$3:C$15,,0,1)</f>
        <v>Saber</v>
      </c>
      <c r="B136" s="16" t="s">
        <v>91</v>
      </c>
      <c r="C136" s="131">
        <v>7</v>
      </c>
      <c r="D136" s="131" t="s">
        <v>320</v>
      </c>
      <c r="E136" s="142" t="s">
        <v>321</v>
      </c>
      <c r="F136" s="131" t="s">
        <v>185</v>
      </c>
      <c r="G136" s="131"/>
      <c r="H136" s="131" t="s">
        <v>186</v>
      </c>
      <c r="I136" s="131"/>
      <c r="J136" s="131">
        <v>4</v>
      </c>
      <c r="K136" s="131">
        <f>J136*12</f>
        <v>48</v>
      </c>
      <c r="L136" s="131">
        <f>36*J136</f>
        <v>144</v>
      </c>
      <c r="M136" s="131">
        <f>SUM(K136:L136)</f>
        <v>192</v>
      </c>
      <c r="N136" s="137" t="s">
        <v>322</v>
      </c>
      <c r="O136" s="137" t="s">
        <v>195</v>
      </c>
      <c r="P136" s="137" t="s">
        <v>274</v>
      </c>
      <c r="Q136" s="137" t="s">
        <v>190</v>
      </c>
    </row>
    <row r="137" spans="1:17" s="52" customFormat="1" ht="66" x14ac:dyDescent="0.35">
      <c r="A137" s="23" t="str">
        <f>_xlfn.XLOOKUP(B137,'Paso 3 Redacción RA '!I$3:I$15,'Paso 3 Redacción RA '!C$3:C$15,,0,1)</f>
        <v>Saberhacer</v>
      </c>
      <c r="B137" s="16" t="s">
        <v>95</v>
      </c>
      <c r="C137" s="132"/>
      <c r="D137" s="132"/>
      <c r="E137" s="128"/>
      <c r="F137" s="132"/>
      <c r="G137" s="132"/>
      <c r="H137" s="132"/>
      <c r="I137" s="132"/>
      <c r="J137" s="132"/>
      <c r="K137" s="132"/>
      <c r="L137" s="132"/>
      <c r="M137" s="132"/>
      <c r="N137" s="138"/>
      <c r="O137" s="138"/>
      <c r="P137" s="138"/>
      <c r="Q137" s="138"/>
    </row>
    <row r="138" spans="1:17" s="52" customFormat="1" ht="66" x14ac:dyDescent="0.35">
      <c r="A138" s="23" t="str">
        <f>_xlfn.XLOOKUP(B138,'Paso 3 Redacción RA '!I$3:I$15,'Paso 3 Redacción RA '!C$3:C$15,,0,1)</f>
        <v>Saberser</v>
      </c>
      <c r="B138" s="16" t="s">
        <v>100</v>
      </c>
      <c r="C138" s="132"/>
      <c r="D138" s="132"/>
      <c r="E138" s="128"/>
      <c r="F138" s="132"/>
      <c r="G138" s="132"/>
      <c r="H138" s="132"/>
      <c r="I138" s="132"/>
      <c r="J138" s="132"/>
      <c r="K138" s="132"/>
      <c r="L138" s="132"/>
      <c r="M138" s="132"/>
      <c r="N138" s="138"/>
      <c r="O138" s="138"/>
      <c r="P138" s="138"/>
      <c r="Q138" s="138"/>
    </row>
    <row r="139" spans="1:17" s="52" customFormat="1" ht="66" x14ac:dyDescent="0.35">
      <c r="A139" s="23" t="str">
        <f>_xlfn.XLOOKUP(B139,'Paso 3 Redacción RA '!I$3:I$15,'Paso 3 Redacción RA '!C$3:C$15,,0,1)</f>
        <v>Saberhacer</v>
      </c>
      <c r="B139" s="16" t="s">
        <v>103</v>
      </c>
      <c r="C139" s="132"/>
      <c r="D139" s="132"/>
      <c r="E139" s="128"/>
      <c r="F139" s="132"/>
      <c r="G139" s="132"/>
      <c r="H139" s="132"/>
      <c r="I139" s="132"/>
      <c r="J139" s="132"/>
      <c r="K139" s="132"/>
      <c r="L139" s="132"/>
      <c r="M139" s="132"/>
      <c r="N139" s="138"/>
      <c r="O139" s="138"/>
      <c r="P139" s="138"/>
      <c r="Q139" s="138"/>
    </row>
    <row r="140" spans="1:17" s="52" customFormat="1" ht="50" thickBot="1" x14ac:dyDescent="0.4">
      <c r="A140" s="97" t="str">
        <f>_xlfn.XLOOKUP(B140,'Paso 3 Redacción RA '!I$3:I$15,'Paso 3 Redacción RA '!C$3:C$15,,0,1)</f>
        <v>Saber</v>
      </c>
      <c r="B140" s="26" t="s">
        <v>104</v>
      </c>
      <c r="C140" s="133"/>
      <c r="D140" s="145"/>
      <c r="E140" s="148"/>
      <c r="F140" s="133"/>
      <c r="G140" s="133"/>
      <c r="H140" s="133"/>
      <c r="I140" s="133"/>
      <c r="J140" s="133"/>
      <c r="K140" s="133"/>
      <c r="L140" s="133"/>
      <c r="M140" s="133"/>
      <c r="N140" s="139"/>
      <c r="O140" s="139"/>
      <c r="P140" s="139"/>
      <c r="Q140" s="139"/>
    </row>
    <row r="141" spans="1:17" s="52" customFormat="1" ht="66" x14ac:dyDescent="0.35">
      <c r="A141" s="23" t="str">
        <f>_xlfn.XLOOKUP(B141,'Paso 3 Redacción RA '!I$3:I$15,'Paso 3 Redacción RA '!C$3:C$15,,0,1)</f>
        <v>Saber</v>
      </c>
      <c r="B141" s="16" t="s">
        <v>91</v>
      </c>
      <c r="C141" s="131">
        <v>7</v>
      </c>
      <c r="D141" s="131" t="s">
        <v>323</v>
      </c>
      <c r="E141" s="146" t="s">
        <v>324</v>
      </c>
      <c r="F141" s="131" t="s">
        <v>185</v>
      </c>
      <c r="G141" s="131"/>
      <c r="H141" s="131" t="s">
        <v>186</v>
      </c>
      <c r="I141" s="131"/>
      <c r="J141" s="131">
        <v>4</v>
      </c>
      <c r="K141" s="131">
        <f>J141*12</f>
        <v>48</v>
      </c>
      <c r="L141" s="131">
        <f>36*J141</f>
        <v>144</v>
      </c>
      <c r="M141" s="131">
        <f>SUM(K141:L141)</f>
        <v>192</v>
      </c>
      <c r="N141" s="137" t="s">
        <v>325</v>
      </c>
      <c r="O141" s="137" t="s">
        <v>195</v>
      </c>
      <c r="P141" s="137" t="s">
        <v>274</v>
      </c>
      <c r="Q141" s="137" t="s">
        <v>190</v>
      </c>
    </row>
    <row r="142" spans="1:17" s="52" customFormat="1" ht="66" x14ac:dyDescent="0.35">
      <c r="A142" s="23" t="str">
        <f>_xlfn.XLOOKUP(B142,'Paso 3 Redacción RA '!I$3:I$15,'Paso 3 Redacción RA '!C$3:C$15,,0,1)</f>
        <v>Saberhacer</v>
      </c>
      <c r="B142" s="16" t="s">
        <v>95</v>
      </c>
      <c r="C142" s="132"/>
      <c r="D142" s="132"/>
      <c r="E142" s="138"/>
      <c r="F142" s="132"/>
      <c r="G142" s="132"/>
      <c r="H142" s="132"/>
      <c r="I142" s="132"/>
      <c r="J142" s="132"/>
      <c r="K142" s="132"/>
      <c r="L142" s="132"/>
      <c r="M142" s="132"/>
      <c r="N142" s="138"/>
      <c r="O142" s="138"/>
      <c r="P142" s="138"/>
      <c r="Q142" s="138"/>
    </row>
    <row r="143" spans="1:17" s="52" customFormat="1" ht="66" x14ac:dyDescent="0.35">
      <c r="A143" s="23" t="str">
        <f>_xlfn.XLOOKUP(B143,'Paso 3 Redacción RA '!I$3:I$15,'Paso 3 Redacción RA '!C$3:C$15,,0,1)</f>
        <v>Saberser</v>
      </c>
      <c r="B143" s="16" t="s">
        <v>100</v>
      </c>
      <c r="C143" s="132"/>
      <c r="D143" s="132"/>
      <c r="E143" s="138"/>
      <c r="F143" s="132"/>
      <c r="G143" s="132"/>
      <c r="H143" s="132"/>
      <c r="I143" s="132"/>
      <c r="J143" s="132"/>
      <c r="K143" s="132"/>
      <c r="L143" s="132"/>
      <c r="M143" s="132"/>
      <c r="N143" s="138"/>
      <c r="O143" s="138"/>
      <c r="P143" s="138"/>
      <c r="Q143" s="138"/>
    </row>
    <row r="144" spans="1:17" s="52" customFormat="1" ht="66" x14ac:dyDescent="0.35">
      <c r="A144" s="23" t="str">
        <f>_xlfn.XLOOKUP(B144,'Paso 3 Redacción RA '!I$3:I$15,'Paso 3 Redacción RA '!C$3:C$15,,0,1)</f>
        <v>Saberhacer</v>
      </c>
      <c r="B144" s="16" t="s">
        <v>103</v>
      </c>
      <c r="C144" s="132"/>
      <c r="D144" s="132"/>
      <c r="E144" s="138"/>
      <c r="F144" s="132"/>
      <c r="G144" s="132"/>
      <c r="H144" s="132"/>
      <c r="I144" s="132"/>
      <c r="J144" s="132"/>
      <c r="K144" s="132"/>
      <c r="L144" s="132"/>
      <c r="M144" s="132"/>
      <c r="N144" s="138"/>
      <c r="O144" s="138"/>
      <c r="P144" s="138"/>
      <c r="Q144" s="138"/>
    </row>
    <row r="145" spans="1:17" s="52" customFormat="1" ht="50" thickBot="1" x14ac:dyDescent="0.4">
      <c r="A145" s="97" t="str">
        <f>_xlfn.XLOOKUP(B145,'Paso 3 Redacción RA '!I$3:I$15,'Paso 3 Redacción RA '!C$3:C$15,,0,1)</f>
        <v>Saber</v>
      </c>
      <c r="B145" s="26" t="s">
        <v>104</v>
      </c>
      <c r="C145" s="133"/>
      <c r="D145" s="133"/>
      <c r="E145" s="139"/>
      <c r="F145" s="133"/>
      <c r="G145" s="133"/>
      <c r="H145" s="133"/>
      <c r="I145" s="133"/>
      <c r="J145" s="133"/>
      <c r="K145" s="133"/>
      <c r="L145" s="133"/>
      <c r="M145" s="133"/>
      <c r="N145" s="139"/>
      <c r="O145" s="139"/>
      <c r="P145" s="139"/>
      <c r="Q145" s="139"/>
    </row>
    <row r="146" spans="1:17" s="52" customFormat="1" ht="66" x14ac:dyDescent="0.35">
      <c r="A146" s="23" t="str">
        <f>_xlfn.XLOOKUP(B146,'Paso 3 Redacción RA '!I$3:I$15,'Paso 3 Redacción RA '!C$3:C$15,,0,1)</f>
        <v>Saber</v>
      </c>
      <c r="B146" s="16" t="s">
        <v>91</v>
      </c>
      <c r="C146" s="131">
        <v>8</v>
      </c>
      <c r="D146" s="132" t="s">
        <v>326</v>
      </c>
      <c r="E146" s="128" t="s">
        <v>327</v>
      </c>
      <c r="F146" s="131" t="s">
        <v>328</v>
      </c>
      <c r="G146" s="131"/>
      <c r="H146" s="131" t="s">
        <v>186</v>
      </c>
      <c r="I146" s="131"/>
      <c r="J146" s="131">
        <v>4</v>
      </c>
      <c r="K146" s="131">
        <f>J146*12</f>
        <v>48</v>
      </c>
      <c r="L146" s="131">
        <f>36*J146</f>
        <v>144</v>
      </c>
      <c r="M146" s="131">
        <f>SUM(K146:L146)</f>
        <v>192</v>
      </c>
      <c r="N146" s="137" t="s">
        <v>329</v>
      </c>
      <c r="O146" s="137" t="s">
        <v>195</v>
      </c>
      <c r="P146" s="137" t="s">
        <v>330</v>
      </c>
      <c r="Q146" s="137" t="s">
        <v>190</v>
      </c>
    </row>
    <row r="147" spans="1:17" s="52" customFormat="1" ht="66" x14ac:dyDescent="0.35">
      <c r="A147" s="23" t="str">
        <f>_xlfn.XLOOKUP(B147,'Paso 3 Redacción RA '!I$3:I$15,'Paso 3 Redacción RA '!C$3:C$15,,0,1)</f>
        <v>Saberhacer</v>
      </c>
      <c r="B147" s="16" t="s">
        <v>95</v>
      </c>
      <c r="C147" s="132"/>
      <c r="D147" s="132"/>
      <c r="E147" s="128"/>
      <c r="F147" s="132"/>
      <c r="G147" s="132"/>
      <c r="H147" s="132"/>
      <c r="I147" s="132"/>
      <c r="J147" s="132"/>
      <c r="K147" s="132"/>
      <c r="L147" s="132"/>
      <c r="M147" s="132"/>
      <c r="N147" s="138"/>
      <c r="O147" s="138"/>
      <c r="P147" s="138"/>
      <c r="Q147" s="138"/>
    </row>
    <row r="148" spans="1:17" s="52" customFormat="1" ht="66" x14ac:dyDescent="0.35">
      <c r="A148" s="23" t="str">
        <f>_xlfn.XLOOKUP(B148,'Paso 3 Redacción RA '!I$3:I$15,'Paso 3 Redacción RA '!C$3:C$15,,0,1)</f>
        <v>Saberser</v>
      </c>
      <c r="B148" s="16" t="s">
        <v>100</v>
      </c>
      <c r="C148" s="132"/>
      <c r="D148" s="132"/>
      <c r="E148" s="128"/>
      <c r="F148" s="132"/>
      <c r="G148" s="132"/>
      <c r="H148" s="132"/>
      <c r="I148" s="132"/>
      <c r="J148" s="132"/>
      <c r="K148" s="132"/>
      <c r="L148" s="132"/>
      <c r="M148" s="132"/>
      <c r="N148" s="138"/>
      <c r="O148" s="138"/>
      <c r="P148" s="138"/>
      <c r="Q148" s="138"/>
    </row>
    <row r="149" spans="1:17" s="52" customFormat="1" ht="66" x14ac:dyDescent="0.35">
      <c r="A149" s="23" t="str">
        <f>_xlfn.XLOOKUP(B149,'Paso 3 Redacción RA '!I$3:I$15,'Paso 3 Redacción RA '!C$3:C$15,,0,1)</f>
        <v>Saberhacer</v>
      </c>
      <c r="B149" s="16" t="s">
        <v>103</v>
      </c>
      <c r="C149" s="132"/>
      <c r="D149" s="132"/>
      <c r="E149" s="128"/>
      <c r="F149" s="132"/>
      <c r="G149" s="132"/>
      <c r="H149" s="132"/>
      <c r="I149" s="132"/>
      <c r="J149" s="132"/>
      <c r="K149" s="132"/>
      <c r="L149" s="132"/>
      <c r="M149" s="132"/>
      <c r="N149" s="138"/>
      <c r="O149" s="138"/>
      <c r="P149" s="138"/>
      <c r="Q149" s="138"/>
    </row>
    <row r="150" spans="1:17" s="52" customFormat="1" ht="50" thickBot="1" x14ac:dyDescent="0.4">
      <c r="A150" s="97" t="str">
        <f>_xlfn.XLOOKUP(B150,'Paso 3 Redacción RA '!I$3:I$15,'Paso 3 Redacción RA '!C$3:C$15,,0,1)</f>
        <v>Saber</v>
      </c>
      <c r="B150" s="16" t="s">
        <v>104</v>
      </c>
      <c r="C150" s="133"/>
      <c r="D150" s="133"/>
      <c r="E150" s="129"/>
      <c r="F150" s="133"/>
      <c r="G150" s="133"/>
      <c r="H150" s="133"/>
      <c r="I150" s="133"/>
      <c r="J150" s="133"/>
      <c r="K150" s="133"/>
      <c r="L150" s="133"/>
      <c r="M150" s="133"/>
      <c r="N150" s="139"/>
      <c r="O150" s="139"/>
      <c r="P150" s="139"/>
      <c r="Q150" s="139"/>
    </row>
    <row r="151" spans="1:17" s="52" customFormat="1" ht="16.5" x14ac:dyDescent="0.35">
      <c r="A151" s="118"/>
      <c r="B151" s="83"/>
      <c r="C151" s="84">
        <v>8</v>
      </c>
      <c r="D151" s="85" t="s">
        <v>331</v>
      </c>
      <c r="E151" s="86"/>
      <c r="F151" s="85"/>
      <c r="G151" s="87"/>
      <c r="H151" s="87"/>
      <c r="I151" s="87" t="s">
        <v>186</v>
      </c>
      <c r="J151" s="87">
        <v>3</v>
      </c>
      <c r="K151" s="87">
        <f>J151*12</f>
        <v>36</v>
      </c>
      <c r="L151" s="87">
        <f>36*J151</f>
        <v>108</v>
      </c>
      <c r="M151" s="87">
        <f>SUM(K151:L151)</f>
        <v>144</v>
      </c>
      <c r="N151" s="88"/>
      <c r="O151" s="88"/>
      <c r="P151" s="88"/>
      <c r="Q151" s="89"/>
    </row>
    <row r="152" spans="1:17" s="52" customFormat="1" ht="16.5" x14ac:dyDescent="0.35">
      <c r="A152" s="118"/>
      <c r="B152" s="83"/>
      <c r="C152" s="84">
        <v>8</v>
      </c>
      <c r="D152" s="85" t="s">
        <v>332</v>
      </c>
      <c r="E152" s="83"/>
      <c r="F152" s="85"/>
      <c r="G152" s="85"/>
      <c r="H152" s="85"/>
      <c r="I152" s="85" t="s">
        <v>186</v>
      </c>
      <c r="J152" s="85">
        <v>3</v>
      </c>
      <c r="K152" s="87">
        <f>J152*12</f>
        <v>36</v>
      </c>
      <c r="L152" s="87">
        <f>36*J152</f>
        <v>108</v>
      </c>
      <c r="M152" s="87">
        <f>SUM(K152:L152)</f>
        <v>144</v>
      </c>
      <c r="N152" s="83"/>
      <c r="O152" s="83"/>
      <c r="P152" s="83"/>
      <c r="Q152" s="89"/>
    </row>
    <row r="153" spans="1:17" s="52" customFormat="1" ht="16.5" x14ac:dyDescent="0.35">
      <c r="A153" s="118"/>
      <c r="B153" s="90"/>
      <c r="C153" s="91">
        <v>8</v>
      </c>
      <c r="D153" s="92" t="s">
        <v>333</v>
      </c>
      <c r="E153" s="90"/>
      <c r="F153" s="92"/>
      <c r="G153" s="92"/>
      <c r="H153" s="92"/>
      <c r="I153" s="92" t="s">
        <v>186</v>
      </c>
      <c r="J153" s="92">
        <v>3</v>
      </c>
      <c r="K153" s="93">
        <f>J153*12</f>
        <v>36</v>
      </c>
      <c r="L153" s="93">
        <f>36*J153</f>
        <v>108</v>
      </c>
      <c r="M153" s="93">
        <f>SUM(K153:L153)</f>
        <v>144</v>
      </c>
      <c r="N153" s="90"/>
      <c r="O153" s="90"/>
      <c r="P153" s="90"/>
      <c r="Q153" s="94"/>
    </row>
    <row r="154" spans="1:17" s="52" customFormat="1" ht="16.5" x14ac:dyDescent="0.35">
      <c r="A154" s="118"/>
      <c r="B154" s="83"/>
      <c r="C154" s="84">
        <v>8</v>
      </c>
      <c r="D154" s="85" t="s">
        <v>334</v>
      </c>
      <c r="E154" s="83"/>
      <c r="F154" s="85"/>
      <c r="G154" s="85"/>
      <c r="H154" s="85"/>
      <c r="I154" s="85" t="s">
        <v>186</v>
      </c>
      <c r="J154" s="85">
        <v>3</v>
      </c>
      <c r="K154" s="87">
        <f>J154*12</f>
        <v>36</v>
      </c>
      <c r="L154" s="87">
        <f>36*J154</f>
        <v>108</v>
      </c>
      <c r="M154" s="87">
        <f>SUM(K154:L154)</f>
        <v>144</v>
      </c>
      <c r="N154" s="83"/>
      <c r="O154" s="83"/>
      <c r="P154" s="83"/>
      <c r="Q154" s="83"/>
    </row>
    <row r="155" spans="1:17" s="52" customFormat="1" ht="52" x14ac:dyDescent="0.35">
      <c r="A155" s="23"/>
      <c r="B155" s="16"/>
      <c r="C155" s="101" t="s">
        <v>335</v>
      </c>
      <c r="D155" s="53">
        <f>COUNTA(D3:D154)</f>
        <v>42</v>
      </c>
      <c r="E155" s="16"/>
      <c r="F155" s="18"/>
      <c r="G155" s="18"/>
      <c r="H155" s="18"/>
      <c r="I155" s="102" t="s">
        <v>336</v>
      </c>
      <c r="J155" s="57">
        <f>SUM(J3:J154)</f>
        <v>135</v>
      </c>
      <c r="K155" s="103" t="str">
        <f>IF(AND(J155&gt;=135,J155&lt;=160),"Correcto: Cumple la Política de Gestión, Evaluación e Innovación Curricular","Error: Revisar Política de Gestión, Evaluación e Innovación Curricular")</f>
        <v>Correcto: Cumple la Política de Gestión, Evaluación e Innovación Curricular</v>
      </c>
      <c r="L155" s="31" t="str" cm="1">
        <f t="array" ref="L155">IF(OR(ISNUMBER(FIND("técnico",'[2]Paso1 Analisis perfil egreso'!A180:A186)),ISNUMBER(FIND("Técnico",'[2]Paso1 Analisis perfil egreso'!A180:A186)),ISNUMBER(FIND("Tecnico",'[2]Paso1 Analisis perfil egreso'!A180:A186)),ISNUMBER(FIND("TÉCNICO",'[2]Paso1 Analisis perfil egreso'!A180:A186)),ISNUMBER(FIND("TECNICO",'[2]Paso1 Analisis perfil egreso'!A180:A186)),ISNUMBER(FIND("técnica",'[2]Paso1 Analisis perfil egreso'!A180:A186)),ISNUMBER(FIND("Técnica",'[2]Paso1 Analisis perfil egreso'!A180:A186)),ISNUMBER(FIND("Tecnica",'[2]Paso1 Analisis perfil egreso'!A180:A186)),ISNUMBER(FIND("TÉCNICA",'[2]Paso1 Analisis perfil egreso'!A180:A186)),ISNUMBER(FIND("TECNICA",'[2]Paso1 Analisis perfil egreso'!A180:A186))),
IF(AND(J156&gt;=15,J156&lt;=18,J157&gt;=45,J157&lt;=55),"Correcto: Cumple la Política de Gestión, Evaluación e Innovación Curricular","Error: Revisar Política de Gestión, Evaluación e Innovación Curricular"),
IF(OR(ISNUMBER(FIND("tecnología",'[2]Paso1 Analisis perfil egreso'!A180:A186)),ISNUMBER(FIND("tecnologia",'[2]Paso1 Analisis perfil egreso'!A180:A186)),ISNUMBER(FIND("Tecnología",'[2]Paso1 Analisis perfil egreso'!A180:A186)),ISNUMBER(FIND("Tecnologia",'[2]Paso1 Analisis perfil egreso'!A180:A186)),ISNUMBER(FIND("TECNOLOGÍA",'[2]Paso1 Analisis perfil egreso'!A180:A186)),ISNUMBER(FIND("TECNOLOGIA",'[2]Paso1 Analisis perfil egreso'!A180:A186))),
IF(AND(J156=18,J157&gt;=62,J157&lt;=82),"Correcto: Cumple la Política de Gestión, Evaluación e Innovación Curricular","Error: Revisar Política de Gestión, Evaluación e Innovación Curricular"),
IF(OR(ISNUMBER(FIND("especialización",'[2]Paso1 Analisis perfil egreso'!A180:A186)),ISNUMBER(FIND("especializacion",'[2]Paso1 Analisis perfil egreso'!A180:A186)),ISNUMBER(FIND("Especialización",'[2]Paso1 Analisis perfil egreso'!A180:A186)),ISNUMBER(FIND("Especializacion",'[2]Paso1 Analisis perfil egreso'!A180:A186)),ISNUMBER(FIND("ESPECIALIZACIÓN",'[2]Paso1 Analisis perfil egreso'!A180:A186)),ISNUMBER(FIND("ESPECIALIZACION",'[2]Paso1 Analisis perfil egreso'!A180:A186))),
IF(AND(J156&gt;=9,J156&lt;=12,J157&gt;=12,J157&lt;=13),"Correcto: Cumple la Política de Gestión, Evaluación e Innovación Curricular","Error: Revisar Política de Gestión, Evaluación e Innovación Curricular"),
IF(OR(ISNUMBER(FIND("maestría",'[2]Paso1 Analisis perfil egreso'!A180:A186)),ISNUMBER(FIND("maestria",'[2]Paso1 Analisis perfil egreso'!A180:A186)),ISNUMBER(FIND("Maestría",'[2]Paso1 Analisis perfil egreso'!A180:A186)),ISNUMBER(FIND("Maestria",'[2]Paso1 Analisis perfil egreso'!A180:A186)),ISNUMBER(FIND("MAESTRÍA",'[2]Paso1 Analisis perfil egreso'!A180:A186)),ISNUMBER(FIND("MAESTRIA",'[2]Paso1 Analisis perfil egreso'!A180:A186))),
IF(AND(J156&gt;=12,J156&lt;=15,J157&lt;=27,J157=33),"Correcto: Cumple la Política de Gestión, Evaluación e Innovación Curricular","Error: Revisar Política de Gestión, Evaluación e Innovación Curricular"),
IF(AND(J156=18,J157&gt;=99,J157&lt;=130,J158&gt;=12,J158&lt;=18),"Correcto: Cumple la Política de Gestión, Evaluación e Innovación Curricular","Error: Revisar Política de Gestión, Evaluación e Innovación Curricular")
)
)
))</f>
        <v>Correcto: Cumple la Política de Gestión, Evaluación e Innovación Curricular</v>
      </c>
      <c r="M155" s="18"/>
      <c r="N155" s="16"/>
      <c r="O155" s="16"/>
      <c r="P155" s="16"/>
      <c r="Q155" s="16"/>
    </row>
    <row r="156" spans="1:17" s="52" customFormat="1" ht="52" x14ac:dyDescent="0.35">
      <c r="A156" s="23"/>
      <c r="B156" s="16"/>
      <c r="D156" s="18"/>
      <c r="E156" s="16"/>
      <c r="F156" s="18"/>
      <c r="G156" s="18"/>
      <c r="H156" s="18"/>
      <c r="I156" s="104" t="s">
        <v>337</v>
      </c>
      <c r="J156" s="57">
        <f>SUM(J13,J14,J34,J49,J54,J73)</f>
        <v>18</v>
      </c>
      <c r="K156" s="103" t="str">
        <f>IF(J156=18,"Correcto: Cumple la Política de Gestión, Evaluación e Innovación Curricular","Error: Revisar Política de Gestión, Evaluación e Innovación Curricular")</f>
        <v>Correcto: Cumple la Política de Gestión, Evaluación e Innovación Curricular</v>
      </c>
      <c r="L156" s="54"/>
      <c r="M156" s="18"/>
      <c r="N156" s="16"/>
      <c r="O156" s="16"/>
      <c r="P156" s="16"/>
      <c r="Q156" s="16"/>
    </row>
    <row r="157" spans="1:17" s="52" customFormat="1" ht="52" x14ac:dyDescent="0.35">
      <c r="A157" s="23"/>
      <c r="B157" s="16"/>
      <c r="D157" s="35"/>
      <c r="E157" s="70"/>
      <c r="F157" s="35"/>
      <c r="G157" s="71"/>
      <c r="H157" s="71"/>
      <c r="I157" s="104" t="s">
        <v>338</v>
      </c>
      <c r="J157" s="57">
        <f>SUM(J3:J12,J15:J33,J35:J48,J50,J55:J72,J74:J150)</f>
        <v>105</v>
      </c>
      <c r="K157" s="103" t="str">
        <f>IF(AND(J157&gt;=99,J157&lt;=130),"Correcto: Cumple la Política de Gestión, Evaluación e Innovación Curricular","Error: Revisar Política de Gestión, Evaluación e Innovación Curricular")</f>
        <v>Correcto: Cumple la Política de Gestión, Evaluación e Innovación Curricular</v>
      </c>
      <c r="L157" s="54"/>
      <c r="M157" s="71"/>
      <c r="N157" s="21"/>
      <c r="O157" s="72"/>
      <c r="P157" s="72"/>
      <c r="Q157" s="72"/>
    </row>
    <row r="158" spans="1:17" s="52" customFormat="1" ht="52" x14ac:dyDescent="0.35">
      <c r="A158" s="23"/>
      <c r="B158" s="16"/>
      <c r="D158" s="35"/>
      <c r="E158" s="70"/>
      <c r="F158" s="35"/>
      <c r="G158" s="71"/>
      <c r="H158" s="71"/>
      <c r="I158" s="104" t="s">
        <v>339</v>
      </c>
      <c r="J158" s="54">
        <f>SUM(J151:J152,J153:J154)</f>
        <v>12</v>
      </c>
      <c r="K158" s="105" t="str">
        <f>IF(AND(J158&gt;=12,J158&lt;=18),"Correcto: Cumple la Política de Gestión, Evaluación e Innovación Curricular","Error: Revisar Política de Gestión, Evaluación e Innovación Curricular")</f>
        <v>Correcto: Cumple la Política de Gestión, Evaluación e Innovación Curricular</v>
      </c>
      <c r="L158" s="54"/>
      <c r="M158" s="71"/>
      <c r="N158" s="21"/>
      <c r="O158" s="72"/>
      <c r="P158" s="72"/>
      <c r="Q158" s="72"/>
    </row>
    <row r="159" spans="1:17" s="52" customFormat="1" ht="16.5" x14ac:dyDescent="0.35">
      <c r="A159" s="23"/>
      <c r="B159" s="16"/>
      <c r="D159" s="35"/>
      <c r="E159" s="70"/>
      <c r="F159" s="35"/>
      <c r="G159" s="71"/>
      <c r="H159" s="71"/>
      <c r="I159" s="71"/>
      <c r="J159" s="71"/>
      <c r="K159" s="71"/>
      <c r="L159" s="71"/>
      <c r="M159" s="71"/>
      <c r="N159" s="21"/>
      <c r="O159" s="72"/>
      <c r="P159" s="72"/>
      <c r="Q159" s="72"/>
    </row>
    <row r="160" spans="1:17" s="52" customFormat="1" ht="16.5" x14ac:dyDescent="0.35">
      <c r="A160" s="23"/>
      <c r="B160" s="16"/>
      <c r="D160" s="18"/>
      <c r="E160" s="16"/>
      <c r="F160" s="18"/>
      <c r="G160" s="18"/>
      <c r="H160" s="18"/>
      <c r="I160" s="18"/>
      <c r="J160" s="18"/>
      <c r="K160" s="18"/>
      <c r="L160" s="18"/>
      <c r="M160" s="18"/>
      <c r="N160" s="16"/>
      <c r="O160" s="16"/>
      <c r="P160" s="16"/>
      <c r="Q160" s="16"/>
    </row>
    <row r="161" spans="1:17" s="52" customFormat="1" ht="16.5" x14ac:dyDescent="0.35">
      <c r="A161" s="23"/>
      <c r="B161" s="16"/>
      <c r="D161" s="18"/>
      <c r="E161" s="16"/>
      <c r="F161" s="18"/>
      <c r="G161" s="18"/>
      <c r="H161" s="18"/>
      <c r="I161" s="18"/>
      <c r="J161" s="18"/>
      <c r="K161" s="18"/>
      <c r="L161" s="18"/>
      <c r="M161" s="18"/>
      <c r="N161" s="16"/>
      <c r="O161" s="16"/>
      <c r="P161" s="16"/>
      <c r="Q161" s="16"/>
    </row>
    <row r="162" spans="1:17" s="52" customFormat="1" ht="16.5" x14ac:dyDescent="0.35">
      <c r="A162" s="23"/>
      <c r="B162" s="21"/>
      <c r="D162" s="18"/>
      <c r="E162" s="21"/>
      <c r="F162" s="18"/>
      <c r="G162" s="40"/>
      <c r="H162" s="40"/>
      <c r="I162" s="40"/>
      <c r="J162" s="40"/>
      <c r="K162" s="40"/>
      <c r="L162" s="40"/>
      <c r="M162" s="40"/>
      <c r="N162" s="21"/>
      <c r="O162" s="21"/>
      <c r="P162" s="21"/>
      <c r="Q162" s="21"/>
    </row>
    <row r="163" spans="1:17" s="52" customFormat="1" ht="16.5" x14ac:dyDescent="0.35">
      <c r="A163" s="23"/>
      <c r="B163" s="21"/>
      <c r="D163" s="18"/>
      <c r="E163" s="21"/>
      <c r="F163" s="18"/>
      <c r="G163" s="40"/>
      <c r="H163" s="40"/>
      <c r="I163" s="40"/>
      <c r="J163" s="40"/>
      <c r="K163" s="40"/>
      <c r="L163" s="40"/>
      <c r="M163" s="40"/>
      <c r="N163" s="21"/>
      <c r="O163" s="21"/>
      <c r="P163" s="21"/>
      <c r="Q163" s="21"/>
    </row>
    <row r="164" spans="1:17" s="52" customFormat="1" ht="16.5" x14ac:dyDescent="0.35">
      <c r="A164" s="23"/>
      <c r="B164" s="21"/>
      <c r="D164" s="18"/>
      <c r="E164" s="21"/>
      <c r="F164" s="18"/>
      <c r="G164" s="40"/>
      <c r="H164" s="40"/>
      <c r="I164" s="40"/>
      <c r="J164" s="40"/>
      <c r="K164" s="40"/>
      <c r="L164" s="40"/>
      <c r="M164" s="40"/>
      <c r="N164" s="21"/>
      <c r="O164" s="21"/>
      <c r="P164" s="21"/>
      <c r="Q164" s="21"/>
    </row>
    <row r="165" spans="1:17" s="52" customFormat="1" ht="16.5" x14ac:dyDescent="0.35">
      <c r="A165" s="23"/>
      <c r="B165" s="21"/>
      <c r="D165" s="18"/>
      <c r="E165" s="21"/>
      <c r="F165" s="18"/>
      <c r="G165" s="40"/>
      <c r="H165" s="40"/>
      <c r="I165" s="40"/>
      <c r="J165" s="40"/>
      <c r="K165" s="40"/>
      <c r="L165" s="40"/>
      <c r="M165" s="40"/>
      <c r="N165" s="21"/>
      <c r="O165" s="21"/>
      <c r="P165" s="21"/>
      <c r="Q165" s="21"/>
    </row>
    <row r="166" spans="1:17" s="52" customFormat="1" ht="16.5" x14ac:dyDescent="0.35">
      <c r="A166" s="23"/>
      <c r="B166" s="16"/>
      <c r="D166" s="35"/>
      <c r="E166" s="70"/>
      <c r="F166" s="35"/>
      <c r="G166" s="71"/>
      <c r="H166" s="71"/>
      <c r="I166" s="71"/>
      <c r="J166" s="71"/>
      <c r="K166" s="71"/>
      <c r="L166" s="71"/>
      <c r="M166" s="71"/>
      <c r="N166" s="72"/>
      <c r="O166" s="72"/>
      <c r="P166" s="72"/>
      <c r="Q166" s="72"/>
    </row>
    <row r="167" spans="1:17" s="52" customFormat="1" ht="16.5" x14ac:dyDescent="0.35">
      <c r="A167" s="23"/>
      <c r="B167" s="16"/>
      <c r="D167" s="35"/>
      <c r="E167" s="70"/>
      <c r="F167" s="35"/>
      <c r="G167" s="71"/>
      <c r="H167" s="71"/>
      <c r="I167" s="71"/>
      <c r="J167" s="71"/>
      <c r="K167" s="71"/>
      <c r="L167" s="71"/>
      <c r="M167" s="71"/>
      <c r="N167" s="72"/>
      <c r="O167" s="72"/>
      <c r="P167" s="72"/>
      <c r="Q167" s="72"/>
    </row>
    <row r="168" spans="1:17" s="52" customFormat="1" ht="16.5" x14ac:dyDescent="0.35">
      <c r="A168" s="23"/>
      <c r="B168" s="16"/>
      <c r="D168" s="35"/>
      <c r="E168" s="70"/>
      <c r="F168" s="35"/>
      <c r="G168" s="71"/>
      <c r="H168" s="71"/>
      <c r="I168" s="71"/>
      <c r="J168" s="71"/>
      <c r="K168" s="71"/>
      <c r="L168" s="71"/>
      <c r="M168" s="71"/>
      <c r="N168" s="72"/>
      <c r="O168" s="72"/>
      <c r="P168" s="72"/>
      <c r="Q168" s="72"/>
    </row>
    <row r="169" spans="1:17" s="52" customFormat="1" ht="16.5" x14ac:dyDescent="0.35">
      <c r="A169" s="23"/>
      <c r="B169" s="16"/>
      <c r="D169" s="35"/>
      <c r="E169" s="70"/>
      <c r="F169" s="35"/>
      <c r="G169" s="71"/>
      <c r="H169" s="71"/>
      <c r="I169" s="71"/>
      <c r="J169" s="71"/>
      <c r="K169" s="71"/>
      <c r="L169" s="71"/>
      <c r="M169" s="71"/>
      <c r="N169" s="72"/>
      <c r="O169" s="72"/>
      <c r="P169" s="72"/>
      <c r="Q169" s="72"/>
    </row>
    <row r="170" spans="1:17" s="52" customFormat="1" ht="16.5" x14ac:dyDescent="0.35">
      <c r="A170" s="23"/>
      <c r="B170" s="16"/>
      <c r="D170" s="18"/>
      <c r="E170" s="16"/>
      <c r="F170" s="18"/>
      <c r="L170" s="13"/>
      <c r="M170" s="13"/>
      <c r="N170" s="16"/>
      <c r="O170" s="16"/>
      <c r="P170" s="16"/>
      <c r="Q170" s="16"/>
    </row>
    <row r="171" spans="1:17" s="52" customFormat="1" ht="16.5" x14ac:dyDescent="0.35">
      <c r="A171" s="23"/>
      <c r="B171" s="16"/>
      <c r="D171" s="18"/>
      <c r="E171" s="16"/>
      <c r="F171" s="18"/>
      <c r="L171" s="13"/>
      <c r="M171" s="13"/>
      <c r="N171" s="16"/>
      <c r="O171" s="16"/>
      <c r="P171" s="16"/>
      <c r="Q171" s="16"/>
    </row>
    <row r="172" spans="1:17" s="52" customFormat="1" ht="16.5" x14ac:dyDescent="0.35">
      <c r="A172" s="23"/>
      <c r="B172" s="16"/>
      <c r="D172" s="18"/>
      <c r="E172" s="16"/>
      <c r="F172" s="18"/>
      <c r="L172" s="13"/>
      <c r="M172" s="13"/>
      <c r="N172" s="16"/>
      <c r="O172" s="16"/>
      <c r="P172" s="16"/>
      <c r="Q172" s="16"/>
    </row>
    <row r="173" spans="1:17" s="52" customFormat="1" ht="16.5" x14ac:dyDescent="0.35">
      <c r="A173" s="23"/>
      <c r="B173" s="16"/>
      <c r="D173" s="18"/>
      <c r="E173" s="16"/>
      <c r="F173" s="18"/>
      <c r="L173" s="13"/>
      <c r="M173" s="13"/>
      <c r="N173" s="16"/>
      <c r="O173" s="16"/>
      <c r="P173" s="16"/>
      <c r="Q173" s="16"/>
    </row>
    <row r="174" spans="1:17" s="52" customFormat="1" ht="16.5" x14ac:dyDescent="0.35">
      <c r="A174" s="23"/>
      <c r="B174" s="16"/>
      <c r="D174" s="18"/>
      <c r="E174" s="73"/>
      <c r="F174" s="18"/>
      <c r="G174" s="71"/>
      <c r="H174" s="71"/>
      <c r="I174" s="71"/>
      <c r="J174" s="71"/>
      <c r="K174" s="71"/>
      <c r="L174" s="71"/>
      <c r="M174" s="71"/>
      <c r="N174" s="73"/>
      <c r="O174" s="73"/>
      <c r="P174" s="73"/>
      <c r="Q174" s="73"/>
    </row>
    <row r="175" spans="1:17" s="52" customFormat="1" ht="16.5" x14ac:dyDescent="0.35">
      <c r="A175" s="23"/>
      <c r="B175" s="16"/>
      <c r="D175" s="35"/>
      <c r="E175" s="70"/>
      <c r="F175" s="35"/>
      <c r="G175" s="71"/>
      <c r="H175" s="71"/>
      <c r="I175" s="71"/>
      <c r="J175" s="71"/>
      <c r="K175" s="71"/>
      <c r="L175" s="71"/>
      <c r="M175" s="71"/>
      <c r="N175" s="72"/>
      <c r="O175" s="72"/>
      <c r="P175" s="72"/>
      <c r="Q175" s="72"/>
    </row>
    <row r="176" spans="1:17" s="52" customFormat="1" ht="16.5" x14ac:dyDescent="0.35">
      <c r="A176" s="23"/>
      <c r="B176" s="16"/>
      <c r="D176" s="35"/>
      <c r="E176" s="70"/>
      <c r="F176" s="35"/>
      <c r="G176" s="71"/>
      <c r="H176" s="71"/>
      <c r="I176" s="71"/>
      <c r="J176" s="71"/>
      <c r="K176" s="71"/>
      <c r="L176" s="71"/>
      <c r="M176" s="71"/>
      <c r="N176" s="72"/>
      <c r="O176" s="72"/>
      <c r="P176" s="72"/>
      <c r="Q176" s="72"/>
    </row>
    <row r="177" spans="1:17" s="52" customFormat="1" ht="16.5" x14ac:dyDescent="0.35">
      <c r="A177" s="23"/>
      <c r="B177" s="16"/>
      <c r="D177" s="35"/>
      <c r="E177" s="70"/>
      <c r="F177" s="35"/>
      <c r="G177" s="71"/>
      <c r="H177" s="71"/>
      <c r="I177" s="71"/>
      <c r="J177" s="71"/>
      <c r="K177" s="71"/>
      <c r="L177" s="71"/>
      <c r="M177" s="71"/>
      <c r="N177" s="72"/>
      <c r="O177" s="72"/>
      <c r="P177" s="72"/>
      <c r="Q177" s="72"/>
    </row>
    <row r="178" spans="1:17" s="52" customFormat="1" ht="16.5" x14ac:dyDescent="0.35">
      <c r="A178" s="23"/>
      <c r="B178" s="16"/>
      <c r="D178" s="35"/>
      <c r="E178" s="70"/>
      <c r="F178" s="35"/>
      <c r="G178" s="71"/>
      <c r="H178" s="71"/>
      <c r="I178" s="71"/>
      <c r="J178" s="71"/>
      <c r="K178" s="71"/>
      <c r="L178" s="71"/>
      <c r="M178" s="71"/>
      <c r="N178" s="72"/>
      <c r="O178" s="72"/>
      <c r="P178" s="72"/>
      <c r="Q178" s="72"/>
    </row>
    <row r="179" spans="1:17" s="52" customFormat="1" ht="16.5" x14ac:dyDescent="0.35">
      <c r="A179" s="23"/>
      <c r="B179" s="16"/>
      <c r="D179" s="18"/>
      <c r="E179" s="70"/>
      <c r="F179" s="18"/>
      <c r="G179" s="71"/>
      <c r="H179" s="71"/>
      <c r="I179" s="71"/>
      <c r="J179" s="71"/>
      <c r="K179" s="71"/>
      <c r="L179" s="71"/>
      <c r="M179" s="71"/>
      <c r="N179" s="72"/>
      <c r="O179" s="72"/>
      <c r="P179" s="72"/>
      <c r="Q179" s="72"/>
    </row>
    <row r="180" spans="1:17" s="52" customFormat="1" ht="16.5" x14ac:dyDescent="0.35">
      <c r="A180" s="23"/>
      <c r="B180" s="16"/>
      <c r="D180" s="18"/>
      <c r="E180" s="70"/>
      <c r="F180" s="18"/>
      <c r="G180" s="71"/>
      <c r="H180" s="71"/>
      <c r="I180" s="71"/>
      <c r="J180" s="71"/>
      <c r="K180" s="71"/>
      <c r="L180" s="71"/>
      <c r="M180" s="71"/>
      <c r="N180" s="72"/>
      <c r="O180" s="72"/>
      <c r="P180" s="72"/>
      <c r="Q180" s="72"/>
    </row>
    <row r="181" spans="1:17" s="52" customFormat="1" ht="16.5" x14ac:dyDescent="0.35">
      <c r="A181" s="23"/>
      <c r="B181" s="16"/>
      <c r="D181" s="18"/>
      <c r="E181" s="70"/>
      <c r="F181" s="18"/>
      <c r="G181" s="71"/>
      <c r="H181" s="71"/>
      <c r="I181" s="71"/>
      <c r="J181" s="71"/>
      <c r="K181" s="71"/>
      <c r="L181" s="71"/>
      <c r="M181" s="71"/>
      <c r="N181" s="72"/>
      <c r="O181" s="72"/>
      <c r="P181" s="72"/>
      <c r="Q181" s="72"/>
    </row>
    <row r="182" spans="1:17" s="52" customFormat="1" ht="16.5" x14ac:dyDescent="0.35">
      <c r="A182" s="23"/>
      <c r="B182" s="16"/>
      <c r="D182" s="18"/>
      <c r="E182" s="70"/>
      <c r="F182" s="18"/>
      <c r="G182" s="71"/>
      <c r="H182" s="71"/>
      <c r="I182" s="71"/>
      <c r="J182" s="71"/>
      <c r="K182" s="71"/>
      <c r="L182" s="71"/>
      <c r="M182" s="71"/>
      <c r="N182" s="72"/>
      <c r="O182" s="72"/>
      <c r="P182" s="72"/>
      <c r="Q182" s="72"/>
    </row>
    <row r="183" spans="1:17" s="52" customFormat="1" ht="16.5" x14ac:dyDescent="0.35">
      <c r="A183" s="23"/>
      <c r="B183" s="16"/>
      <c r="D183" s="18"/>
      <c r="E183" s="16"/>
      <c r="F183" s="18"/>
      <c r="L183" s="13"/>
      <c r="M183" s="13"/>
      <c r="N183" s="16"/>
      <c r="O183" s="16"/>
      <c r="P183" s="16"/>
      <c r="Q183" s="16"/>
    </row>
    <row r="184" spans="1:17" x14ac:dyDescent="0.35">
      <c r="E184" s="59"/>
      <c r="F184" s="54"/>
      <c r="L184" s="60"/>
      <c r="M184" s="60"/>
      <c r="N184" s="59"/>
      <c r="O184" s="59"/>
      <c r="P184" s="59"/>
      <c r="Q184" s="59"/>
    </row>
    <row r="185" spans="1:17" x14ac:dyDescent="0.35">
      <c r="E185" s="59"/>
      <c r="F185" s="54"/>
      <c r="L185" s="60"/>
      <c r="M185" s="60"/>
      <c r="N185" s="59"/>
      <c r="O185" s="59"/>
      <c r="P185" s="59"/>
      <c r="Q185" s="59"/>
    </row>
    <row r="186" spans="1:17" x14ac:dyDescent="0.35">
      <c r="E186" s="59"/>
      <c r="F186" s="54"/>
      <c r="L186" s="60"/>
      <c r="M186" s="60"/>
      <c r="N186" s="59"/>
      <c r="O186" s="59"/>
      <c r="P186" s="59"/>
      <c r="Q186" s="59"/>
    </row>
    <row r="187" spans="1:17" x14ac:dyDescent="0.35">
      <c r="E187" s="63"/>
      <c r="F187" s="54"/>
      <c r="G187" s="56"/>
      <c r="H187" s="56"/>
      <c r="I187" s="56"/>
      <c r="J187" s="56"/>
      <c r="K187" s="56"/>
      <c r="L187" s="56"/>
      <c r="M187" s="56"/>
      <c r="N187" s="63"/>
      <c r="O187" s="63"/>
      <c r="P187" s="63"/>
      <c r="Q187" s="63"/>
    </row>
    <row r="188" spans="1:17" x14ac:dyDescent="0.35">
      <c r="E188" s="64"/>
      <c r="F188" s="54"/>
      <c r="G188" s="65"/>
      <c r="H188" s="65"/>
      <c r="I188" s="65"/>
      <c r="J188" s="62"/>
      <c r="K188" s="62"/>
      <c r="L188" s="62"/>
      <c r="M188" s="62"/>
      <c r="N188" s="64"/>
      <c r="O188" s="64"/>
      <c r="P188" s="64"/>
      <c r="Q188" s="64"/>
    </row>
    <row r="189" spans="1:17" x14ac:dyDescent="0.35">
      <c r="E189" s="55"/>
      <c r="F189" s="54"/>
      <c r="G189" s="56"/>
      <c r="H189" s="56"/>
      <c r="I189" s="56"/>
      <c r="J189" s="56"/>
      <c r="K189" s="56"/>
      <c r="L189" s="56"/>
      <c r="M189" s="56"/>
      <c r="N189" s="68"/>
      <c r="O189" s="68"/>
      <c r="P189" s="68"/>
      <c r="Q189" s="68"/>
    </row>
    <row r="190" spans="1:17" x14ac:dyDescent="0.35">
      <c r="E190" s="55"/>
      <c r="F190" s="54"/>
      <c r="G190" s="56"/>
      <c r="H190" s="56"/>
      <c r="I190" s="56"/>
      <c r="J190" s="56"/>
      <c r="K190" s="56"/>
      <c r="L190" s="56"/>
      <c r="M190" s="56"/>
      <c r="N190" s="68"/>
      <c r="O190" s="68"/>
      <c r="P190" s="68"/>
      <c r="Q190" s="68"/>
    </row>
    <row r="191" spans="1:17" x14ac:dyDescent="0.35">
      <c r="E191" s="55"/>
      <c r="F191" s="54"/>
      <c r="G191" s="56"/>
      <c r="H191" s="56"/>
      <c r="I191" s="56"/>
      <c r="J191" s="56"/>
      <c r="K191" s="56"/>
      <c r="L191" s="56"/>
      <c r="M191" s="56"/>
      <c r="N191" s="68"/>
      <c r="O191" s="68"/>
      <c r="P191" s="68"/>
      <c r="Q191" s="68"/>
    </row>
    <row r="192" spans="1:17" x14ac:dyDescent="0.35">
      <c r="E192" s="55"/>
      <c r="F192" s="54"/>
      <c r="G192" s="56"/>
      <c r="H192" s="56"/>
      <c r="I192" s="56"/>
      <c r="J192" s="56"/>
      <c r="K192" s="56"/>
      <c r="L192" s="56"/>
      <c r="M192" s="56"/>
      <c r="N192" s="68"/>
      <c r="O192" s="68"/>
      <c r="P192" s="68"/>
      <c r="Q192" s="68"/>
    </row>
    <row r="193" spans="5:17" x14ac:dyDescent="0.35">
      <c r="E193" s="59"/>
      <c r="F193" s="54"/>
      <c r="G193" s="60"/>
      <c r="H193" s="60"/>
      <c r="I193" s="60"/>
      <c r="J193" s="60"/>
      <c r="K193" s="60"/>
      <c r="L193" s="60"/>
      <c r="M193" s="60"/>
      <c r="N193" s="58"/>
      <c r="O193" s="59"/>
      <c r="P193" s="59"/>
      <c r="Q193" s="59"/>
    </row>
    <row r="194" spans="5:17" x14ac:dyDescent="0.35">
      <c r="E194" s="59"/>
      <c r="F194" s="54"/>
      <c r="G194" s="60"/>
      <c r="H194" s="60"/>
      <c r="I194" s="60"/>
      <c r="J194" s="60"/>
      <c r="K194" s="60"/>
      <c r="L194" s="60"/>
      <c r="M194" s="60"/>
      <c r="N194" s="58"/>
      <c r="O194" s="59"/>
      <c r="P194" s="59"/>
      <c r="Q194" s="59"/>
    </row>
    <row r="195" spans="5:17" x14ac:dyDescent="0.35">
      <c r="E195" s="59"/>
      <c r="F195" s="54"/>
      <c r="G195" s="60"/>
      <c r="H195" s="60"/>
      <c r="I195" s="60"/>
      <c r="J195" s="60"/>
      <c r="K195" s="60"/>
      <c r="L195" s="60"/>
      <c r="M195" s="60"/>
      <c r="N195" s="58"/>
      <c r="O195" s="59"/>
      <c r="P195" s="59"/>
      <c r="Q195" s="59"/>
    </row>
    <row r="196" spans="5:17" x14ac:dyDescent="0.35">
      <c r="E196" s="59"/>
      <c r="F196" s="54"/>
      <c r="G196" s="60"/>
      <c r="H196" s="60"/>
      <c r="I196" s="60"/>
      <c r="J196" s="60"/>
      <c r="K196" s="60"/>
      <c r="L196" s="60"/>
      <c r="M196" s="60"/>
      <c r="N196" s="58"/>
      <c r="O196" s="59"/>
      <c r="P196" s="59"/>
      <c r="Q196" s="59"/>
    </row>
    <row r="197" spans="5:17" x14ac:dyDescent="0.35">
      <c r="E197" s="59"/>
      <c r="F197" s="54"/>
      <c r="I197" s="54"/>
      <c r="N197" s="59"/>
      <c r="O197" s="59"/>
      <c r="P197" s="59"/>
      <c r="Q197" s="59"/>
    </row>
    <row r="198" spans="5:17" x14ac:dyDescent="0.35">
      <c r="E198" s="59"/>
      <c r="F198" s="54"/>
      <c r="I198" s="54"/>
      <c r="N198" s="59"/>
      <c r="O198" s="59"/>
      <c r="P198" s="59"/>
      <c r="Q198" s="59"/>
    </row>
    <row r="199" spans="5:17" x14ac:dyDescent="0.35">
      <c r="E199" s="59"/>
      <c r="F199" s="54"/>
      <c r="I199" s="54"/>
      <c r="N199" s="59"/>
      <c r="O199" s="59"/>
      <c r="P199" s="59"/>
      <c r="Q199" s="59"/>
    </row>
    <row r="200" spans="5:17" x14ac:dyDescent="0.35">
      <c r="E200" s="59"/>
      <c r="F200" s="54"/>
      <c r="I200" s="54"/>
      <c r="N200" s="59"/>
      <c r="O200" s="59"/>
      <c r="P200" s="59"/>
      <c r="Q200" s="59"/>
    </row>
    <row r="201" spans="5:17" x14ac:dyDescent="0.35">
      <c r="E201" s="66"/>
      <c r="F201" s="54"/>
      <c r="G201" s="56"/>
      <c r="H201" s="56"/>
      <c r="I201" s="56"/>
      <c r="J201" s="56"/>
      <c r="K201" s="56"/>
      <c r="L201" s="56"/>
      <c r="M201" s="56"/>
      <c r="N201" s="58"/>
      <c r="O201" s="58"/>
      <c r="P201" s="58"/>
      <c r="Q201" s="58"/>
    </row>
    <row r="202" spans="5:17" x14ac:dyDescent="0.35">
      <c r="E202" s="66"/>
      <c r="F202" s="54"/>
      <c r="G202" s="56"/>
      <c r="H202" s="56"/>
      <c r="I202" s="56"/>
      <c r="J202" s="56"/>
      <c r="K202" s="56"/>
      <c r="L202" s="56"/>
      <c r="M202" s="56"/>
      <c r="N202" s="58"/>
      <c r="O202" s="58"/>
      <c r="P202" s="58"/>
      <c r="Q202" s="58"/>
    </row>
    <row r="203" spans="5:17" x14ac:dyDescent="0.35">
      <c r="E203" s="66"/>
      <c r="F203" s="54"/>
      <c r="G203" s="56"/>
      <c r="H203" s="56"/>
      <c r="I203" s="56"/>
      <c r="J203" s="56"/>
      <c r="K203" s="56"/>
      <c r="L203" s="56"/>
      <c r="M203" s="56"/>
      <c r="N203" s="58"/>
      <c r="O203" s="58"/>
      <c r="P203" s="58"/>
      <c r="Q203" s="58"/>
    </row>
    <row r="204" spans="5:17" x14ac:dyDescent="0.35">
      <c r="E204" s="55"/>
      <c r="F204" s="54"/>
      <c r="G204" s="56"/>
      <c r="H204" s="56"/>
      <c r="I204" s="56"/>
      <c r="J204" s="56"/>
      <c r="K204" s="56"/>
      <c r="L204" s="56"/>
      <c r="M204" s="56"/>
      <c r="N204" s="68"/>
      <c r="O204" s="68"/>
      <c r="P204" s="68"/>
      <c r="Q204" s="68"/>
    </row>
    <row r="205" spans="5:17" x14ac:dyDescent="0.35">
      <c r="E205" s="55"/>
      <c r="F205" s="54"/>
      <c r="G205" s="56"/>
      <c r="H205" s="56"/>
      <c r="I205" s="56"/>
      <c r="J205" s="56"/>
      <c r="K205" s="56"/>
      <c r="L205" s="56"/>
      <c r="M205" s="56"/>
      <c r="N205" s="68"/>
      <c r="O205" s="68"/>
      <c r="P205" s="68"/>
      <c r="Q205" s="68"/>
    </row>
    <row r="206" spans="5:17" x14ac:dyDescent="0.35">
      <c r="E206" s="55"/>
      <c r="F206" s="54"/>
      <c r="G206" s="56"/>
      <c r="H206" s="56"/>
      <c r="I206" s="56"/>
      <c r="J206" s="56"/>
      <c r="K206" s="56"/>
      <c r="L206" s="56"/>
      <c r="M206" s="56"/>
      <c r="N206" s="68"/>
      <c r="O206" s="68"/>
      <c r="P206" s="68"/>
      <c r="Q206" s="68"/>
    </row>
    <row r="207" spans="5:17" x14ac:dyDescent="0.35">
      <c r="E207" s="55"/>
      <c r="F207" s="54"/>
      <c r="G207" s="56"/>
      <c r="H207" s="56"/>
      <c r="I207" s="56"/>
      <c r="J207" s="56"/>
      <c r="K207" s="56"/>
      <c r="L207" s="56"/>
      <c r="M207" s="56"/>
      <c r="N207" s="68"/>
      <c r="O207" s="68"/>
      <c r="P207" s="68"/>
      <c r="Q207" s="68"/>
    </row>
    <row r="208" spans="5:17" x14ac:dyDescent="0.35">
      <c r="E208" s="55"/>
      <c r="F208" s="54"/>
      <c r="G208" s="56"/>
      <c r="H208" s="56"/>
      <c r="I208" s="56"/>
      <c r="J208" s="56"/>
      <c r="K208" s="56"/>
      <c r="L208" s="56"/>
      <c r="M208" s="56"/>
      <c r="N208" s="68"/>
      <c r="O208" s="68"/>
      <c r="P208" s="68"/>
      <c r="Q208" s="68"/>
    </row>
    <row r="209" spans="4:17" x14ac:dyDescent="0.35">
      <c r="E209" s="55"/>
      <c r="F209" s="54"/>
      <c r="G209" s="56"/>
      <c r="H209" s="56"/>
      <c r="I209" s="56"/>
      <c r="J209" s="56"/>
      <c r="K209" s="56"/>
      <c r="L209" s="56"/>
      <c r="M209" s="56"/>
      <c r="N209" s="68"/>
      <c r="O209" s="68"/>
      <c r="P209" s="68"/>
      <c r="Q209" s="68"/>
    </row>
    <row r="210" spans="4:17" x14ac:dyDescent="0.35">
      <c r="E210" s="55"/>
      <c r="F210" s="54"/>
      <c r="G210" s="56"/>
      <c r="H210" s="56"/>
      <c r="I210" s="56"/>
      <c r="J210" s="56"/>
      <c r="K210" s="56"/>
      <c r="L210" s="56"/>
      <c r="M210" s="56"/>
      <c r="N210" s="68"/>
      <c r="O210" s="68"/>
      <c r="P210" s="68"/>
      <c r="Q210" s="68"/>
    </row>
    <row r="211" spans="4:17" x14ac:dyDescent="0.35">
      <c r="E211" s="55"/>
      <c r="F211" s="54"/>
      <c r="G211" s="56"/>
      <c r="H211" s="56"/>
      <c r="I211" s="56"/>
      <c r="J211" s="56"/>
      <c r="K211" s="56"/>
      <c r="L211" s="56"/>
      <c r="M211" s="56"/>
      <c r="N211" s="68"/>
      <c r="O211" s="68"/>
      <c r="P211" s="68"/>
      <c r="Q211" s="68"/>
    </row>
    <row r="212" spans="4:17" x14ac:dyDescent="0.35">
      <c r="E212" s="55"/>
      <c r="F212" s="54"/>
      <c r="G212" s="56"/>
      <c r="H212" s="56"/>
      <c r="I212" s="56"/>
      <c r="J212" s="56"/>
      <c r="K212" s="56"/>
      <c r="L212" s="56"/>
      <c r="M212" s="56"/>
      <c r="N212" s="68"/>
      <c r="O212" s="68"/>
      <c r="P212" s="68"/>
      <c r="Q212" s="68"/>
    </row>
    <row r="213" spans="4:17" x14ac:dyDescent="0.35">
      <c r="E213" s="55"/>
      <c r="F213" s="54"/>
      <c r="G213" s="56"/>
      <c r="H213" s="56"/>
      <c r="I213" s="56"/>
      <c r="J213" s="56"/>
      <c r="K213" s="56"/>
      <c r="L213" s="56"/>
      <c r="M213" s="56"/>
      <c r="N213" s="68"/>
      <c r="O213" s="68"/>
      <c r="P213" s="68"/>
      <c r="Q213" s="68"/>
    </row>
    <row r="214" spans="4:17" x14ac:dyDescent="0.35">
      <c r="E214" s="55"/>
      <c r="F214" s="54"/>
      <c r="G214" s="56"/>
      <c r="H214" s="56"/>
      <c r="I214" s="56"/>
      <c r="J214" s="56"/>
      <c r="K214" s="56"/>
      <c r="L214" s="56"/>
      <c r="M214" s="56"/>
      <c r="N214" s="68"/>
      <c r="O214" s="68"/>
      <c r="P214" s="68"/>
      <c r="Q214" s="68"/>
    </row>
    <row r="215" spans="4:17" x14ac:dyDescent="0.35">
      <c r="E215" s="55"/>
      <c r="F215" s="54"/>
      <c r="G215" s="56"/>
      <c r="H215" s="56"/>
      <c r="I215" s="56"/>
      <c r="J215" s="56"/>
      <c r="K215" s="56"/>
      <c r="L215" s="56"/>
      <c r="M215" s="56"/>
      <c r="N215" s="68"/>
      <c r="O215" s="68"/>
      <c r="P215" s="68"/>
      <c r="Q215" s="68"/>
    </row>
    <row r="216" spans="4:17" x14ac:dyDescent="0.35">
      <c r="E216" s="55"/>
      <c r="F216" s="54"/>
      <c r="G216" s="56"/>
      <c r="H216" s="56"/>
      <c r="I216" s="56"/>
      <c r="J216" s="56"/>
      <c r="K216" s="56"/>
      <c r="L216" s="56"/>
      <c r="M216" s="56"/>
      <c r="N216" s="68"/>
      <c r="O216" s="68"/>
      <c r="P216" s="68"/>
      <c r="Q216" s="68"/>
    </row>
    <row r="217" spans="4:17" x14ac:dyDescent="0.35">
      <c r="E217" s="55"/>
      <c r="F217" s="54"/>
      <c r="G217" s="56"/>
      <c r="H217" s="56"/>
      <c r="I217" s="56"/>
      <c r="J217" s="56"/>
      <c r="K217" s="56"/>
      <c r="L217" s="56"/>
      <c r="M217" s="56"/>
      <c r="N217" s="68"/>
      <c r="O217" s="68"/>
      <c r="P217" s="68"/>
      <c r="Q217" s="68"/>
    </row>
    <row r="218" spans="4:17" x14ac:dyDescent="0.35">
      <c r="E218" s="55"/>
      <c r="F218" s="54"/>
      <c r="G218" s="56"/>
      <c r="H218" s="56"/>
      <c r="I218" s="56"/>
      <c r="J218" s="56"/>
      <c r="K218" s="56"/>
      <c r="L218" s="56"/>
      <c r="M218" s="56"/>
      <c r="N218" s="68"/>
      <c r="O218" s="68"/>
      <c r="P218" s="68"/>
      <c r="Q218" s="68"/>
    </row>
    <row r="219" spans="4:17" x14ac:dyDescent="0.35">
      <c r="E219" s="55"/>
      <c r="F219" s="54"/>
      <c r="G219" s="56"/>
      <c r="H219" s="56"/>
      <c r="I219" s="56"/>
      <c r="J219" s="56"/>
      <c r="K219" s="56"/>
      <c r="L219" s="56"/>
      <c r="M219" s="56"/>
      <c r="N219" s="68"/>
      <c r="O219" s="68"/>
      <c r="P219" s="68"/>
      <c r="Q219" s="68"/>
    </row>
    <row r="220" spans="4:17" x14ac:dyDescent="0.35">
      <c r="D220" s="61"/>
      <c r="E220" s="55"/>
      <c r="F220" s="61"/>
      <c r="G220" s="56"/>
      <c r="H220" s="56"/>
      <c r="I220" s="56"/>
      <c r="J220" s="56"/>
      <c r="K220" s="56"/>
      <c r="L220" s="56"/>
      <c r="M220" s="56"/>
      <c r="N220" s="68"/>
      <c r="O220" s="68"/>
      <c r="P220" s="68"/>
      <c r="Q220" s="68"/>
    </row>
    <row r="221" spans="4:17" x14ac:dyDescent="0.35">
      <c r="D221" s="61"/>
      <c r="E221" s="55"/>
      <c r="F221" s="61"/>
      <c r="G221" s="56"/>
      <c r="H221" s="56"/>
      <c r="I221" s="56"/>
      <c r="J221" s="56"/>
      <c r="K221" s="56"/>
      <c r="L221" s="56"/>
      <c r="M221" s="56"/>
      <c r="N221" s="68"/>
      <c r="O221" s="68"/>
      <c r="P221" s="68"/>
      <c r="Q221" s="68"/>
    </row>
    <row r="222" spans="4:17" x14ac:dyDescent="0.35">
      <c r="D222" s="61"/>
      <c r="E222" s="55"/>
      <c r="F222" s="61"/>
      <c r="G222" s="56"/>
      <c r="H222" s="56"/>
      <c r="I222" s="56"/>
      <c r="J222" s="56"/>
      <c r="K222" s="56"/>
      <c r="L222" s="56"/>
      <c r="M222" s="56"/>
      <c r="N222" s="68"/>
      <c r="O222" s="68"/>
      <c r="P222" s="68"/>
      <c r="Q222" s="68"/>
    </row>
    <row r="223" spans="4:17" x14ac:dyDescent="0.35">
      <c r="D223" s="61"/>
      <c r="E223" s="55"/>
      <c r="F223" s="61"/>
      <c r="G223" s="56"/>
      <c r="H223" s="56"/>
      <c r="I223" s="56"/>
      <c r="J223" s="56"/>
      <c r="K223" s="56"/>
      <c r="L223" s="56"/>
      <c r="M223" s="56"/>
      <c r="N223" s="68"/>
      <c r="O223" s="68"/>
      <c r="P223" s="68"/>
      <c r="Q223" s="68"/>
    </row>
  </sheetData>
  <autoFilter ref="A1:Q158" xr:uid="{06CB1331-AF3E-489A-B433-09E21B4DF482}">
    <filterColumn colId="6" showButton="0"/>
    <filterColumn colId="7" showButton="0"/>
  </autoFilter>
  <mergeCells count="481">
    <mergeCell ref="Q146:Q150"/>
    <mergeCell ref="H146:H150"/>
    <mergeCell ref="I146:I150"/>
    <mergeCell ref="J146:J150"/>
    <mergeCell ref="K146:K150"/>
    <mergeCell ref="L146:L150"/>
    <mergeCell ref="C146:C150"/>
    <mergeCell ref="D146:D150"/>
    <mergeCell ref="E146:E150"/>
    <mergeCell ref="F146:F150"/>
    <mergeCell ref="G146:G150"/>
    <mergeCell ref="M146:M150"/>
    <mergeCell ref="N146:N150"/>
    <mergeCell ref="O146:O150"/>
    <mergeCell ref="P146:P150"/>
    <mergeCell ref="Q141:Q145"/>
    <mergeCell ref="H141:H145"/>
    <mergeCell ref="I141:I145"/>
    <mergeCell ref="J141:J145"/>
    <mergeCell ref="K141:K145"/>
    <mergeCell ref="L141:L145"/>
    <mergeCell ref="Q136:Q140"/>
    <mergeCell ref="H136:H140"/>
    <mergeCell ref="I136:I140"/>
    <mergeCell ref="J136:J140"/>
    <mergeCell ref="K136:K140"/>
    <mergeCell ref="L136:L140"/>
    <mergeCell ref="M136:M140"/>
    <mergeCell ref="N136:N140"/>
    <mergeCell ref="O136:O140"/>
    <mergeCell ref="P136:P140"/>
    <mergeCell ref="C141:C145"/>
    <mergeCell ref="D141:D145"/>
    <mergeCell ref="E141:E145"/>
    <mergeCell ref="F141:F145"/>
    <mergeCell ref="G141:G145"/>
    <mergeCell ref="M132:M135"/>
    <mergeCell ref="N132:N135"/>
    <mergeCell ref="O132:O135"/>
    <mergeCell ref="P132:P135"/>
    <mergeCell ref="M141:M145"/>
    <mergeCell ref="N141:N145"/>
    <mergeCell ref="O141:O145"/>
    <mergeCell ref="P141:P145"/>
    <mergeCell ref="C136:C140"/>
    <mergeCell ref="D136:D140"/>
    <mergeCell ref="E136:E140"/>
    <mergeCell ref="F136:F140"/>
    <mergeCell ref="G136:G140"/>
    <mergeCell ref="C127:C131"/>
    <mergeCell ref="D127:D131"/>
    <mergeCell ref="E127:E131"/>
    <mergeCell ref="F127:F131"/>
    <mergeCell ref="G127:G131"/>
    <mergeCell ref="Q132:Q135"/>
    <mergeCell ref="H132:H135"/>
    <mergeCell ref="I132:I135"/>
    <mergeCell ref="J132:J135"/>
    <mergeCell ref="K132:K135"/>
    <mergeCell ref="L132:L135"/>
    <mergeCell ref="C132:C135"/>
    <mergeCell ref="D132:D135"/>
    <mergeCell ref="E132:E135"/>
    <mergeCell ref="F132:F135"/>
    <mergeCell ref="G132:G135"/>
    <mergeCell ref="Q122:Q126"/>
    <mergeCell ref="H122:H126"/>
    <mergeCell ref="I122:I126"/>
    <mergeCell ref="J122:J126"/>
    <mergeCell ref="K122:K126"/>
    <mergeCell ref="L122:L126"/>
    <mergeCell ref="Q127:Q131"/>
    <mergeCell ref="H127:H131"/>
    <mergeCell ref="I127:I131"/>
    <mergeCell ref="J127:J131"/>
    <mergeCell ref="K127:K131"/>
    <mergeCell ref="L127:L131"/>
    <mergeCell ref="M127:M131"/>
    <mergeCell ref="N127:N131"/>
    <mergeCell ref="O127:O131"/>
    <mergeCell ref="P127:P131"/>
    <mergeCell ref="C122:C126"/>
    <mergeCell ref="D122:D126"/>
    <mergeCell ref="E122:E126"/>
    <mergeCell ref="F122:F126"/>
    <mergeCell ref="G122:G126"/>
    <mergeCell ref="M113:M116"/>
    <mergeCell ref="N113:N116"/>
    <mergeCell ref="O113:O116"/>
    <mergeCell ref="P113:P116"/>
    <mergeCell ref="M122:M126"/>
    <mergeCell ref="N122:N126"/>
    <mergeCell ref="O122:O126"/>
    <mergeCell ref="P122:P126"/>
    <mergeCell ref="H113:H116"/>
    <mergeCell ref="I113:I116"/>
    <mergeCell ref="J113:J116"/>
    <mergeCell ref="K113:K116"/>
    <mergeCell ref="L113:L116"/>
    <mergeCell ref="C113:C116"/>
    <mergeCell ref="D113:D116"/>
    <mergeCell ref="E113:E116"/>
    <mergeCell ref="F113:F116"/>
    <mergeCell ref="G113:G116"/>
    <mergeCell ref="M117:M121"/>
    <mergeCell ref="Q117:Q121"/>
    <mergeCell ref="K108:K112"/>
    <mergeCell ref="L108:L112"/>
    <mergeCell ref="C98:C102"/>
    <mergeCell ref="D98:D102"/>
    <mergeCell ref="E98:E102"/>
    <mergeCell ref="F98:F102"/>
    <mergeCell ref="G98:G102"/>
    <mergeCell ref="C108:C112"/>
    <mergeCell ref="D108:D112"/>
    <mergeCell ref="E108:E112"/>
    <mergeCell ref="F108:F112"/>
    <mergeCell ref="G108:G112"/>
    <mergeCell ref="M108:M112"/>
    <mergeCell ref="Q113:Q116"/>
    <mergeCell ref="N108:N112"/>
    <mergeCell ref="O108:O112"/>
    <mergeCell ref="P108:P112"/>
    <mergeCell ref="Q108:Q112"/>
    <mergeCell ref="H108:H112"/>
    <mergeCell ref="I108:I112"/>
    <mergeCell ref="J108:J112"/>
    <mergeCell ref="N103:N107"/>
    <mergeCell ref="O103:O107"/>
    <mergeCell ref="Q98:Q102"/>
    <mergeCell ref="H98:H102"/>
    <mergeCell ref="I98:I102"/>
    <mergeCell ref="J98:J102"/>
    <mergeCell ref="K98:K102"/>
    <mergeCell ref="L98:L102"/>
    <mergeCell ref="M98:M102"/>
    <mergeCell ref="N98:N102"/>
    <mergeCell ref="O98:O102"/>
    <mergeCell ref="P98:P102"/>
    <mergeCell ref="N84:N88"/>
    <mergeCell ref="O84:O88"/>
    <mergeCell ref="P84:P88"/>
    <mergeCell ref="C94:C97"/>
    <mergeCell ref="D94:D97"/>
    <mergeCell ref="E94:E97"/>
    <mergeCell ref="F94:F97"/>
    <mergeCell ref="G94:G97"/>
    <mergeCell ref="Q84:Q88"/>
    <mergeCell ref="H84:H88"/>
    <mergeCell ref="I84:I88"/>
    <mergeCell ref="J84:J88"/>
    <mergeCell ref="K84:K88"/>
    <mergeCell ref="L84:L88"/>
    <mergeCell ref="P89:P93"/>
    <mergeCell ref="Q103:Q107"/>
    <mergeCell ref="H103:H107"/>
    <mergeCell ref="I103:I107"/>
    <mergeCell ref="J103:J107"/>
    <mergeCell ref="K103:K107"/>
    <mergeCell ref="L103:L107"/>
    <mergeCell ref="C89:C93"/>
    <mergeCell ref="D89:D93"/>
    <mergeCell ref="E89:E93"/>
    <mergeCell ref="F89:F93"/>
    <mergeCell ref="G89:G93"/>
    <mergeCell ref="C103:C107"/>
    <mergeCell ref="D103:D107"/>
    <mergeCell ref="E103:E107"/>
    <mergeCell ref="F103:F107"/>
    <mergeCell ref="G103:G107"/>
    <mergeCell ref="Q94:Q97"/>
    <mergeCell ref="H94:H97"/>
    <mergeCell ref="I94:I97"/>
    <mergeCell ref="J94:J97"/>
    <mergeCell ref="K94:K97"/>
    <mergeCell ref="L94:L97"/>
    <mergeCell ref="Q89:Q93"/>
    <mergeCell ref="H89:H93"/>
    <mergeCell ref="P117:P121"/>
    <mergeCell ref="M94:M97"/>
    <mergeCell ref="N94:N97"/>
    <mergeCell ref="O94:O97"/>
    <mergeCell ref="P94:P97"/>
    <mergeCell ref="H117:H121"/>
    <mergeCell ref="I117:I121"/>
    <mergeCell ref="J117:J121"/>
    <mergeCell ref="K117:K121"/>
    <mergeCell ref="L117:L121"/>
    <mergeCell ref="P103:P107"/>
    <mergeCell ref="C117:C121"/>
    <mergeCell ref="D117:D121"/>
    <mergeCell ref="E117:E121"/>
    <mergeCell ref="F117:F121"/>
    <mergeCell ref="G117:G121"/>
    <mergeCell ref="M103:M107"/>
    <mergeCell ref="M79:M83"/>
    <mergeCell ref="N79:N83"/>
    <mergeCell ref="O79:O83"/>
    <mergeCell ref="N117:N121"/>
    <mergeCell ref="O117:O121"/>
    <mergeCell ref="I89:I93"/>
    <mergeCell ref="J89:J93"/>
    <mergeCell ref="K89:K93"/>
    <mergeCell ref="L89:L93"/>
    <mergeCell ref="M89:M93"/>
    <mergeCell ref="N89:N93"/>
    <mergeCell ref="O89:O93"/>
    <mergeCell ref="C84:C88"/>
    <mergeCell ref="D84:D88"/>
    <mergeCell ref="E84:E88"/>
    <mergeCell ref="F84:F88"/>
    <mergeCell ref="G84:G88"/>
    <mergeCell ref="M84:M88"/>
    <mergeCell ref="P79:P83"/>
    <mergeCell ref="Q79:Q83"/>
    <mergeCell ref="H79:H83"/>
    <mergeCell ref="I79:I83"/>
    <mergeCell ref="J79:J83"/>
    <mergeCell ref="K79:K83"/>
    <mergeCell ref="L79:L83"/>
    <mergeCell ref="C79:C83"/>
    <mergeCell ref="D79:D83"/>
    <mergeCell ref="E79:E83"/>
    <mergeCell ref="F79:F83"/>
    <mergeCell ref="G79:G83"/>
    <mergeCell ref="C45:C48"/>
    <mergeCell ref="C50:C53"/>
    <mergeCell ref="D50:D53"/>
    <mergeCell ref="E50:E53"/>
    <mergeCell ref="F50:F53"/>
    <mergeCell ref="M60:M63"/>
    <mergeCell ref="N60:N63"/>
    <mergeCell ref="O60:O63"/>
    <mergeCell ref="P60:P63"/>
    <mergeCell ref="L60:L63"/>
    <mergeCell ref="D45:D48"/>
    <mergeCell ref="E45:E48"/>
    <mergeCell ref="F45:F48"/>
    <mergeCell ref="G45:G48"/>
    <mergeCell ref="H45:H48"/>
    <mergeCell ref="C55:C59"/>
    <mergeCell ref="D55:D59"/>
    <mergeCell ref="E55:E59"/>
    <mergeCell ref="F55:F59"/>
    <mergeCell ref="G55:G59"/>
    <mergeCell ref="P55:P59"/>
    <mergeCell ref="Q60:Q63"/>
    <mergeCell ref="H60:H63"/>
    <mergeCell ref="I60:I63"/>
    <mergeCell ref="C35:C39"/>
    <mergeCell ref="D35:D39"/>
    <mergeCell ref="E35:E39"/>
    <mergeCell ref="F35:F39"/>
    <mergeCell ref="G35:G39"/>
    <mergeCell ref="C40:C44"/>
    <mergeCell ref="D40:D44"/>
    <mergeCell ref="E40:E44"/>
    <mergeCell ref="F40:F44"/>
    <mergeCell ref="G40:G44"/>
    <mergeCell ref="H35:H39"/>
    <mergeCell ref="I35:I39"/>
    <mergeCell ref="J35:J39"/>
    <mergeCell ref="K35:K39"/>
    <mergeCell ref="L35:L39"/>
    <mergeCell ref="M35:M39"/>
    <mergeCell ref="N35:N39"/>
    <mergeCell ref="O35:O39"/>
    <mergeCell ref="P35:P39"/>
    <mergeCell ref="J60:J63"/>
    <mergeCell ref="K60:K63"/>
    <mergeCell ref="C74:C78"/>
    <mergeCell ref="D74:D78"/>
    <mergeCell ref="E74:E78"/>
    <mergeCell ref="F74:F78"/>
    <mergeCell ref="G74:G78"/>
    <mergeCell ref="C60:C63"/>
    <mergeCell ref="D60:D63"/>
    <mergeCell ref="E60:E63"/>
    <mergeCell ref="F60:F63"/>
    <mergeCell ref="G60:G63"/>
    <mergeCell ref="C64:C68"/>
    <mergeCell ref="D64:D68"/>
    <mergeCell ref="E64:E68"/>
    <mergeCell ref="F64:F68"/>
    <mergeCell ref="G64:G68"/>
    <mergeCell ref="H69:H72"/>
    <mergeCell ref="I69:I72"/>
    <mergeCell ref="J69:J72"/>
    <mergeCell ref="K69:K72"/>
    <mergeCell ref="L69:L72"/>
    <mergeCell ref="C69:C72"/>
    <mergeCell ref="D69:D72"/>
    <mergeCell ref="E69:E72"/>
    <mergeCell ref="F69:F72"/>
    <mergeCell ref="G69:G72"/>
    <mergeCell ref="Q64:Q68"/>
    <mergeCell ref="H64:H68"/>
    <mergeCell ref="I64:I68"/>
    <mergeCell ref="J64:J68"/>
    <mergeCell ref="K64:K68"/>
    <mergeCell ref="L64:L68"/>
    <mergeCell ref="Q74:Q78"/>
    <mergeCell ref="H74:H78"/>
    <mergeCell ref="I74:I78"/>
    <mergeCell ref="J74:J78"/>
    <mergeCell ref="K74:K78"/>
    <mergeCell ref="L74:L78"/>
    <mergeCell ref="M74:M78"/>
    <mergeCell ref="N74:N78"/>
    <mergeCell ref="O74:O78"/>
    <mergeCell ref="P74:P78"/>
    <mergeCell ref="M69:M72"/>
    <mergeCell ref="N69:N72"/>
    <mergeCell ref="O69:O72"/>
    <mergeCell ref="P69:P72"/>
    <mergeCell ref="Q69:Q72"/>
    <mergeCell ref="M64:M68"/>
    <mergeCell ref="N64:N68"/>
    <mergeCell ref="O64:O68"/>
    <mergeCell ref="Q50:Q53"/>
    <mergeCell ref="L50:L53"/>
    <mergeCell ref="M50:M53"/>
    <mergeCell ref="N50:N53"/>
    <mergeCell ref="G50:G53"/>
    <mergeCell ref="H50:H53"/>
    <mergeCell ref="I50:I53"/>
    <mergeCell ref="J50:J53"/>
    <mergeCell ref="K50:K53"/>
    <mergeCell ref="O50:O53"/>
    <mergeCell ref="P50:P53"/>
    <mergeCell ref="P64:P68"/>
    <mergeCell ref="H40:H44"/>
    <mergeCell ref="I40:I44"/>
    <mergeCell ref="J40:J44"/>
    <mergeCell ref="K40:K44"/>
    <mergeCell ref="L40:L44"/>
    <mergeCell ref="Q45:Q48"/>
    <mergeCell ref="I45:I48"/>
    <mergeCell ref="J45:J48"/>
    <mergeCell ref="K45:K48"/>
    <mergeCell ref="L45:L48"/>
    <mergeCell ref="M45:M48"/>
    <mergeCell ref="N45:N48"/>
    <mergeCell ref="O45:O48"/>
    <mergeCell ref="P45:P48"/>
    <mergeCell ref="Q55:Q59"/>
    <mergeCell ref="H55:H59"/>
    <mergeCell ref="I55:I59"/>
    <mergeCell ref="J55:J59"/>
    <mergeCell ref="K55:K59"/>
    <mergeCell ref="L55:L59"/>
    <mergeCell ref="M55:M59"/>
    <mergeCell ref="N55:N59"/>
    <mergeCell ref="O55:O59"/>
    <mergeCell ref="M27:M30"/>
    <mergeCell ref="N27:N30"/>
    <mergeCell ref="O27:O30"/>
    <mergeCell ref="P27:P30"/>
    <mergeCell ref="M40:M44"/>
    <mergeCell ref="N40:N44"/>
    <mergeCell ref="O40:O44"/>
    <mergeCell ref="P40:P44"/>
    <mergeCell ref="Q27:Q30"/>
    <mergeCell ref="Q40:Q44"/>
    <mergeCell ref="Q35:Q39"/>
    <mergeCell ref="H27:H30"/>
    <mergeCell ref="I27:I30"/>
    <mergeCell ref="J27:J30"/>
    <mergeCell ref="K27:K30"/>
    <mergeCell ref="L27:L30"/>
    <mergeCell ref="C27:C30"/>
    <mergeCell ref="D27:D30"/>
    <mergeCell ref="E27:E30"/>
    <mergeCell ref="F27:F30"/>
    <mergeCell ref="G27:G30"/>
    <mergeCell ref="O23:O26"/>
    <mergeCell ref="P23:P26"/>
    <mergeCell ref="C31:C33"/>
    <mergeCell ref="D31:D33"/>
    <mergeCell ref="E31:E33"/>
    <mergeCell ref="F31:F33"/>
    <mergeCell ref="G31:G33"/>
    <mergeCell ref="Q23:Q26"/>
    <mergeCell ref="H23:H26"/>
    <mergeCell ref="I23:I26"/>
    <mergeCell ref="J23:J26"/>
    <mergeCell ref="K23:K26"/>
    <mergeCell ref="L23:L26"/>
    <mergeCell ref="Q31:Q33"/>
    <mergeCell ref="H31:H33"/>
    <mergeCell ref="I31:I33"/>
    <mergeCell ref="J31:J33"/>
    <mergeCell ref="K31:K33"/>
    <mergeCell ref="L31:L33"/>
    <mergeCell ref="M31:M33"/>
    <mergeCell ref="N31:N33"/>
    <mergeCell ref="O31:O33"/>
    <mergeCell ref="P31:P33"/>
    <mergeCell ref="C23:C26"/>
    <mergeCell ref="C18:C22"/>
    <mergeCell ref="D18:D22"/>
    <mergeCell ref="E18:E22"/>
    <mergeCell ref="F18:F22"/>
    <mergeCell ref="G18:G22"/>
    <mergeCell ref="F23:F26"/>
    <mergeCell ref="G23:G26"/>
    <mergeCell ref="M18:M22"/>
    <mergeCell ref="N18:N22"/>
    <mergeCell ref="M23:M26"/>
    <mergeCell ref="N23:N26"/>
    <mergeCell ref="D23:D26"/>
    <mergeCell ref="E23:E26"/>
    <mergeCell ref="P15:P17"/>
    <mergeCell ref="Q15:Q17"/>
    <mergeCell ref="H15:H17"/>
    <mergeCell ref="I15:I17"/>
    <mergeCell ref="J15:J17"/>
    <mergeCell ref="K15:K17"/>
    <mergeCell ref="L15:L17"/>
    <mergeCell ref="Q18:Q22"/>
    <mergeCell ref="H18:H22"/>
    <mergeCell ref="I18:I22"/>
    <mergeCell ref="J18:J22"/>
    <mergeCell ref="K18:K22"/>
    <mergeCell ref="L18:L22"/>
    <mergeCell ref="O18:O22"/>
    <mergeCell ref="P18:P22"/>
    <mergeCell ref="C15:C17"/>
    <mergeCell ref="D15:D17"/>
    <mergeCell ref="E15:E17"/>
    <mergeCell ref="F15:F17"/>
    <mergeCell ref="G15:G17"/>
    <mergeCell ref="M9:M12"/>
    <mergeCell ref="E9:E12"/>
    <mergeCell ref="N9:N12"/>
    <mergeCell ref="O9:O12"/>
    <mergeCell ref="M15:M17"/>
    <mergeCell ref="N15:N17"/>
    <mergeCell ref="O15:O17"/>
    <mergeCell ref="P9:P12"/>
    <mergeCell ref="Q9:Q12"/>
    <mergeCell ref="C9:C12"/>
    <mergeCell ref="D9:D12"/>
    <mergeCell ref="F9:F12"/>
    <mergeCell ref="G9:G12"/>
    <mergeCell ref="H9:H12"/>
    <mergeCell ref="I9:I12"/>
    <mergeCell ref="J9:J12"/>
    <mergeCell ref="K9:K12"/>
    <mergeCell ref="L9:L12"/>
    <mergeCell ref="Q3:Q5"/>
    <mergeCell ref="E3:E5"/>
    <mergeCell ref="C6:C8"/>
    <mergeCell ref="D6:D8"/>
    <mergeCell ref="E6:E8"/>
    <mergeCell ref="F6:F8"/>
    <mergeCell ref="G6:G8"/>
    <mergeCell ref="H6:H8"/>
    <mergeCell ref="I6:I8"/>
    <mergeCell ref="J6:J8"/>
    <mergeCell ref="K6:K8"/>
    <mergeCell ref="L6:L8"/>
    <mergeCell ref="M6:M8"/>
    <mergeCell ref="N6:N8"/>
    <mergeCell ref="J3:J5"/>
    <mergeCell ref="K3:K5"/>
    <mergeCell ref="L3:L5"/>
    <mergeCell ref="M3:M5"/>
    <mergeCell ref="N3:N5"/>
    <mergeCell ref="O6:O8"/>
    <mergeCell ref="P6:P8"/>
    <mergeCell ref="Q6:Q8"/>
    <mergeCell ref="G1:I1"/>
    <mergeCell ref="C3:C5"/>
    <mergeCell ref="D3:D5"/>
    <mergeCell ref="F3:F5"/>
    <mergeCell ref="G3:G5"/>
    <mergeCell ref="H3:H5"/>
    <mergeCell ref="I3:I5"/>
    <mergeCell ref="O3:O5"/>
    <mergeCell ref="P3:P5"/>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B189:B223 B22 B44 B12 B14 B33:B39 B78 B83:B187 B48:B73 B26:B30</xm:sqref>
        </x14:dataValidation>
        <x14:dataValidation type="list" allowBlank="1" showInputMessage="1" showErrorMessage="1" xr:uid="{C9DFEA4C-E456-40FA-A0B8-26962CF02348}">
          <x14:formula1>
            <xm:f>'Paso 3 Redacción RA '!$I$3:$I$15</xm:f>
          </x14:formula1>
          <xm:sqref>B3:B11 B23:B25 B40:B43 B45:B47 B64:B67 B74:B77 B94:B96 B35:B38 B79:B82 B117:B120 B113:B115 B89:B92 B103:B106 B84:B87 B98:B101 B108:B111 B69:B71 B122:B125 B127:B130 B132:B134 B141:B144 B136:B139 B146:B149 B13 B60:B62 B50:B52 B27:B29 B31:B32 B15:B21</xm:sqref>
        </x14:dataValidation>
        <x14:dataValidation type="list" allowBlank="1" showInputMessage="1" showErrorMessage="1" xr:uid="{30DD22C5-FBF6-44B0-BCFD-32788D298910}">
          <x14:formula1>
            <xm:f>'Paso 3 Redacción RA '!$I$1:$I$15</xm:f>
          </x14:formula1>
          <xm:sqref>B63:B78 B53 B55:B59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workbookViewId="0"/>
  </sheetViews>
  <sheetFormatPr baseColWidth="10" defaultColWidth="11.453125" defaultRowHeight="14.5" x14ac:dyDescent="0.35"/>
  <cols>
    <col min="2" max="2" width="27.1796875" customWidth="1"/>
  </cols>
  <sheetData>
    <row r="1" spans="2:2" ht="16.5" x14ac:dyDescent="0.5">
      <c r="B1" s="1" t="s">
        <v>340</v>
      </c>
    </row>
    <row r="2" spans="2:2" ht="16.5" x14ac:dyDescent="0.5">
      <c r="B2" s="1" t="s">
        <v>341</v>
      </c>
    </row>
    <row r="3" spans="2:2" ht="16.5" x14ac:dyDescent="0.5">
      <c r="B3" s="1" t="s">
        <v>342</v>
      </c>
    </row>
    <row r="4" spans="2:2" ht="16.5" x14ac:dyDescent="0.5">
      <c r="B4" s="1" t="s">
        <v>66</v>
      </c>
    </row>
    <row r="5" spans="2:2" ht="16.5" x14ac:dyDescent="0.5">
      <c r="B5" s="1" t="s">
        <v>99</v>
      </c>
    </row>
    <row r="6" spans="2:2" ht="16.5" x14ac:dyDescent="0.5">
      <c r="B6" s="1" t="s">
        <v>343</v>
      </c>
    </row>
    <row r="7" spans="2:2" ht="16.5" x14ac:dyDescent="0.5">
      <c r="B7" s="1" t="s">
        <v>344</v>
      </c>
    </row>
    <row r="8" spans="2:2" ht="16.5" x14ac:dyDescent="0.5">
      <c r="B8" s="1" t="s">
        <v>345</v>
      </c>
    </row>
    <row r="9" spans="2:2" ht="16.5" x14ac:dyDescent="0.5">
      <c r="B9" s="1" t="s">
        <v>346</v>
      </c>
    </row>
    <row r="10" spans="2:2" ht="16.5" x14ac:dyDescent="0.5">
      <c r="B10" s="1" t="s">
        <v>347</v>
      </c>
    </row>
    <row r="11" spans="2:2" ht="16.5" x14ac:dyDescent="0.5">
      <c r="B11" s="1" t="s">
        <v>348</v>
      </c>
    </row>
    <row r="12" spans="2:2" ht="16.5" x14ac:dyDescent="0.5">
      <c r="B12" s="1" t="s">
        <v>349</v>
      </c>
    </row>
    <row r="13" spans="2:2" ht="16.5" x14ac:dyDescent="0.5">
      <c r="B13" s="1" t="s">
        <v>350</v>
      </c>
    </row>
    <row r="14" spans="2:2" ht="16.5" x14ac:dyDescent="0.5">
      <c r="B14" s="1" t="s">
        <v>61</v>
      </c>
    </row>
    <row r="15" spans="2:2" ht="16.5" x14ac:dyDescent="0.5">
      <c r="B15" s="1" t="s">
        <v>64</v>
      </c>
    </row>
    <row r="16" spans="2:2" ht="16.5" x14ac:dyDescent="0.5">
      <c r="B16" s="1" t="s">
        <v>351</v>
      </c>
    </row>
    <row r="17" spans="2:2" ht="16.5" x14ac:dyDescent="0.5">
      <c r="B17" s="1" t="s">
        <v>56</v>
      </c>
    </row>
    <row r="18" spans="2:2" ht="16.5" x14ac:dyDescent="0.5">
      <c r="B18" s="1" t="s">
        <v>352</v>
      </c>
    </row>
    <row r="19" spans="2:2" ht="16.5" x14ac:dyDescent="0.5">
      <c r="B19" s="1" t="s">
        <v>102</v>
      </c>
    </row>
    <row r="20" spans="2:2" ht="16.5" x14ac:dyDescent="0.5">
      <c r="B20" s="1" t="s">
        <v>353</v>
      </c>
    </row>
    <row r="21" spans="2:2" ht="16.5" x14ac:dyDescent="0.5">
      <c r="B21" s="1" t="s">
        <v>354</v>
      </c>
    </row>
    <row r="22" spans="2:2" ht="16.5" x14ac:dyDescent="0.5">
      <c r="B22" s="1" t="s">
        <v>355</v>
      </c>
    </row>
    <row r="23" spans="2:2" ht="16.5" x14ac:dyDescent="0.5">
      <c r="B23" s="1" t="s">
        <v>59</v>
      </c>
    </row>
    <row r="24" spans="2:2" ht="16.5" x14ac:dyDescent="0.5">
      <c r="B24" s="1" t="s">
        <v>356</v>
      </c>
    </row>
    <row r="25" spans="2:2" ht="16.5" x14ac:dyDescent="0.5">
      <c r="B25" s="1" t="s">
        <v>357</v>
      </c>
    </row>
    <row r="26" spans="2:2" ht="16.5" x14ac:dyDescent="0.5">
      <c r="B26" s="1" t="s">
        <v>358</v>
      </c>
    </row>
    <row r="27" spans="2:2" ht="16.5" x14ac:dyDescent="0.5">
      <c r="B27" s="1" t="s">
        <v>359</v>
      </c>
    </row>
    <row r="28" spans="2:2" ht="16.5" x14ac:dyDescent="0.5">
      <c r="B28" s="1" t="s">
        <v>360</v>
      </c>
    </row>
    <row r="29" spans="2:2" ht="16.5" x14ac:dyDescent="0.5">
      <c r="B29" s="1" t="s">
        <v>361</v>
      </c>
    </row>
    <row r="30" spans="2:2" ht="16.5" x14ac:dyDescent="0.5">
      <c r="B30" s="1" t="s">
        <v>362</v>
      </c>
    </row>
    <row r="31" spans="2:2" ht="16.5" x14ac:dyDescent="0.5">
      <c r="B31" s="1" t="s">
        <v>363</v>
      </c>
    </row>
    <row r="32" spans="2:2" ht="16.5" x14ac:dyDescent="0.5">
      <c r="B32" s="1" t="s">
        <v>364</v>
      </c>
    </row>
    <row r="33" spans="2:2" ht="16.5" x14ac:dyDescent="0.5">
      <c r="B33" s="1" t="s">
        <v>365</v>
      </c>
    </row>
    <row r="34" spans="2:2" ht="16.5" x14ac:dyDescent="0.5">
      <c r="B34" s="1" t="s">
        <v>366</v>
      </c>
    </row>
    <row r="35" spans="2:2" ht="16.5" x14ac:dyDescent="0.5">
      <c r="B35" s="1" t="s">
        <v>367</v>
      </c>
    </row>
    <row r="36" spans="2:2" ht="16.5" x14ac:dyDescent="0.5">
      <c r="B36" s="1" t="s">
        <v>368</v>
      </c>
    </row>
    <row r="37" spans="2:2" ht="16.5" x14ac:dyDescent="0.5">
      <c r="B37" s="1" t="s">
        <v>369</v>
      </c>
    </row>
    <row r="38" spans="2:2" ht="16.5" x14ac:dyDescent="0.5">
      <c r="B38" s="1" t="s">
        <v>370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zoomScale="66" workbookViewId="0">
      <selection activeCell="G19" sqref="G19:G25"/>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72" t="s">
        <v>371</v>
      </c>
      <c r="T1" s="172"/>
      <c r="U1" s="172"/>
      <c r="V1" s="172"/>
      <c r="W1" s="172"/>
      <c r="X1" s="172"/>
      <c r="Y1" s="172"/>
      <c r="Z1" s="172"/>
      <c r="AA1" s="172"/>
      <c r="AB1" s="172"/>
      <c r="AC1" s="172"/>
      <c r="AD1" s="172"/>
      <c r="AE1" s="172"/>
      <c r="AF1" s="172"/>
      <c r="AG1" s="172"/>
      <c r="AH1" s="14"/>
      <c r="AI1" s="14"/>
      <c r="AJ1" s="14"/>
      <c r="AL1" s="172" t="s">
        <v>372</v>
      </c>
      <c r="AM1" s="172"/>
      <c r="AN1" s="172"/>
      <c r="AO1" s="172"/>
      <c r="AP1" s="172"/>
      <c r="AQ1" s="172"/>
      <c r="AR1" s="14"/>
      <c r="AS1" s="14"/>
      <c r="AT1" s="172" t="s">
        <v>373</v>
      </c>
      <c r="AU1" s="172"/>
      <c r="AV1" s="172"/>
      <c r="AW1" s="172"/>
      <c r="AX1" s="172"/>
      <c r="AY1" s="172"/>
      <c r="AZ1" s="14"/>
      <c r="BC1" s="14"/>
    </row>
    <row r="2" spans="1:55" x14ac:dyDescent="0.5">
      <c r="L2" s="172" t="s">
        <v>374</v>
      </c>
      <c r="M2" s="172"/>
      <c r="N2" s="172"/>
      <c r="O2" s="172"/>
      <c r="P2" s="172"/>
      <c r="Q2" s="172"/>
      <c r="S2" s="173" t="s">
        <v>375</v>
      </c>
      <c r="T2" s="173"/>
      <c r="U2" s="173"/>
      <c r="V2" s="173"/>
      <c r="W2" s="173"/>
      <c r="X2" s="173"/>
      <c r="Y2" s="173" t="s">
        <v>376</v>
      </c>
      <c r="Z2" s="173"/>
      <c r="AA2" s="173"/>
      <c r="AB2" s="173"/>
      <c r="AC2" s="173" t="s">
        <v>377</v>
      </c>
      <c r="AD2" s="173"/>
      <c r="AE2" s="173"/>
      <c r="AF2" s="173"/>
      <c r="AG2" s="173"/>
      <c r="AH2" s="14"/>
      <c r="AI2" s="14"/>
      <c r="AJ2" s="14"/>
      <c r="AL2" s="172"/>
      <c r="AM2" s="172"/>
      <c r="AN2" s="172"/>
      <c r="AO2" s="172"/>
      <c r="AP2" s="172"/>
      <c r="AQ2" s="172"/>
      <c r="AR2" s="14"/>
      <c r="AS2" s="14"/>
      <c r="AT2" s="14"/>
      <c r="AU2" s="14"/>
      <c r="AV2" s="14"/>
      <c r="AW2" s="14"/>
      <c r="AX2" s="14"/>
      <c r="AY2" s="14"/>
      <c r="AZ2" s="14"/>
      <c r="BC2" s="14"/>
    </row>
    <row r="3" spans="1:55" x14ac:dyDescent="0.5">
      <c r="A3" s="1" t="s">
        <v>378</v>
      </c>
      <c r="C3" s="1" t="s">
        <v>87</v>
      </c>
      <c r="D3" s="1" t="s">
        <v>379</v>
      </c>
      <c r="E3" s="1" t="s">
        <v>380</v>
      </c>
      <c r="G3" s="1" t="s">
        <v>106</v>
      </c>
      <c r="H3" s="1" t="s">
        <v>381</v>
      </c>
      <c r="I3" s="1" t="s">
        <v>382</v>
      </c>
      <c r="L3" s="1" t="s">
        <v>383</v>
      </c>
      <c r="M3" s="1" t="s">
        <v>107</v>
      </c>
      <c r="N3" s="1" t="s">
        <v>384</v>
      </c>
      <c r="O3" s="1" t="s">
        <v>385</v>
      </c>
      <c r="P3" s="1" t="s">
        <v>386</v>
      </c>
      <c r="Q3" s="1" t="s">
        <v>387</v>
      </c>
      <c r="S3" s="1" t="s">
        <v>388</v>
      </c>
      <c r="T3" s="1" t="s">
        <v>389</v>
      </c>
      <c r="U3" s="1" t="s">
        <v>390</v>
      </c>
      <c r="V3" s="1" t="s">
        <v>89</v>
      </c>
      <c r="W3" s="1" t="s">
        <v>391</v>
      </c>
      <c r="X3" s="1" t="s">
        <v>392</v>
      </c>
      <c r="Y3" s="1" t="s">
        <v>393</v>
      </c>
      <c r="Z3" s="1" t="s">
        <v>394</v>
      </c>
      <c r="AA3" s="1" t="s">
        <v>93</v>
      </c>
      <c r="AB3" s="1" t="s">
        <v>395</v>
      </c>
      <c r="AC3" s="1" t="s">
        <v>396</v>
      </c>
      <c r="AD3" s="1" t="s">
        <v>98</v>
      </c>
      <c r="AE3" s="1" t="s">
        <v>397</v>
      </c>
      <c r="AF3" s="1" t="s">
        <v>398</v>
      </c>
      <c r="AG3" s="1" t="s">
        <v>399</v>
      </c>
      <c r="AL3" s="156" t="s">
        <v>400</v>
      </c>
      <c r="AM3" s="156"/>
      <c r="AN3" s="156"/>
      <c r="AO3" s="156" t="s">
        <v>401</v>
      </c>
      <c r="AP3" s="156"/>
      <c r="AQ3" s="156"/>
      <c r="AR3" s="13"/>
      <c r="AS3" s="13"/>
      <c r="AT3" s="13"/>
      <c r="AU3" s="13"/>
      <c r="AV3" s="13"/>
      <c r="AW3" s="13"/>
      <c r="AX3" s="13"/>
      <c r="AY3" s="13"/>
      <c r="AZ3" s="13"/>
      <c r="BC3" s="13"/>
    </row>
    <row r="4" spans="1:55" x14ac:dyDescent="0.5">
      <c r="A4" s="1" t="s">
        <v>105</v>
      </c>
      <c r="C4" s="1" t="s">
        <v>88</v>
      </c>
      <c r="D4" s="1" t="s">
        <v>402</v>
      </c>
      <c r="E4" s="1" t="s">
        <v>403</v>
      </c>
      <c r="G4" s="1" t="s">
        <v>383</v>
      </c>
      <c r="H4" s="1" t="s">
        <v>383</v>
      </c>
      <c r="I4" s="1" t="s">
        <v>383</v>
      </c>
      <c r="L4" s="1" t="s">
        <v>404</v>
      </c>
      <c r="M4" s="1" t="s">
        <v>345</v>
      </c>
      <c r="N4" s="1" t="s">
        <v>99</v>
      </c>
      <c r="O4" s="1" t="s">
        <v>405</v>
      </c>
      <c r="P4" s="1" t="s">
        <v>406</v>
      </c>
      <c r="Q4" s="1" t="s">
        <v>407</v>
      </c>
      <c r="S4" s="1" t="s">
        <v>404</v>
      </c>
      <c r="T4" s="1" t="s">
        <v>345</v>
      </c>
      <c r="U4" s="1" t="s">
        <v>99</v>
      </c>
      <c r="V4" s="1" t="s">
        <v>405</v>
      </c>
      <c r="W4" s="1" t="s">
        <v>406</v>
      </c>
      <c r="X4" s="1" t="s">
        <v>407</v>
      </c>
      <c r="Y4" s="1" t="s">
        <v>408</v>
      </c>
      <c r="Z4" s="1" t="s">
        <v>409</v>
      </c>
      <c r="AA4" s="1" t="s">
        <v>410</v>
      </c>
      <c r="AB4" s="1" t="s">
        <v>411</v>
      </c>
      <c r="AC4" s="1" t="s">
        <v>356</v>
      </c>
      <c r="AD4" s="1" t="s">
        <v>412</v>
      </c>
      <c r="AE4" s="1" t="s">
        <v>413</v>
      </c>
      <c r="AF4" s="1" t="s">
        <v>414</v>
      </c>
      <c r="AG4" s="1" t="s">
        <v>415</v>
      </c>
      <c r="AL4" s="3" t="s">
        <v>416</v>
      </c>
      <c r="AM4" s="3" t="s">
        <v>417</v>
      </c>
      <c r="AN4" s="3" t="s">
        <v>418</v>
      </c>
      <c r="AO4" s="3" t="s">
        <v>419</v>
      </c>
      <c r="AP4" s="4" t="s">
        <v>420</v>
      </c>
      <c r="AQ4" s="3" t="s">
        <v>421</v>
      </c>
      <c r="AR4" s="13"/>
      <c r="AS4" s="13"/>
      <c r="AT4" s="1" t="s">
        <v>422</v>
      </c>
      <c r="AU4" s="1" t="s">
        <v>423</v>
      </c>
      <c r="AV4" s="1" t="s">
        <v>424</v>
      </c>
      <c r="AW4" s="1" t="s">
        <v>425</v>
      </c>
      <c r="AX4" s="1" t="s">
        <v>426</v>
      </c>
      <c r="AY4" s="1" t="s">
        <v>427</v>
      </c>
      <c r="AZ4" s="13"/>
      <c r="BC4" s="13"/>
    </row>
    <row r="5" spans="1:55" x14ac:dyDescent="0.5">
      <c r="A5" s="1" t="s">
        <v>87</v>
      </c>
      <c r="C5" s="1" t="s">
        <v>92</v>
      </c>
      <c r="D5" s="1" t="s">
        <v>428</v>
      </c>
      <c r="E5" s="1" t="s">
        <v>429</v>
      </c>
      <c r="G5" s="1" t="s">
        <v>107</v>
      </c>
      <c r="H5" s="1" t="s">
        <v>107</v>
      </c>
      <c r="I5" s="1" t="s">
        <v>107</v>
      </c>
      <c r="L5" s="1" t="s">
        <v>430</v>
      </c>
      <c r="M5" s="1" t="s">
        <v>431</v>
      </c>
      <c r="N5" s="1" t="s">
        <v>432</v>
      </c>
      <c r="O5" s="1" t="s">
        <v>66</v>
      </c>
      <c r="P5" s="1" t="s">
        <v>342</v>
      </c>
      <c r="Q5" s="1" t="s">
        <v>433</v>
      </c>
      <c r="S5" s="1" t="s">
        <v>430</v>
      </c>
      <c r="T5" s="1" t="s">
        <v>431</v>
      </c>
      <c r="U5" s="1" t="s">
        <v>432</v>
      </c>
      <c r="V5" s="1" t="s">
        <v>66</v>
      </c>
      <c r="W5" s="1" t="s">
        <v>342</v>
      </c>
      <c r="X5" s="1" t="s">
        <v>433</v>
      </c>
      <c r="Y5" s="1" t="s">
        <v>406</v>
      </c>
      <c r="Z5" s="1" t="s">
        <v>434</v>
      </c>
      <c r="AA5" s="1" t="s">
        <v>361</v>
      </c>
      <c r="AB5" s="1" t="s">
        <v>435</v>
      </c>
      <c r="AC5" s="1" t="s">
        <v>347</v>
      </c>
      <c r="AD5" s="1" t="s">
        <v>436</v>
      </c>
      <c r="AE5" s="1" t="s">
        <v>412</v>
      </c>
      <c r="AF5" s="1" t="s">
        <v>437</v>
      </c>
      <c r="AG5" s="1" t="s">
        <v>438</v>
      </c>
      <c r="AL5" s="2" t="s">
        <v>439</v>
      </c>
      <c r="AM5" s="2" t="s">
        <v>440</v>
      </c>
      <c r="AN5" s="2" t="s">
        <v>441</v>
      </c>
      <c r="AO5" s="2" t="s">
        <v>442</v>
      </c>
      <c r="AP5" s="2" t="s">
        <v>406</v>
      </c>
      <c r="AQ5" s="2" t="s">
        <v>61</v>
      </c>
      <c r="AR5" s="2"/>
      <c r="AS5" s="2"/>
      <c r="AT5" s="5" t="s">
        <v>439</v>
      </c>
      <c r="AU5" s="7" t="s">
        <v>345</v>
      </c>
      <c r="AV5" s="5" t="s">
        <v>442</v>
      </c>
      <c r="AW5" s="5" t="s">
        <v>441</v>
      </c>
      <c r="AX5" s="7" t="s">
        <v>443</v>
      </c>
      <c r="AY5" s="7" t="s">
        <v>443</v>
      </c>
      <c r="AZ5" s="2"/>
      <c r="BC5" s="2"/>
    </row>
    <row r="6" spans="1:55" x14ac:dyDescent="0.5">
      <c r="A6" s="1" t="s">
        <v>379</v>
      </c>
      <c r="C6" s="1" t="s">
        <v>97</v>
      </c>
      <c r="D6" s="1" t="s">
        <v>444</v>
      </c>
      <c r="E6" s="1" t="s">
        <v>445</v>
      </c>
      <c r="G6" s="1" t="s">
        <v>384</v>
      </c>
      <c r="H6" s="1" t="s">
        <v>384</v>
      </c>
      <c r="I6" s="1" t="s">
        <v>384</v>
      </c>
      <c r="L6" s="1" t="s">
        <v>446</v>
      </c>
      <c r="M6" s="1" t="s">
        <v>447</v>
      </c>
      <c r="N6" s="1" t="s">
        <v>448</v>
      </c>
      <c r="O6" s="1" t="s">
        <v>449</v>
      </c>
      <c r="P6" s="1" t="s">
        <v>450</v>
      </c>
      <c r="Q6" s="1" t="s">
        <v>451</v>
      </c>
      <c r="S6" s="1" t="s">
        <v>446</v>
      </c>
      <c r="T6" s="1" t="s">
        <v>447</v>
      </c>
      <c r="U6" s="1" t="s">
        <v>448</v>
      </c>
      <c r="V6" s="1" t="s">
        <v>449</v>
      </c>
      <c r="W6" s="1" t="s">
        <v>450</v>
      </c>
      <c r="X6" s="1" t="s">
        <v>451</v>
      </c>
      <c r="Y6" s="1" t="s">
        <v>452</v>
      </c>
      <c r="Z6" s="1" t="s">
        <v>453</v>
      </c>
      <c r="AA6" s="1" t="s">
        <v>454</v>
      </c>
      <c r="AB6" s="1" t="s">
        <v>455</v>
      </c>
      <c r="AC6" s="1" t="s">
        <v>64</v>
      </c>
      <c r="AD6" s="1" t="s">
        <v>456</v>
      </c>
      <c r="AE6" s="1" t="s">
        <v>443</v>
      </c>
      <c r="AF6" s="1" t="s">
        <v>457</v>
      </c>
      <c r="AG6" s="1" t="s">
        <v>347</v>
      </c>
      <c r="AL6" s="2" t="s">
        <v>446</v>
      </c>
      <c r="AM6" s="2" t="s">
        <v>458</v>
      </c>
      <c r="AN6" s="2" t="s">
        <v>442</v>
      </c>
      <c r="AO6" s="2" t="s">
        <v>405</v>
      </c>
      <c r="AP6" s="2" t="s">
        <v>459</v>
      </c>
      <c r="AQ6" s="2" t="s">
        <v>460</v>
      </c>
      <c r="AR6" s="2"/>
      <c r="AS6" s="2"/>
      <c r="AT6" s="6" t="s">
        <v>446</v>
      </c>
      <c r="AU6" s="8" t="s">
        <v>431</v>
      </c>
      <c r="AV6" s="7" t="s">
        <v>405</v>
      </c>
      <c r="AW6" s="6" t="s">
        <v>442</v>
      </c>
      <c r="AX6" s="8" t="s">
        <v>461</v>
      </c>
      <c r="AY6" s="7" t="s">
        <v>413</v>
      </c>
      <c r="AZ6" s="2"/>
      <c r="BC6" s="2"/>
    </row>
    <row r="7" spans="1:55" x14ac:dyDescent="0.5">
      <c r="A7" s="1" t="s">
        <v>380</v>
      </c>
      <c r="D7" s="1" t="s">
        <v>462</v>
      </c>
      <c r="G7" s="1" t="s">
        <v>385</v>
      </c>
      <c r="H7" s="1" t="s">
        <v>385</v>
      </c>
      <c r="I7" s="1" t="s">
        <v>385</v>
      </c>
      <c r="L7" s="1" t="s">
        <v>463</v>
      </c>
      <c r="M7" s="1" t="s">
        <v>346</v>
      </c>
      <c r="N7" s="1" t="s">
        <v>464</v>
      </c>
      <c r="O7" s="1" t="s">
        <v>465</v>
      </c>
      <c r="P7" s="1" t="s">
        <v>450</v>
      </c>
      <c r="Q7" s="1" t="s">
        <v>466</v>
      </c>
      <c r="S7" s="1" t="s">
        <v>463</v>
      </c>
      <c r="T7" s="1" t="s">
        <v>346</v>
      </c>
      <c r="U7" s="1" t="s">
        <v>464</v>
      </c>
      <c r="V7" s="1" t="s">
        <v>465</v>
      </c>
      <c r="W7" s="1" t="s">
        <v>450</v>
      </c>
      <c r="X7" s="1" t="s">
        <v>466</v>
      </c>
      <c r="Y7" s="1" t="s">
        <v>467</v>
      </c>
      <c r="Z7" s="1" t="s">
        <v>468</v>
      </c>
      <c r="AA7" s="1" t="s">
        <v>469</v>
      </c>
      <c r="AB7" s="1" t="s">
        <v>470</v>
      </c>
      <c r="AC7" s="1" t="s">
        <v>409</v>
      </c>
      <c r="AD7" s="1" t="s">
        <v>439</v>
      </c>
      <c r="AE7" s="1" t="s">
        <v>439</v>
      </c>
      <c r="AF7" s="1" t="s">
        <v>461</v>
      </c>
      <c r="AG7" s="1" t="s">
        <v>471</v>
      </c>
      <c r="AL7" s="2" t="s">
        <v>472</v>
      </c>
      <c r="AM7" s="2" t="s">
        <v>473</v>
      </c>
      <c r="AN7" s="2" t="s">
        <v>449</v>
      </c>
      <c r="AO7" s="2" t="s">
        <v>474</v>
      </c>
      <c r="AP7" s="2" t="s">
        <v>475</v>
      </c>
      <c r="AQ7" s="2" t="s">
        <v>476</v>
      </c>
      <c r="AR7" s="2"/>
      <c r="AS7" s="2"/>
      <c r="AT7" s="5" t="s">
        <v>472</v>
      </c>
      <c r="AU7" s="1" t="s">
        <v>440</v>
      </c>
      <c r="AV7" s="8" t="s">
        <v>66</v>
      </c>
      <c r="AW7" s="7" t="s">
        <v>99</v>
      </c>
      <c r="AX7" s="7" t="s">
        <v>413</v>
      </c>
      <c r="AY7" s="7" t="s">
        <v>477</v>
      </c>
      <c r="AZ7" s="2"/>
      <c r="BC7" s="2"/>
    </row>
    <row r="8" spans="1:55" x14ac:dyDescent="0.5">
      <c r="G8" s="1" t="s">
        <v>386</v>
      </c>
      <c r="H8" s="1" t="s">
        <v>386</v>
      </c>
      <c r="I8" s="1" t="s">
        <v>386</v>
      </c>
      <c r="L8" s="1" t="s">
        <v>478</v>
      </c>
      <c r="M8" s="1" t="s">
        <v>479</v>
      </c>
      <c r="N8" s="1" t="s">
        <v>347</v>
      </c>
      <c r="O8" s="1" t="s">
        <v>458</v>
      </c>
      <c r="P8" s="1" t="s">
        <v>480</v>
      </c>
      <c r="Q8" s="1" t="s">
        <v>481</v>
      </c>
      <c r="S8" s="1" t="s">
        <v>478</v>
      </c>
      <c r="T8" s="1" t="s">
        <v>479</v>
      </c>
      <c r="U8" s="1" t="s">
        <v>347</v>
      </c>
      <c r="V8" s="1" t="s">
        <v>458</v>
      </c>
      <c r="W8" s="1" t="s">
        <v>480</v>
      </c>
      <c r="X8" s="1" t="s">
        <v>481</v>
      </c>
      <c r="Y8" s="1" t="s">
        <v>343</v>
      </c>
      <c r="Z8" s="1" t="s">
        <v>482</v>
      </c>
      <c r="AA8" s="1" t="s">
        <v>483</v>
      </c>
      <c r="AB8" s="1" t="s">
        <v>484</v>
      </c>
      <c r="AC8" s="1" t="s">
        <v>99</v>
      </c>
      <c r="AD8" s="1" t="s">
        <v>343</v>
      </c>
      <c r="AE8" s="1" t="s">
        <v>485</v>
      </c>
      <c r="AF8" s="1" t="s">
        <v>486</v>
      </c>
      <c r="AG8" s="1" t="s">
        <v>487</v>
      </c>
      <c r="AL8" s="2" t="s">
        <v>478</v>
      </c>
      <c r="AM8" s="2" t="s">
        <v>456</v>
      </c>
      <c r="AN8" s="2" t="s">
        <v>465</v>
      </c>
      <c r="AO8" s="2" t="s">
        <v>488</v>
      </c>
      <c r="AP8" s="2" t="s">
        <v>489</v>
      </c>
      <c r="AQ8" s="2" t="s">
        <v>490</v>
      </c>
      <c r="AR8" s="2"/>
      <c r="AS8" s="2"/>
      <c r="AT8" s="6" t="s">
        <v>478</v>
      </c>
      <c r="AU8" s="7" t="s">
        <v>447</v>
      </c>
      <c r="AV8" s="7" t="s">
        <v>99</v>
      </c>
      <c r="AW8" s="5" t="s">
        <v>449</v>
      </c>
      <c r="AX8" s="8" t="s">
        <v>477</v>
      </c>
      <c r="AY8" s="7" t="s">
        <v>491</v>
      </c>
      <c r="AZ8" s="2"/>
      <c r="BC8" s="2"/>
    </row>
    <row r="9" spans="1:55" x14ac:dyDescent="0.5">
      <c r="G9" s="1" t="s">
        <v>387</v>
      </c>
      <c r="H9" s="1" t="s">
        <v>387</v>
      </c>
      <c r="I9" s="1" t="s">
        <v>387</v>
      </c>
      <c r="L9" s="1" t="s">
        <v>350</v>
      </c>
      <c r="M9" s="1" t="s">
        <v>492</v>
      </c>
      <c r="N9" s="1" t="s">
        <v>493</v>
      </c>
      <c r="O9" s="1" t="s">
        <v>494</v>
      </c>
      <c r="P9" s="1" t="s">
        <v>495</v>
      </c>
      <c r="Q9" s="1" t="s">
        <v>343</v>
      </c>
      <c r="S9" s="1" t="s">
        <v>350</v>
      </c>
      <c r="T9" s="1" t="s">
        <v>492</v>
      </c>
      <c r="U9" s="1" t="s">
        <v>493</v>
      </c>
      <c r="V9" s="1" t="s">
        <v>494</v>
      </c>
      <c r="W9" s="1" t="s">
        <v>495</v>
      </c>
      <c r="X9" s="1" t="s">
        <v>343</v>
      </c>
      <c r="Y9" s="1" t="s">
        <v>466</v>
      </c>
      <c r="Z9" s="1" t="s">
        <v>496</v>
      </c>
      <c r="AA9" s="1" t="s">
        <v>497</v>
      </c>
      <c r="AB9" s="1" t="s">
        <v>498</v>
      </c>
      <c r="AC9" s="1" t="s">
        <v>499</v>
      </c>
      <c r="AD9" s="1" t="s">
        <v>356</v>
      </c>
      <c r="AE9" s="1" t="s">
        <v>500</v>
      </c>
      <c r="AF9" s="1" t="s">
        <v>501</v>
      </c>
      <c r="AG9" s="1" t="s">
        <v>477</v>
      </c>
      <c r="AL9" s="2" t="s">
        <v>350</v>
      </c>
      <c r="AM9" s="2" t="s">
        <v>502</v>
      </c>
      <c r="AN9" s="2" t="s">
        <v>503</v>
      </c>
      <c r="AO9" s="2" t="s">
        <v>465</v>
      </c>
      <c r="AP9" s="2" t="s">
        <v>504</v>
      </c>
      <c r="AQ9" s="2" t="s">
        <v>505</v>
      </c>
      <c r="AR9" s="2"/>
      <c r="AS9" s="2"/>
      <c r="AT9" s="5" t="s">
        <v>350</v>
      </c>
      <c r="AU9" s="6" t="s">
        <v>458</v>
      </c>
      <c r="AV9" s="7" t="s">
        <v>474</v>
      </c>
      <c r="AW9" s="8" t="s">
        <v>432</v>
      </c>
      <c r="AX9" s="8" t="s">
        <v>439</v>
      </c>
      <c r="AY9" s="8" t="s">
        <v>506</v>
      </c>
      <c r="AZ9" s="2"/>
      <c r="BC9" s="2"/>
    </row>
    <row r="10" spans="1:55" x14ac:dyDescent="0.5">
      <c r="L10" s="1" t="s">
        <v>507</v>
      </c>
      <c r="M10" s="1" t="s">
        <v>508</v>
      </c>
      <c r="N10" s="1" t="s">
        <v>456</v>
      </c>
      <c r="O10" s="1" t="s">
        <v>473</v>
      </c>
      <c r="P10" s="1" t="s">
        <v>449</v>
      </c>
      <c r="Q10" s="1" t="s">
        <v>344</v>
      </c>
      <c r="S10" s="1" t="s">
        <v>507</v>
      </c>
      <c r="T10" s="1" t="s">
        <v>508</v>
      </c>
      <c r="U10" s="1" t="s">
        <v>456</v>
      </c>
      <c r="V10" s="1" t="s">
        <v>473</v>
      </c>
      <c r="W10" s="1" t="s">
        <v>449</v>
      </c>
      <c r="X10" s="1" t="s">
        <v>344</v>
      </c>
      <c r="Y10" s="1" t="s">
        <v>66</v>
      </c>
      <c r="Z10" s="1" t="s">
        <v>356</v>
      </c>
      <c r="AA10" s="1" t="s">
        <v>509</v>
      </c>
      <c r="AB10" s="1" t="s">
        <v>510</v>
      </c>
      <c r="AC10" s="1" t="s">
        <v>511</v>
      </c>
      <c r="AD10" s="1" t="s">
        <v>346</v>
      </c>
      <c r="AE10" s="1" t="s">
        <v>512</v>
      </c>
      <c r="AF10" s="1" t="s">
        <v>94</v>
      </c>
      <c r="AG10" s="1" t="s">
        <v>513</v>
      </c>
      <c r="AL10" s="2" t="s">
        <v>507</v>
      </c>
      <c r="AM10" s="2" t="s">
        <v>514</v>
      </c>
      <c r="AN10" s="2" t="s">
        <v>515</v>
      </c>
      <c r="AO10" s="2" t="s">
        <v>516</v>
      </c>
      <c r="AP10" s="2" t="s">
        <v>448</v>
      </c>
      <c r="AQ10" s="2" t="s">
        <v>359</v>
      </c>
      <c r="AR10" s="2"/>
      <c r="AS10" s="2"/>
      <c r="AT10" s="6" t="s">
        <v>507</v>
      </c>
      <c r="AU10" s="8" t="s">
        <v>346</v>
      </c>
      <c r="AV10" s="8" t="s">
        <v>488</v>
      </c>
      <c r="AW10" s="6" t="s">
        <v>465</v>
      </c>
      <c r="AX10" s="8" t="s">
        <v>491</v>
      </c>
      <c r="AY10" s="7" t="s">
        <v>517</v>
      </c>
      <c r="AZ10" s="2"/>
      <c r="BC10" s="2"/>
    </row>
    <row r="11" spans="1:55" x14ac:dyDescent="0.5">
      <c r="G11" s="1" t="s">
        <v>402</v>
      </c>
      <c r="H11" s="1" t="s">
        <v>428</v>
      </c>
      <c r="I11" s="1" t="s">
        <v>518</v>
      </c>
      <c r="J11" s="1" t="s">
        <v>462</v>
      </c>
      <c r="L11" s="1" t="s">
        <v>456</v>
      </c>
      <c r="M11" s="1" t="s">
        <v>519</v>
      </c>
      <c r="N11" s="1" t="s">
        <v>520</v>
      </c>
      <c r="O11" s="1" t="s">
        <v>492</v>
      </c>
      <c r="P11" s="1" t="s">
        <v>464</v>
      </c>
      <c r="Q11" s="1" t="s">
        <v>521</v>
      </c>
      <c r="S11" s="1" t="s">
        <v>456</v>
      </c>
      <c r="T11" s="1" t="s">
        <v>519</v>
      </c>
      <c r="U11" s="1" t="s">
        <v>520</v>
      </c>
      <c r="V11" s="1" t="s">
        <v>492</v>
      </c>
      <c r="W11" s="1" t="s">
        <v>464</v>
      </c>
      <c r="X11" s="1" t="s">
        <v>521</v>
      </c>
      <c r="Y11" s="1" t="s">
        <v>99</v>
      </c>
      <c r="Z11" s="1" t="s">
        <v>414</v>
      </c>
      <c r="AA11" s="1" t="s">
        <v>522</v>
      </c>
      <c r="AB11" s="1" t="s">
        <v>356</v>
      </c>
      <c r="AC11" s="1" t="s">
        <v>523</v>
      </c>
      <c r="AD11" s="1" t="s">
        <v>524</v>
      </c>
      <c r="AE11" s="1" t="s">
        <v>491</v>
      </c>
      <c r="AF11" s="1" t="s">
        <v>525</v>
      </c>
      <c r="AG11" s="1" t="s">
        <v>526</v>
      </c>
      <c r="AL11" s="2" t="s">
        <v>527</v>
      </c>
      <c r="AM11" s="2" t="s">
        <v>528</v>
      </c>
      <c r="AN11" s="2" t="s">
        <v>456</v>
      </c>
      <c r="AO11" s="2" t="s">
        <v>458</v>
      </c>
      <c r="AP11" s="2" t="s">
        <v>458</v>
      </c>
      <c r="AQ11" s="2" t="s">
        <v>529</v>
      </c>
      <c r="AR11" s="2"/>
      <c r="AS11" s="2"/>
      <c r="AT11" s="5" t="s">
        <v>527</v>
      </c>
      <c r="AU11" s="5" t="s">
        <v>473</v>
      </c>
      <c r="AV11" s="7" t="s">
        <v>449</v>
      </c>
      <c r="AW11" s="7" t="s">
        <v>448</v>
      </c>
      <c r="AX11" s="8" t="s">
        <v>506</v>
      </c>
      <c r="AY11" s="7" t="s">
        <v>501</v>
      </c>
      <c r="AZ11" s="2"/>
      <c r="BC11" s="2"/>
    </row>
    <row r="12" spans="1:55" x14ac:dyDescent="0.5">
      <c r="G12" s="1" t="s">
        <v>416</v>
      </c>
      <c r="H12" s="1" t="s">
        <v>416</v>
      </c>
      <c r="I12" s="1" t="s">
        <v>416</v>
      </c>
      <c r="J12" s="1" t="s">
        <v>416</v>
      </c>
      <c r="L12" s="1" t="s">
        <v>530</v>
      </c>
      <c r="M12" s="1" t="s">
        <v>530</v>
      </c>
      <c r="N12" s="1" t="s">
        <v>482</v>
      </c>
      <c r="O12" s="1" t="s">
        <v>531</v>
      </c>
      <c r="P12" s="1" t="s">
        <v>532</v>
      </c>
      <c r="Q12" s="1" t="s">
        <v>449</v>
      </c>
      <c r="S12" s="1" t="s">
        <v>530</v>
      </c>
      <c r="T12" s="1" t="s">
        <v>530</v>
      </c>
      <c r="U12" s="1" t="s">
        <v>482</v>
      </c>
      <c r="V12" s="1" t="s">
        <v>531</v>
      </c>
      <c r="W12" s="1" t="s">
        <v>532</v>
      </c>
      <c r="X12" s="1" t="s">
        <v>449</v>
      </c>
      <c r="Y12" s="1" t="s">
        <v>450</v>
      </c>
      <c r="Z12" s="1" t="s">
        <v>533</v>
      </c>
      <c r="AA12" s="1" t="s">
        <v>534</v>
      </c>
      <c r="AB12" s="1" t="s">
        <v>535</v>
      </c>
      <c r="AC12" s="1" t="s">
        <v>536</v>
      </c>
      <c r="AD12" s="1" t="s">
        <v>502</v>
      </c>
      <c r="AE12" s="1" t="s">
        <v>537</v>
      </c>
      <c r="AF12" s="1" t="s">
        <v>538</v>
      </c>
      <c r="AG12" s="1" t="s">
        <v>539</v>
      </c>
      <c r="AL12" s="2" t="s">
        <v>540</v>
      </c>
      <c r="AM12" s="2" t="s">
        <v>541</v>
      </c>
      <c r="AN12" s="2" t="s">
        <v>61</v>
      </c>
      <c r="AO12" s="2" t="s">
        <v>542</v>
      </c>
      <c r="AP12" s="2" t="s">
        <v>543</v>
      </c>
      <c r="AQ12" s="2" t="s">
        <v>544</v>
      </c>
      <c r="AR12" s="2"/>
      <c r="AS12" s="2"/>
      <c r="AT12" s="6" t="s">
        <v>540</v>
      </c>
      <c r="AU12" s="7" t="s">
        <v>479</v>
      </c>
      <c r="AV12" s="8" t="s">
        <v>432</v>
      </c>
      <c r="AW12" s="8" t="s">
        <v>464</v>
      </c>
      <c r="AX12" s="7" t="s">
        <v>517</v>
      </c>
      <c r="AY12" s="8" t="s">
        <v>500</v>
      </c>
      <c r="AZ12" s="2"/>
      <c r="BC12" s="2"/>
    </row>
    <row r="13" spans="1:55" x14ac:dyDescent="0.5">
      <c r="G13" s="1" t="s">
        <v>417</v>
      </c>
      <c r="H13" s="1" t="s">
        <v>417</v>
      </c>
      <c r="I13" s="1" t="s">
        <v>417</v>
      </c>
      <c r="J13" s="1" t="s">
        <v>417</v>
      </c>
      <c r="L13" s="1" t="s">
        <v>540</v>
      </c>
      <c r="M13" s="1" t="s">
        <v>545</v>
      </c>
      <c r="N13" s="1" t="s">
        <v>546</v>
      </c>
      <c r="O13" s="1" t="s">
        <v>519</v>
      </c>
      <c r="P13" s="1" t="s">
        <v>547</v>
      </c>
      <c r="Q13" s="1" t="s">
        <v>548</v>
      </c>
      <c r="S13" s="1" t="s">
        <v>540</v>
      </c>
      <c r="T13" s="1" t="s">
        <v>545</v>
      </c>
      <c r="U13" s="1" t="s">
        <v>546</v>
      </c>
      <c r="V13" s="1" t="s">
        <v>519</v>
      </c>
      <c r="W13" s="1" t="s">
        <v>547</v>
      </c>
      <c r="X13" s="1" t="s">
        <v>548</v>
      </c>
      <c r="Y13" s="1" t="s">
        <v>549</v>
      </c>
      <c r="Z13" s="1" t="s">
        <v>550</v>
      </c>
      <c r="AA13" s="1" t="s">
        <v>352</v>
      </c>
      <c r="AB13" s="1" t="s">
        <v>551</v>
      </c>
      <c r="AC13" s="1" t="s">
        <v>443</v>
      </c>
      <c r="AD13" s="1" t="s">
        <v>552</v>
      </c>
      <c r="AE13" s="1" t="s">
        <v>553</v>
      </c>
      <c r="AF13" s="1" t="s">
        <v>350</v>
      </c>
      <c r="AG13" s="1" t="s">
        <v>552</v>
      </c>
      <c r="AL13" s="2" t="s">
        <v>554</v>
      </c>
      <c r="AM13" s="2" t="s">
        <v>555</v>
      </c>
      <c r="AN13" s="2" t="s">
        <v>453</v>
      </c>
      <c r="AO13" s="2" t="s">
        <v>556</v>
      </c>
      <c r="AP13" s="2" t="s">
        <v>464</v>
      </c>
      <c r="AQ13" s="2" t="s">
        <v>94</v>
      </c>
      <c r="AR13" s="2"/>
      <c r="AS13" s="2"/>
      <c r="AT13" s="5" t="s">
        <v>554</v>
      </c>
      <c r="AU13" s="8" t="s">
        <v>492</v>
      </c>
      <c r="AV13" s="8" t="s">
        <v>465</v>
      </c>
      <c r="AW13" s="7" t="s">
        <v>347</v>
      </c>
      <c r="AX13" s="8" t="s">
        <v>501</v>
      </c>
      <c r="AY13" s="7" t="s">
        <v>412</v>
      </c>
      <c r="AZ13" s="2"/>
      <c r="BC13" s="2"/>
    </row>
    <row r="14" spans="1:55" x14ac:dyDescent="0.5">
      <c r="G14" s="1" t="s">
        <v>418</v>
      </c>
      <c r="H14" s="1" t="s">
        <v>418</v>
      </c>
      <c r="I14" s="1" t="s">
        <v>418</v>
      </c>
      <c r="J14" s="1" t="s">
        <v>418</v>
      </c>
      <c r="L14" s="1" t="s">
        <v>557</v>
      </c>
      <c r="M14" s="1" t="s">
        <v>482</v>
      </c>
      <c r="N14" s="1" t="s">
        <v>351</v>
      </c>
      <c r="O14" s="1" t="s">
        <v>558</v>
      </c>
      <c r="P14" s="1" t="s">
        <v>503</v>
      </c>
      <c r="Q14" s="1" t="s">
        <v>559</v>
      </c>
      <c r="S14" s="1" t="s">
        <v>557</v>
      </c>
      <c r="T14" s="1" t="s">
        <v>482</v>
      </c>
      <c r="U14" s="1" t="s">
        <v>351</v>
      </c>
      <c r="V14" s="1" t="s">
        <v>558</v>
      </c>
      <c r="W14" s="1" t="s">
        <v>503</v>
      </c>
      <c r="X14" s="1" t="s">
        <v>559</v>
      </c>
      <c r="Y14" s="1" t="s">
        <v>560</v>
      </c>
      <c r="Z14" s="1" t="s">
        <v>557</v>
      </c>
      <c r="AA14" s="1" t="s">
        <v>561</v>
      </c>
      <c r="AB14" s="1" t="s">
        <v>562</v>
      </c>
      <c r="AC14" s="1" t="s">
        <v>563</v>
      </c>
      <c r="AD14" s="1" t="s">
        <v>564</v>
      </c>
      <c r="AE14" s="1" t="s">
        <v>565</v>
      </c>
      <c r="AF14" s="1" t="s">
        <v>520</v>
      </c>
      <c r="AG14" s="1" t="s">
        <v>564</v>
      </c>
      <c r="AL14" s="2" t="s">
        <v>566</v>
      </c>
      <c r="AM14" s="2" t="s">
        <v>567</v>
      </c>
      <c r="AN14" s="2" t="s">
        <v>540</v>
      </c>
      <c r="AO14" s="2" t="s">
        <v>568</v>
      </c>
      <c r="AP14" s="2" t="s">
        <v>493</v>
      </c>
      <c r="AQ14" s="2" t="s">
        <v>569</v>
      </c>
      <c r="AR14" s="2"/>
      <c r="AS14" s="2"/>
      <c r="AT14" s="6" t="s">
        <v>566</v>
      </c>
      <c r="AU14" s="7" t="s">
        <v>508</v>
      </c>
      <c r="AV14" s="6" t="s">
        <v>516</v>
      </c>
      <c r="AW14" s="5" t="s">
        <v>503</v>
      </c>
      <c r="AX14" s="8" t="s">
        <v>475</v>
      </c>
      <c r="AY14" s="7" t="s">
        <v>570</v>
      </c>
      <c r="AZ14" s="2"/>
      <c r="BC14" s="2"/>
    </row>
    <row r="15" spans="1:55" x14ac:dyDescent="0.5">
      <c r="G15" s="1" t="s">
        <v>419</v>
      </c>
      <c r="H15" s="1" t="s">
        <v>419</v>
      </c>
      <c r="I15" s="1" t="s">
        <v>419</v>
      </c>
      <c r="J15" s="1" t="s">
        <v>419</v>
      </c>
      <c r="L15" s="1" t="s">
        <v>554</v>
      </c>
      <c r="M15" s="1" t="s">
        <v>502</v>
      </c>
      <c r="N15" s="1" t="s">
        <v>453</v>
      </c>
      <c r="O15" s="1" t="s">
        <v>61</v>
      </c>
      <c r="P15" s="1" t="s">
        <v>493</v>
      </c>
      <c r="Q15" s="1" t="s">
        <v>440</v>
      </c>
      <c r="S15" s="1" t="s">
        <v>554</v>
      </c>
      <c r="T15" s="1" t="s">
        <v>502</v>
      </c>
      <c r="U15" s="1" t="s">
        <v>453</v>
      </c>
      <c r="V15" s="1" t="s">
        <v>61</v>
      </c>
      <c r="W15" s="1" t="s">
        <v>493</v>
      </c>
      <c r="X15" s="1" t="s">
        <v>440</v>
      </c>
      <c r="Y15" s="1" t="s">
        <v>410</v>
      </c>
      <c r="Z15" s="1" t="s">
        <v>347</v>
      </c>
      <c r="AA15" s="1" t="s">
        <v>571</v>
      </c>
      <c r="AB15" s="1" t="s">
        <v>347</v>
      </c>
      <c r="AC15" s="1" t="s">
        <v>102</v>
      </c>
      <c r="AD15" s="1" t="s">
        <v>572</v>
      </c>
      <c r="AE15" s="1" t="s">
        <v>506</v>
      </c>
      <c r="AF15" s="1" t="s">
        <v>494</v>
      </c>
      <c r="AG15" s="1" t="s">
        <v>546</v>
      </c>
      <c r="AL15" s="2" t="s">
        <v>573</v>
      </c>
      <c r="AM15" s="2" t="s">
        <v>574</v>
      </c>
      <c r="AN15" s="2" t="s">
        <v>536</v>
      </c>
      <c r="AO15" s="2" t="s">
        <v>575</v>
      </c>
      <c r="AP15" s="2" t="s">
        <v>576</v>
      </c>
      <c r="AQ15" s="2" t="s">
        <v>577</v>
      </c>
      <c r="AR15" s="2"/>
      <c r="AS15" s="2"/>
      <c r="AT15" s="5" t="s">
        <v>573</v>
      </c>
      <c r="AU15" s="8" t="s">
        <v>519</v>
      </c>
      <c r="AV15" s="7" t="s">
        <v>448</v>
      </c>
      <c r="AW15" s="8" t="s">
        <v>493</v>
      </c>
      <c r="AX15" s="8" t="s">
        <v>500</v>
      </c>
      <c r="AY15" s="7" t="s">
        <v>565</v>
      </c>
      <c r="AZ15" s="2"/>
      <c r="BC15" s="2"/>
    </row>
    <row r="16" spans="1:55" x14ac:dyDescent="0.5">
      <c r="G16" s="1" t="s">
        <v>420</v>
      </c>
      <c r="H16" s="1" t="s">
        <v>420</v>
      </c>
      <c r="I16" s="1" t="s">
        <v>420</v>
      </c>
      <c r="J16" s="1" t="s">
        <v>420</v>
      </c>
      <c r="L16" s="1" t="s">
        <v>352</v>
      </c>
      <c r="M16" s="1" t="s">
        <v>351</v>
      </c>
      <c r="N16" s="1" t="s">
        <v>578</v>
      </c>
      <c r="O16" s="1" t="s">
        <v>579</v>
      </c>
      <c r="P16" s="1" t="s">
        <v>580</v>
      </c>
      <c r="Q16" s="1" t="s">
        <v>532</v>
      </c>
      <c r="S16" s="1" t="s">
        <v>352</v>
      </c>
      <c r="T16" s="1" t="s">
        <v>351</v>
      </c>
      <c r="U16" s="1" t="s">
        <v>578</v>
      </c>
      <c r="V16" s="1" t="s">
        <v>579</v>
      </c>
      <c r="W16" s="1" t="s">
        <v>580</v>
      </c>
      <c r="X16" s="1" t="s">
        <v>532</v>
      </c>
      <c r="Y16" s="1" t="s">
        <v>581</v>
      </c>
      <c r="Z16" s="1" t="s">
        <v>64</v>
      </c>
      <c r="AA16" s="1" t="s">
        <v>582</v>
      </c>
      <c r="AB16" s="1" t="s">
        <v>409</v>
      </c>
      <c r="AC16" s="1" t="s">
        <v>583</v>
      </c>
      <c r="AD16" s="1" t="s">
        <v>584</v>
      </c>
      <c r="AE16" s="1" t="s">
        <v>517</v>
      </c>
      <c r="AF16" s="1" t="s">
        <v>585</v>
      </c>
      <c r="AG16" s="1" t="s">
        <v>575</v>
      </c>
      <c r="AL16" s="2" t="s">
        <v>497</v>
      </c>
      <c r="AM16" s="2" t="s">
        <v>586</v>
      </c>
      <c r="AN16" s="2" t="s">
        <v>557</v>
      </c>
      <c r="AO16" s="2" t="s">
        <v>587</v>
      </c>
      <c r="AP16" s="2" t="s">
        <v>580</v>
      </c>
      <c r="AQ16" s="2" t="s">
        <v>588</v>
      </c>
      <c r="AR16" s="2"/>
      <c r="AS16" s="2"/>
      <c r="AT16" s="6" t="s">
        <v>497</v>
      </c>
      <c r="AU16" s="6" t="s">
        <v>456</v>
      </c>
      <c r="AV16" s="7" t="s">
        <v>458</v>
      </c>
      <c r="AW16" s="5" t="s">
        <v>456</v>
      </c>
      <c r="AX16" s="8" t="s">
        <v>412</v>
      </c>
      <c r="AY16" s="7" t="s">
        <v>589</v>
      </c>
      <c r="AZ16" s="2"/>
      <c r="BC16" s="2"/>
    </row>
    <row r="17" spans="7:55" x14ac:dyDescent="0.5">
      <c r="G17" s="1" t="s">
        <v>421</v>
      </c>
      <c r="H17" s="1" t="s">
        <v>421</v>
      </c>
      <c r="I17" s="1" t="s">
        <v>421</v>
      </c>
      <c r="J17" s="1" t="s">
        <v>421</v>
      </c>
      <c r="L17" s="1" t="s">
        <v>590</v>
      </c>
      <c r="M17" s="1" t="s">
        <v>352</v>
      </c>
      <c r="N17" s="1" t="s">
        <v>540</v>
      </c>
      <c r="O17" s="1" t="s">
        <v>591</v>
      </c>
      <c r="P17" s="1" t="s">
        <v>592</v>
      </c>
      <c r="Q17" s="1" t="s">
        <v>547</v>
      </c>
      <c r="S17" s="1" t="s">
        <v>590</v>
      </c>
      <c r="T17" s="1" t="s">
        <v>352</v>
      </c>
      <c r="U17" s="1" t="s">
        <v>540</v>
      </c>
      <c r="V17" s="1" t="s">
        <v>591</v>
      </c>
      <c r="W17" s="1" t="s">
        <v>592</v>
      </c>
      <c r="X17" s="1" t="s">
        <v>547</v>
      </c>
      <c r="Y17" s="1" t="s">
        <v>59</v>
      </c>
      <c r="Z17" s="1" t="s">
        <v>499</v>
      </c>
      <c r="AA17" s="1" t="s">
        <v>593</v>
      </c>
      <c r="AB17" s="1" t="s">
        <v>594</v>
      </c>
      <c r="AC17" s="1" t="s">
        <v>500</v>
      </c>
      <c r="AD17" s="1" t="s">
        <v>595</v>
      </c>
      <c r="AE17" s="1" t="s">
        <v>596</v>
      </c>
      <c r="AF17" s="1" t="s">
        <v>597</v>
      </c>
      <c r="AG17" s="1" t="s">
        <v>465</v>
      </c>
      <c r="AL17" s="2" t="s">
        <v>598</v>
      </c>
      <c r="AM17" s="2" t="s">
        <v>599</v>
      </c>
      <c r="AN17" s="2" t="s">
        <v>600</v>
      </c>
      <c r="AO17" s="2" t="s">
        <v>540</v>
      </c>
      <c r="AP17" s="2" t="s">
        <v>492</v>
      </c>
      <c r="AQ17" s="2" t="s">
        <v>601</v>
      </c>
      <c r="AR17" s="2"/>
      <c r="AS17" s="2"/>
      <c r="AT17" s="5" t="s">
        <v>598</v>
      </c>
      <c r="AU17" s="7" t="s">
        <v>530</v>
      </c>
      <c r="AV17" s="8" t="s">
        <v>464</v>
      </c>
      <c r="AW17" s="6" t="s">
        <v>61</v>
      </c>
      <c r="AX17" s="8" t="s">
        <v>450</v>
      </c>
      <c r="AY17" s="7" t="s">
        <v>465</v>
      </c>
      <c r="AZ17" s="2"/>
      <c r="BC17" s="2"/>
    </row>
    <row r="18" spans="7:55" x14ac:dyDescent="0.5">
      <c r="L18" s="1" t="s">
        <v>602</v>
      </c>
      <c r="M18" s="1" t="s">
        <v>602</v>
      </c>
      <c r="N18" s="1" t="s">
        <v>603</v>
      </c>
      <c r="O18" s="1" t="s">
        <v>568</v>
      </c>
      <c r="P18" s="1" t="s">
        <v>558</v>
      </c>
      <c r="Q18" s="1" t="s">
        <v>604</v>
      </c>
      <c r="S18" s="1" t="s">
        <v>602</v>
      </c>
      <c r="T18" s="1" t="s">
        <v>602</v>
      </c>
      <c r="U18" s="1" t="s">
        <v>603</v>
      </c>
      <c r="V18" s="1" t="s">
        <v>568</v>
      </c>
      <c r="W18" s="1" t="s">
        <v>558</v>
      </c>
      <c r="X18" s="1" t="s">
        <v>604</v>
      </c>
      <c r="Y18" s="1" t="s">
        <v>605</v>
      </c>
      <c r="Z18" s="1" t="s">
        <v>511</v>
      </c>
      <c r="AA18" s="1" t="s">
        <v>499</v>
      </c>
      <c r="AB18" s="1" t="s">
        <v>464</v>
      </c>
      <c r="AC18" s="1" t="s">
        <v>553</v>
      </c>
      <c r="AD18" s="1" t="s">
        <v>478</v>
      </c>
      <c r="AE18" s="1" t="s">
        <v>606</v>
      </c>
      <c r="AF18" s="1" t="s">
        <v>108</v>
      </c>
      <c r="AG18" s="1" t="s">
        <v>607</v>
      </c>
      <c r="AL18" s="2" t="s">
        <v>608</v>
      </c>
      <c r="AM18" s="2" t="s">
        <v>609</v>
      </c>
      <c r="AN18" s="2" t="s">
        <v>610</v>
      </c>
      <c r="AO18" s="2" t="s">
        <v>522</v>
      </c>
      <c r="AP18" s="2" t="s">
        <v>519</v>
      </c>
      <c r="AQ18" s="2" t="s">
        <v>611</v>
      </c>
      <c r="AR18" s="2"/>
      <c r="AS18" s="2"/>
      <c r="AT18" s="6" t="s">
        <v>608</v>
      </c>
      <c r="AU18" s="8" t="s">
        <v>545</v>
      </c>
      <c r="AV18" s="7" t="s">
        <v>347</v>
      </c>
      <c r="AW18" s="5" t="s">
        <v>520</v>
      </c>
      <c r="AX18" s="8" t="s">
        <v>570</v>
      </c>
      <c r="AY18" s="7" t="s">
        <v>440</v>
      </c>
      <c r="AZ18" s="2"/>
      <c r="BC18" s="2"/>
    </row>
    <row r="19" spans="7:55" x14ac:dyDescent="0.5">
      <c r="G19" s="1" t="s">
        <v>403</v>
      </c>
      <c r="H19" s="1" t="s">
        <v>612</v>
      </c>
      <c r="I19" s="1" t="s">
        <v>445</v>
      </c>
      <c r="L19" s="1" t="s">
        <v>602</v>
      </c>
      <c r="M19" s="1" t="s">
        <v>541</v>
      </c>
      <c r="N19" s="1" t="s">
        <v>536</v>
      </c>
      <c r="O19" s="1" t="s">
        <v>585</v>
      </c>
      <c r="P19" s="1" t="s">
        <v>613</v>
      </c>
      <c r="Q19" s="1" t="s">
        <v>614</v>
      </c>
      <c r="S19" s="1" t="s">
        <v>602</v>
      </c>
      <c r="T19" s="1" t="s">
        <v>541</v>
      </c>
      <c r="U19" s="1" t="s">
        <v>536</v>
      </c>
      <c r="V19" s="1" t="s">
        <v>585</v>
      </c>
      <c r="W19" s="1" t="s">
        <v>613</v>
      </c>
      <c r="X19" s="1" t="s">
        <v>614</v>
      </c>
      <c r="Y19" s="1" t="s">
        <v>615</v>
      </c>
      <c r="Z19" s="1" t="s">
        <v>602</v>
      </c>
      <c r="AA19" s="1" t="s">
        <v>616</v>
      </c>
      <c r="AB19" s="1" t="s">
        <v>617</v>
      </c>
      <c r="AC19" s="1" t="s">
        <v>537</v>
      </c>
      <c r="AD19" s="1" t="s">
        <v>618</v>
      </c>
      <c r="AE19" s="1" t="s">
        <v>619</v>
      </c>
      <c r="AF19" s="1" t="s">
        <v>90</v>
      </c>
      <c r="AG19" s="1" t="s">
        <v>360</v>
      </c>
      <c r="AL19" s="2" t="s">
        <v>620</v>
      </c>
      <c r="AM19" s="2" t="s">
        <v>608</v>
      </c>
      <c r="AN19" s="2" t="s">
        <v>108</v>
      </c>
      <c r="AO19" s="2" t="s">
        <v>621</v>
      </c>
      <c r="AP19" s="2" t="s">
        <v>592</v>
      </c>
      <c r="AQ19" s="2" t="s">
        <v>622</v>
      </c>
      <c r="AR19" s="2"/>
      <c r="AS19" s="2"/>
      <c r="AT19" s="5" t="s">
        <v>620</v>
      </c>
      <c r="AU19" s="7" t="s">
        <v>482</v>
      </c>
      <c r="AV19" s="8" t="s">
        <v>494</v>
      </c>
      <c r="AW19" s="5" t="s">
        <v>482</v>
      </c>
      <c r="AX19" s="7" t="s">
        <v>565</v>
      </c>
      <c r="AY19" s="7" t="s">
        <v>487</v>
      </c>
      <c r="AZ19" s="2"/>
      <c r="BC19" s="2"/>
    </row>
    <row r="20" spans="7:55" x14ac:dyDescent="0.5">
      <c r="G20" s="1" t="s">
        <v>422</v>
      </c>
      <c r="H20" s="1" t="s">
        <v>422</v>
      </c>
      <c r="I20" s="1" t="s">
        <v>422</v>
      </c>
      <c r="L20" s="1" t="s">
        <v>623</v>
      </c>
      <c r="M20" s="1" t="s">
        <v>624</v>
      </c>
      <c r="N20" s="1" t="s">
        <v>528</v>
      </c>
      <c r="O20" s="1" t="s">
        <v>546</v>
      </c>
      <c r="P20" s="1" t="s">
        <v>61</v>
      </c>
      <c r="Q20" s="1" t="s">
        <v>625</v>
      </c>
      <c r="S20" s="1" t="s">
        <v>623</v>
      </c>
      <c r="T20" s="1" t="s">
        <v>624</v>
      </c>
      <c r="U20" s="1" t="s">
        <v>528</v>
      </c>
      <c r="V20" s="1" t="s">
        <v>546</v>
      </c>
      <c r="W20" s="1" t="s">
        <v>61</v>
      </c>
      <c r="X20" s="1" t="s">
        <v>625</v>
      </c>
      <c r="Y20" s="1" t="s">
        <v>626</v>
      </c>
      <c r="Z20" s="1" t="s">
        <v>627</v>
      </c>
      <c r="AA20" s="1" t="s">
        <v>628</v>
      </c>
      <c r="AB20" s="1" t="s">
        <v>601</v>
      </c>
      <c r="AC20" s="1" t="s">
        <v>629</v>
      </c>
      <c r="AD20" s="1" t="s">
        <v>630</v>
      </c>
      <c r="AE20" s="1" t="s">
        <v>589</v>
      </c>
      <c r="AF20" s="1" t="s">
        <v>354</v>
      </c>
      <c r="AG20" s="1" t="s">
        <v>589</v>
      </c>
      <c r="AL20" s="2" t="s">
        <v>631</v>
      </c>
      <c r="AM20" s="2" t="s">
        <v>631</v>
      </c>
      <c r="AN20" s="2" t="s">
        <v>609</v>
      </c>
      <c r="AO20" s="2" t="s">
        <v>352</v>
      </c>
      <c r="AP20" s="2" t="s">
        <v>558</v>
      </c>
      <c r="AQ20" s="2" t="s">
        <v>367</v>
      </c>
      <c r="AR20" s="2"/>
      <c r="AS20" s="2"/>
      <c r="AT20" s="6" t="s">
        <v>631</v>
      </c>
      <c r="AU20" s="5" t="s">
        <v>502</v>
      </c>
      <c r="AV20" s="8" t="s">
        <v>493</v>
      </c>
      <c r="AW20" s="5" t="s">
        <v>546</v>
      </c>
      <c r="AX20" s="7" t="s">
        <v>589</v>
      </c>
      <c r="AY20" s="7" t="s">
        <v>512</v>
      </c>
      <c r="AZ20" s="2"/>
      <c r="BC20" s="2"/>
    </row>
    <row r="21" spans="7:55" x14ac:dyDescent="0.5">
      <c r="G21" s="1" t="s">
        <v>423</v>
      </c>
      <c r="H21" s="1" t="s">
        <v>423</v>
      </c>
      <c r="I21" s="1" t="s">
        <v>423</v>
      </c>
      <c r="L21" s="1" t="s">
        <v>356</v>
      </c>
      <c r="M21" s="1" t="s">
        <v>555</v>
      </c>
      <c r="N21" s="1" t="s">
        <v>537</v>
      </c>
      <c r="O21" s="1" t="s">
        <v>575</v>
      </c>
      <c r="P21" s="1" t="s">
        <v>530</v>
      </c>
      <c r="Q21" s="1" t="s">
        <v>632</v>
      </c>
      <c r="S21" s="1" t="s">
        <v>356</v>
      </c>
      <c r="T21" s="1" t="s">
        <v>555</v>
      </c>
      <c r="U21" s="1" t="s">
        <v>537</v>
      </c>
      <c r="V21" s="1" t="s">
        <v>575</v>
      </c>
      <c r="W21" s="1" t="s">
        <v>530</v>
      </c>
      <c r="X21" s="1" t="s">
        <v>632</v>
      </c>
      <c r="Y21" s="1" t="s">
        <v>493</v>
      </c>
      <c r="Z21" s="1" t="s">
        <v>633</v>
      </c>
      <c r="AA21" s="1" t="s">
        <v>634</v>
      </c>
      <c r="AB21" s="1" t="s">
        <v>635</v>
      </c>
      <c r="AC21" s="1" t="s">
        <v>636</v>
      </c>
      <c r="AD21" s="1" t="s">
        <v>637</v>
      </c>
      <c r="AE21" s="1" t="s">
        <v>570</v>
      </c>
      <c r="AF21" s="1" t="s">
        <v>450</v>
      </c>
      <c r="AG21" s="1" t="s">
        <v>638</v>
      </c>
      <c r="AL21" s="2" t="s">
        <v>639</v>
      </c>
      <c r="AM21" s="2" t="s">
        <v>640</v>
      </c>
      <c r="AN21" s="2" t="s">
        <v>593</v>
      </c>
      <c r="AO21" s="2" t="s">
        <v>602</v>
      </c>
      <c r="AP21" s="2" t="s">
        <v>525</v>
      </c>
      <c r="AQ21" s="2" t="s">
        <v>641</v>
      </c>
      <c r="AR21" s="2"/>
      <c r="AS21" s="2"/>
      <c r="AT21" s="5" t="s">
        <v>639</v>
      </c>
      <c r="AU21" s="7" t="s">
        <v>351</v>
      </c>
      <c r="AV21" s="7" t="s">
        <v>473</v>
      </c>
      <c r="AW21" s="5" t="s">
        <v>351</v>
      </c>
      <c r="AX21" s="8" t="s">
        <v>642</v>
      </c>
      <c r="AY21" s="7" t="s">
        <v>347</v>
      </c>
      <c r="AZ21" s="2"/>
      <c r="BC21" s="2"/>
    </row>
    <row r="22" spans="7:55" x14ac:dyDescent="0.5">
      <c r="G22" s="1" t="s">
        <v>424</v>
      </c>
      <c r="H22" s="1" t="s">
        <v>424</v>
      </c>
      <c r="I22" s="1" t="s">
        <v>424</v>
      </c>
      <c r="L22" s="1" t="s">
        <v>108</v>
      </c>
      <c r="M22" s="1" t="s">
        <v>414</v>
      </c>
      <c r="N22" s="1" t="s">
        <v>643</v>
      </c>
      <c r="O22" s="1" t="s">
        <v>643</v>
      </c>
      <c r="P22" s="1" t="s">
        <v>644</v>
      </c>
      <c r="Q22" s="1" t="s">
        <v>645</v>
      </c>
      <c r="S22" s="1" t="s">
        <v>108</v>
      </c>
      <c r="T22" s="1" t="s">
        <v>414</v>
      </c>
      <c r="U22" s="1" t="s">
        <v>643</v>
      </c>
      <c r="V22" s="1" t="s">
        <v>643</v>
      </c>
      <c r="W22" s="1" t="s">
        <v>644</v>
      </c>
      <c r="X22" s="1" t="s">
        <v>645</v>
      </c>
      <c r="Y22" s="1" t="s">
        <v>646</v>
      </c>
      <c r="Z22" s="1" t="s">
        <v>555</v>
      </c>
      <c r="AA22" s="1" t="s">
        <v>587</v>
      </c>
      <c r="AB22" s="1" t="s">
        <v>534</v>
      </c>
      <c r="AC22" s="1" t="s">
        <v>647</v>
      </c>
      <c r="AD22" s="1" t="s">
        <v>364</v>
      </c>
      <c r="AE22" s="1" t="s">
        <v>648</v>
      </c>
      <c r="AF22" s="1" t="s">
        <v>629</v>
      </c>
      <c r="AG22" s="1" t="s">
        <v>649</v>
      </c>
      <c r="AL22" s="2" t="s">
        <v>650</v>
      </c>
      <c r="AM22" s="2" t="s">
        <v>651</v>
      </c>
      <c r="AN22" s="2" t="s">
        <v>549</v>
      </c>
      <c r="AO22" s="2" t="s">
        <v>586</v>
      </c>
      <c r="AP22" s="2" t="s">
        <v>456</v>
      </c>
      <c r="AT22" s="5" t="s">
        <v>640</v>
      </c>
      <c r="AU22" s="7" t="s">
        <v>514</v>
      </c>
      <c r="AV22" s="8" t="s">
        <v>542</v>
      </c>
      <c r="AW22" s="5" t="s">
        <v>453</v>
      </c>
      <c r="AX22" s="8" t="s">
        <v>465</v>
      </c>
      <c r="AY22" s="7" t="s">
        <v>503</v>
      </c>
    </row>
    <row r="23" spans="7:55" x14ac:dyDescent="0.5">
      <c r="G23" s="1" t="s">
        <v>425</v>
      </c>
      <c r="H23" s="1" t="s">
        <v>425</v>
      </c>
      <c r="I23" s="1" t="s">
        <v>425</v>
      </c>
      <c r="L23" s="1" t="s">
        <v>574</v>
      </c>
      <c r="M23" s="1" t="s">
        <v>567</v>
      </c>
      <c r="N23" s="1" t="s">
        <v>643</v>
      </c>
      <c r="O23" s="1" t="s">
        <v>602</v>
      </c>
      <c r="P23" s="1" t="s">
        <v>64</v>
      </c>
      <c r="Q23" s="1" t="s">
        <v>492</v>
      </c>
      <c r="S23" s="1" t="s">
        <v>574</v>
      </c>
      <c r="T23" s="1" t="s">
        <v>567</v>
      </c>
      <c r="U23" s="1" t="s">
        <v>643</v>
      </c>
      <c r="V23" s="1" t="s">
        <v>602</v>
      </c>
      <c r="W23" s="1" t="s">
        <v>64</v>
      </c>
      <c r="X23" s="1" t="s">
        <v>492</v>
      </c>
      <c r="Y23" s="1" t="s">
        <v>356</v>
      </c>
      <c r="Z23" s="1" t="s">
        <v>652</v>
      </c>
      <c r="AA23" s="1" t="s">
        <v>653</v>
      </c>
      <c r="AB23" s="1" t="s">
        <v>509</v>
      </c>
      <c r="AC23" s="1" t="s">
        <v>654</v>
      </c>
      <c r="AD23" s="1" t="s">
        <v>581</v>
      </c>
      <c r="AE23" s="1" t="s">
        <v>540</v>
      </c>
      <c r="AF23" s="1" t="s">
        <v>531</v>
      </c>
      <c r="AG23" s="1" t="s">
        <v>655</v>
      </c>
      <c r="AL23" s="2" t="s">
        <v>595</v>
      </c>
      <c r="AM23" s="2" t="s">
        <v>629</v>
      </c>
      <c r="AN23" s="2" t="s">
        <v>361</v>
      </c>
      <c r="AO23" s="2" t="s">
        <v>656</v>
      </c>
      <c r="AP23" s="2" t="s">
        <v>657</v>
      </c>
      <c r="AT23" s="6" t="s">
        <v>650</v>
      </c>
      <c r="AU23" s="7" t="s">
        <v>528</v>
      </c>
      <c r="AV23" s="8" t="s">
        <v>492</v>
      </c>
      <c r="AW23" s="7" t="s">
        <v>578</v>
      </c>
      <c r="AX23" s="7" t="s">
        <v>440</v>
      </c>
      <c r="AY23" s="7" t="s">
        <v>494</v>
      </c>
    </row>
    <row r="24" spans="7:55" x14ac:dyDescent="0.5">
      <c r="G24" s="1" t="s">
        <v>426</v>
      </c>
      <c r="H24" s="1" t="s">
        <v>426</v>
      </c>
      <c r="I24" s="1" t="s">
        <v>426</v>
      </c>
      <c r="L24" s="1" t="s">
        <v>573</v>
      </c>
      <c r="M24" s="1" t="s">
        <v>356</v>
      </c>
      <c r="N24" s="1" t="s">
        <v>102</v>
      </c>
      <c r="O24" s="1" t="s">
        <v>658</v>
      </c>
      <c r="P24" s="1" t="s">
        <v>351</v>
      </c>
      <c r="Q24" s="1" t="s">
        <v>531</v>
      </c>
      <c r="S24" s="1" t="s">
        <v>573</v>
      </c>
      <c r="T24" s="1" t="s">
        <v>356</v>
      </c>
      <c r="U24" s="1" t="s">
        <v>102</v>
      </c>
      <c r="V24" s="1" t="s">
        <v>658</v>
      </c>
      <c r="W24" s="1" t="s">
        <v>351</v>
      </c>
      <c r="X24" s="1" t="s">
        <v>531</v>
      </c>
      <c r="Y24" s="1" t="s">
        <v>496</v>
      </c>
      <c r="Z24" s="1" t="s">
        <v>408</v>
      </c>
      <c r="AA24" s="1" t="s">
        <v>659</v>
      </c>
      <c r="AB24" s="1" t="s">
        <v>627</v>
      </c>
      <c r="AC24" s="1" t="s">
        <v>589</v>
      </c>
      <c r="AD24" s="1" t="s">
        <v>660</v>
      </c>
      <c r="AE24" s="1" t="s">
        <v>660</v>
      </c>
      <c r="AF24" s="1" t="s">
        <v>661</v>
      </c>
      <c r="AG24" s="1" t="s">
        <v>562</v>
      </c>
      <c r="AL24" s="2" t="s">
        <v>90</v>
      </c>
      <c r="AM24" s="2" t="s">
        <v>661</v>
      </c>
      <c r="AN24" s="2" t="s">
        <v>662</v>
      </c>
      <c r="AO24" s="2" t="s">
        <v>663</v>
      </c>
      <c r="AP24" s="2" t="s">
        <v>351</v>
      </c>
      <c r="AT24" s="5" t="s">
        <v>595</v>
      </c>
      <c r="AU24" s="7" t="s">
        <v>352</v>
      </c>
      <c r="AV24" s="7" t="s">
        <v>531</v>
      </c>
      <c r="AW24" s="6" t="s">
        <v>540</v>
      </c>
      <c r="AX24" s="7" t="s">
        <v>564</v>
      </c>
      <c r="AY24" s="7" t="s">
        <v>664</v>
      </c>
    </row>
    <row r="25" spans="7:55" x14ac:dyDescent="0.5">
      <c r="G25" s="1" t="s">
        <v>665</v>
      </c>
      <c r="H25" s="1" t="s">
        <v>665</v>
      </c>
      <c r="I25" s="1" t="s">
        <v>665</v>
      </c>
      <c r="L25" s="1" t="s">
        <v>666</v>
      </c>
      <c r="M25" s="1" t="s">
        <v>108</v>
      </c>
      <c r="N25" s="1" t="s">
        <v>658</v>
      </c>
      <c r="O25" s="1" t="s">
        <v>656</v>
      </c>
      <c r="P25" s="1" t="s">
        <v>655</v>
      </c>
      <c r="Q25" s="1" t="s">
        <v>667</v>
      </c>
      <c r="S25" s="1" t="s">
        <v>666</v>
      </c>
      <c r="T25" s="1" t="s">
        <v>108</v>
      </c>
      <c r="U25" s="1" t="s">
        <v>658</v>
      </c>
      <c r="V25" s="1" t="s">
        <v>656</v>
      </c>
      <c r="W25" s="1" t="s">
        <v>655</v>
      </c>
      <c r="X25" s="1" t="s">
        <v>667</v>
      </c>
      <c r="Y25" s="1" t="s">
        <v>668</v>
      </c>
      <c r="Z25" s="1" t="s">
        <v>669</v>
      </c>
      <c r="AA25" s="1" t="s">
        <v>670</v>
      </c>
      <c r="AB25" s="1" t="s">
        <v>671</v>
      </c>
      <c r="AC25" s="1" t="s">
        <v>638</v>
      </c>
      <c r="AD25" s="1" t="s">
        <v>540</v>
      </c>
      <c r="AE25" s="1" t="s">
        <v>672</v>
      </c>
      <c r="AF25" s="1" t="s">
        <v>503</v>
      </c>
      <c r="AG25" s="1" t="s">
        <v>475</v>
      </c>
      <c r="AL25" s="2" t="s">
        <v>661</v>
      </c>
      <c r="AM25" s="2" t="s">
        <v>437</v>
      </c>
      <c r="AN25" s="2" t="s">
        <v>364</v>
      </c>
      <c r="AO25" s="2" t="s">
        <v>673</v>
      </c>
      <c r="AP25" s="2" t="s">
        <v>537</v>
      </c>
      <c r="AT25" s="6" t="s">
        <v>90</v>
      </c>
      <c r="AU25" s="7" t="s">
        <v>602</v>
      </c>
      <c r="AV25" s="8" t="s">
        <v>519</v>
      </c>
      <c r="AW25" s="7" t="s">
        <v>603</v>
      </c>
      <c r="AX25" s="7" t="s">
        <v>674</v>
      </c>
      <c r="AY25" s="7" t="s">
        <v>539</v>
      </c>
    </row>
    <row r="26" spans="7:55" x14ac:dyDescent="0.5">
      <c r="L26" s="1" t="s">
        <v>620</v>
      </c>
      <c r="M26" s="1" t="s">
        <v>675</v>
      </c>
      <c r="N26" s="1" t="s">
        <v>574</v>
      </c>
      <c r="O26" s="1" t="s">
        <v>676</v>
      </c>
      <c r="P26" s="1" t="s">
        <v>615</v>
      </c>
      <c r="Q26" s="1" t="s">
        <v>519</v>
      </c>
      <c r="S26" s="1" t="s">
        <v>620</v>
      </c>
      <c r="T26" s="1" t="s">
        <v>675</v>
      </c>
      <c r="U26" s="1" t="s">
        <v>574</v>
      </c>
      <c r="V26" s="1" t="s">
        <v>676</v>
      </c>
      <c r="W26" s="1" t="s">
        <v>615</v>
      </c>
      <c r="X26" s="1" t="s">
        <v>519</v>
      </c>
      <c r="Y26" s="1" t="s">
        <v>504</v>
      </c>
      <c r="Z26" s="1" t="s">
        <v>450</v>
      </c>
      <c r="AA26" s="1" t="s">
        <v>452</v>
      </c>
      <c r="AB26" s="1" t="s">
        <v>677</v>
      </c>
      <c r="AC26" s="1" t="s">
        <v>678</v>
      </c>
      <c r="AD26" s="1" t="s">
        <v>672</v>
      </c>
      <c r="AE26" s="1" t="s">
        <v>440</v>
      </c>
      <c r="AF26" s="1" t="s">
        <v>679</v>
      </c>
      <c r="AG26" s="1" t="s">
        <v>680</v>
      </c>
      <c r="AL26" s="2" t="s">
        <v>661</v>
      </c>
      <c r="AM26" s="2" t="s">
        <v>681</v>
      </c>
      <c r="AN26" s="2" t="s">
        <v>437</v>
      </c>
      <c r="AO26" s="2" t="s">
        <v>631</v>
      </c>
      <c r="AP26" s="2" t="s">
        <v>102</v>
      </c>
      <c r="AT26" s="5" t="s">
        <v>661</v>
      </c>
      <c r="AU26" s="7" t="s">
        <v>541</v>
      </c>
      <c r="AV26" s="7" t="s">
        <v>558</v>
      </c>
      <c r="AW26" s="8" t="s">
        <v>536</v>
      </c>
      <c r="AX26" s="7" t="s">
        <v>487</v>
      </c>
      <c r="AY26" s="7" t="s">
        <v>531</v>
      </c>
    </row>
    <row r="27" spans="7:55" x14ac:dyDescent="0.5">
      <c r="L27" s="1" t="s">
        <v>682</v>
      </c>
      <c r="M27" s="1" t="s">
        <v>586</v>
      </c>
      <c r="N27" s="1" t="s">
        <v>675</v>
      </c>
      <c r="O27" s="1" t="s">
        <v>663</v>
      </c>
      <c r="P27" s="1" t="s">
        <v>554</v>
      </c>
      <c r="Q27" s="1" t="s">
        <v>592</v>
      </c>
      <c r="S27" s="1" t="s">
        <v>682</v>
      </c>
      <c r="T27" s="1" t="s">
        <v>586</v>
      </c>
      <c r="U27" s="1" t="s">
        <v>675</v>
      </c>
      <c r="V27" s="1" t="s">
        <v>663</v>
      </c>
      <c r="W27" s="1" t="s">
        <v>554</v>
      </c>
      <c r="X27" s="1" t="s">
        <v>592</v>
      </c>
      <c r="Y27" s="1" t="s">
        <v>452</v>
      </c>
      <c r="Z27" s="1" t="s">
        <v>490</v>
      </c>
      <c r="AA27" s="1" t="s">
        <v>408</v>
      </c>
      <c r="AB27" s="1" t="s">
        <v>499</v>
      </c>
      <c r="AC27" s="1" t="s">
        <v>540</v>
      </c>
      <c r="AD27" s="1" t="s">
        <v>440</v>
      </c>
      <c r="AE27" s="1" t="s">
        <v>683</v>
      </c>
      <c r="AF27" s="1" t="s">
        <v>684</v>
      </c>
      <c r="AG27" s="1" t="s">
        <v>370</v>
      </c>
      <c r="AL27" s="2" t="s">
        <v>685</v>
      </c>
      <c r="AM27" s="2" t="s">
        <v>551</v>
      </c>
      <c r="AN27" s="2" t="s">
        <v>660</v>
      </c>
      <c r="AO27" s="2" t="s">
        <v>560</v>
      </c>
      <c r="AP27" s="2" t="s">
        <v>658</v>
      </c>
      <c r="AT27" s="10" t="s">
        <v>685</v>
      </c>
      <c r="AU27" s="7" t="s">
        <v>624</v>
      </c>
      <c r="AV27" s="7" t="s">
        <v>456</v>
      </c>
      <c r="AW27" s="6" t="s">
        <v>557</v>
      </c>
      <c r="AX27" s="8" t="s">
        <v>471</v>
      </c>
      <c r="AY27" s="7" t="s">
        <v>619</v>
      </c>
    </row>
    <row r="28" spans="7:55" x14ac:dyDescent="0.5">
      <c r="L28" s="1" t="s">
        <v>631</v>
      </c>
      <c r="M28" s="1" t="s">
        <v>609</v>
      </c>
      <c r="N28" s="1" t="s">
        <v>609</v>
      </c>
      <c r="O28" s="1" t="s">
        <v>573</v>
      </c>
      <c r="P28" s="1" t="s">
        <v>352</v>
      </c>
      <c r="Q28" s="1" t="s">
        <v>558</v>
      </c>
      <c r="S28" s="1" t="s">
        <v>631</v>
      </c>
      <c r="T28" s="1" t="s">
        <v>609</v>
      </c>
      <c r="U28" s="1" t="s">
        <v>609</v>
      </c>
      <c r="V28" s="1" t="s">
        <v>573</v>
      </c>
      <c r="W28" s="1" t="s">
        <v>352</v>
      </c>
      <c r="X28" s="1" t="s">
        <v>558</v>
      </c>
      <c r="Y28" s="1" t="s">
        <v>367</v>
      </c>
      <c r="Z28" s="1" t="s">
        <v>593</v>
      </c>
      <c r="AA28" s="1" t="s">
        <v>686</v>
      </c>
      <c r="AB28" s="1" t="s">
        <v>687</v>
      </c>
      <c r="AC28" s="1" t="s">
        <v>672</v>
      </c>
      <c r="AD28" s="1" t="s">
        <v>688</v>
      </c>
      <c r="AE28" s="1" t="s">
        <v>689</v>
      </c>
      <c r="AF28" s="1" t="s">
        <v>690</v>
      </c>
      <c r="AG28" s="1" t="s">
        <v>664</v>
      </c>
      <c r="AL28" s="2"/>
      <c r="AM28" s="2"/>
      <c r="AN28" s="2" t="s">
        <v>691</v>
      </c>
      <c r="AO28" s="2" t="s">
        <v>629</v>
      </c>
      <c r="AP28" s="2" t="s">
        <v>541</v>
      </c>
      <c r="AT28" s="10"/>
      <c r="AU28" s="7" t="s">
        <v>555</v>
      </c>
      <c r="AV28" s="8" t="s">
        <v>61</v>
      </c>
      <c r="AW28" s="5" t="s">
        <v>600</v>
      </c>
      <c r="AX28" s="7" t="s">
        <v>512</v>
      </c>
      <c r="AY28" s="7" t="s">
        <v>649</v>
      </c>
    </row>
    <row r="29" spans="7:55" x14ac:dyDescent="0.5">
      <c r="L29" s="1" t="s">
        <v>692</v>
      </c>
      <c r="M29" s="1" t="s">
        <v>676</v>
      </c>
      <c r="N29" s="1" t="s">
        <v>663</v>
      </c>
      <c r="O29" s="1" t="s">
        <v>616</v>
      </c>
      <c r="P29" s="1" t="s">
        <v>693</v>
      </c>
      <c r="Q29" s="1" t="s">
        <v>525</v>
      </c>
      <c r="S29" s="1" t="s">
        <v>692</v>
      </c>
      <c r="T29" s="1" t="s">
        <v>676</v>
      </c>
      <c r="U29" s="1" t="s">
        <v>663</v>
      </c>
      <c r="V29" s="1" t="s">
        <v>616</v>
      </c>
      <c r="W29" s="1" t="s">
        <v>693</v>
      </c>
      <c r="X29" s="1" t="s">
        <v>525</v>
      </c>
      <c r="Y29" s="1" t="s">
        <v>694</v>
      </c>
      <c r="Z29" s="1" t="s">
        <v>695</v>
      </c>
      <c r="AA29" s="1" t="s">
        <v>695</v>
      </c>
      <c r="AB29" s="1" t="s">
        <v>696</v>
      </c>
      <c r="AC29" s="1" t="s">
        <v>660</v>
      </c>
      <c r="AD29" s="1" t="s">
        <v>697</v>
      </c>
      <c r="AE29" s="1" t="s">
        <v>615</v>
      </c>
      <c r="AF29" s="1" t="s">
        <v>545</v>
      </c>
      <c r="AG29" s="1" t="s">
        <v>632</v>
      </c>
      <c r="AL29" s="2"/>
      <c r="AN29" s="2" t="s">
        <v>698</v>
      </c>
      <c r="AO29" s="2" t="s">
        <v>699</v>
      </c>
      <c r="AP29" s="2" t="s">
        <v>700</v>
      </c>
      <c r="AU29" s="7" t="s">
        <v>414</v>
      </c>
      <c r="AV29" s="7" t="s">
        <v>556</v>
      </c>
      <c r="AW29" s="7" t="s">
        <v>528</v>
      </c>
      <c r="AX29" s="7" t="s">
        <v>347</v>
      </c>
      <c r="AY29" s="7" t="s">
        <v>525</v>
      </c>
    </row>
    <row r="30" spans="7:55" x14ac:dyDescent="0.5">
      <c r="L30" s="1" t="s">
        <v>560</v>
      </c>
      <c r="M30" s="1" t="s">
        <v>497</v>
      </c>
      <c r="N30" s="1" t="s">
        <v>573</v>
      </c>
      <c r="O30" s="1" t="s">
        <v>361</v>
      </c>
      <c r="P30" s="1" t="s">
        <v>701</v>
      </c>
      <c r="Q30" s="1" t="s">
        <v>525</v>
      </c>
      <c r="S30" s="1" t="s">
        <v>560</v>
      </c>
      <c r="T30" s="1" t="s">
        <v>497</v>
      </c>
      <c r="U30" s="1" t="s">
        <v>573</v>
      </c>
      <c r="V30" s="1" t="s">
        <v>361</v>
      </c>
      <c r="W30" s="1" t="s">
        <v>701</v>
      </c>
      <c r="X30" s="1" t="s">
        <v>525</v>
      </c>
      <c r="Y30" s="1" t="s">
        <v>370</v>
      </c>
      <c r="Z30" s="1" t="s">
        <v>108</v>
      </c>
      <c r="AA30" s="1" t="s">
        <v>59</v>
      </c>
      <c r="AB30" s="1" t="s">
        <v>357</v>
      </c>
      <c r="AC30" s="1" t="s">
        <v>702</v>
      </c>
      <c r="AD30" s="1" t="s">
        <v>675</v>
      </c>
      <c r="AE30" s="1" t="s">
        <v>360</v>
      </c>
      <c r="AL30" s="2"/>
      <c r="AN30" s="2" t="s">
        <v>689</v>
      </c>
      <c r="AO30" s="2" t="s">
        <v>703</v>
      </c>
      <c r="AP30" s="2" t="s">
        <v>354</v>
      </c>
      <c r="AU30" s="7" t="s">
        <v>567</v>
      </c>
      <c r="AV30" s="7" t="s">
        <v>579</v>
      </c>
      <c r="AW30" s="8" t="s">
        <v>537</v>
      </c>
      <c r="AX30" s="8" t="s">
        <v>503</v>
      </c>
      <c r="AY30" s="7" t="s">
        <v>520</v>
      </c>
    </row>
    <row r="31" spans="7:55" x14ac:dyDescent="0.5">
      <c r="L31" s="1" t="s">
        <v>549</v>
      </c>
      <c r="M31" s="1" t="s">
        <v>630</v>
      </c>
      <c r="N31" s="1" t="s">
        <v>593</v>
      </c>
      <c r="O31" s="1" t="s">
        <v>629</v>
      </c>
      <c r="P31" s="1" t="s">
        <v>354</v>
      </c>
      <c r="Q31" s="1" t="s">
        <v>520</v>
      </c>
      <c r="S31" s="1" t="s">
        <v>549</v>
      </c>
      <c r="T31" s="1" t="s">
        <v>630</v>
      </c>
      <c r="U31" s="1" t="s">
        <v>593</v>
      </c>
      <c r="V31" s="1" t="s">
        <v>629</v>
      </c>
      <c r="W31" s="1" t="s">
        <v>354</v>
      </c>
      <c r="X31" s="1" t="s">
        <v>520</v>
      </c>
      <c r="Y31" s="1" t="s">
        <v>632</v>
      </c>
      <c r="Z31" s="1" t="s">
        <v>656</v>
      </c>
      <c r="AA31" s="1" t="s">
        <v>415</v>
      </c>
      <c r="AB31" s="1" t="s">
        <v>704</v>
      </c>
      <c r="AC31" s="1" t="s">
        <v>705</v>
      </c>
      <c r="AD31" s="1" t="s">
        <v>575</v>
      </c>
      <c r="AE31" s="1" t="s">
        <v>642</v>
      </c>
      <c r="AL31" s="2"/>
      <c r="AN31" s="2" t="s">
        <v>368</v>
      </c>
      <c r="AO31" s="2" t="s">
        <v>706</v>
      </c>
      <c r="AP31" s="2" t="s">
        <v>707</v>
      </c>
      <c r="AU31" s="7" t="s">
        <v>356</v>
      </c>
      <c r="AV31" s="8" t="s">
        <v>520</v>
      </c>
      <c r="AW31" s="7" t="s">
        <v>643</v>
      </c>
      <c r="AX31" s="8" t="s">
        <v>494</v>
      </c>
      <c r="AY31" s="7" t="s">
        <v>585</v>
      </c>
    </row>
    <row r="32" spans="7:55" x14ac:dyDescent="0.5">
      <c r="L32" s="1" t="s">
        <v>629</v>
      </c>
      <c r="M32" s="1" t="s">
        <v>640</v>
      </c>
      <c r="N32" s="1" t="s">
        <v>359</v>
      </c>
      <c r="O32" s="1" t="s">
        <v>703</v>
      </c>
      <c r="P32" s="1" t="s">
        <v>355</v>
      </c>
      <c r="Q32" s="1" t="s">
        <v>502</v>
      </c>
      <c r="S32" s="1" t="s">
        <v>629</v>
      </c>
      <c r="T32" s="1" t="s">
        <v>640</v>
      </c>
      <c r="U32" s="1" t="s">
        <v>359</v>
      </c>
      <c r="V32" s="1" t="s">
        <v>703</v>
      </c>
      <c r="W32" s="1" t="s">
        <v>355</v>
      </c>
      <c r="X32" s="1" t="s">
        <v>502</v>
      </c>
      <c r="Y32" s="1" t="s">
        <v>473</v>
      </c>
      <c r="Z32" s="1" t="s">
        <v>681</v>
      </c>
      <c r="AA32" s="1" t="s">
        <v>708</v>
      </c>
      <c r="AB32" s="1" t="s">
        <v>709</v>
      </c>
      <c r="AC32" s="1" t="s">
        <v>631</v>
      </c>
      <c r="AD32" s="1" t="s">
        <v>679</v>
      </c>
      <c r="AE32" s="1" t="s">
        <v>710</v>
      </c>
      <c r="AL32" s="2"/>
      <c r="AO32" s="2" t="s">
        <v>711</v>
      </c>
      <c r="AP32" s="2" t="s">
        <v>712</v>
      </c>
      <c r="AU32" s="7" t="s">
        <v>108</v>
      </c>
      <c r="AV32" s="8" t="s">
        <v>591</v>
      </c>
      <c r="AW32" s="7" t="s">
        <v>102</v>
      </c>
      <c r="AX32" s="7" t="s">
        <v>664</v>
      </c>
      <c r="AY32" s="7" t="s">
        <v>546</v>
      </c>
    </row>
    <row r="33" spans="12:51" x14ac:dyDescent="0.5">
      <c r="L33" s="1" t="s">
        <v>713</v>
      </c>
      <c r="M33" s="1" t="s">
        <v>713</v>
      </c>
      <c r="N33" s="1" t="s">
        <v>714</v>
      </c>
      <c r="O33" s="1" t="s">
        <v>90</v>
      </c>
      <c r="P33" s="1" t="s">
        <v>59</v>
      </c>
      <c r="Q33" s="1" t="s">
        <v>540</v>
      </c>
      <c r="S33" s="1" t="s">
        <v>713</v>
      </c>
      <c r="T33" s="1" t="s">
        <v>713</v>
      </c>
      <c r="U33" s="1" t="s">
        <v>714</v>
      </c>
      <c r="V33" s="1" t="s">
        <v>90</v>
      </c>
      <c r="W33" s="1" t="s">
        <v>59</v>
      </c>
      <c r="X33" s="1" t="s">
        <v>540</v>
      </c>
      <c r="Y33" s="1" t="s">
        <v>688</v>
      </c>
      <c r="Z33" s="1" t="s">
        <v>715</v>
      </c>
      <c r="AA33" s="1" t="s">
        <v>716</v>
      </c>
      <c r="AB33" s="1" t="s">
        <v>638</v>
      </c>
      <c r="AC33" s="1" t="s">
        <v>649</v>
      </c>
      <c r="AD33" s="1" t="s">
        <v>348</v>
      </c>
      <c r="AE33" s="1" t="s">
        <v>483</v>
      </c>
      <c r="AO33" s="2" t="s">
        <v>717</v>
      </c>
      <c r="AP33" s="2" t="s">
        <v>718</v>
      </c>
      <c r="AU33" s="7" t="s">
        <v>574</v>
      </c>
      <c r="AV33" s="7" t="s">
        <v>482</v>
      </c>
      <c r="AW33" s="8" t="s">
        <v>658</v>
      </c>
      <c r="AX33" s="7" t="s">
        <v>539</v>
      </c>
      <c r="AY33" s="7" t="s">
        <v>575</v>
      </c>
    </row>
    <row r="34" spans="12:51" x14ac:dyDescent="0.5">
      <c r="L34" s="1" t="s">
        <v>703</v>
      </c>
      <c r="M34" s="1" t="s">
        <v>679</v>
      </c>
      <c r="N34" s="1" t="s">
        <v>549</v>
      </c>
      <c r="O34" s="1" t="s">
        <v>661</v>
      </c>
      <c r="P34" s="1" t="s">
        <v>356</v>
      </c>
      <c r="Q34" s="1" t="s">
        <v>615</v>
      </c>
      <c r="S34" s="1" t="s">
        <v>703</v>
      </c>
      <c r="T34" s="1" t="s">
        <v>679</v>
      </c>
      <c r="U34" s="1" t="s">
        <v>549</v>
      </c>
      <c r="V34" s="1" t="s">
        <v>661</v>
      </c>
      <c r="W34" s="1" t="s">
        <v>356</v>
      </c>
      <c r="X34" s="1" t="s">
        <v>615</v>
      </c>
      <c r="Y34" s="1" t="s">
        <v>719</v>
      </c>
      <c r="Z34" s="1" t="s">
        <v>90</v>
      </c>
      <c r="AA34" s="1" t="s">
        <v>720</v>
      </c>
      <c r="AB34" s="1" t="s">
        <v>721</v>
      </c>
      <c r="AC34" s="1" t="s">
        <v>602</v>
      </c>
      <c r="AD34" s="1" t="s">
        <v>99</v>
      </c>
      <c r="AE34" s="1" t="s">
        <v>722</v>
      </c>
      <c r="AO34" s="2" t="s">
        <v>723</v>
      </c>
      <c r="AP34" s="2" t="s">
        <v>724</v>
      </c>
      <c r="AU34" s="7" t="s">
        <v>675</v>
      </c>
      <c r="AV34" s="7" t="s">
        <v>568</v>
      </c>
      <c r="AW34" s="6" t="s">
        <v>610</v>
      </c>
      <c r="AX34" s="7" t="s">
        <v>722</v>
      </c>
      <c r="AY34" s="7" t="s">
        <v>655</v>
      </c>
    </row>
    <row r="35" spans="12:51" x14ac:dyDescent="0.5">
      <c r="L35" s="1" t="s">
        <v>523</v>
      </c>
      <c r="M35" s="1" t="s">
        <v>725</v>
      </c>
      <c r="N35" s="1" t="s">
        <v>726</v>
      </c>
      <c r="O35" s="1" t="s">
        <v>723</v>
      </c>
      <c r="P35" s="1" t="s">
        <v>586</v>
      </c>
      <c r="Q35" s="1" t="s">
        <v>672</v>
      </c>
      <c r="S35" s="1" t="s">
        <v>523</v>
      </c>
      <c r="T35" s="1" t="s">
        <v>725</v>
      </c>
      <c r="U35" s="1" t="s">
        <v>726</v>
      </c>
      <c r="V35" s="1" t="s">
        <v>723</v>
      </c>
      <c r="W35" s="1" t="s">
        <v>586</v>
      </c>
      <c r="X35" s="1" t="s">
        <v>672</v>
      </c>
      <c r="Y35" s="1" t="s">
        <v>727</v>
      </c>
      <c r="Z35" s="1" t="s">
        <v>728</v>
      </c>
      <c r="AA35" s="1" t="s">
        <v>729</v>
      </c>
      <c r="AB35" s="1" t="s">
        <v>730</v>
      </c>
      <c r="AC35" s="1" t="s">
        <v>368</v>
      </c>
      <c r="AE35" s="1" t="s">
        <v>731</v>
      </c>
      <c r="AO35" s="2" t="s">
        <v>577</v>
      </c>
      <c r="AP35" s="2" t="s">
        <v>607</v>
      </c>
      <c r="AU35" s="7" t="s">
        <v>586</v>
      </c>
      <c r="AV35" s="8" t="s">
        <v>585</v>
      </c>
      <c r="AW35" s="5" t="s">
        <v>108</v>
      </c>
      <c r="AX35" s="8" t="s">
        <v>632</v>
      </c>
      <c r="AY35" s="7" t="s">
        <v>540</v>
      </c>
    </row>
    <row r="36" spans="12:51" x14ac:dyDescent="0.5">
      <c r="L36" s="1" t="s">
        <v>90</v>
      </c>
      <c r="M36" s="1" t="s">
        <v>437</v>
      </c>
      <c r="N36" s="1" t="s">
        <v>662</v>
      </c>
      <c r="O36" s="1" t="s">
        <v>732</v>
      </c>
      <c r="P36" s="1" t="s">
        <v>728</v>
      </c>
      <c r="Q36" s="1" t="s">
        <v>352</v>
      </c>
      <c r="S36" s="1" t="s">
        <v>90</v>
      </c>
      <c r="T36" s="1" t="s">
        <v>437</v>
      </c>
      <c r="U36" s="1" t="s">
        <v>662</v>
      </c>
      <c r="V36" s="1" t="s">
        <v>732</v>
      </c>
      <c r="W36" s="1" t="s">
        <v>728</v>
      </c>
      <c r="X36" s="1" t="s">
        <v>352</v>
      </c>
      <c r="Y36" s="1" t="s">
        <v>672</v>
      </c>
      <c r="Z36" s="1" t="s">
        <v>733</v>
      </c>
      <c r="AA36" s="1" t="s">
        <v>714</v>
      </c>
      <c r="AB36" s="1" t="s">
        <v>440</v>
      </c>
      <c r="AC36" s="1" t="s">
        <v>478</v>
      </c>
      <c r="AE36" s="1" t="s">
        <v>674</v>
      </c>
      <c r="AP36" s="2" t="s">
        <v>616</v>
      </c>
      <c r="AU36" s="7" t="s">
        <v>599</v>
      </c>
      <c r="AV36" s="7" t="s">
        <v>546</v>
      </c>
      <c r="AW36" s="7" t="s">
        <v>574</v>
      </c>
      <c r="AX36" s="8" t="s">
        <v>683</v>
      </c>
      <c r="AY36" s="7" t="s">
        <v>672</v>
      </c>
    </row>
    <row r="37" spans="12:51" x14ac:dyDescent="0.5">
      <c r="L37" s="1" t="s">
        <v>734</v>
      </c>
      <c r="M37" s="1" t="s">
        <v>681</v>
      </c>
      <c r="N37" s="1" t="s">
        <v>735</v>
      </c>
      <c r="P37" s="1" t="s">
        <v>609</v>
      </c>
      <c r="Q37" s="1" t="s">
        <v>537</v>
      </c>
      <c r="S37" s="1" t="s">
        <v>734</v>
      </c>
      <c r="T37" s="1" t="s">
        <v>681</v>
      </c>
      <c r="U37" s="1" t="s">
        <v>735</v>
      </c>
      <c r="W37" s="1" t="s">
        <v>609</v>
      </c>
      <c r="X37" s="1" t="s">
        <v>537</v>
      </c>
      <c r="Y37" s="1" t="s">
        <v>735</v>
      </c>
      <c r="Z37" s="1" t="s">
        <v>534</v>
      </c>
      <c r="AA37" s="1" t="s">
        <v>64</v>
      </c>
      <c r="AB37" s="1" t="s">
        <v>560</v>
      </c>
      <c r="AC37" s="1" t="s">
        <v>500</v>
      </c>
      <c r="AE37" s="1" t="s">
        <v>475</v>
      </c>
      <c r="AP37" s="2" t="s">
        <v>736</v>
      </c>
      <c r="AU37" s="7" t="s">
        <v>609</v>
      </c>
      <c r="AV37" s="7" t="s">
        <v>351</v>
      </c>
      <c r="AW37" s="8" t="s">
        <v>675</v>
      </c>
      <c r="AX37" s="8" t="s">
        <v>552</v>
      </c>
      <c r="AY37" s="7" t="s">
        <v>537</v>
      </c>
    </row>
    <row r="38" spans="12:51" x14ac:dyDescent="0.5">
      <c r="L38" s="1" t="s">
        <v>715</v>
      </c>
      <c r="M38" s="1" t="s">
        <v>660</v>
      </c>
      <c r="N38" s="1" t="s">
        <v>661</v>
      </c>
      <c r="P38" s="1" t="s">
        <v>737</v>
      </c>
      <c r="Q38" s="1" t="s">
        <v>102</v>
      </c>
      <c r="S38" s="1" t="s">
        <v>715</v>
      </c>
      <c r="T38" s="1" t="s">
        <v>660</v>
      </c>
      <c r="U38" s="1" t="s">
        <v>661</v>
      </c>
      <c r="W38" s="1" t="s">
        <v>737</v>
      </c>
      <c r="X38" s="1" t="s">
        <v>102</v>
      </c>
      <c r="Y38" s="1" t="s">
        <v>738</v>
      </c>
      <c r="Z38" s="1" t="s">
        <v>676</v>
      </c>
      <c r="AA38" s="1" t="s">
        <v>739</v>
      </c>
      <c r="AB38" s="1" t="s">
        <v>450</v>
      </c>
      <c r="AC38" s="1" t="s">
        <v>575</v>
      </c>
      <c r="AE38" s="1" t="s">
        <v>680</v>
      </c>
      <c r="AP38" s="2" t="s">
        <v>740</v>
      </c>
      <c r="AU38" s="7" t="s">
        <v>676</v>
      </c>
      <c r="AV38" s="5" t="s">
        <v>575</v>
      </c>
      <c r="AW38" s="5" t="s">
        <v>609</v>
      </c>
      <c r="AX38" s="8" t="s">
        <v>596</v>
      </c>
      <c r="AY38" s="7" t="s">
        <v>483</v>
      </c>
    </row>
    <row r="39" spans="12:51" x14ac:dyDescent="0.5">
      <c r="L39" s="1" t="s">
        <v>661</v>
      </c>
      <c r="M39" s="1" t="s">
        <v>723</v>
      </c>
      <c r="N39" s="1" t="s">
        <v>725</v>
      </c>
      <c r="P39" s="1" t="s">
        <v>741</v>
      </c>
      <c r="Q39" s="1" t="s">
        <v>102</v>
      </c>
      <c r="S39" s="1" t="s">
        <v>661</v>
      </c>
      <c r="T39" s="1" t="s">
        <v>723</v>
      </c>
      <c r="U39" s="1" t="s">
        <v>725</v>
      </c>
      <c r="W39" s="1" t="s">
        <v>741</v>
      </c>
      <c r="X39" s="1" t="s">
        <v>102</v>
      </c>
      <c r="Y39" s="1" t="s">
        <v>742</v>
      </c>
      <c r="Z39" s="1" t="s">
        <v>405</v>
      </c>
      <c r="AA39" s="1" t="s">
        <v>549</v>
      </c>
      <c r="AB39" s="1" t="s">
        <v>700</v>
      </c>
      <c r="AC39" s="1" t="s">
        <v>579</v>
      </c>
      <c r="AP39" s="2" t="s">
        <v>597</v>
      </c>
      <c r="AU39" s="7" t="s">
        <v>497</v>
      </c>
      <c r="AV39" s="6" t="s">
        <v>587</v>
      </c>
      <c r="AW39" s="8" t="s">
        <v>663</v>
      </c>
      <c r="AX39" s="8" t="s">
        <v>531</v>
      </c>
      <c r="AY39" s="7" t="s">
        <v>690</v>
      </c>
    </row>
    <row r="40" spans="12:51" x14ac:dyDescent="0.5">
      <c r="L40" s="1" t="s">
        <v>679</v>
      </c>
      <c r="M40" s="1" t="s">
        <v>551</v>
      </c>
      <c r="N40" s="1" t="s">
        <v>364</v>
      </c>
      <c r="P40" s="1" t="s">
        <v>742</v>
      </c>
      <c r="Q40" s="1" t="s">
        <v>743</v>
      </c>
      <c r="S40" s="1" t="s">
        <v>679</v>
      </c>
      <c r="T40" s="1" t="s">
        <v>551</v>
      </c>
      <c r="U40" s="1" t="s">
        <v>364</v>
      </c>
      <c r="W40" s="1" t="s">
        <v>742</v>
      </c>
      <c r="X40" s="1" t="s">
        <v>743</v>
      </c>
      <c r="Y40" s="1" t="s">
        <v>458</v>
      </c>
      <c r="Z40" s="1" t="s">
        <v>744</v>
      </c>
      <c r="AA40" s="1" t="s">
        <v>560</v>
      </c>
      <c r="AB40" s="1" t="s">
        <v>745</v>
      </c>
      <c r="AC40" s="1" t="s">
        <v>440</v>
      </c>
      <c r="AP40" s="2" t="s">
        <v>746</v>
      </c>
      <c r="AU40" s="7" t="s">
        <v>608</v>
      </c>
      <c r="AV40" s="8" t="s">
        <v>453</v>
      </c>
      <c r="AW40" s="7" t="s">
        <v>573</v>
      </c>
      <c r="AX40" s="8" t="s">
        <v>619</v>
      </c>
      <c r="AY40" s="7" t="s">
        <v>414</v>
      </c>
    </row>
    <row r="41" spans="12:51" x14ac:dyDescent="0.5">
      <c r="L41" s="1" t="s">
        <v>535</v>
      </c>
      <c r="M41" s="1" t="s">
        <v>367</v>
      </c>
      <c r="N41" s="1" t="s">
        <v>698</v>
      </c>
      <c r="P41" s="1" t="s">
        <v>593</v>
      </c>
      <c r="Q41" s="1" t="s">
        <v>747</v>
      </c>
      <c r="S41" s="1" t="s">
        <v>535</v>
      </c>
      <c r="T41" s="1" t="s">
        <v>367</v>
      </c>
      <c r="U41" s="1" t="s">
        <v>698</v>
      </c>
      <c r="W41" s="1" t="s">
        <v>593</v>
      </c>
      <c r="X41" s="1" t="s">
        <v>747</v>
      </c>
      <c r="Y41" s="1" t="s">
        <v>748</v>
      </c>
      <c r="AA41" s="1" t="s">
        <v>681</v>
      </c>
      <c r="AB41" s="1" t="s">
        <v>629</v>
      </c>
      <c r="AP41" s="2" t="s">
        <v>749</v>
      </c>
      <c r="AU41" s="7" t="s">
        <v>630</v>
      </c>
      <c r="AV41" s="7" t="s">
        <v>578</v>
      </c>
      <c r="AW41" s="8" t="s">
        <v>593</v>
      </c>
      <c r="AX41" s="7" t="s">
        <v>649</v>
      </c>
      <c r="AY41" s="7" t="s">
        <v>354</v>
      </c>
    </row>
    <row r="42" spans="12:51" x14ac:dyDescent="0.5">
      <c r="L42" s="1" t="s">
        <v>681</v>
      </c>
      <c r="M42" s="1" t="s">
        <v>509</v>
      </c>
      <c r="N42" s="1" t="s">
        <v>368</v>
      </c>
      <c r="P42" s="1" t="s">
        <v>490</v>
      </c>
      <c r="Q42" s="1" t="s">
        <v>724</v>
      </c>
      <c r="S42" s="1" t="s">
        <v>681</v>
      </c>
      <c r="T42" s="1" t="s">
        <v>509</v>
      </c>
      <c r="U42" s="1" t="s">
        <v>368</v>
      </c>
      <c r="W42" s="1" t="s">
        <v>490</v>
      </c>
      <c r="X42" s="1" t="s">
        <v>724</v>
      </c>
      <c r="Y42" s="1" t="s">
        <v>347</v>
      </c>
      <c r="AA42" s="1" t="s">
        <v>750</v>
      </c>
      <c r="AB42" s="1" t="s">
        <v>686</v>
      </c>
      <c r="AP42" s="2" t="s">
        <v>703</v>
      </c>
      <c r="AU42" s="7" t="s">
        <v>631</v>
      </c>
      <c r="AV42" s="5" t="s">
        <v>540</v>
      </c>
      <c r="AW42" s="7" t="s">
        <v>359</v>
      </c>
      <c r="AX42" s="8" t="s">
        <v>525</v>
      </c>
      <c r="AY42" s="7" t="s">
        <v>108</v>
      </c>
    </row>
    <row r="43" spans="12:51" x14ac:dyDescent="0.5">
      <c r="L43" s="1" t="s">
        <v>751</v>
      </c>
      <c r="N43" s="1" t="s">
        <v>583</v>
      </c>
      <c r="P43" s="1" t="s">
        <v>452</v>
      </c>
      <c r="Q43" s="1" t="s">
        <v>607</v>
      </c>
      <c r="S43" s="1" t="s">
        <v>751</v>
      </c>
      <c r="U43" s="1" t="s">
        <v>583</v>
      </c>
      <c r="W43" s="1" t="s">
        <v>452</v>
      </c>
      <c r="X43" s="1" t="s">
        <v>607</v>
      </c>
      <c r="Y43" s="1" t="s">
        <v>409</v>
      </c>
      <c r="AA43" s="1" t="s">
        <v>752</v>
      </c>
      <c r="AB43" s="1" t="s">
        <v>753</v>
      </c>
      <c r="AP43" s="2" t="s">
        <v>754</v>
      </c>
      <c r="AU43" s="7" t="s">
        <v>651</v>
      </c>
      <c r="AV43" s="7" t="s">
        <v>603</v>
      </c>
      <c r="AW43" s="8" t="s">
        <v>714</v>
      </c>
      <c r="AX43" s="8" t="s">
        <v>350</v>
      </c>
      <c r="AY43" s="7" t="s">
        <v>607</v>
      </c>
    </row>
    <row r="44" spans="12:51" x14ac:dyDescent="0.5">
      <c r="L44" s="1" t="s">
        <v>660</v>
      </c>
      <c r="P44" s="1" t="s">
        <v>682</v>
      </c>
      <c r="Q44" s="1" t="s">
        <v>755</v>
      </c>
      <c r="S44" s="1" t="s">
        <v>660</v>
      </c>
      <c r="W44" s="1" t="s">
        <v>682</v>
      </c>
      <c r="X44" s="1" t="s">
        <v>755</v>
      </c>
      <c r="Y44" s="1" t="s">
        <v>656</v>
      </c>
      <c r="AA44" s="1" t="s">
        <v>756</v>
      </c>
      <c r="AB44" s="1" t="s">
        <v>90</v>
      </c>
      <c r="AP44" s="2" t="s">
        <v>660</v>
      </c>
      <c r="AU44" s="7" t="s">
        <v>629</v>
      </c>
      <c r="AV44" s="8" t="s">
        <v>536</v>
      </c>
      <c r="AW44" s="7" t="s">
        <v>549</v>
      </c>
      <c r="AX44" s="8" t="s">
        <v>545</v>
      </c>
      <c r="AY44" s="7" t="s">
        <v>415</v>
      </c>
    </row>
    <row r="45" spans="12:51" x14ac:dyDescent="0.5">
      <c r="L45" s="1" t="s">
        <v>757</v>
      </c>
      <c r="P45" s="1" t="s">
        <v>692</v>
      </c>
      <c r="Q45" s="1" t="s">
        <v>755</v>
      </c>
      <c r="S45" s="1" t="s">
        <v>757</v>
      </c>
      <c r="W45" s="1" t="s">
        <v>692</v>
      </c>
      <c r="X45" s="1" t="s">
        <v>755</v>
      </c>
      <c r="Y45" s="1" t="s">
        <v>349</v>
      </c>
      <c r="AA45" s="1" t="s">
        <v>758</v>
      </c>
      <c r="AB45" s="1" t="s">
        <v>656</v>
      </c>
      <c r="AP45" s="2" t="s">
        <v>622</v>
      </c>
      <c r="AU45" s="7" t="s">
        <v>713</v>
      </c>
      <c r="AV45" s="6" t="s">
        <v>522</v>
      </c>
      <c r="AW45" s="8" t="s">
        <v>726</v>
      </c>
      <c r="AX45" s="7" t="s">
        <v>520</v>
      </c>
      <c r="AY45" s="7" t="s">
        <v>438</v>
      </c>
    </row>
    <row r="46" spans="12:51" x14ac:dyDescent="0.5">
      <c r="P46" s="1" t="s">
        <v>560</v>
      </c>
      <c r="Q46" s="1" t="s">
        <v>616</v>
      </c>
      <c r="W46" s="1" t="s">
        <v>560</v>
      </c>
      <c r="X46" s="1" t="s">
        <v>616</v>
      </c>
      <c r="Y46" s="1" t="s">
        <v>759</v>
      </c>
      <c r="AA46" s="1" t="s">
        <v>523</v>
      </c>
      <c r="AB46" s="1" t="s">
        <v>351</v>
      </c>
      <c r="AP46" s="2" t="s">
        <v>583</v>
      </c>
      <c r="AU46" s="7" t="s">
        <v>661</v>
      </c>
      <c r="AV46" s="5" t="s">
        <v>621</v>
      </c>
      <c r="AW46" s="5" t="s">
        <v>361</v>
      </c>
      <c r="AX46" s="7" t="s">
        <v>585</v>
      </c>
      <c r="AY46" s="7" t="s">
        <v>360</v>
      </c>
    </row>
    <row r="47" spans="12:51" x14ac:dyDescent="0.5">
      <c r="P47" s="1" t="s">
        <v>549</v>
      </c>
      <c r="Q47" s="1" t="s">
        <v>452</v>
      </c>
      <c r="W47" s="1" t="s">
        <v>549</v>
      </c>
      <c r="X47" s="1" t="s">
        <v>452</v>
      </c>
      <c r="Y47" s="1" t="s">
        <v>760</v>
      </c>
      <c r="AA47" s="1" t="s">
        <v>356</v>
      </c>
      <c r="AB47" s="1" t="s">
        <v>761</v>
      </c>
      <c r="AP47" s="2"/>
      <c r="AU47" s="7" t="s">
        <v>679</v>
      </c>
      <c r="AV47" s="7" t="s">
        <v>528</v>
      </c>
      <c r="AW47" s="7" t="s">
        <v>662</v>
      </c>
      <c r="AX47" s="8" t="s">
        <v>546</v>
      </c>
      <c r="AY47" s="7" t="s">
        <v>597</v>
      </c>
    </row>
    <row r="48" spans="12:51" x14ac:dyDescent="0.5">
      <c r="P48" s="1" t="s">
        <v>549</v>
      </c>
      <c r="Q48" s="1" t="s">
        <v>682</v>
      </c>
      <c r="W48" s="1" t="s">
        <v>549</v>
      </c>
      <c r="X48" s="1" t="s">
        <v>682</v>
      </c>
      <c r="Y48" s="1" t="s">
        <v>762</v>
      </c>
      <c r="AA48" s="1" t="s">
        <v>627</v>
      </c>
      <c r="AB48" s="1" t="s">
        <v>370</v>
      </c>
      <c r="AU48" s="7" t="s">
        <v>725</v>
      </c>
      <c r="AV48" s="6" t="s">
        <v>352</v>
      </c>
      <c r="AW48" s="8" t="s">
        <v>735</v>
      </c>
      <c r="AX48" s="7" t="s">
        <v>575</v>
      </c>
      <c r="AY48" s="7" t="s">
        <v>629</v>
      </c>
    </row>
    <row r="49" spans="16:51" x14ac:dyDescent="0.5">
      <c r="P49" s="1" t="s">
        <v>763</v>
      </c>
      <c r="Q49" s="1" t="s">
        <v>764</v>
      </c>
      <c r="W49" s="1" t="s">
        <v>763</v>
      </c>
      <c r="X49" s="1" t="s">
        <v>764</v>
      </c>
      <c r="Y49" s="1" t="s">
        <v>456</v>
      </c>
      <c r="AA49" s="1" t="s">
        <v>649</v>
      </c>
      <c r="AB49" s="1" t="s">
        <v>369</v>
      </c>
      <c r="AU49" s="7" t="s">
        <v>437</v>
      </c>
      <c r="AV49" s="8" t="s">
        <v>537</v>
      </c>
      <c r="AW49" s="7" t="s">
        <v>661</v>
      </c>
      <c r="AX49" s="8" t="s">
        <v>655</v>
      </c>
      <c r="AY49" s="7" t="s">
        <v>457</v>
      </c>
    </row>
    <row r="50" spans="16:51" x14ac:dyDescent="0.5">
      <c r="P50" s="1" t="s">
        <v>361</v>
      </c>
      <c r="Q50" s="1" t="s">
        <v>651</v>
      </c>
      <c r="W50" s="1" t="s">
        <v>361</v>
      </c>
      <c r="X50" s="1" t="s">
        <v>651</v>
      </c>
      <c r="Y50" s="1" t="s">
        <v>579</v>
      </c>
      <c r="AA50" s="1" t="s">
        <v>441</v>
      </c>
      <c r="AB50" s="1" t="s">
        <v>681</v>
      </c>
      <c r="AU50" s="7" t="s">
        <v>681</v>
      </c>
      <c r="AV50" s="7" t="s">
        <v>643</v>
      </c>
      <c r="AW50" s="8" t="s">
        <v>725</v>
      </c>
      <c r="AX50" s="8" t="s">
        <v>540</v>
      </c>
      <c r="AY50" s="7" t="s">
        <v>94</v>
      </c>
    </row>
    <row r="51" spans="16:51" x14ac:dyDescent="0.5">
      <c r="P51" s="1" t="s">
        <v>765</v>
      </c>
      <c r="Q51" s="1" t="s">
        <v>766</v>
      </c>
      <c r="W51" s="1" t="s">
        <v>765</v>
      </c>
      <c r="X51" s="1" t="s">
        <v>766</v>
      </c>
      <c r="Y51" s="1" t="s">
        <v>767</v>
      </c>
      <c r="AA51" s="1" t="s">
        <v>655</v>
      </c>
      <c r="AB51" s="1" t="s">
        <v>703</v>
      </c>
      <c r="AU51" s="7" t="s">
        <v>660</v>
      </c>
      <c r="AV51" s="7" t="s">
        <v>102</v>
      </c>
      <c r="AW51" s="7" t="s">
        <v>364</v>
      </c>
      <c r="AX51" s="8" t="s">
        <v>615</v>
      </c>
      <c r="AY51" s="7" t="s">
        <v>710</v>
      </c>
    </row>
    <row r="52" spans="16:51" x14ac:dyDescent="0.5">
      <c r="P52" s="1" t="s">
        <v>733</v>
      </c>
      <c r="Q52" s="1" t="s">
        <v>754</v>
      </c>
      <c r="W52" s="1" t="s">
        <v>733</v>
      </c>
      <c r="X52" s="1" t="s">
        <v>754</v>
      </c>
      <c r="Y52" s="1" t="s">
        <v>703</v>
      </c>
      <c r="AA52" s="1" t="s">
        <v>609</v>
      </c>
      <c r="AB52" s="1" t="s">
        <v>768</v>
      </c>
      <c r="AU52" s="7" t="s">
        <v>723</v>
      </c>
      <c r="AV52" s="5" t="s">
        <v>602</v>
      </c>
      <c r="AW52" s="6" t="s">
        <v>437</v>
      </c>
      <c r="AX52" s="7" t="s">
        <v>562</v>
      </c>
      <c r="AY52" s="7" t="s">
        <v>731</v>
      </c>
    </row>
    <row r="53" spans="16:51" x14ac:dyDescent="0.5">
      <c r="P53" s="1" t="s">
        <v>651</v>
      </c>
      <c r="Q53" s="1" t="s">
        <v>653</v>
      </c>
      <c r="W53" s="1" t="s">
        <v>651</v>
      </c>
      <c r="X53" s="1" t="s">
        <v>653</v>
      </c>
      <c r="AA53" s="1" t="s">
        <v>769</v>
      </c>
      <c r="AB53" s="1" t="s">
        <v>770</v>
      </c>
      <c r="AU53" s="7" t="s">
        <v>551</v>
      </c>
      <c r="AV53" s="7" t="s">
        <v>658</v>
      </c>
      <c r="AW53" s="5" t="s">
        <v>660</v>
      </c>
      <c r="AX53" s="8" t="s">
        <v>672</v>
      </c>
      <c r="AY53" s="7" t="s">
        <v>90</v>
      </c>
    </row>
    <row r="54" spans="16:51" x14ac:dyDescent="0.5">
      <c r="P54" s="1" t="s">
        <v>668</v>
      </c>
      <c r="Q54" s="1" t="s">
        <v>364</v>
      </c>
      <c r="W54" s="1" t="s">
        <v>668</v>
      </c>
      <c r="X54" s="1" t="s">
        <v>364</v>
      </c>
      <c r="AA54" s="1" t="s">
        <v>771</v>
      </c>
      <c r="AB54" s="1" t="s">
        <v>364</v>
      </c>
      <c r="AU54" s="7" t="s">
        <v>367</v>
      </c>
      <c r="AV54" s="7" t="s">
        <v>574</v>
      </c>
      <c r="AW54" s="6" t="s">
        <v>691</v>
      </c>
      <c r="AX54" s="7" t="s">
        <v>537</v>
      </c>
      <c r="AY54" s="7" t="s">
        <v>661</v>
      </c>
    </row>
    <row r="55" spans="16:51" x14ac:dyDescent="0.5">
      <c r="P55" s="1" t="s">
        <v>363</v>
      </c>
      <c r="Q55" s="1" t="s">
        <v>626</v>
      </c>
      <c r="W55" s="1" t="s">
        <v>363</v>
      </c>
      <c r="X55" s="1" t="s">
        <v>626</v>
      </c>
      <c r="AA55" s="1" t="s">
        <v>662</v>
      </c>
      <c r="AB55" s="1" t="s">
        <v>772</v>
      </c>
      <c r="AU55" s="7" t="s">
        <v>509</v>
      </c>
      <c r="AV55" s="8" t="s">
        <v>675</v>
      </c>
      <c r="AW55" s="8" t="s">
        <v>698</v>
      </c>
      <c r="AX55" s="8" t="s">
        <v>483</v>
      </c>
      <c r="AY55" s="7" t="s">
        <v>437</v>
      </c>
    </row>
    <row r="56" spans="16:51" x14ac:dyDescent="0.5">
      <c r="P56" s="1" t="s">
        <v>94</v>
      </c>
      <c r="Q56" s="1" t="s">
        <v>681</v>
      </c>
      <c r="W56" s="1" t="s">
        <v>94</v>
      </c>
      <c r="X56" s="1" t="s">
        <v>681</v>
      </c>
      <c r="AA56" s="1" t="s">
        <v>773</v>
      </c>
      <c r="AB56" s="1" t="s">
        <v>368</v>
      </c>
      <c r="AU56" s="9"/>
      <c r="AV56" s="6" t="s">
        <v>586</v>
      </c>
      <c r="AW56" s="6" t="s">
        <v>689</v>
      </c>
      <c r="AX56" s="7" t="s">
        <v>690</v>
      </c>
      <c r="AY56" s="7" t="s">
        <v>660</v>
      </c>
    </row>
    <row r="57" spans="16:51" x14ac:dyDescent="0.5">
      <c r="P57" s="1" t="s">
        <v>774</v>
      </c>
      <c r="Q57" s="1" t="s">
        <v>660</v>
      </c>
      <c r="W57" s="1" t="s">
        <v>774</v>
      </c>
      <c r="X57" s="1" t="s">
        <v>660</v>
      </c>
      <c r="AA57" s="1" t="s">
        <v>623</v>
      </c>
      <c r="AB57" s="1" t="s">
        <v>536</v>
      </c>
      <c r="AV57" s="8" t="s">
        <v>656</v>
      </c>
      <c r="AW57" s="7" t="s">
        <v>368</v>
      </c>
      <c r="AX57" s="7" t="s">
        <v>414</v>
      </c>
      <c r="AY57" s="7" t="s">
        <v>606</v>
      </c>
    </row>
    <row r="58" spans="16:51" x14ac:dyDescent="0.5">
      <c r="P58" s="1" t="s">
        <v>364</v>
      </c>
      <c r="Q58" s="1" t="s">
        <v>365</v>
      </c>
      <c r="W58" s="1" t="s">
        <v>364</v>
      </c>
      <c r="X58" s="1" t="s">
        <v>365</v>
      </c>
      <c r="AA58" s="1" t="s">
        <v>775</v>
      </c>
      <c r="AB58" s="1" t="s">
        <v>776</v>
      </c>
      <c r="AV58" s="7" t="s">
        <v>609</v>
      </c>
      <c r="AW58" s="5"/>
      <c r="AX58" s="7" t="s">
        <v>486</v>
      </c>
      <c r="AY58" s="7" t="s">
        <v>689</v>
      </c>
    </row>
    <row r="59" spans="16:51" x14ac:dyDescent="0.5">
      <c r="P59" s="1" t="s">
        <v>626</v>
      </c>
      <c r="Q59" s="1" t="s">
        <v>777</v>
      </c>
      <c r="W59" s="1" t="s">
        <v>626</v>
      </c>
      <c r="X59" s="1" t="s">
        <v>777</v>
      </c>
      <c r="AA59" s="1" t="s">
        <v>778</v>
      </c>
      <c r="AB59" s="1" t="s">
        <v>779</v>
      </c>
      <c r="AU59" s="2"/>
      <c r="AV59" s="7" t="s">
        <v>676</v>
      </c>
      <c r="AW59" s="5"/>
      <c r="AX59" s="7" t="s">
        <v>354</v>
      </c>
      <c r="AY59" s="7" t="s">
        <v>583</v>
      </c>
    </row>
    <row r="60" spans="16:51" x14ac:dyDescent="0.5">
      <c r="P60" s="1" t="s">
        <v>767</v>
      </c>
      <c r="Q60" s="1" t="s">
        <v>553</v>
      </c>
      <c r="W60" s="1" t="s">
        <v>767</v>
      </c>
      <c r="X60" s="1" t="s">
        <v>553</v>
      </c>
      <c r="AA60" s="1" t="s">
        <v>780</v>
      </c>
      <c r="AB60" s="1" t="s">
        <v>781</v>
      </c>
      <c r="AV60" s="8" t="s">
        <v>663</v>
      </c>
      <c r="AW60" s="5"/>
      <c r="AX60" s="7" t="s">
        <v>108</v>
      </c>
      <c r="AY60" s="7"/>
    </row>
    <row r="61" spans="16:51" x14ac:dyDescent="0.5">
      <c r="P61" s="1" t="s">
        <v>577</v>
      </c>
      <c r="Q61" s="1" t="s">
        <v>526</v>
      </c>
      <c r="W61" s="1" t="s">
        <v>577</v>
      </c>
      <c r="X61" s="1" t="s">
        <v>526</v>
      </c>
      <c r="AA61" s="1" t="s">
        <v>414</v>
      </c>
      <c r="AB61" s="1" t="s">
        <v>782</v>
      </c>
      <c r="AV61" s="7" t="s">
        <v>573</v>
      </c>
      <c r="AW61" s="5"/>
      <c r="AX61" s="7" t="s">
        <v>607</v>
      </c>
      <c r="AY61" s="7"/>
    </row>
    <row r="62" spans="16:51" x14ac:dyDescent="0.5">
      <c r="P62" s="1" t="s">
        <v>732</v>
      </c>
      <c r="Q62" s="1" t="s">
        <v>689</v>
      </c>
      <c r="W62" s="1" t="s">
        <v>732</v>
      </c>
      <c r="X62" s="1" t="s">
        <v>689</v>
      </c>
      <c r="AA62" s="1" t="s">
        <v>363</v>
      </c>
      <c r="AB62" s="1" t="s">
        <v>783</v>
      </c>
      <c r="AV62" s="8" t="s">
        <v>593</v>
      </c>
      <c r="AW62" s="5"/>
      <c r="AX62" s="7" t="s">
        <v>415</v>
      </c>
      <c r="AY62" s="7"/>
    </row>
    <row r="63" spans="16:51" x14ac:dyDescent="0.5">
      <c r="P63" s="1" t="s">
        <v>588</v>
      </c>
      <c r="Q63" s="1" t="s">
        <v>369</v>
      </c>
      <c r="W63" s="1" t="s">
        <v>588</v>
      </c>
      <c r="X63" s="1" t="s">
        <v>369</v>
      </c>
      <c r="AA63" s="1" t="s">
        <v>784</v>
      </c>
      <c r="AU63" s="2"/>
      <c r="AV63" s="8" t="s">
        <v>616</v>
      </c>
      <c r="AW63" s="5"/>
      <c r="AX63" s="8" t="s">
        <v>438</v>
      </c>
      <c r="AY63" s="7"/>
    </row>
    <row r="64" spans="16:51" x14ac:dyDescent="0.5">
      <c r="Q64" s="1" t="s">
        <v>583</v>
      </c>
      <c r="X64" s="1" t="s">
        <v>583</v>
      </c>
      <c r="AA64" s="1" t="s">
        <v>713</v>
      </c>
      <c r="AV64" s="7" t="s">
        <v>359</v>
      </c>
      <c r="AW64" s="5"/>
      <c r="AX64" s="7" t="s">
        <v>360</v>
      </c>
      <c r="AY64" s="7"/>
    </row>
    <row r="65" spans="17:51" x14ac:dyDescent="0.5">
      <c r="Q65" s="1" t="s">
        <v>370</v>
      </c>
      <c r="X65" s="1" t="s">
        <v>370</v>
      </c>
      <c r="AA65" s="1" t="s">
        <v>759</v>
      </c>
      <c r="AV65" s="5" t="s">
        <v>673</v>
      </c>
      <c r="AW65" s="5"/>
      <c r="AX65" s="8" t="s">
        <v>597</v>
      </c>
      <c r="AY65" s="7"/>
    </row>
    <row r="66" spans="17:51" x14ac:dyDescent="0.5">
      <c r="Q66" s="1" t="s">
        <v>785</v>
      </c>
      <c r="X66" s="1" t="s">
        <v>785</v>
      </c>
      <c r="AA66" s="1" t="s">
        <v>786</v>
      </c>
      <c r="AV66" s="6" t="s">
        <v>631</v>
      </c>
      <c r="AW66" s="5"/>
      <c r="AX66" s="7" t="s">
        <v>629</v>
      </c>
      <c r="AY66" s="7"/>
    </row>
    <row r="67" spans="17:51" x14ac:dyDescent="0.5">
      <c r="AA67" s="1" t="s">
        <v>787</v>
      </c>
      <c r="AV67" s="8" t="s">
        <v>714</v>
      </c>
      <c r="AW67" s="5"/>
      <c r="AX67" s="7" t="s">
        <v>648</v>
      </c>
      <c r="AY67" s="7"/>
    </row>
    <row r="68" spans="17:51" x14ac:dyDescent="0.5">
      <c r="AA68" s="1" t="s">
        <v>708</v>
      </c>
      <c r="AV68" s="5" t="s">
        <v>560</v>
      </c>
      <c r="AW68" s="5"/>
      <c r="AX68" s="7" t="s">
        <v>457</v>
      </c>
      <c r="AY68" s="7"/>
    </row>
    <row r="69" spans="17:51" x14ac:dyDescent="0.5">
      <c r="AA69" s="1" t="s">
        <v>94</v>
      </c>
      <c r="AV69" s="7" t="s">
        <v>549</v>
      </c>
      <c r="AW69" s="5"/>
      <c r="AX69" s="7" t="s">
        <v>94</v>
      </c>
      <c r="AY69" s="7"/>
    </row>
    <row r="70" spans="17:51" x14ac:dyDescent="0.5">
      <c r="AA70" s="1" t="s">
        <v>102</v>
      </c>
      <c r="AV70" s="8" t="s">
        <v>726</v>
      </c>
      <c r="AW70" s="10"/>
      <c r="AX70" s="7" t="s">
        <v>710</v>
      </c>
      <c r="AY70" s="7"/>
    </row>
    <row r="71" spans="17:51" x14ac:dyDescent="0.5">
      <c r="AV71" s="7" t="s">
        <v>361</v>
      </c>
      <c r="AX71" s="7" t="s">
        <v>538</v>
      </c>
      <c r="AY71" s="7"/>
    </row>
    <row r="72" spans="17:51" x14ac:dyDescent="0.5">
      <c r="AV72" s="7" t="s">
        <v>662</v>
      </c>
      <c r="AX72" s="8" t="s">
        <v>731</v>
      </c>
      <c r="AY72" s="7"/>
    </row>
    <row r="73" spans="17:51" x14ac:dyDescent="0.5">
      <c r="AV73" s="8" t="s">
        <v>629</v>
      </c>
      <c r="AX73" s="7" t="s">
        <v>485</v>
      </c>
      <c r="AY73" s="7"/>
    </row>
    <row r="74" spans="17:51" x14ac:dyDescent="0.5">
      <c r="AV74" s="5" t="s">
        <v>699</v>
      </c>
      <c r="AX74" s="8" t="s">
        <v>90</v>
      </c>
      <c r="AY74" s="7"/>
    </row>
    <row r="75" spans="17:51" x14ac:dyDescent="0.5">
      <c r="AV75" s="6" t="s">
        <v>703</v>
      </c>
      <c r="AX75" s="7" t="s">
        <v>661</v>
      </c>
      <c r="AY75" s="7"/>
    </row>
    <row r="76" spans="17:51" x14ac:dyDescent="0.5">
      <c r="AV76" s="5" t="s">
        <v>706</v>
      </c>
      <c r="AX76" s="7" t="s">
        <v>679</v>
      </c>
      <c r="AY76" s="7"/>
    </row>
    <row r="77" spans="17:51" x14ac:dyDescent="0.5">
      <c r="AV77" s="8" t="s">
        <v>735</v>
      </c>
      <c r="AX77" s="8" t="s">
        <v>437</v>
      </c>
      <c r="AY77" s="7"/>
    </row>
    <row r="78" spans="17:51" x14ac:dyDescent="0.5">
      <c r="AV78" s="8" t="s">
        <v>90</v>
      </c>
      <c r="AX78" s="8" t="s">
        <v>684</v>
      </c>
      <c r="AY78" s="7"/>
    </row>
    <row r="79" spans="17:51" x14ac:dyDescent="0.5">
      <c r="AV79" s="7" t="s">
        <v>661</v>
      </c>
      <c r="AX79" s="7" t="s">
        <v>660</v>
      </c>
      <c r="AY79" s="7"/>
    </row>
    <row r="80" spans="17:51" x14ac:dyDescent="0.5">
      <c r="AV80" s="6" t="s">
        <v>711</v>
      </c>
      <c r="AX80" s="7" t="s">
        <v>606</v>
      </c>
      <c r="AY80" s="7"/>
    </row>
    <row r="81" spans="48:51" x14ac:dyDescent="0.5">
      <c r="AV81" s="8" t="s">
        <v>725</v>
      </c>
      <c r="AX81" s="8" t="s">
        <v>638</v>
      </c>
      <c r="AY81" s="8"/>
    </row>
    <row r="82" spans="48:51" x14ac:dyDescent="0.5">
      <c r="AV82" s="5" t="s">
        <v>717</v>
      </c>
      <c r="AX82" s="7" t="s">
        <v>680</v>
      </c>
      <c r="AY82" s="7"/>
    </row>
    <row r="83" spans="48:51" x14ac:dyDescent="0.5">
      <c r="AV83" s="7" t="s">
        <v>364</v>
      </c>
      <c r="AX83" s="8" t="s">
        <v>553</v>
      </c>
      <c r="AY83" s="8"/>
    </row>
    <row r="84" spans="48:51" x14ac:dyDescent="0.5">
      <c r="AV84" s="8" t="s">
        <v>723</v>
      </c>
      <c r="AX84" s="8" t="s">
        <v>526</v>
      </c>
      <c r="AY84" s="7"/>
    </row>
    <row r="85" spans="48:51" x14ac:dyDescent="0.5">
      <c r="AV85" s="5" t="s">
        <v>577</v>
      </c>
      <c r="AX85" s="7" t="s">
        <v>689</v>
      </c>
      <c r="AY85" s="7"/>
    </row>
    <row r="86" spans="48:51" x14ac:dyDescent="0.5">
      <c r="AV86" s="7" t="s">
        <v>732</v>
      </c>
      <c r="AX86" s="11" t="s">
        <v>583</v>
      </c>
      <c r="AY86" s="7"/>
    </row>
    <row r="87" spans="48:51" x14ac:dyDescent="0.5">
      <c r="AV87" s="8" t="s">
        <v>698</v>
      </c>
      <c r="AX87" s="8" t="s">
        <v>370</v>
      </c>
      <c r="AY87" s="11"/>
    </row>
    <row r="88" spans="48:51" x14ac:dyDescent="0.5">
      <c r="AV88" s="7" t="s">
        <v>368</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2026-04-21T19:19:56Z</dcterms:modified>
  <cp:category/>
  <cp:contentStatus/>
</cp:coreProperties>
</file>