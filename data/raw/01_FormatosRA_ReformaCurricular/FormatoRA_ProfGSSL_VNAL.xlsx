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CAC5EEF3-1A72-4B68-BE24-FAA6C2009E7B}" xr6:coauthVersionLast="47" xr6:coauthVersionMax="47" xr10:uidLastSave="{9C30B41E-0080-4647-9709-AE4D945CC8BB}"/>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mesocurricu'!$A$2:$E$9</definedName>
    <definedName name="_xlnm._FilterDatabase" localSheetId="4" hidden="1">'Paso 5 Estrategias micro'!$A$1:$Q$125</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2" i="10" l="1"/>
  <c r="J125" i="10"/>
  <c r="J124" i="10"/>
  <c r="J123" i="10"/>
  <c r="J122" i="10" l="1"/>
  <c r="K107" i="10" l="1"/>
  <c r="L121" i="10"/>
  <c r="K121" i="10"/>
  <c r="L120" i="10"/>
  <c r="K120" i="10"/>
  <c r="L108" i="10"/>
  <c r="K108" i="10"/>
  <c r="L107" i="10"/>
  <c r="L115" i="10"/>
  <c r="K115" i="10"/>
  <c r="L112" i="10"/>
  <c r="K112" i="10"/>
  <c r="L109" i="10"/>
  <c r="K109" i="10"/>
  <c r="L103" i="10"/>
  <c r="K103" i="10"/>
  <c r="L99" i="10"/>
  <c r="K99" i="10"/>
  <c r="L95" i="10"/>
  <c r="K95" i="10"/>
  <c r="L92" i="10"/>
  <c r="K92" i="10"/>
  <c r="L89" i="10"/>
  <c r="K89" i="10"/>
  <c r="L85" i="10"/>
  <c r="K85" i="10"/>
  <c r="L81" i="10"/>
  <c r="K81" i="10"/>
  <c r="L78" i="10"/>
  <c r="K78" i="10"/>
  <c r="L74" i="10"/>
  <c r="K74" i="10"/>
  <c r="L70" i="10"/>
  <c r="K70" i="10"/>
  <c r="L67" i="10"/>
  <c r="K67" i="10"/>
  <c r="L63" i="10"/>
  <c r="K63" i="10"/>
  <c r="L60" i="10"/>
  <c r="K60" i="10"/>
  <c r="L57" i="10"/>
  <c r="K57" i="10"/>
  <c r="L54" i="10"/>
  <c r="K54" i="10"/>
  <c r="L50" i="10"/>
  <c r="K50" i="10"/>
  <c r="L47" i="10"/>
  <c r="K47" i="10"/>
  <c r="L43" i="10"/>
  <c r="L40" i="10"/>
  <c r="L36" i="10"/>
  <c r="L33" i="10"/>
  <c r="K33" i="10"/>
  <c r="K43" i="10"/>
  <c r="K40" i="10"/>
  <c r="K36" i="10"/>
  <c r="L28" i="10"/>
  <c r="L25" i="10"/>
  <c r="L22" i="10"/>
  <c r="L18" i="10"/>
  <c r="L15" i="10"/>
  <c r="K28" i="10"/>
  <c r="K25" i="10"/>
  <c r="K22" i="10"/>
  <c r="K18" i="10"/>
  <c r="K15" i="10"/>
  <c r="L11" i="10"/>
  <c r="L8" i="10"/>
  <c r="L5" i="10"/>
  <c r="K11" i="10"/>
  <c r="K8" i="10"/>
  <c r="K5" i="10"/>
  <c r="L46" i="10"/>
  <c r="K46" i="10"/>
  <c r="L32" i="10"/>
  <c r="K32" i="10"/>
  <c r="L31" i="10"/>
  <c r="K31" i="10"/>
  <c r="L14" i="10"/>
  <c r="K14" i="10"/>
  <c r="L4" i="10"/>
  <c r="K4" i="10"/>
  <c r="L3" i="10"/>
  <c r="K3" i="10"/>
  <c r="A46" i="10"/>
  <c r="A32" i="10"/>
  <c r="A31" i="10"/>
  <c r="A14" i="10"/>
  <c r="A3" i="10"/>
  <c r="A4" i="10"/>
  <c r="A119" i="10"/>
  <c r="A118" i="10"/>
  <c r="A117" i="10"/>
  <c r="A116" i="10"/>
  <c r="A115" i="10"/>
  <c r="A114" i="10"/>
  <c r="A113" i="10"/>
  <c r="A112" i="10"/>
  <c r="A111" i="10"/>
  <c r="A110" i="10"/>
  <c r="A109"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5" i="10"/>
  <c r="A44" i="10"/>
  <c r="A43" i="10"/>
  <c r="A42" i="10"/>
  <c r="A41" i="10"/>
  <c r="A40" i="10"/>
  <c r="A39" i="10"/>
  <c r="A38" i="10"/>
  <c r="A37" i="10"/>
  <c r="A36" i="10"/>
  <c r="A35" i="10"/>
  <c r="A34" i="10"/>
  <c r="A33" i="10"/>
  <c r="A30" i="10"/>
  <c r="A29" i="10"/>
  <c r="A28" i="10"/>
  <c r="A27" i="10"/>
  <c r="A26" i="10"/>
  <c r="A25" i="10"/>
  <c r="A24" i="10"/>
  <c r="A23" i="10"/>
  <c r="A22" i="10"/>
  <c r="A21" i="10"/>
  <c r="A20" i="10"/>
  <c r="A19" i="10"/>
  <c r="A18" i="10"/>
  <c r="A17" i="10"/>
  <c r="A16" i="10"/>
  <c r="A15" i="10"/>
  <c r="A13" i="10"/>
  <c r="A12" i="10"/>
  <c r="A11" i="10"/>
  <c r="A9" i="10"/>
  <c r="A10" i="10"/>
  <c r="A8" i="10"/>
  <c r="A6" i="10"/>
  <c r="A7" i="10"/>
  <c r="A5" i="10"/>
  <c r="M11" i="10" l="1"/>
  <c r="M22" i="10"/>
  <c r="M50" i="10"/>
  <c r="M70" i="10"/>
  <c r="M78" i="10"/>
  <c r="M85" i="10"/>
  <c r="M89" i="10"/>
  <c r="M99" i="10"/>
  <c r="M92" i="10"/>
  <c r="M103" i="10"/>
  <c r="M25" i="10"/>
  <c r="M5" i="10"/>
  <c r="M15" i="10"/>
  <c r="M43" i="10"/>
  <c r="M112" i="10"/>
  <c r="M107" i="10"/>
  <c r="M8" i="10"/>
  <c r="M18" i="10"/>
  <c r="M33" i="10"/>
  <c r="M47" i="10"/>
  <c r="M57" i="10"/>
  <c r="M67" i="10"/>
  <c r="M108" i="10"/>
  <c r="M54" i="10"/>
  <c r="M63" i="10"/>
  <c r="M95" i="10"/>
  <c r="M109" i="10"/>
  <c r="M121" i="10"/>
  <c r="M36" i="10"/>
  <c r="M40" i="10"/>
  <c r="M81" i="10"/>
  <c r="M115" i="10"/>
  <c r="M28" i="10"/>
  <c r="M46" i="10"/>
  <c r="M60" i="10"/>
  <c r="M74" i="10"/>
  <c r="M120" i="10"/>
  <c r="M31" i="10" l="1"/>
  <c r="M32" i="10"/>
  <c r="M14"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<sst xmlns="http://schemas.openxmlformats.org/spreadsheetml/2006/main" count="2435" uniqueCount="792">
  <si>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</si>
  <si>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</si>
  <si>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</si>
  <si>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</si>
  <si>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</si>
  <si>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</si>
  <si>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</si>
  <si>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</si>
  <si>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</si>
  <si>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</si>
  <si>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</si>
  <si>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</si>
  <si>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</si>
  <si>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</si>
  <si>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</si>
  <si>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</si>
  <si>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</si>
  <si>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</si>
  <si>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Profesional en Gestión de la Seguridad y Salud Laboral</t>
  </si>
  <si>
    <t>Virtual</t>
  </si>
  <si>
    <t>El egresado del programa Profesional en Gestión de la Seguridad y Salud Laboral del Politécnico Grancolombiano integra fundamentos conceptuales, normativos y metodológicos para evaluar las condiciones de trabajo, salud y riesgos que inciden en el bienestar de los trabajadores. Gestiona procesos de promoción de la salud y prevención de riesgos laborales en diversos sectores productivos, mediante el diseño e implementación de estrategias técnicas orientadas a mejorar las condiciones laborales desde una perspectiva interdisciplinar. Analiza problemáticas en seguridad y salud laboral y formula soluciones aplicables en diversos entornos organizacionales, enmarcadas en procesos de mejora continua.</t>
  </si>
  <si>
    <t>El egresado del programa Profesional en Gestión de la Seguridad y Salud Laboral del Politécnico Grancolombiano se desempeña en entornos organizacionales de diversos sectores económicos, donde diseña, implementa y gestiona sistemas de gestión de seguridad y salud laboral mediante procesos orientados a planificar, controlar y mantener condiciones laborales seguras conforme a los lineamientos del SG-SST. Ejecuta actividades de diagnóstico, planificación, operación y mejora continua para prevenir accidentes y enfermedades laborales, en cumplimiento de la normatividad vigente. Además, asesora a las organizaciones en el diseño e implementación de soluciones adaptadas a las condiciones reales del entorno laboral.</t>
  </si>
  <si>
    <t>Riesgos asociados a la seguridad y salud laboral</t>
  </si>
  <si>
    <t>desarrollar procesos del Sistema de Gestión de la Seguridad y Salud en el Trabajo</t>
  </si>
  <si>
    <t>evaluando condiciones de salud y de trabajo según los diferentes riesgos a los cuales se encuentren expuestos los trabajadores</t>
  </si>
  <si>
    <t xml:space="preserve">Dirección de Sistema de Gestión en Seguridad y Salud laboral / Servicios de prevención de riesgos laborales, vigilancia de enfermedades y promoción de la salud / Salud pública /Educación, capacitación, orientación y formación técnica en SST / Higiene y Seguridad industrial / Consultorías empresariales del SG-SST / Gestión de emergencias y prevención de desastres / Servicios de auditorías en la implementación del Sistema de Gestión de Seguridad y Salud Laboral. </t>
  </si>
  <si>
    <t>Evaluación inicial del Sistema de Gestión de Seguridad y Salud en el Trabajo (SG-SST), diseño, implementación, ejecución, y mejora del SGSST / Elaboración del plan de trabajo anual,  plan de capacitación / Asignación de recursos para el SGSST, gestión de procesos de compras - adquisición de bienes servicios, contratistas y proveedores / Seguimiento afiliación al Sistema General de Riesgos Laborales (SGRL) / Evaluación de riesgos, identificación y priorización actividades críticas / Análisis sociodemográfico y diagnóstico de condiciones de salud y de trabajo / Conformación y funcionamiento del comités y grupos de acción en SST (COPASST,  comité de convivencia, brigadas, investigación de ATEL, etc.) / Capacitación de trabajadores, actividades de promoción y prevención / Gestión documental del SGSSL, verificación del cumplimiento legal y normativo en SST, rendición de cuentas, auditoría y control del SGSST / Gestión del cambio, mecanismos de comunicación / Formulación e implementación de políticas de SST / Gestión de emergencias y planes de contingencia, monitoreo ambiental y de factores de riesgo, gestión de indicadores, relación con entes de control y aseguradoras, promoción de cultura preventiva, actualización normativa e innovación para la mejora continua.</t>
  </si>
  <si>
    <t xml:space="preserve">Organizaciones y entidades públicas y privadas de los diferentes sectores económicos y tamaños a nivel nacional, incluyendo sectores no formales / Trabajadores independientes con contrato de prestación de servicios, aprendices, practicantes y pasantes, así como trabajadores en misión y temporales, proveedores y contratistas externos, los cuales, deben estar cubiertos por el SGSST / Instituciones del sector educativo en sus distintos niveles de formación / Entidades del Sistema General de Seguridad Social como ARL, EPS, IPS y clínicas especializadas / Diferentes escenarios para consultorías y ejercicios independientes. </t>
  </si>
  <si>
    <t>El programa Profesional en Gestión de la Seguridad y la Salud Laboral del Politécnico Grancolombiano se caracteriza por integrar enfoques técnicos, normativos y metodológicos en un currículo interdisciplinar que combina aportes de la psicología, el derecho y la gestión del talento humano, con una estructura que permite desarrollar competencias aplicables en los diversos sectores económicos, mediante metodologías de educación innovadoras que consideran las necesidades reales del entorno laboral. Su enfoque integral fortalece la formación para responder con visión estratégica y capacidad técnica a los desafíos actuales en seguridad y salud laboral.</t>
  </si>
  <si>
    <t>Estrategias de promoción de la salud y prevención de riesgos laborales</t>
  </si>
  <si>
    <t>estructurar planes de intervención orientados al bienestar de los trabajadores</t>
  </si>
  <si>
    <t>integrando la participación de los diferentes actores organizacionales desde una perspectiva interdisciplinar acorde con el contexto laboral</t>
  </si>
  <si>
    <t>Normatividad asociada a la seguridad y salud laboral</t>
  </si>
  <si>
    <t>desarrollar acciones de seguimiento y verificación del cumplimiento legal en las organizaciones</t>
  </si>
  <si>
    <t>utilizando criterios técnicos sustentados en evidencia documentada y trazable, conforme a las disposiciones vigentes</t>
  </si>
  <si>
    <t>Procesos de análisis y mejora continua en seguridad y salud laboral</t>
  </si>
  <si>
    <t>desarrollar investigaciones sobre problemáticas emergentes</t>
  </si>
  <si>
    <t>fundamentando soluciones técnicas que incidan en la salud de los trabajadores y el desarrollo organizacional</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</si>
  <si>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</si>
  <si>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</si>
  <si>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</si>
  <si>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</si>
  <si>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</si>
  <si>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</si>
  <si>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</si>
  <si>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</si>
  <si>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</si>
  <si>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</si>
  <si>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</si>
  <si>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</si>
  <si>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</si>
  <si>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</si>
  <si>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</si>
  <si>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</si>
  <si>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</si>
  <si>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</si>
  <si>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Gestionar</t>
  </si>
  <si>
    <t>Gestionar los riesgos asociados a la seguridad y salud laboral, para desarrollar procesos del Sistema de Gestión de la Seguridad y Salud en el Trabajo, evaluando condiciones de salud y de trabajo según los diferentes riesgos a los cuales se encuentren expuestos los trabajadores.</t>
  </si>
  <si>
    <t>Específica</t>
  </si>
  <si>
    <t>Planear</t>
  </si>
  <si>
    <t>Planear estrategias de promoción de la salud y prevención de riesgos laborales para estructurar planes  de intervención orientados al bienestar de los trabajadores, integrando la participación de los diferentes actores organizacionales desde una perspectiva interdisciplinar acorde con el contexto laboral.</t>
  </si>
  <si>
    <t>Aplicar</t>
  </si>
  <si>
    <t>Aplicar la normatividad asociada a la seguridad y salud laboral para desarrollar acciones de seguimiento y verificación del cumplimiento legal en las organizaciones, utilizando criterios técnicos sustentados en evidencia documentada y trazable, conforme a las disposiciones vigentes.</t>
  </si>
  <si>
    <t>Formular</t>
  </si>
  <si>
    <t>Formular procesos de análisis y mejora continua en seguridad y salud laboral para desarrollar investigaciones sobre problemáticas emergentes, fundamentando soluciones técnicas que incidan en la salud de los trabajadores y el desarrollo organizacional.</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</si>
  <si>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</si>
  <si>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</si>
  <si>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</si>
  <si>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</si>
  <si>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</si>
  <si>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</si>
  <si>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</si>
  <si>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</si>
  <si>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</si>
  <si>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</si>
  <si>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</si>
  <si>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</si>
  <si>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</si>
  <si>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</si>
  <si>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</si>
  <si>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</si>
  <si>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</si>
  <si>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</si>
  <si>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</si>
  <si>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</si>
  <si>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</si>
  <si>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</si>
  <si>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</si>
  <si>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</si>
  <si>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el contexto organizacional y la información sobre riesgos asociados a la seguridad y salud laboral para relacionar los lineamientos legales y normativos aplicables, según la actividad económica y las necesidades específicas de la empresa.</t>
  </si>
  <si>
    <t>ProcedimentalBAK</t>
  </si>
  <si>
    <t>PrecisiónBAK</t>
  </si>
  <si>
    <t>Establecer</t>
  </si>
  <si>
    <t>Establece procesos asociados con la gestión de los riesgos laborales para ejecutar propuestas de implementación del Sistema de Gestión de Seguridad y Salud en el trabajo, de acuerdo con la normatividad vigente y el análisis de las condiciones de salud y trabajo en ambientes laborales.</t>
  </si>
  <si>
    <t>ActitudinalBAK</t>
  </si>
  <si>
    <t>ResponderBAK</t>
  </si>
  <si>
    <t>Clasificar</t>
  </si>
  <si>
    <t>Clasifica la legislación y normatividad vigente que regula la Seguridad y salud laboral, para aplicar propuestas acordes con el contexto organizacional y el ciclo PHVA considerando parámetros internacionales de referencia aplicables.</t>
  </si>
  <si>
    <t>Organizar</t>
  </si>
  <si>
    <t>Organiza intervenciones interdisciplinares de promoción de la salud y prevención de enfermedades laborales, para coordinar propuestas orientadas a fortalecer el bienestar de los colaboradores y aportar a la sostenibilidad organizacional.</t>
  </si>
  <si>
    <t>Desarrollar</t>
  </si>
  <si>
    <t>Desarrolla procesos de investigación sobre problemáticas emergentes en SST a través de diferentes metodologías, para identificar causas, evaluar impactos y proponer acciones de mejora según las necesidades organizacionales.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</si>
  <si>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</si>
  <si>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</si>
  <si>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</si>
  <si>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</si>
  <si>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</si>
  <si>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</si>
  <si>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</si>
  <si>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</si>
  <si>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</si>
  <si>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</si>
  <si>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</si>
  <si>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</si>
  <si>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</si>
  <si>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</si>
  <si>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</si>
  <si>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</si>
  <si>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</si>
  <si>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 de Investigación</t>
  </si>
  <si>
    <t>Estrategia orientada a fomentar la cultura investigativa en los estudiantes, mediante su vinculación a grupos o proyectos de investigación donde desarrollan habilidades para la indagación, el pensamiento crítico y la producción de conocimiento. A través de los semilleros, los participantes exploran problemáticas de su disciplina, formulan propuestas innovadoras y fortalecen competencias investigativas que contribuyen a su desarrollo académico y profesional.</t>
  </si>
  <si>
    <t>Valoración de la estrategia respecto al nivel de aporte a los resultados de aprendizaje del programa.</t>
  </si>
  <si>
    <t>Formar a los estudiantes en competencias investigativas y en la apropiación del método científico mediante el acompañamiento en la formulación, ejecución y divulgación de proyectos de investigación formativa.</t>
  </si>
  <si>
    <t>Encuesta de valoración para los estudiantes</t>
  </si>
  <si>
    <t xml:space="preserve">Número de estudiantes que participan en la estrategia. </t>
  </si>
  <si>
    <t>Listados de participación de los estudiantes</t>
  </si>
  <si>
    <t>Número de semilleros y encuentros realizados anualmente.</t>
  </si>
  <si>
    <t>Informe o Reporte</t>
  </si>
  <si>
    <t>Talleres de Aprendizaje y Actualización Virtuales (TAV)</t>
  </si>
  <si>
    <t>Estrategia orientada a minimizar los índices de deserción de los estudiantes de la modalidad virtual, mediante el fortalecimiento de sus competencias a través de sesiones sincrónicas en línea. Se desarrolla en el marco interinstitucional y se articula con las iniciativas propias del programa.</t>
  </si>
  <si>
    <t>Prevenir dificultades académicas mediante el acompañamiento oportuno y favorecer el fortalecimiento de competencias de los estudiantes a través de sesiones sincrónicas en línea, favoreciendo su permanencia y éxito en la modalidad virtual y la actualización en la disciplina.</t>
  </si>
  <si>
    <t>Número de eventos académicos desarrollados semestralmente.</t>
  </si>
  <si>
    <t>Clases Espejo</t>
  </si>
  <si>
    <t>Estrategia educativa que busca conectar dos o más grupos de estudiantes de diferentes instituciones  para compartir una misma clase en tiempo real, utilizando tecnologías de comunicación digital. Estas clases permiten comparar enfoques curriculares, compartir saberes y fortalecer competencias interculturales, comunicativas y disciplinares en un entorno colaborativo de aprendizaje.</t>
  </si>
  <si>
    <t>Informar a los estudiantes sobre contextos, prácticas y enfoques académicos internacionales que amplían su visión disciplinar y fortalecen la internacionalización del currículo.</t>
  </si>
  <si>
    <t>Número de clases espejo desarrolladas semestralmente.</t>
  </si>
  <si>
    <t>Misiones Académicas</t>
  </si>
  <si>
    <t>Estrategia desarrollada por la Facultad de Sociedad, Cultura y Creatividad, con el apoyo de la Oficina de Relaciones Nacionales e Internacionales (ORNI), que promueve la participación de estudiantes y docentes en experiencias académicas nacionales e internacionales, donde los participantes fortalecen competencias específicas y transversales, amplían su perspectiva disciplinar e intercultural y adquieren herramientas para una intervención profesional más eficaz en diversos contextos laborales.</t>
  </si>
  <si>
    <t>Formar a los estudiantes y docentes mediante la actualización académica e intercambio de saberes con expertos nacionales e internacionales, fortaleciendo las competencias profesionales y la perspectiva intercultural.</t>
  </si>
  <si>
    <t>Número de eventos realizados por las redes anualmente.</t>
  </si>
  <si>
    <t>Consultorio de SST del Programa</t>
  </si>
  <si>
    <t>Estrategia orientada a ofrecer servicios de apoyo, asesoría y consultoría virtual en la gestión de la promoción y prevención de la seguridad y la salud en el trabajo en empresas del territorio colombiano. Busca fortalecer el Sistema de Gestión de la Seguridad y Salud en el Trabajo (SG-SST) mediante procesos de acompañamiento, capacitación y asesoría que faciliten el cumplimiento de los Estándares Mínimos establecidos por el Gobierno Nacional a través del Ministerio del Trabajo.</t>
  </si>
  <si>
    <t>Ayudar a establecer parámetros a las empresas y participantes en la implementación de acciones adecuadas para la gestión, mejora continua y cumplimiento de los requerimientos del Sistema de Gestión de la Seguridad y Salud en el Trabajo (SG-SST), promoviendo la toma de decisiones informadas y responsables frente a los riesgos laborales.</t>
  </si>
  <si>
    <t>Número de estudiantes que participan en la estrategia cada semestre.</t>
  </si>
  <si>
    <t>Número de trabajadores y empresas asesoradas e impactadas semestralmente.</t>
  </si>
  <si>
    <t>Participación en Redes Académicas
Articulación con aliados estratégicos en SST</t>
  </si>
  <si>
    <t>Estrategia que articula la colaboración con aliados estratégicos para el desarrollo de actividades que fortalecen los conocimientos y competencias de la comunidad académica en materia de Seguridad y Salud en el Trabajo (SST), ofreciendo diversas alternativas de formación y actualización.</t>
  </si>
  <si>
    <t>Informar a la comunidad académica sobre oportunidades de formación, cooperación y actualización derivadas de las alianzas con entidades externas, fortaleciendo el vínculo entre academia y entorno productivo.</t>
  </si>
  <si>
    <t>Congresos /Seminarios</t>
  </si>
  <si>
    <t>Eventos académicos, investigativos y culturales de integración internacional e inclusión, que reúne invitados nacionales e internacionales con el propósito de promover la actualización académica, la socialización de resultados de investigación, la exposición cultural y la divulgación de experiencias de empresarios y colaboradores vinculados a MiPymes. Está dirigido a la comunidad académica y a todos los interesados en la Seguridad y Salud en el Trabajo (SST).</t>
  </si>
  <si>
    <t>Informar a los estudiantes y comunidad académica sobre los avances, resultados de investigación y experiencias relevantes del sector empresarial y académico en Seguridad y Salud en el Trabajo y otros temas, fortaleciendo la actualización y el vínculo con el contexto profesional.</t>
  </si>
  <si>
    <t>Número de veces que se aplicó la estrategia semestralmente.</t>
  </si>
  <si>
    <t>Socialización de Trabajos de Investigación</t>
  </si>
  <si>
    <t>Estrategia que promueve las jornadas de presentación de resultados de investigación desarrolladas en los trabajos de grado y prácticas por investigación de los estudiantes de últimos semestres, con el propósito de fomentar la divulgación académica, el intercambio de saberes y la consolidación de una cultura investigativa en el programa.</t>
  </si>
  <si>
    <t>Formar a los estudiantes en la socialización y divulgación de resultados de investigación, fortaleciendo sus competencias comunicativas, argumentativas y científicas.</t>
  </si>
  <si>
    <t>Número de sustentaciones realizadas semestralmente.</t>
  </si>
  <si>
    <t xml:space="preserve"> Congreso de Voceros Internacional
(conferencias de estudiantes para estudiantes)</t>
  </si>
  <si>
    <t>Evento académico en el que los protagonistas son los estudiantes y egresados de la Escuela de Estudios en Psicología, Talento Humano y Sociedad, junto con estudiantes internacionales. Su propósito es socializar experiencias académicas y laborales que fortalezcan el intercambio de saberes, la proyección profesional y la integración de la comunidad académica.</t>
  </si>
  <si>
    <t>Formar a los estudiantes y egresados mediante la socialización de experiencias académicas, profesionales y culturales que fortalecen el aprendizaje colaborativo, la proyección profesional y la integración de la comunidad académica.</t>
  </si>
  <si>
    <t>Número de eventos realizados semestralmente.</t>
  </si>
  <si>
    <t>Promoción del Bilingüismo</t>
  </si>
  <si>
    <t>Estrategia orientada a fortalecer las habilidades en el manejo de un segundo idioma mediante la lectura de textos en inglés y el desarrollo de actividades comunicativas en este idioma durante las clases, promoviendo el aprendizaje práctico y la competencia lingüística de los estudiantes.</t>
  </si>
  <si>
    <t>Formar a los estudiantes en competencias comunicativas en inglés a través de lecturas y actividades prácticas que promueven el uso activo del idioma en contextos académicos.</t>
  </si>
  <si>
    <t>Curso de 50 en Sistema de Gestión en SST y curso de 20 horas de actualización en el Sistema de Gestión de SST</t>
  </si>
  <si>
    <t>Curso virtual diseñado para ofrecer la capacitación obligatoria establecida en el Decreto 1072, orientada al desarrollo de competencias en las personas responsables de aspectos relacionados con el Sistema de Gestión de la Seguridad y Salud en el Trabajo (SG-SST) en sus respectivos campos laborales. Su propósito es brindar la información necesaria y facilitar la gestión e implementación efectiva del sistema.</t>
  </si>
  <si>
    <t>Formar a los participantes en los lineamientos normativos y procedimentales del Sistema de Gestión de la Seguridad y Salud en el Trabajo (SG-SST), promoviendo su aplicación efectiva en los diferentes contextos laborales.</t>
  </si>
  <si>
    <t>Número de veces que se aplicó el curso anualmente.</t>
  </si>
  <si>
    <t>Publicación en Revista de SST y Literatura Gris</t>
  </si>
  <si>
    <t>Estrategia materializada en la revista de divulgación científica Poliantea, adscrita a la Facultad de Sociedad, Cultura y Creatividad de la Institución Universitaria Politécnico Grancolombiano, en Bogotá, Colombia. Está orientada a la publicación y difusión de los mejores proyectos de investigación formativa desarrollados en los programas de la facultad, promoviendo la visibilidad académica y el fortalecimiento de la cultura investigativa.</t>
  </si>
  <si>
    <t>Informar y difundir los resultados de la investigación formativa desarrollada en los programas de la facultad, promoviendo la divulgación del conocimiento y la visibilidad académica.</t>
  </si>
  <si>
    <t>Encuesta de valoración para los estudiantes y docentes</t>
  </si>
  <si>
    <t xml:space="preserve">Número de estudiantes y docentes que participan en la estrategia. </t>
  </si>
  <si>
    <t>Número de publicaciones realizadas anualmente.</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</si>
  <si>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</si>
  <si>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</si>
  <si>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</si>
  <si>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</si>
  <si>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</si>
  <si>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</si>
  <si>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</si>
  <si>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</si>
  <si>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</si>
  <si>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</si>
  <si>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</si>
  <si>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</si>
  <si>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</si>
  <si>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</si>
  <si>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</si>
  <si>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</si>
  <si>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</si>
  <si>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</si>
  <si>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</si>
  <si>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</si>
  <si>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</si>
  <si>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</si>
  <si>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</si>
  <si>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</si>
  <si>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</si>
  <si>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</si>
  <si>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</si>
  <si>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</si>
  <si>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</si>
  <si>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</si>
  <si>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</si>
  <si>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</si>
  <si>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</si>
  <si>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</si>
  <si>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</si>
  <si>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</si>
  <si>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</si>
  <si>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</si>
  <si>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</si>
  <si>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</si>
  <si>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</si>
  <si>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</si>
  <si>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</si>
  <si>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</si>
  <si>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Fundamentos de Psicología</t>
  </si>
  <si>
    <t>Diferencia los enfoques propios de la psicología para determinar la congruencia del objeto de estudio a abordar, metodologías, epistemologías y praxis.</t>
  </si>
  <si>
    <t>T</t>
  </si>
  <si>
    <t>1. Corrientes epistemológicas.
2. Enfoques de la psicología.
3. Campos aplicados.
4. Métodos de investigación en psicología.</t>
  </si>
  <si>
    <t>Trabajo directo:
Encuentros sincrónicos, mensajería interna, foros generales, anuncios
Trabajo independiente: 
Lecturas fundamentales y complementarias
Anuncios
Foros
Actividades de refuerzo y recursos del módulo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</si>
  <si>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</si>
  <si>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Biología Humana</t>
  </si>
  <si>
    <t xml:space="preserve">Reconoce la organización y composición celular, y los procesos fisiológicos fundamentales del cuerpo humano, para establecer su relación con el funcionamiento de los sistemas corporales y con las enfermedades que pueden originarse por la exposición a factores de riesgo en el ambiente de trabajo. </t>
  </si>
  <si>
    <t xml:space="preserve">1. La célula y la organización estructural y funcional del cuerpo humano. 
2. Sistema osteomuscular y respiratorio. 
3. Sistemas digestivo, cardiovascular, urinario y reproductor. 
4. Sistemas nervioso, endocrino y sensorial.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</si>
  <si>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</si>
  <si>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Introducción a la Seguridad y Salud Laboral</t>
  </si>
  <si>
    <t>Reconoce los conceptos básicos, la evolución y el marco normativo de la Seguridad y Salud en el Trabajo para explicar la estructura y propósito del Sistema de Gestión de Seguridad y Salud en el Trabajo en un contexto organizacional general.</t>
  </si>
  <si>
    <t>1. Evolución y conceptos básicos en Seguridad y Salud en el Trabajo. 
2. Sistema general de Riesgos Laborales. 
3. Marco normativo en Seguridad y Salud en el Trabajo.  
4. Estructura del Sistema de Gestión de Seguridad y Salud en el Trabajo.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</si>
  <si>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</si>
  <si>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</si>
  <si>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</si>
  <si>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Fundamentos de Riesgos Biomecánicos</t>
  </si>
  <si>
    <t xml:space="preserve">Aplica los principios anatómicos, fisiológicos y biomecánicos del movimiento corporal para identificar los factores de riesgo biomecánico en distintos contextos laborales mediante métodos de valoración ergonómica, herramientas tecnológicas, estrategias de prevención, de acuerdo con la normativa vigente.   </t>
  </si>
  <si>
    <t xml:space="preserve">1. Introducción al riesgo biomecánico.  
2. Factores de riesgo biomecánico. 
3. Evaluación de carga física. 
4. Estrategias de intervención y prevención del riesgo biomecánico. </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</si>
  <si>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</si>
  <si>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Fundamentos de Higiene y Seguridad Industrial</t>
  </si>
  <si>
    <t>Utiliza los conceptos y métodos de higiene y seguridad industrial para identificar los peligros y valorar los riesgos presentes en distintos contextos laborales, reconociendo medidas de control de acuerdo con la normativa vigente.</t>
  </si>
  <si>
    <t>1. Conceptos básicos, metodologías y evolución historia de la higiene y seguridad industrial. 
2. Higiene industrial.  
3. Seguridad Industrial. 
4. Metodologías para la identificación de peligros y valoración e intervención de los de riesgos, en diferentes sectores laborales.</t>
  </si>
  <si>
    <t xml:space="preserve">Legislación en Seguridad y Salud Laboral </t>
  </si>
  <si>
    <t>Interpreta la normatividad vigente del Sistema General de Riesgos Laborales (SGRL) y de la Seguridad y Salud en el Trabajo en Colombia para aplicar los procedimientos a seguir en la atención de accidentes y enfermedades laborales, conforme a la estructura y funcionamiento del SGRL.</t>
  </si>
  <si>
    <t>1. Marco normativo de la seguridad y salud en el trabajo en Colombia. 
2. Afiliaciones y cotizaciones al sistema general de riesgos laborales. 
3. Los accidentes de trabajo y las enfermedades laborales. 
4. Responsabilidad en el sistema general de riesgos laborales.</t>
  </si>
  <si>
    <t>Métodos Cuantitativos en Ciencias Sociales</t>
  </si>
  <si>
    <t>Aplica el proceso de investigación de la metodología cuantitativa para analizar datos obtenidos de la medición de constructos de interés propios de las ciencias sociales.</t>
  </si>
  <si>
    <t>1. Aproximación teórica y conceptual a la investigación cuantitativo.
2. Diseños experimentales.
3. Diseños no experimentales.
4. Resultados y métodos de análisis cuantitativos.</t>
  </si>
  <si>
    <t>Proceso Administrativo</t>
  </si>
  <si>
    <t xml:space="preserve">Diferencia factores externos e internos en un contexto empresarial, teniendo en cuenta la estructura organizacional, para la construcción de la matriz DOFA. 
Analiza la capacidad directiva, tecnológica y financiera de situaciones en particular, examinando aspectos relevantes de cada una e identificando sistemas de control con el fin de establecer planes de acción. 
Propone acciones y actividades teniendo en cuenta el análisis realizado previamente para elaborar el plan de mejora. </t>
  </si>
  <si>
    <t>1. Planeación.  	
2. Organización.
3. Dirección:  Integración de Personal - Motivación – liderazgo y comunicación.
4. Control.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</si>
  <si>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</si>
  <si>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</si>
  <si>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</si>
  <si>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</si>
  <si>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</si>
  <si>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</si>
  <si>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</si>
  <si>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</si>
  <si>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 xml:space="preserve">Responsabilidad Social Empresarial </t>
  </si>
  <si>
    <t>Identifica la RSE (responsabilidad social empresarial), con sus grupos de interés como el gobierno, las organizaciones para elaborar las estrategias empresariales con el componente de la sostenibilidad, y las herramientas de gestión como guías internacionales e internacionales en la planeación, evaluación y seguimiento.
Reconoce los conceptos teóricos de la Responsabilidad Social Empresarial para aportar a la mejora del desempeño social y / o ambiental de una organización.
Diseña programas de responsabilidad social en tanto componentes nucleares de una estrategia de Responsabilidad social empresarial a partir de referentes internacionales.
Explica las diferencias en las aproximaciones a la Responsabilidad Social Empresarial en Colombia en una perspectiva histórica para establecer lineamientos empresariales sostenibles con equidad social.</t>
  </si>
  <si>
    <t xml:space="preserve">1. Desarrollo sostenible.
2. Inicios y conceptos de la Responsabilidad Social Empresarial.
3. Gestión, evaluación y medición de la Responsabilidad Social Empresarial.
4. Desarrollo de la Responsabilidad Social Empresarial en Colombia. </t>
  </si>
  <si>
    <t>Tareas de Alto Riesgo y PESV</t>
  </si>
  <si>
    <t>Analiza los conceptos, clasificaciones y condiciones de riesgo de las Tareas de Alto Riesgo y del Plan Estratégico de Seguridad Vial para aplicar criterios técnicos en la identificación de peligros críticos y medidas iniciales de control en distintos contextos laborales.</t>
  </si>
  <si>
    <t>1. Conceptos básicos y clasificación de tareas de alto riesgo TAR. 
2. Trabajo en Alturas. 
3. Trabajo en Espacios Confinados. 
4. Plan estratégico de Seguridad Vial.</t>
  </si>
  <si>
    <t>Riesgo Psicosocial</t>
  </si>
  <si>
    <t>Analiza los factores de riesgo psicosocial en las organizaciones para emplear criterios que permitan identificar sus efectos y las acciones organizacionales preventivas contempladas en la normativa vigente.</t>
  </si>
  <si>
    <t>1. Fundamentos del riesgo psicosocial en el trabajo.
2. Factores de riesgo psicosocial.
3. Estrategias de intervención y prevención del riesgo psicosocial. 
4. Promoción de la salud mental en el entorno laboral .</t>
  </si>
  <si>
    <t>Responsabilidad en el Sistema General de Riesgos Laborales</t>
  </si>
  <si>
    <t xml:space="preserve">Analiza los conceptos jurídicos de daño, culpa y nexo causal en el Sistema General de Riesgos Laborales para emplear criterios legales en la interpretación de casos de accidentes y enfermedades laborales, de acuerdo con la normativa vigente en Colombia.  </t>
  </si>
  <si>
    <t>1. Concepto, sistemas y teorías de la responsabilidad e introducción al sistema general de riesgos laborales. 
2. Responsabilidades en el sistema general de riesgos laborales. 
3. Daño, culpa y nexo causal. 
4. Clasificación del perjuicio material o inmaterial: fundamentación y práctica.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</si>
  <si>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</si>
  <si>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</si>
  <si>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</si>
  <si>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</si>
  <si>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Ergonomía</t>
  </si>
  <si>
    <t>Aplica métodos técnicos de evaluación ergonómica para proponer medidas iniciales de mejora fundamentadas en la interpretación de las condiciones de riesgo y la priorización de sus niveles, de acuerdo con criterios normativos y técnicos vigentes.</t>
  </si>
  <si>
    <t xml:space="preserve">1. Evaluación avanzada de riesgos ergonómicos.
2. Condiciones ambientales y confort laboral.
3. Diseño ergonómico de puestos, herramientas y espacios.
4. Ergonomía cognitiva, innovación y tendencias. </t>
  </si>
  <si>
    <t>Riesgos Físicos</t>
  </si>
  <si>
    <t>Aplica los procedimientos de identificación, evaluación y control de los riesgos físicos, interpretando los resultados obtenidos conforme a los límites permisibles establecidos en las normas y la legislación vigente, para proponer medidas preventivas que contribuyan a proteger la salud de los trabajadores.</t>
  </si>
  <si>
    <t>1. Ruido.  
2. Vibración e Iluminación. 
3. Temperaturas Extremas – Presiones Anormales. 
4. Radiaciones Ionizantes y no Ionizantes.</t>
  </si>
  <si>
    <t>Métodos Cualitativos en Ciencias Sociales</t>
  </si>
  <si>
    <t>Aplica el proceso de investigación de la metodología cualitativa para interpretar los fenómenos contextuales propios de las ciencias sociales.</t>
  </si>
  <si>
    <t>1. Aproximaciones teóricas y conceptuales de la investigación cualitativa.
2. El proceso de investigación cualitativa.
3. Diseños de investigación cualitativa.
4. Análisis y reporte de resultados en el proceso de investigación cualitativa.</t>
  </si>
  <si>
    <t>Comportamiento Organizacional</t>
  </si>
  <si>
    <t>Aplica criterios específicos del comportamiento organizacional  en sus niveles individual, grupal y organizacional, para analizar situaciones básicas propias de la dinámica laboral.</t>
  </si>
  <si>
    <t>1. Evolución del comportamiento organizacional y niveles. 
2. Dimensión individual o micro comportamiento organizacional. 
3. Dimensión grupal o meso comportamiento organizacional. 
4. Macro comportamiento organizacional.</t>
  </si>
  <si>
    <t>Medicina Preventiva</t>
  </si>
  <si>
    <t>Analiza las condiciones de salud de los trabajadores y su relación con los factores de riesgo ocupacionales para proponer acciones de promoción de la salud y prevención de enfermedades laborales, en coherencia con la normativa legal vigente.</t>
  </si>
  <si>
    <t>1. Generalidades de la medicina preventiva. 
2. Promoción de la salud y prevención de la enfermedad. 
3. ​Evaluación médica ocupacional y análisis de la salud laboral​.
4. ​Informe de condiciones de salud​ y gestión de la prevención.</t>
  </si>
  <si>
    <t>Riesgos Naturales y Condiciones de Seguridad</t>
  </si>
  <si>
    <t>Analiza las condiciones de seguridad y los riesgos de origen natural en distintos contextos laborales para proponer acciones de prevención y control basadas en técnicas de evaluación y en los criterios normativos vigentes.</t>
  </si>
  <si>
    <t>1. Peligros mecánicos - tecnológicos y eléctricos. 
2. Peligros Locativos y de seguridad. 
3. Tareas de alto riesgo y peligro público. 
4. Plan de emergencias y contingencia.</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</si>
  <si>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</si>
  <si>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</si>
  <si>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1. Historia, principios generales y fuentes del Derecho Laboral
2. Contrato de trabajo, jornada laboral, salario y prestaciones sociales
3. Reglamento interno de trabajo y fueros laborales
4. Seguridad Social</t>
  </si>
  <si>
    <t>Epidemiología Laboral</t>
  </si>
  <si>
    <t>Analiza los conceptos y métodos de la epidemiología laboral para proponer acciones concretas de vigilancia y promoción en salud de los trabajadores, en coherencia con la normativa vigente.</t>
  </si>
  <si>
    <t xml:space="preserve">1. Introducción y conceptos de epidemiología.   
2. Epidemiología.  
3. Tipos de estudios epidemiológicos.  
4. Vigilancia en la salud de los trabajadores. </t>
  </si>
  <si>
    <t>Investigación de Accidentes y Enfermedades Laborales</t>
  </si>
  <si>
    <t>Aplica metodologías de investigación de accidentes y enfermedades laborales para establecer las causas y medidas básicas de prevención y control en el contexto organizacional.</t>
  </si>
  <si>
    <t>1. Conceptualización de accidente de trabajo, incidente y enfermedad laboral. 
2. Proceso de investigación de accidentes de trabajo y enfermedades laborales. 
3. Metodologías de investigación de accidentes de trabajo y enfermedades laborales.
4. Intervención y seguimiento a accidentes de trabajo, incidentes y enfermedades laborales.</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</si>
  <si>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</si>
  <si>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</si>
  <si>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</si>
  <si>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Riesgos Químicos y Biológicos</t>
  </si>
  <si>
    <t>Analiza los riesgos químicos y biológicos presentes en los ambientes laborales para proponer medidas de control y prevención que contribuyan al cuidado de la salud de los trabajadores y del entorno, conforme a la normativa vigente.</t>
  </si>
  <si>
    <t xml:space="preserve">1. Agentes químicos.  
2. Evaluación de accidentes y métodos de prevención.  
3. Agentes y contaminantes biológicos.  
4. Equipos de protección y gestión de residuos. </t>
  </si>
  <si>
    <t>Sistemas de Gestión de Calidad</t>
  </si>
  <si>
    <t>Analiza los principios y herramientas de los sistemas de gestión, basados en las normas ISO y NTC, para integrar sus fundamentos en procesos orientados a la mejora continua, la sostenibilidad y responsabilidad social de las organizaciones.</t>
  </si>
  <si>
    <t>1. Concepto de calidad. 
2. Generalidades Normas ISO 9001. 
3. Generalidad de la ISO 14001 y 45001. 
4. Gestión integral NTC 31000. Responsabilidad social y otras normas de gestión.</t>
  </si>
  <si>
    <t>Gestión Social de Proyectos</t>
  </si>
  <si>
    <t xml:space="preserve">Identifica los elementos claves para el desarrollo de la gestión social de proyecto desde la metodología de marco lógico comprendiendo las falencias ciudadanas desde sus realidades sociales, para esquematizar los pasos que deben poner en práctica para desarrollar un proyecto social de impacto en las comunidades. </t>
  </si>
  <si>
    <t>1. Introducción a la gestión social de proyectos - Fases del ciclo de un proyecto.
2. Fase inicial: Identificación de la idea.
3. Fase de diseño o elaboración del proyecto.
4. Fase puesta en marcha, ejecución y seguimiento – Evaluación expost.</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</si>
  <si>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</si>
  <si>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</si>
  <si>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</si>
  <si>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Medicina Laboral</t>
  </si>
  <si>
    <t>Evalúa los principios, procedimientos y normativas de la medicina laboral para proponer criterios de ajuste, adecuación en el ambiente laboral y el puesto de trabajo, que favorezcan la reincorporación del trabajador en condiciones seguras y saludables acordes con su capacidad laboral.</t>
  </si>
  <si>
    <t>1. Fundamentos, evolución y marco normativo de la Medicina Laboral.
2. Procedimientos y criterios técnicos para la calificación del origen de ATEL. 
3. Gestión de incapacidades laborales. 
4. Procesos de rehabilitación, reintegro y reubicación laboral.</t>
  </si>
  <si>
    <t>Diseño y Evaluación del Sistema de Gestión de la Seguridad y Salud Laboral</t>
  </si>
  <si>
    <t>Evalúa los elementos, procesos y normatividad del Sistema de Gestión de Seguridad y Salud en el Trabajo para proponer acciones de mejora continua que fortalezcan la prevención de riesgos y las condiciones laborales.</t>
  </si>
  <si>
    <t>1. Sistema de gestión de seguridad y salud en el trabajo. 
2. Organización y planificación del sistema de gestión de seguridad y salud en el trabajo. 
3. Aplicación del sistema de gestión de seguridad y salud en el trabajo. 
4. Evaluación del sistema de gestión de la seguridad y salud en el trabajo.</t>
  </si>
  <si>
    <t>Toxicología Laboral</t>
  </si>
  <si>
    <t>Analiza los principios y efectos de la exposición a agentes tóxicos en el ambiente laboral para formular medidas de prevención y control que protejan la salud de los trabajadores, en coherencia con la normativa vigente.</t>
  </si>
  <si>
    <t xml:space="preserve">1. Generalidades de la toxicología laboral.
2. Toxicología ocupacional y riesgos. 
3. Comportamiento e intervención en toxicología.  
4. Monitoreo biológico y evaluación del riesgo toxicológico. </t>
  </si>
  <si>
    <t>Electiva I</t>
  </si>
  <si>
    <t>Electiva 2</t>
  </si>
  <si>
    <t>Estrategias Gerenciales</t>
  </si>
  <si>
    <t>Evalúa los factores de impacto que son resultado del análisis del macroentorno, sector e interno de la empresa, para el logro de las tendencias. 
Relaciona las tendencias para la aplicación del método Delphi, que generan los factores a tener en cuenta para el método de expertos.
Construcción de hipótesis a partir de la formulación de las preguntas que se llevarán a los expertos. 
Diseña estrategias gerenciales a partir de los resultados obtenidos en los diversos escenarios.</t>
  </si>
  <si>
    <t>1. Prospectiva y estrategia dos elementos de la gestión administrativa.
2. Método Delphi y análisis estructural.
3. Identificación de escenarios factibles y escenario meta.
4. Tipos de estrategia y dirección estratégica.</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</si>
  <si>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</si>
  <si>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</si>
  <si>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</si>
  <si>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Práctica Aplicada PSS</t>
  </si>
  <si>
    <t>Desarrolla actividades de diagnóstico y  evaluación en SST, según el análisis situacional en organizaciones o comunidades para implementar acciones de mejora de acuerdo con la normativa vigente.</t>
  </si>
  <si>
    <t>P</t>
  </si>
  <si>
    <t>1. Diagnóstico.
2. Plan de intervención.
3. Desarrollo y ejecución.
4. Análisis de resultados.</t>
  </si>
  <si>
    <t>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</si>
  <si>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</si>
  <si>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</si>
  <si>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</si>
  <si>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</si>
  <si>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</si>
  <si>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</si>
  <si>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</si>
  <si>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</si>
  <si>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</si>
  <si>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</si>
  <si>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</si>
  <si>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</si>
  <si>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</si>
  <si>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</si>
  <si>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</si>
  <si>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</si>
  <si>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</si>
  <si>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</si>
  <si>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</si>
  <si>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</si>
  <si>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</si>
  <si>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Evaluar</t>
  </si>
  <si>
    <t>Fiscalizar</t>
  </si>
  <si>
    <t>Generar</t>
  </si>
  <si>
    <t>Hacer</t>
  </si>
  <si>
    <t>Implementar</t>
  </si>
  <si>
    <t>Liderar</t>
  </si>
  <si>
    <t>Modelar</t>
  </si>
  <si>
    <t>Participar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</si>
  <si>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</si>
  <si>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</si>
  <si>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</si>
  <si>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</si>
  <si>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</si>
  <si>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</si>
  <si>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</si>
  <si>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</si>
  <si>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</si>
  <si>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</si>
  <si>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</si>
  <si>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</si>
  <si>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</si>
  <si>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</si>
  <si>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</si>
  <si>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</si>
  <si>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</si>
  <si>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</si>
  <si>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</si>
  <si>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</si>
  <si>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</si>
  <si>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</si>
  <si>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</si>
  <si>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</si>
  <si>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</si>
  <si>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</si>
  <si>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</si>
  <si>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</si>
  <si>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</si>
  <si>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</si>
  <si>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</si>
  <si>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</si>
  <si>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</si>
  <si>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</si>
  <si>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</si>
  <si>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</si>
  <si>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</si>
  <si>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</si>
  <si>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</si>
  <si>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</si>
  <si>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</si>
  <si>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</si>
  <si>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</si>
  <si>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</si>
  <si>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</si>
  <si>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</si>
  <si>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</si>
  <si>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</si>
  <si>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</si>
  <si>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</si>
  <si>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</si>
  <si>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</si>
  <si>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</si>
  <si>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</si>
  <si>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</si>
  <si>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</si>
  <si>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</si>
  <si>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</si>
  <si>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</si>
  <si>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</si>
  <si>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</si>
  <si>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</si>
  <si>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</si>
  <si>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</si>
  <si>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</si>
  <si>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</si>
  <si>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</si>
  <si>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</si>
  <si>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</si>
  <si>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Adjuntar</t>
  </si>
  <si>
    <t>Calisificar</t>
  </si>
  <si>
    <t>Actuar</t>
  </si>
  <si>
    <t>Balancear</t>
  </si>
  <si>
    <t>Admitir</t>
  </si>
  <si>
    <t>Actuar recíprocamente</t>
  </si>
  <si>
    <t>Adoptar</t>
  </si>
  <si>
    <t>Anticipar</t>
  </si>
  <si>
    <t>Afinar</t>
  </si>
  <si>
    <t>Afirmar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</si>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</sst>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theme="1"/>
      <name val="Gill Sans MT"/>
      <family val="2"/>
    </font>
    <font>
      <b/>
      <sz val="10"/>
      <color rgb="FF000000"/>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style="thin">
        <color auto="1"/>
      </left>
      <right style="thin">
        <color auto="1"/>
      </right>
      <top style="medium">
        <color indexed="64"/>
      </top>
      <bottom style="hair">
        <color theme="1" tint="0.499984740745262"/>
      </bottom>
      <diagonal/>
    </border>
    <border>
      <left/>
      <right/>
      <top style="medium">
        <color indexed="64"/>
      </top>
      <bottom style="hair">
        <color theme="1" tint="0.499984740745262"/>
      </bottom>
      <diagonal/>
    </border>
    <border>
      <left style="thin">
        <color auto="1"/>
      </left>
      <right style="thin">
        <color auto="1"/>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auto="1"/>
      </left>
      <right style="thin">
        <color auto="1"/>
      </right>
      <top style="hair">
        <color theme="1" tint="0.499984740745262"/>
      </top>
      <bottom style="thin">
        <color auto="1"/>
      </bottom>
      <diagonal/>
    </border>
    <border>
      <left/>
      <right/>
      <top style="hair">
        <color theme="1" tint="0.499984740745262"/>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2">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3" fillId="0" borderId="5"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15" fillId="0" borderId="0" xfId="0" applyFont="1" applyAlignment="1">
      <alignmen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20" fillId="9" borderId="12"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0" borderId="8" xfId="0" applyFont="1" applyBorder="1" applyAlignment="1">
      <alignment horizontal="center" vertical="center" wrapText="1"/>
    </xf>
    <xf numFmtId="0" fontId="24" fillId="6" borderId="5" xfId="0" applyFont="1" applyFill="1" applyBorder="1" applyAlignment="1">
      <alignment horizontal="center" vertical="center" wrapText="1"/>
    </xf>
    <xf numFmtId="0" fontId="25" fillId="11" borderId="0" xfId="0" applyFont="1" applyFill="1" applyAlignment="1">
      <alignment horizontal="center" vertical="center"/>
    </xf>
    <xf numFmtId="0" fontId="24" fillId="6" borderId="14"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24" fillId="6" borderId="16" xfId="0" applyFont="1" applyFill="1" applyBorder="1" applyAlignment="1">
      <alignment horizontal="center" vertical="center" wrapText="1"/>
    </xf>
    <xf numFmtId="0" fontId="26" fillId="11" borderId="17" xfId="0" applyFont="1" applyFill="1" applyBorder="1" applyAlignment="1">
      <alignment horizontal="center" vertical="center" wrapText="1"/>
    </xf>
    <xf numFmtId="0" fontId="24" fillId="6" borderId="18" xfId="0" applyFont="1" applyFill="1" applyBorder="1" applyAlignment="1">
      <alignment horizontal="center" vertical="center" wrapText="1"/>
    </xf>
    <xf numFmtId="0" fontId="25" fillId="11" borderId="19"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0" borderId="4" xfId="0" applyFont="1" applyFill="1" applyBorder="1" applyAlignment="1">
      <alignment horizontal="left" vertical="center"/>
    </xf>
    <xf numFmtId="0" fontId="9" fillId="0" borderId="0" xfId="0" applyFont="1" applyAlignment="1">
      <alignment vertical="center" wrapText="1"/>
    </xf>
    <xf numFmtId="0" fontId="8" fillId="0" borderId="0" xfId="0" applyFont="1"/>
    <xf numFmtId="0" fontId="9" fillId="0" borderId="7" xfId="0" applyFont="1" applyBorder="1" applyAlignment="1">
      <alignment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9" fillId="0" borderId="8" xfId="0" applyFont="1" applyBorder="1" applyAlignment="1">
      <alignment vertical="center" wrapText="1"/>
    </xf>
    <xf numFmtId="0" fontId="9" fillId="0" borderId="0" xfId="0" applyFont="1" applyAlignment="1">
      <alignment vertical="center"/>
    </xf>
    <xf numFmtId="0" fontId="9" fillId="0" borderId="0" xfId="0" applyFont="1" applyAlignment="1">
      <alignment horizontal="left" vertical="center" wrapText="1"/>
    </xf>
    <xf numFmtId="0" fontId="3" fillId="0" borderId="5" xfId="0" applyFont="1" applyBorder="1" applyAlignment="1">
      <alignment horizontal="center" vertical="center" wrapText="1"/>
    </xf>
    <xf numFmtId="0" fontId="9" fillId="0" borderId="7" xfId="0" applyFont="1" applyBorder="1" applyAlignment="1">
      <alignment horizontal="left" vertical="center" wrapText="1"/>
    </xf>
    <xf numFmtId="0" fontId="3" fillId="0" borderId="5" xfId="0" applyFont="1" applyBorder="1" applyAlignment="1">
      <alignment horizontal="left" vertical="center"/>
    </xf>
    <xf numFmtId="0" fontId="17" fillId="6" borderId="8"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3" fillId="0" borderId="0" xfId="0" applyFont="1" applyAlignment="1">
      <alignment horizontal="left" vertical="center" wrapText="1"/>
    </xf>
    <xf numFmtId="0" fontId="18" fillId="2" borderId="20" xfId="0" applyFont="1" applyFill="1" applyBorder="1" applyAlignment="1">
      <alignment horizontal="center" vertical="center" wrapText="1"/>
    </xf>
    <xf numFmtId="0" fontId="3" fillId="0" borderId="0" xfId="0" applyFont="1" applyAlignment="1">
      <alignment horizontal="center" vertical="center" wrapText="1"/>
    </xf>
    <xf numFmtId="0" fontId="17" fillId="6" borderId="10"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3" fillId="0" borderId="5"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6" xfId="0" applyFont="1" applyBorder="1" applyAlignment="1">
      <alignment horizontal="left" vertical="center" wrapText="1"/>
    </xf>
    <xf numFmtId="0" fontId="4" fillId="0" borderId="6"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4" fillId="0" borderId="8" xfId="0" applyFont="1" applyBorder="1" applyAlignment="1" applyProtection="1">
      <alignment horizontal="left" vertical="center" wrapText="1"/>
      <protection locked="0"/>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3: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3: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3: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3: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3: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3: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sortState xmlns:xlrd2="http://schemas.microsoft.com/office/spreadsheetml/2017/richdata2" ref="AE4:AE38">
    <sortCondition ref="AE3:AE38"/>
  </sortState>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3: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3: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3: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3: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3: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3: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9" Type="http://schemas.openxmlformats.org/officeDocument/2006/relationships/table" Target="../tables/table38.xml"/><Relationship Id="rId21" Type="http://schemas.openxmlformats.org/officeDocument/2006/relationships/table" Target="../tables/table20.xml"/><Relationship Id="rId34" Type="http://schemas.openxmlformats.org/officeDocument/2006/relationships/table" Target="../tables/table33.xml"/><Relationship Id="rId42" Type="http://schemas.openxmlformats.org/officeDocument/2006/relationships/table" Target="../tables/table41.xml"/><Relationship Id="rId47" Type="http://schemas.openxmlformats.org/officeDocument/2006/relationships/table" Target="../tables/table46.xml"/><Relationship Id="rId50" Type="http://schemas.openxmlformats.org/officeDocument/2006/relationships/comments" Target="../comments6.xml"/><Relationship Id="rId7" Type="http://schemas.openxmlformats.org/officeDocument/2006/relationships/table" Target="../tables/table6.xml"/><Relationship Id="rId2" Type="http://schemas.openxmlformats.org/officeDocument/2006/relationships/vmlDrawing" Target="../drawings/vmlDrawing6.vml"/><Relationship Id="rId16" Type="http://schemas.openxmlformats.org/officeDocument/2006/relationships/table" Target="../tables/table15.xml"/><Relationship Id="rId29" Type="http://schemas.openxmlformats.org/officeDocument/2006/relationships/table" Target="../tables/table28.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37" Type="http://schemas.openxmlformats.org/officeDocument/2006/relationships/table" Target="../tables/table36.xml"/><Relationship Id="rId40" Type="http://schemas.openxmlformats.org/officeDocument/2006/relationships/table" Target="../tables/table39.xml"/><Relationship Id="rId45" Type="http://schemas.openxmlformats.org/officeDocument/2006/relationships/table" Target="../tables/table44.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4" Type="http://schemas.openxmlformats.org/officeDocument/2006/relationships/table" Target="../tables/table43.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8" Type="http://schemas.openxmlformats.org/officeDocument/2006/relationships/table" Target="../tables/table7.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20" Type="http://schemas.openxmlformats.org/officeDocument/2006/relationships/table" Target="../tables/table19.xml"/><Relationship Id="rId41" Type="http://schemas.openxmlformats.org/officeDocument/2006/relationships/table" Target="../tables/table40.xml"/><Relationship Id="rId1" Type="http://schemas.openxmlformats.org/officeDocument/2006/relationships/printerSettings" Target="../printerSettings/printerSettings4.bin"/><Relationship Id="rId6"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1" customWidth="1"/>
    <col min="2" max="2" width="17.1796875" style="21" customWidth="1"/>
    <col min="3" max="4" width="60.1796875" style="21" customWidth="1"/>
    <col min="5" max="5" width="32.1796875" style="21" customWidth="1"/>
    <col min="6" max="6" width="37" style="12" customWidth="1"/>
    <col min="7" max="7" width="51" style="21" customWidth="1"/>
    <col min="8" max="8" width="51.54296875" style="21" customWidth="1"/>
    <col min="9" max="9" width="75.81640625" style="21" customWidth="1"/>
    <col min="10" max="10" width="52.453125" style="21" customWidth="1"/>
    <col min="11" max="16384" width="76.26953125" style="21"/>
  </cols>
  <sheetData>
    <row r="1" spans="1:11" s="19" customFormat="1" ht="42.5" x14ac:dyDescent="0.35">
      <c r="A1" s="134" t="s">
        <v>0</v>
      </c>
      <c r="B1" s="134" t="s">
        <v>1</v>
      </c>
      <c r="C1" s="134" t="s">
        <v>2</v>
      </c>
      <c r="D1" s="134" t="s">
        <v>3</v>
      </c>
      <c r="E1" s="139" t="s">
        <v>4</v>
      </c>
      <c r="F1" s="139"/>
      <c r="G1" s="139"/>
      <c r="H1" s="139" t="s">
        <v>5</v>
      </c>
      <c r="I1" s="139"/>
      <c r="J1" s="139"/>
      <c r="K1" s="135" t="s">
        <v>6</v>
      </c>
    </row>
    <row r="2" spans="1:11" s="19" customFormat="1" x14ac:dyDescent="0.35">
      <c r="A2" s="136" t="s">
        <v>7</v>
      </c>
      <c r="B2" s="136" t="s">
        <v>8</v>
      </c>
      <c r="C2" s="136" t="s">
        <v>9</v>
      </c>
      <c r="D2" s="136" t="s">
        <v>10</v>
      </c>
      <c r="E2" s="137" t="s">
        <v>11</v>
      </c>
      <c r="F2" s="137" t="s">
        <v>12</v>
      </c>
      <c r="G2" s="137" t="s">
        <v>13</v>
      </c>
      <c r="H2" s="137" t="s">
        <v>14</v>
      </c>
      <c r="I2" s="137" t="s">
        <v>15</v>
      </c>
      <c r="J2" s="137" t="s">
        <v>16</v>
      </c>
      <c r="K2" s="137" t="s">
        <v>17</v>
      </c>
    </row>
    <row r="3" spans="1:11" ht="74.5" customHeight="1" x14ac:dyDescent="0.35">
      <c r="A3" s="140" t="s">
        <v>18</v>
      </c>
      <c r="B3" s="140" t="s">
        <v>19</v>
      </c>
      <c r="C3" s="138" t="s">
        <v>20</v>
      </c>
      <c r="D3" s="138" t="s">
        <v>21</v>
      </c>
      <c r="E3" s="16" t="s">
        <v>22</v>
      </c>
      <c r="F3" s="20" t="s">
        <v>23</v>
      </c>
      <c r="G3" s="20" t="s">
        <v>24</v>
      </c>
      <c r="H3" s="138" t="s">
        <v>25</v>
      </c>
      <c r="I3" s="138" t="s">
        <v>26</v>
      </c>
      <c r="J3" s="138" t="s">
        <v>27</v>
      </c>
      <c r="K3" s="138" t="s">
        <v>28</v>
      </c>
    </row>
    <row r="4" spans="1:11" ht="74.5" customHeight="1" x14ac:dyDescent="0.35">
      <c r="A4" s="140"/>
      <c r="B4" s="140"/>
      <c r="C4" s="138"/>
      <c r="D4" s="138"/>
      <c r="E4" s="22" t="s">
        <v>29</v>
      </c>
      <c r="F4" s="22" t="s">
        <v>30</v>
      </c>
      <c r="G4" s="22" t="s">
        <v>31</v>
      </c>
      <c r="H4" s="138"/>
      <c r="I4" s="138"/>
      <c r="J4" s="138"/>
      <c r="K4" s="138"/>
    </row>
    <row r="5" spans="1:11" ht="74.5" customHeight="1" x14ac:dyDescent="0.35">
      <c r="A5" s="140"/>
      <c r="B5" s="140"/>
      <c r="C5" s="138"/>
      <c r="D5" s="138"/>
      <c r="E5" s="16" t="s">
        <v>32</v>
      </c>
      <c r="F5" s="16" t="s">
        <v>33</v>
      </c>
      <c r="G5" s="16" t="s">
        <v>34</v>
      </c>
      <c r="H5" s="138"/>
      <c r="I5" s="138"/>
      <c r="J5" s="138"/>
      <c r="K5" s="138"/>
    </row>
    <row r="6" spans="1:11" ht="74.5" customHeight="1" x14ac:dyDescent="0.35">
      <c r="A6" s="140"/>
      <c r="B6" s="140"/>
      <c r="C6" s="138"/>
      <c r="D6" s="138"/>
      <c r="E6" s="88" t="s">
        <v>35</v>
      </c>
      <c r="F6" s="88" t="s">
        <v>36</v>
      </c>
      <c r="G6" s="88" t="s">
        <v>37</v>
      </c>
      <c r="H6" s="138"/>
      <c r="I6" s="138"/>
      <c r="J6" s="138"/>
      <c r="K6" s="138"/>
    </row>
    <row r="7" spans="1:11" ht="66" x14ac:dyDescent="0.35">
      <c r="A7" s="140"/>
      <c r="B7" s="140"/>
      <c r="C7" s="138"/>
      <c r="D7" s="138"/>
      <c r="E7" s="21" t="s">
        <v>38</v>
      </c>
      <c r="F7" s="21" t="s">
        <v>39</v>
      </c>
      <c r="G7" s="20" t="s">
        <v>40</v>
      </c>
      <c r="H7" s="16"/>
    </row>
    <row r="8" spans="1:11" x14ac:dyDescent="0.35">
      <c r="C8" s="20"/>
      <c r="H8" s="16"/>
    </row>
    <row r="9" spans="1:11" x14ac:dyDescent="0.35">
      <c r="E9" s="22"/>
      <c r="F9" s="16"/>
      <c r="G9" s="22"/>
      <c r="H9" s="16"/>
    </row>
    <row r="10" spans="1:11" x14ac:dyDescent="0.35">
      <c r="E10" s="16"/>
      <c r="F10" s="16"/>
      <c r="G10" s="16"/>
      <c r="H10" s="16"/>
    </row>
    <row r="11" spans="1:11" x14ac:dyDescent="0.35">
      <c r="E11" s="22"/>
      <c r="F11" s="22"/>
      <c r="G11" s="22"/>
      <c r="H11" s="16"/>
    </row>
    <row r="12" spans="1:11" x14ac:dyDescent="0.35">
      <c r="E12" s="22"/>
      <c r="F12" s="22"/>
      <c r="G12" s="22"/>
      <c r="H12" s="16"/>
    </row>
    <row r="13" spans="1:11" x14ac:dyDescent="0.35">
      <c r="E13" s="16"/>
      <c r="F13" s="16"/>
      <c r="H13" s="16"/>
    </row>
    <row r="14" spans="1:11" x14ac:dyDescent="0.35">
      <c r="E14" s="16"/>
      <c r="F14" s="16"/>
      <c r="H14" s="16"/>
      <c r="I14" s="20"/>
    </row>
    <row r="15" spans="1:11" x14ac:dyDescent="0.35">
      <c r="E15" s="16"/>
      <c r="F15" s="16"/>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41" t="s">
        <v>41</v>
      </c>
      <c r="B1" s="142"/>
      <c r="C1" s="142"/>
      <c r="D1" s="142"/>
      <c r="E1" s="142"/>
      <c r="F1" s="142"/>
      <c r="G1" s="142"/>
    </row>
    <row r="2" spans="1:7" s="30" customFormat="1" ht="52" x14ac:dyDescent="0.35">
      <c r="A2" s="104" t="s">
        <v>42</v>
      </c>
      <c r="B2" s="105" t="s">
        <v>43</v>
      </c>
      <c r="C2" s="105" t="s">
        <v>44</v>
      </c>
      <c r="D2" s="105" t="s">
        <v>45</v>
      </c>
      <c r="E2" s="105" t="s">
        <v>46</v>
      </c>
      <c r="F2" s="106" t="s">
        <v>47</v>
      </c>
      <c r="G2" s="106" t="s">
        <v>48</v>
      </c>
    </row>
    <row r="3" spans="1:7" s="33" customFormat="1" ht="33" x14ac:dyDescent="0.35">
      <c r="A3" s="107" t="s">
        <v>49</v>
      </c>
      <c r="B3" s="108" t="s">
        <v>50</v>
      </c>
      <c r="C3" s="108" t="s">
        <v>51</v>
      </c>
      <c r="D3" s="108" t="s">
        <v>52</v>
      </c>
      <c r="E3" s="108" t="s">
        <v>53</v>
      </c>
      <c r="F3" s="109" t="s">
        <v>54</v>
      </c>
      <c r="G3" s="109" t="s">
        <v>55</v>
      </c>
    </row>
    <row r="4" spans="1:7" ht="49.5" x14ac:dyDescent="0.35">
      <c r="A4" s="19">
        <v>1</v>
      </c>
      <c r="B4" s="12" t="s">
        <v>56</v>
      </c>
      <c r="C4" s="21" t="s">
        <v>22</v>
      </c>
      <c r="D4" s="20" t="s">
        <v>23</v>
      </c>
      <c r="E4" s="20" t="s">
        <v>24</v>
      </c>
      <c r="F4" s="17" t="s">
        <v>57</v>
      </c>
      <c r="G4" s="17" t="s">
        <v>58</v>
      </c>
    </row>
    <row r="5" spans="1:7" s="20" customFormat="1" ht="49.5" x14ac:dyDescent="0.35">
      <c r="A5" s="38">
        <v>2</v>
      </c>
      <c r="B5" s="20" t="s">
        <v>59</v>
      </c>
      <c r="C5" s="20" t="s">
        <v>29</v>
      </c>
      <c r="D5" s="20" t="s">
        <v>30</v>
      </c>
      <c r="E5" s="20" t="s">
        <v>31</v>
      </c>
      <c r="F5" s="20" t="s">
        <v>60</v>
      </c>
      <c r="G5" s="20" t="s">
        <v>58</v>
      </c>
    </row>
    <row r="6" spans="1:7" s="97" customFormat="1" ht="49.5" x14ac:dyDescent="0.35">
      <c r="A6" s="32">
        <v>3</v>
      </c>
      <c r="B6" s="2" t="s">
        <v>61</v>
      </c>
      <c r="C6" s="20" t="s">
        <v>32</v>
      </c>
      <c r="D6" s="21" t="s">
        <v>33</v>
      </c>
      <c r="E6" s="21" t="s">
        <v>34</v>
      </c>
      <c r="F6" s="20" t="s">
        <v>62</v>
      </c>
      <c r="G6" s="20" t="s">
        <v>58</v>
      </c>
    </row>
    <row r="7" spans="1:7" ht="49.5" x14ac:dyDescent="0.35">
      <c r="A7" s="111">
        <v>4</v>
      </c>
      <c r="B7" s="99" t="s">
        <v>63</v>
      </c>
      <c r="C7" s="98" t="s">
        <v>35</v>
      </c>
      <c r="D7" s="98" t="s">
        <v>36</v>
      </c>
      <c r="E7" s="98" t="s">
        <v>37</v>
      </c>
      <c r="F7" s="98" t="s">
        <v>64</v>
      </c>
      <c r="G7" s="21" t="s">
        <v>58</v>
      </c>
    </row>
    <row r="8" spans="1:7" ht="66" x14ac:dyDescent="0.35">
      <c r="A8" s="19">
        <v>5</v>
      </c>
      <c r="B8" s="22" t="s">
        <v>65</v>
      </c>
      <c r="C8" s="21" t="s">
        <v>38</v>
      </c>
      <c r="D8" s="21" t="s">
        <v>39</v>
      </c>
      <c r="E8" s="20" t="s">
        <v>40</v>
      </c>
      <c r="F8" s="20" t="s">
        <v>66</v>
      </c>
      <c r="G8" s="28" t="s">
        <v>67</v>
      </c>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row r="13" spans="1:7" x14ac:dyDescent="0.35">
      <c r="A13" s="19"/>
      <c r="C13" s="22"/>
      <c r="D13" s="22"/>
      <c r="E13" s="22"/>
      <c r="F13" s="20"/>
    </row>
  </sheetData>
  <mergeCells count="1">
    <mergeCell ref="A1:G1"/>
  </mergeCells>
  <dataValidations count="2">
    <dataValidation type="list" allowBlank="1" showInputMessage="1" showErrorMessage="1" sqref="F5 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EA25E8-66D5-43FE-AF10-64D14BF35613}">
          <x14:formula1>
            <xm:f>'Paso1 Analisis perfil egreso'!$F$3:$F$7</xm:f>
          </x14:formula1>
          <xm:sqref>D4:D7</xm:sqref>
        </x14:dataValidation>
        <x14:dataValidation type="list" allowBlank="1" showInputMessage="1" showErrorMessage="1" xr:uid="{FAEF9ACF-E804-4A93-9909-9F6179BD5C92}">
          <x14:formula1>
            <xm:f>'Paso1 Analisis perfil egreso'!$G$3:$G$7</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54296875" style="21" customWidth="1"/>
    <col min="6" max="6" width="21.81640625" style="21" customWidth="1"/>
    <col min="7" max="7" width="27.453125" style="12" customWidth="1"/>
    <col min="8" max="8" width="20" style="12" customWidth="1"/>
    <col min="9" max="9" width="72" style="39" customWidth="1"/>
    <col min="10" max="16384" width="11.453125" style="16"/>
  </cols>
  <sheetData>
    <row r="1" spans="1:11" s="35" customFormat="1" ht="52" x14ac:dyDescent="0.35">
      <c r="A1" s="15" t="s">
        <v>68</v>
      </c>
      <c r="B1" s="15" t="s">
        <v>69</v>
      </c>
      <c r="C1" s="29" t="s">
        <v>70</v>
      </c>
      <c r="D1" s="102" t="s">
        <v>71</v>
      </c>
      <c r="E1" s="102" t="s">
        <v>72</v>
      </c>
      <c r="F1" s="29" t="s">
        <v>73</v>
      </c>
      <c r="G1" s="29" t="s">
        <v>74</v>
      </c>
      <c r="H1" s="29" t="s">
        <v>75</v>
      </c>
      <c r="I1" s="15" t="s">
        <v>76</v>
      </c>
    </row>
    <row r="2" spans="1:11" s="37" customFormat="1" x14ac:dyDescent="0.35">
      <c r="A2" s="34" t="s">
        <v>77</v>
      </c>
      <c r="B2" s="34" t="s">
        <v>78</v>
      </c>
      <c r="C2" s="31" t="s">
        <v>79</v>
      </c>
      <c r="D2" s="103" t="s">
        <v>80</v>
      </c>
      <c r="E2" s="103" t="s">
        <v>81</v>
      </c>
      <c r="F2" s="31" t="s">
        <v>82</v>
      </c>
      <c r="G2" s="31" t="s">
        <v>83</v>
      </c>
      <c r="H2" s="31" t="s">
        <v>84</v>
      </c>
      <c r="I2" s="34" t="s">
        <v>85</v>
      </c>
    </row>
    <row r="3" spans="1:11" ht="49.5" x14ac:dyDescent="0.35">
      <c r="A3" s="21" t="s">
        <v>57</v>
      </c>
      <c r="B3" s="19">
        <v>1</v>
      </c>
      <c r="C3" s="21" t="s">
        <v>11</v>
      </c>
      <c r="D3" s="21" t="s">
        <v>22</v>
      </c>
      <c r="E3" s="21" t="s">
        <v>86</v>
      </c>
      <c r="F3" s="12" t="s">
        <v>87</v>
      </c>
      <c r="G3" s="12" t="s">
        <v>88</v>
      </c>
      <c r="H3" s="12" t="s">
        <v>65</v>
      </c>
      <c r="I3" s="16" t="s">
        <v>89</v>
      </c>
    </row>
    <row r="4" spans="1:11" ht="66" x14ac:dyDescent="0.5">
      <c r="A4" s="21" t="s">
        <v>57</v>
      </c>
      <c r="B4" s="19">
        <v>3</v>
      </c>
      <c r="C4" s="21" t="s">
        <v>12</v>
      </c>
      <c r="D4" s="21" t="s">
        <v>23</v>
      </c>
      <c r="E4" s="21" t="s">
        <v>86</v>
      </c>
      <c r="F4" s="12" t="s">
        <v>90</v>
      </c>
      <c r="G4" s="12" t="s">
        <v>91</v>
      </c>
      <c r="H4" s="12" t="s">
        <v>92</v>
      </c>
      <c r="I4" s="20" t="s">
        <v>93</v>
      </c>
      <c r="K4" s="61"/>
    </row>
    <row r="5" spans="1:11" ht="66.5" thickBot="1" x14ac:dyDescent="0.4">
      <c r="A5" s="40" t="s">
        <v>57</v>
      </c>
      <c r="B5" s="26">
        <v>5</v>
      </c>
      <c r="C5" s="40" t="s">
        <v>13</v>
      </c>
      <c r="D5" s="40" t="s">
        <v>24</v>
      </c>
      <c r="E5" s="40" t="s">
        <v>86</v>
      </c>
      <c r="F5" s="41" t="s">
        <v>94</v>
      </c>
      <c r="G5" s="41" t="s">
        <v>95</v>
      </c>
      <c r="H5" s="41" t="s">
        <v>96</v>
      </c>
      <c r="I5" s="27" t="s">
        <v>97</v>
      </c>
    </row>
    <row r="6" spans="1:11" s="22" customFormat="1" ht="66" x14ac:dyDescent="0.35">
      <c r="A6" s="20" t="s">
        <v>60</v>
      </c>
      <c r="B6" s="38">
        <v>1</v>
      </c>
      <c r="C6" s="20" t="s">
        <v>11</v>
      </c>
      <c r="D6" s="20" t="s">
        <v>29</v>
      </c>
      <c r="E6" s="20" t="s">
        <v>86</v>
      </c>
      <c r="F6" s="2" t="s">
        <v>87</v>
      </c>
      <c r="G6" s="12" t="s">
        <v>88</v>
      </c>
      <c r="H6" s="12" t="s">
        <v>65</v>
      </c>
      <c r="I6" s="16" t="s">
        <v>89</v>
      </c>
    </row>
    <row r="7" spans="1:11" s="22" customFormat="1" ht="66" x14ac:dyDescent="0.35">
      <c r="A7" s="20" t="s">
        <v>60</v>
      </c>
      <c r="B7" s="38">
        <v>4</v>
      </c>
      <c r="C7" s="20" t="s">
        <v>12</v>
      </c>
      <c r="D7" s="20" t="s">
        <v>30</v>
      </c>
      <c r="E7" s="20" t="s">
        <v>86</v>
      </c>
      <c r="F7" s="2" t="s">
        <v>90</v>
      </c>
      <c r="G7" s="2" t="s">
        <v>91</v>
      </c>
      <c r="H7" s="2" t="s">
        <v>98</v>
      </c>
      <c r="I7" s="20" t="s">
        <v>99</v>
      </c>
    </row>
    <row r="8" spans="1:11" s="22" customFormat="1" ht="83" thickBot="1" x14ac:dyDescent="0.4">
      <c r="A8" s="42" t="s">
        <v>60</v>
      </c>
      <c r="B8" s="43">
        <v>5</v>
      </c>
      <c r="C8" s="42" t="s">
        <v>13</v>
      </c>
      <c r="D8" s="42" t="s">
        <v>31</v>
      </c>
      <c r="E8" s="42" t="s">
        <v>86</v>
      </c>
      <c r="F8" s="95" t="s">
        <v>94</v>
      </c>
      <c r="G8" s="41" t="s">
        <v>95</v>
      </c>
      <c r="H8" s="41" t="s">
        <v>96</v>
      </c>
      <c r="I8" s="96" t="s">
        <v>97</v>
      </c>
    </row>
    <row r="9" spans="1:11" s="25" customFormat="1" ht="66" x14ac:dyDescent="0.35">
      <c r="A9" s="20" t="s">
        <v>62</v>
      </c>
      <c r="B9" s="38">
        <v>1</v>
      </c>
      <c r="C9" s="20" t="s">
        <v>11</v>
      </c>
      <c r="D9" s="20" t="s">
        <v>32</v>
      </c>
      <c r="E9" s="21" t="s">
        <v>86</v>
      </c>
      <c r="F9" s="12" t="s">
        <v>87</v>
      </c>
      <c r="G9" s="12" t="s">
        <v>88</v>
      </c>
      <c r="H9" s="12" t="s">
        <v>65</v>
      </c>
      <c r="I9" s="16" t="s">
        <v>89</v>
      </c>
    </row>
    <row r="10" spans="1:11" s="25" customFormat="1" ht="66" x14ac:dyDescent="0.35">
      <c r="A10" s="20" t="s">
        <v>62</v>
      </c>
      <c r="B10" s="38">
        <v>3</v>
      </c>
      <c r="C10" s="20" t="s">
        <v>12</v>
      </c>
      <c r="D10" s="20" t="s">
        <v>33</v>
      </c>
      <c r="E10" s="21" t="s">
        <v>86</v>
      </c>
      <c r="F10" s="12" t="s">
        <v>90</v>
      </c>
      <c r="G10" s="12" t="s">
        <v>91</v>
      </c>
      <c r="H10" s="12" t="s">
        <v>92</v>
      </c>
      <c r="I10" s="20" t="s">
        <v>93</v>
      </c>
    </row>
    <row r="11" spans="1:11" s="25" customFormat="1" ht="66.5" thickBot="1" x14ac:dyDescent="0.4">
      <c r="A11" s="42" t="s">
        <v>62</v>
      </c>
      <c r="B11" s="43">
        <v>5</v>
      </c>
      <c r="C11" s="42" t="s">
        <v>13</v>
      </c>
      <c r="D11" s="42" t="s">
        <v>34</v>
      </c>
      <c r="E11" s="40" t="s">
        <v>86</v>
      </c>
      <c r="F11" s="41" t="s">
        <v>94</v>
      </c>
      <c r="G11" s="41" t="s">
        <v>95</v>
      </c>
      <c r="H11" s="41" t="s">
        <v>96</v>
      </c>
      <c r="I11" s="27" t="s">
        <v>97</v>
      </c>
    </row>
    <row r="12" spans="1:11" ht="49.5" x14ac:dyDescent="0.35">
      <c r="A12" s="20" t="s">
        <v>64</v>
      </c>
      <c r="B12" s="38">
        <v>2</v>
      </c>
      <c r="C12" s="20" t="s">
        <v>11</v>
      </c>
      <c r="D12" s="20" t="s">
        <v>35</v>
      </c>
      <c r="E12" s="21" t="s">
        <v>86</v>
      </c>
      <c r="F12" s="12" t="s">
        <v>87</v>
      </c>
      <c r="G12" s="12" t="s">
        <v>88</v>
      </c>
      <c r="H12" s="12" t="s">
        <v>100</v>
      </c>
      <c r="I12" s="16" t="s">
        <v>101</v>
      </c>
    </row>
    <row r="13" spans="1:11" ht="49.5" x14ac:dyDescent="0.35">
      <c r="A13" s="20" t="s">
        <v>64</v>
      </c>
      <c r="B13" s="38">
        <v>4</v>
      </c>
      <c r="C13" s="20" t="s">
        <v>12</v>
      </c>
      <c r="D13" s="20" t="s">
        <v>36</v>
      </c>
      <c r="E13" s="21" t="s">
        <v>86</v>
      </c>
      <c r="F13" s="12" t="s">
        <v>90</v>
      </c>
      <c r="G13" s="2" t="s">
        <v>91</v>
      </c>
      <c r="H13" s="2" t="s">
        <v>98</v>
      </c>
      <c r="I13" s="20" t="s">
        <v>99</v>
      </c>
    </row>
    <row r="14" spans="1:11" ht="66.5" thickBot="1" x14ac:dyDescent="0.4">
      <c r="A14" s="42" t="s">
        <v>64</v>
      </c>
      <c r="B14" s="43">
        <v>5</v>
      </c>
      <c r="C14" s="93" t="s">
        <v>13</v>
      </c>
      <c r="D14" s="42" t="s">
        <v>37</v>
      </c>
      <c r="E14" s="40" t="s">
        <v>86</v>
      </c>
      <c r="F14" s="41" t="s">
        <v>94</v>
      </c>
      <c r="G14" s="41" t="s">
        <v>95</v>
      </c>
      <c r="H14" s="41" t="s">
        <v>96</v>
      </c>
      <c r="I14" s="27" t="s">
        <v>97</v>
      </c>
    </row>
    <row r="15" spans="1:11" ht="49.5" x14ac:dyDescent="0.35">
      <c r="A15" s="20" t="s">
        <v>66</v>
      </c>
      <c r="B15" s="130">
        <v>6</v>
      </c>
      <c r="C15" s="20" t="s">
        <v>11</v>
      </c>
      <c r="D15" s="28" t="s">
        <v>38</v>
      </c>
      <c r="E15" s="44" t="s">
        <v>102</v>
      </c>
      <c r="F15" s="132" t="s">
        <v>103</v>
      </c>
      <c r="G15" s="132" t="s">
        <v>104</v>
      </c>
      <c r="H15" s="24" t="s">
        <v>105</v>
      </c>
      <c r="I15" s="16" t="s">
        <v>106</v>
      </c>
    </row>
    <row r="16" spans="1:11" x14ac:dyDescent="0.35">
      <c r="A16" s="20"/>
      <c r="C16" s="20"/>
      <c r="D16" s="20"/>
      <c r="E16" s="20"/>
      <c r="F16" s="20"/>
      <c r="G16" s="2"/>
      <c r="H16" s="2"/>
      <c r="I16" s="16"/>
    </row>
    <row r="17" spans="1:9" x14ac:dyDescent="0.35">
      <c r="A17" s="20"/>
      <c r="C17" s="20"/>
      <c r="D17" s="20"/>
      <c r="E17" s="20"/>
      <c r="F17" s="20"/>
      <c r="G17" s="2"/>
      <c r="H17" s="2"/>
      <c r="I17" s="16"/>
    </row>
    <row r="18" spans="1:9" x14ac:dyDescent="0.35">
      <c r="A18" s="20"/>
      <c r="C18" s="20"/>
      <c r="D18" s="20"/>
      <c r="E18" s="20"/>
      <c r="F18" s="20"/>
      <c r="G18" s="2"/>
      <c r="H18" s="2"/>
      <c r="I18" s="16"/>
    </row>
    <row r="19" spans="1:9" x14ac:dyDescent="0.35">
      <c r="A19" s="20"/>
      <c r="C19" s="20"/>
      <c r="D19" s="20"/>
      <c r="E19" s="20"/>
      <c r="F19" s="20"/>
      <c r="G19" s="2"/>
      <c r="H19" s="2"/>
      <c r="I19" s="20"/>
    </row>
    <row r="20" spans="1:9" x14ac:dyDescent="0.35">
      <c r="A20" s="20"/>
      <c r="C20" s="20"/>
      <c r="D20" s="20"/>
      <c r="E20" s="20"/>
      <c r="F20" s="20"/>
      <c r="G20" s="2"/>
      <c r="H20" s="2"/>
      <c r="I20" s="16"/>
    </row>
    <row r="21" spans="1:9" x14ac:dyDescent="0.35">
      <c r="A21" s="20"/>
      <c r="C21" s="20"/>
      <c r="D21" s="20"/>
      <c r="E21" s="20"/>
      <c r="F21" s="20"/>
      <c r="G21" s="2"/>
      <c r="H21" s="2"/>
      <c r="I21" s="20"/>
    </row>
    <row r="22" spans="1:9" x14ac:dyDescent="0.35">
      <c r="A22" s="20"/>
      <c r="C22" s="20"/>
      <c r="D22" s="20"/>
      <c r="E22" s="20"/>
      <c r="F22" s="20"/>
      <c r="G22" s="2"/>
      <c r="H22" s="2"/>
      <c r="I22" s="16"/>
    </row>
    <row r="24" spans="1:9" x14ac:dyDescent="0.5">
      <c r="A24" s="23"/>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9"/>
  <sheetViews>
    <sheetView zoomScaleNormal="100" workbookViewId="0"/>
  </sheetViews>
  <sheetFormatPr baseColWidth="10" defaultColWidth="11.453125" defaultRowHeight="16.5" x14ac:dyDescent="0.35"/>
  <cols>
    <col min="1" max="1" width="98.81640625" style="12" customWidth="1"/>
    <col min="2" max="2" width="55" style="45" customWidth="1"/>
    <col min="3" max="3" width="62.1796875" style="12" customWidth="1"/>
    <col min="4" max="4" width="61.54296875" style="12" customWidth="1"/>
    <col min="5" max="5" width="49.1796875" style="12" customWidth="1"/>
    <col min="6" max="6" width="47.7265625" style="12" customWidth="1"/>
    <col min="7" max="16384" width="11.453125" style="12"/>
  </cols>
  <sheetData>
    <row r="1" spans="1:6" ht="52" x14ac:dyDescent="0.35">
      <c r="A1" s="15" t="s">
        <v>107</v>
      </c>
      <c r="B1" s="15" t="s">
        <v>108</v>
      </c>
      <c r="C1" s="15" t="s">
        <v>109</v>
      </c>
      <c r="D1" s="15" t="s">
        <v>110</v>
      </c>
      <c r="E1" s="15" t="s">
        <v>111</v>
      </c>
      <c r="F1" s="15" t="s">
        <v>112</v>
      </c>
    </row>
    <row r="2" spans="1:6" ht="33" x14ac:dyDescent="0.35">
      <c r="A2" s="34" t="s">
        <v>113</v>
      </c>
      <c r="B2" s="34" t="s">
        <v>114</v>
      </c>
      <c r="C2" s="34" t="s">
        <v>115</v>
      </c>
      <c r="D2" s="34" t="s">
        <v>116</v>
      </c>
      <c r="E2" s="34" t="s">
        <v>117</v>
      </c>
      <c r="F2" s="34" t="s">
        <v>118</v>
      </c>
    </row>
    <row r="3" spans="1:6" ht="49.5" x14ac:dyDescent="0.35">
      <c r="A3" s="125" t="s">
        <v>89</v>
      </c>
      <c r="B3" s="157" t="s">
        <v>119</v>
      </c>
      <c r="C3" s="158" t="s">
        <v>120</v>
      </c>
      <c r="D3" s="125" t="s">
        <v>121</v>
      </c>
      <c r="E3" s="156" t="s">
        <v>122</v>
      </c>
      <c r="F3" s="17" t="s">
        <v>123</v>
      </c>
    </row>
    <row r="4" spans="1:6" ht="49.5" x14ac:dyDescent="0.35">
      <c r="A4" s="122" t="s">
        <v>93</v>
      </c>
      <c r="B4" s="144"/>
      <c r="C4" s="159"/>
      <c r="D4" s="122" t="s">
        <v>124</v>
      </c>
      <c r="E4" s="150"/>
      <c r="F4" s="21" t="s">
        <v>125</v>
      </c>
    </row>
    <row r="5" spans="1:6" ht="33.5" thickBot="1" x14ac:dyDescent="0.4">
      <c r="A5" s="122" t="s">
        <v>101</v>
      </c>
      <c r="B5" s="144"/>
      <c r="C5" s="159"/>
      <c r="D5" s="122" t="s">
        <v>126</v>
      </c>
      <c r="E5" s="150"/>
      <c r="F5" s="21" t="s">
        <v>127</v>
      </c>
    </row>
    <row r="6" spans="1:6" ht="49.5" x14ac:dyDescent="0.35">
      <c r="A6" s="126" t="s">
        <v>89</v>
      </c>
      <c r="B6" s="143" t="s">
        <v>128</v>
      </c>
      <c r="C6" s="160" t="s">
        <v>129</v>
      </c>
      <c r="D6" s="126" t="s">
        <v>121</v>
      </c>
      <c r="E6" s="149" t="s">
        <v>130</v>
      </c>
      <c r="F6" s="44" t="s">
        <v>123</v>
      </c>
    </row>
    <row r="7" spans="1:6" ht="49.5" x14ac:dyDescent="0.35">
      <c r="A7" s="122" t="s">
        <v>93</v>
      </c>
      <c r="B7" s="144"/>
      <c r="C7" s="161"/>
      <c r="D7" s="122" t="s">
        <v>124</v>
      </c>
      <c r="E7" s="150"/>
      <c r="F7" s="21" t="s">
        <v>125</v>
      </c>
    </row>
    <row r="8" spans="1:6" ht="33" x14ac:dyDescent="0.35">
      <c r="A8" s="122" t="s">
        <v>97</v>
      </c>
      <c r="B8" s="144"/>
      <c r="C8" s="161"/>
      <c r="D8" s="122" t="s">
        <v>131</v>
      </c>
      <c r="E8" s="150"/>
      <c r="F8" s="21" t="s">
        <v>127</v>
      </c>
    </row>
    <row r="9" spans="1:6" ht="50" thickBot="1" x14ac:dyDescent="0.4">
      <c r="A9" s="124" t="s">
        <v>99</v>
      </c>
      <c r="B9" s="144"/>
      <c r="C9" s="161"/>
      <c r="D9" s="124"/>
      <c r="E9" s="150"/>
      <c r="F9" s="40"/>
    </row>
    <row r="10" spans="1:6" ht="49.5" x14ac:dyDescent="0.35">
      <c r="A10" s="122" t="s">
        <v>89</v>
      </c>
      <c r="B10" s="152" t="s">
        <v>132</v>
      </c>
      <c r="C10" s="149" t="s">
        <v>133</v>
      </c>
      <c r="D10" s="122" t="s">
        <v>121</v>
      </c>
      <c r="E10" s="149" t="s">
        <v>134</v>
      </c>
      <c r="F10" s="21" t="s">
        <v>123</v>
      </c>
    </row>
    <row r="11" spans="1:6" ht="33" x14ac:dyDescent="0.35">
      <c r="A11" s="122" t="s">
        <v>97</v>
      </c>
      <c r="B11" s="140"/>
      <c r="C11" s="150"/>
      <c r="D11" s="122" t="s">
        <v>124</v>
      </c>
      <c r="E11" s="150"/>
      <c r="F11" s="21" t="s">
        <v>125</v>
      </c>
    </row>
    <row r="12" spans="1:6" ht="49.5" x14ac:dyDescent="0.35">
      <c r="A12" s="122" t="s">
        <v>99</v>
      </c>
      <c r="B12" s="140"/>
      <c r="C12" s="150"/>
      <c r="D12" s="122" t="s">
        <v>135</v>
      </c>
      <c r="E12" s="150"/>
      <c r="F12" s="21" t="s">
        <v>127</v>
      </c>
    </row>
    <row r="13" spans="1:6" ht="33.5" thickBot="1" x14ac:dyDescent="0.4">
      <c r="A13" s="124" t="s">
        <v>101</v>
      </c>
      <c r="B13" s="140"/>
      <c r="C13" s="150"/>
      <c r="E13" s="150"/>
    </row>
    <row r="14" spans="1:6" ht="49.5" x14ac:dyDescent="0.35">
      <c r="A14" s="122" t="s">
        <v>89</v>
      </c>
      <c r="B14" s="153" t="s">
        <v>136</v>
      </c>
      <c r="C14" s="146" t="s">
        <v>137</v>
      </c>
      <c r="D14" s="126" t="s">
        <v>121</v>
      </c>
      <c r="E14" s="149" t="s">
        <v>138</v>
      </c>
      <c r="F14" s="44" t="s">
        <v>123</v>
      </c>
    </row>
    <row r="15" spans="1:6" ht="33" x14ac:dyDescent="0.35">
      <c r="A15" s="122" t="s">
        <v>97</v>
      </c>
      <c r="B15" s="154"/>
      <c r="C15" s="147"/>
      <c r="D15" s="12" t="s">
        <v>124</v>
      </c>
      <c r="E15" s="150"/>
      <c r="F15" s="21" t="s">
        <v>125</v>
      </c>
    </row>
    <row r="16" spans="1:6" ht="49.5" x14ac:dyDescent="0.35">
      <c r="A16" s="122" t="s">
        <v>99</v>
      </c>
      <c r="B16" s="154"/>
      <c r="C16" s="147"/>
      <c r="D16" s="122" t="s">
        <v>139</v>
      </c>
      <c r="E16" s="150"/>
      <c r="F16" s="21" t="s">
        <v>127</v>
      </c>
    </row>
    <row r="17" spans="1:6" ht="33.5" thickBot="1" x14ac:dyDescent="0.4">
      <c r="A17" s="127" t="s">
        <v>101</v>
      </c>
      <c r="B17" s="155"/>
      <c r="C17" s="148"/>
      <c r="E17" s="151"/>
    </row>
    <row r="18" spans="1:6" ht="49.5" x14ac:dyDescent="0.35">
      <c r="A18" s="122" t="s">
        <v>89</v>
      </c>
      <c r="B18" s="143" t="s">
        <v>140</v>
      </c>
      <c r="C18" s="146" t="s">
        <v>141</v>
      </c>
      <c r="D18" s="126" t="s">
        <v>121</v>
      </c>
      <c r="E18" s="149" t="s">
        <v>142</v>
      </c>
      <c r="F18" s="44" t="s">
        <v>123</v>
      </c>
    </row>
    <row r="19" spans="1:6" ht="49.5" x14ac:dyDescent="0.35">
      <c r="A19" s="122" t="s">
        <v>93</v>
      </c>
      <c r="B19" s="144"/>
      <c r="C19" s="147"/>
      <c r="D19" s="12" t="s">
        <v>143</v>
      </c>
      <c r="E19" s="150"/>
      <c r="F19" s="21" t="s">
        <v>125</v>
      </c>
    </row>
    <row r="20" spans="1:6" ht="33" x14ac:dyDescent="0.35">
      <c r="A20" s="122" t="s">
        <v>97</v>
      </c>
      <c r="B20" s="144"/>
      <c r="C20" s="147"/>
      <c r="D20" s="122" t="s">
        <v>144</v>
      </c>
      <c r="E20" s="150"/>
      <c r="F20" s="21" t="s">
        <v>127</v>
      </c>
    </row>
    <row r="21" spans="1:6" ht="49.5" x14ac:dyDescent="0.35">
      <c r="A21" s="122" t="s">
        <v>99</v>
      </c>
      <c r="B21" s="144"/>
      <c r="C21" s="147"/>
      <c r="E21" s="150"/>
    </row>
    <row r="22" spans="1:6" ht="33.5" thickBot="1" x14ac:dyDescent="0.4">
      <c r="A22" s="127" t="s">
        <v>101</v>
      </c>
      <c r="B22" s="145"/>
      <c r="C22" s="148"/>
      <c r="E22" s="151"/>
    </row>
    <row r="23" spans="1:6" ht="49.5" x14ac:dyDescent="0.35">
      <c r="A23" s="122" t="s">
        <v>89</v>
      </c>
      <c r="B23" s="153" t="s">
        <v>145</v>
      </c>
      <c r="C23" s="146" t="s">
        <v>146</v>
      </c>
      <c r="D23" s="126" t="s">
        <v>121</v>
      </c>
      <c r="E23" s="149" t="s">
        <v>147</v>
      </c>
      <c r="F23" s="44" t="s">
        <v>123</v>
      </c>
    </row>
    <row r="24" spans="1:6" ht="33" x14ac:dyDescent="0.35">
      <c r="A24" s="122" t="s">
        <v>97</v>
      </c>
      <c r="B24" s="154"/>
      <c r="C24" s="147"/>
      <c r="D24" s="12" t="s">
        <v>124</v>
      </c>
      <c r="E24" s="150"/>
      <c r="F24" s="21" t="s">
        <v>125</v>
      </c>
    </row>
    <row r="25" spans="1:6" ht="50" thickBot="1" x14ac:dyDescent="0.4">
      <c r="A25" s="124" t="s">
        <v>99</v>
      </c>
      <c r="B25" s="154"/>
      <c r="C25" s="147"/>
      <c r="D25" s="122" t="s">
        <v>139</v>
      </c>
      <c r="E25" s="150"/>
      <c r="F25" s="21" t="s">
        <v>127</v>
      </c>
    </row>
    <row r="26" spans="1:6" ht="49.5" x14ac:dyDescent="0.35">
      <c r="A26" s="122" t="s">
        <v>89</v>
      </c>
      <c r="B26" s="143" t="s">
        <v>148</v>
      </c>
      <c r="C26" s="146" t="s">
        <v>149</v>
      </c>
      <c r="D26" s="126" t="s">
        <v>121</v>
      </c>
      <c r="E26" s="149" t="s">
        <v>150</v>
      </c>
      <c r="F26" s="44" t="s">
        <v>123</v>
      </c>
    </row>
    <row r="27" spans="1:6" ht="33" x14ac:dyDescent="0.35">
      <c r="A27" s="122" t="s">
        <v>97</v>
      </c>
      <c r="B27" s="144"/>
      <c r="C27" s="147"/>
      <c r="D27" s="12" t="s">
        <v>124</v>
      </c>
      <c r="E27" s="150"/>
      <c r="F27" s="21" t="s">
        <v>125</v>
      </c>
    </row>
    <row r="28" spans="1:6" ht="49.5" x14ac:dyDescent="0.35">
      <c r="A28" s="122" t="s">
        <v>99</v>
      </c>
      <c r="B28" s="144"/>
      <c r="C28" s="147"/>
      <c r="D28" s="122" t="s">
        <v>151</v>
      </c>
      <c r="E28" s="150"/>
      <c r="F28" s="21" t="s">
        <v>127</v>
      </c>
    </row>
    <row r="29" spans="1:6" ht="33.5" thickBot="1" x14ac:dyDescent="0.4">
      <c r="A29" s="127" t="s">
        <v>101</v>
      </c>
      <c r="B29" s="145"/>
      <c r="C29" s="148"/>
      <c r="E29" s="151"/>
    </row>
    <row r="30" spans="1:6" ht="49.5" x14ac:dyDescent="0.35">
      <c r="A30" s="122" t="s">
        <v>89</v>
      </c>
      <c r="B30" s="143" t="s">
        <v>152</v>
      </c>
      <c r="C30" s="146" t="s">
        <v>153</v>
      </c>
      <c r="D30" s="126" t="s">
        <v>121</v>
      </c>
      <c r="E30" s="149" t="s">
        <v>154</v>
      </c>
      <c r="F30" s="44" t="s">
        <v>123</v>
      </c>
    </row>
    <row r="31" spans="1:6" ht="49.5" x14ac:dyDescent="0.35">
      <c r="A31" s="122" t="s">
        <v>93</v>
      </c>
      <c r="B31" s="144"/>
      <c r="C31" s="147"/>
      <c r="D31" s="12" t="s">
        <v>124</v>
      </c>
      <c r="E31" s="150"/>
      <c r="F31" s="21" t="s">
        <v>125</v>
      </c>
    </row>
    <row r="32" spans="1:6" ht="33.5" thickBot="1" x14ac:dyDescent="0.4">
      <c r="A32" s="127" t="s">
        <v>101</v>
      </c>
      <c r="B32" s="145"/>
      <c r="C32" s="148"/>
      <c r="D32" s="124" t="s">
        <v>155</v>
      </c>
      <c r="E32" s="151"/>
      <c r="F32" s="40" t="s">
        <v>127</v>
      </c>
    </row>
    <row r="33" spans="1:6" ht="49.5" x14ac:dyDescent="0.35">
      <c r="A33" s="122" t="s">
        <v>89</v>
      </c>
      <c r="B33" s="143" t="s">
        <v>156</v>
      </c>
      <c r="C33" s="146" t="s">
        <v>157</v>
      </c>
      <c r="D33" s="126" t="s">
        <v>121</v>
      </c>
      <c r="E33" s="149" t="s">
        <v>158</v>
      </c>
      <c r="F33" s="44" t="s">
        <v>123</v>
      </c>
    </row>
    <row r="34" spans="1:6" ht="33" x14ac:dyDescent="0.35">
      <c r="A34" s="122" t="s">
        <v>97</v>
      </c>
      <c r="B34" s="144"/>
      <c r="C34" s="147"/>
      <c r="D34" s="12" t="s">
        <v>124</v>
      </c>
      <c r="E34" s="150"/>
      <c r="F34" s="21" t="s">
        <v>125</v>
      </c>
    </row>
    <row r="35" spans="1:6" ht="50" thickBot="1" x14ac:dyDescent="0.4">
      <c r="A35" s="127" t="s">
        <v>99</v>
      </c>
      <c r="B35" s="145"/>
      <c r="C35" s="148"/>
      <c r="D35" s="124" t="s">
        <v>159</v>
      </c>
      <c r="E35" s="151"/>
      <c r="F35" s="40" t="s">
        <v>127</v>
      </c>
    </row>
    <row r="36" spans="1:6" ht="49.5" x14ac:dyDescent="0.35">
      <c r="A36" s="122" t="s">
        <v>89</v>
      </c>
      <c r="B36" s="143" t="s">
        <v>160</v>
      </c>
      <c r="C36" s="146" t="s">
        <v>161</v>
      </c>
      <c r="D36" s="126" t="s">
        <v>121</v>
      </c>
      <c r="E36" s="149" t="s">
        <v>162</v>
      </c>
      <c r="F36" s="44" t="s">
        <v>123</v>
      </c>
    </row>
    <row r="37" spans="1:6" ht="33" x14ac:dyDescent="0.35">
      <c r="A37" s="122" t="s">
        <v>97</v>
      </c>
      <c r="B37" s="144"/>
      <c r="C37" s="147"/>
      <c r="D37" s="12" t="s">
        <v>124</v>
      </c>
      <c r="E37" s="150"/>
      <c r="F37" s="21" t="s">
        <v>125</v>
      </c>
    </row>
    <row r="38" spans="1:6" ht="33.5" thickBot="1" x14ac:dyDescent="0.4">
      <c r="A38" s="127" t="s">
        <v>101</v>
      </c>
      <c r="B38" s="145"/>
      <c r="C38" s="148"/>
      <c r="D38" s="124" t="s">
        <v>151</v>
      </c>
      <c r="E38" s="151"/>
      <c r="F38" s="40" t="s">
        <v>127</v>
      </c>
    </row>
    <row r="39" spans="1:6" ht="49.5" x14ac:dyDescent="0.35">
      <c r="A39" s="122" t="s">
        <v>93</v>
      </c>
      <c r="B39" s="143" t="s">
        <v>163</v>
      </c>
      <c r="C39" s="146" t="s">
        <v>164</v>
      </c>
      <c r="D39" s="126" t="s">
        <v>121</v>
      </c>
      <c r="E39" s="149" t="s">
        <v>165</v>
      </c>
      <c r="F39" s="44" t="s">
        <v>123</v>
      </c>
    </row>
    <row r="40" spans="1:6" ht="33" x14ac:dyDescent="0.35">
      <c r="A40" s="122" t="s">
        <v>97</v>
      </c>
      <c r="B40" s="144"/>
      <c r="C40" s="147"/>
      <c r="D40" s="12" t="s">
        <v>124</v>
      </c>
      <c r="E40" s="150"/>
      <c r="F40" s="21" t="s">
        <v>125</v>
      </c>
    </row>
    <row r="41" spans="1:6" ht="50" thickBot="1" x14ac:dyDescent="0.4">
      <c r="A41" s="127" t="s">
        <v>99</v>
      </c>
      <c r="B41" s="145"/>
      <c r="C41" s="148"/>
      <c r="D41" s="124" t="s">
        <v>166</v>
      </c>
      <c r="E41" s="151"/>
      <c r="F41" s="40" t="s">
        <v>127</v>
      </c>
    </row>
    <row r="42" spans="1:6" ht="49.5" x14ac:dyDescent="0.35">
      <c r="A42" s="122" t="s">
        <v>89</v>
      </c>
      <c r="B42" s="143" t="s">
        <v>167</v>
      </c>
      <c r="C42" s="146" t="s">
        <v>168</v>
      </c>
      <c r="D42" s="126" t="s">
        <v>121</v>
      </c>
      <c r="E42" s="149" t="s">
        <v>169</v>
      </c>
      <c r="F42" s="126" t="s">
        <v>170</v>
      </c>
    </row>
    <row r="43" spans="1:6" ht="33" x14ac:dyDescent="0.35">
      <c r="A43" s="122" t="s">
        <v>97</v>
      </c>
      <c r="B43" s="144"/>
      <c r="C43" s="147"/>
      <c r="D43" s="128" t="s">
        <v>171</v>
      </c>
      <c r="E43" s="150"/>
      <c r="F43" s="21" t="s">
        <v>125</v>
      </c>
    </row>
    <row r="44" spans="1:6" ht="33.5" thickBot="1" x14ac:dyDescent="0.4">
      <c r="A44" s="127" t="s">
        <v>101</v>
      </c>
      <c r="B44" s="145"/>
      <c r="C44" s="148"/>
      <c r="D44" s="124" t="s">
        <v>172</v>
      </c>
      <c r="E44" s="151"/>
      <c r="F44" s="40" t="s">
        <v>127</v>
      </c>
    </row>
    <row r="45" spans="1:6" x14ac:dyDescent="0.35">
      <c r="A45" s="21"/>
    </row>
    <row r="46" spans="1:6" x14ac:dyDescent="0.35">
      <c r="A46" s="21"/>
    </row>
    <row r="47" spans="1:6" x14ac:dyDescent="0.35">
      <c r="A47" s="21"/>
    </row>
    <row r="48" spans="1:6" x14ac:dyDescent="0.35">
      <c r="A48" s="21"/>
    </row>
    <row r="49" spans="1:1" x14ac:dyDescent="0.35">
      <c r="A49" s="21"/>
    </row>
  </sheetData>
  <mergeCells count="36">
    <mergeCell ref="B36:B38"/>
    <mergeCell ref="C36:C38"/>
    <mergeCell ref="E36:E38"/>
    <mergeCell ref="B42:B44"/>
    <mergeCell ref="C42:C44"/>
    <mergeCell ref="E42:E44"/>
    <mergeCell ref="B39:B41"/>
    <mergeCell ref="C39:C41"/>
    <mergeCell ref="E39:E41"/>
    <mergeCell ref="B30:B32"/>
    <mergeCell ref="C30:C32"/>
    <mergeCell ref="E30:E32"/>
    <mergeCell ref="B33:B35"/>
    <mergeCell ref="C33:C35"/>
    <mergeCell ref="E33:E35"/>
    <mergeCell ref="B23:B25"/>
    <mergeCell ref="C23:C25"/>
    <mergeCell ref="E23:E25"/>
    <mergeCell ref="B26:B29"/>
    <mergeCell ref="C26:C29"/>
    <mergeCell ref="E26:E29"/>
    <mergeCell ref="E3:E5"/>
    <mergeCell ref="E6:E9"/>
    <mergeCell ref="B3:B5"/>
    <mergeCell ref="C3:C5"/>
    <mergeCell ref="B6:B9"/>
    <mergeCell ref="C6:C9"/>
    <mergeCell ref="B18:B22"/>
    <mergeCell ref="C18:C22"/>
    <mergeCell ref="E18:E22"/>
    <mergeCell ref="E10:E13"/>
    <mergeCell ref="B10:B13"/>
    <mergeCell ref="C10:C13"/>
    <mergeCell ref="B14:B17"/>
    <mergeCell ref="C14:C17"/>
    <mergeCell ref="E14:E17"/>
  </mergeCells>
  <dataValidations count="1">
    <dataValidation type="list" allowBlank="1" showInputMessage="1" showErrorMessage="1" sqref="A3:A49"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199"/>
  <sheetViews>
    <sheetView tabSelected="1" zoomScaleNormal="100" workbookViewId="0">
      <pane ySplit="1" topLeftCell="A2" activePane="bottomLeft" state="frozen"/>
      <selection activeCell="B1" sqref="B1"/>
      <selection pane="bottomLeft"/>
    </sheetView>
  </sheetViews>
  <sheetFormatPr baseColWidth="10" defaultColWidth="58.7265625" defaultRowHeight="16" x14ac:dyDescent="0.35"/>
  <cols>
    <col min="1" max="1" width="14.453125" style="59" customWidth="1"/>
    <col min="2" max="2" width="73.453125" style="51" customWidth="1"/>
    <col min="3" max="3" width="14.26953125" style="46" customWidth="1"/>
    <col min="4" max="4" width="24.54296875" style="47" customWidth="1"/>
    <col min="5" max="5" width="58.7265625" style="59"/>
    <col min="6" max="6" width="18.81640625" style="46" customWidth="1"/>
    <col min="7" max="7" width="15.453125" style="46" customWidth="1"/>
    <col min="8" max="10" width="14.26953125" style="46" customWidth="1"/>
    <col min="11" max="11" width="19.1796875" style="46" customWidth="1"/>
    <col min="12" max="12" width="23.453125" style="46" customWidth="1"/>
    <col min="13" max="13" width="16.7265625" style="46" customWidth="1"/>
    <col min="14" max="14" width="40.453125" style="59" customWidth="1"/>
    <col min="15" max="15" width="43.453125" style="59" customWidth="1"/>
    <col min="16" max="16" width="64.54296875" style="59" customWidth="1"/>
    <col min="17" max="17" width="66.54296875" style="59" customWidth="1"/>
    <col min="18" max="16384" width="58.7265625" style="46"/>
  </cols>
  <sheetData>
    <row r="1" spans="1:17" s="12" customFormat="1" ht="52" x14ac:dyDescent="0.35">
      <c r="A1" s="18" t="s">
        <v>173</v>
      </c>
      <c r="B1" s="18" t="s">
        <v>174</v>
      </c>
      <c r="C1" s="18" t="s">
        <v>175</v>
      </c>
      <c r="D1" s="18" t="s">
        <v>176</v>
      </c>
      <c r="E1" s="18" t="s">
        <v>177</v>
      </c>
      <c r="F1" s="18" t="s">
        <v>178</v>
      </c>
      <c r="G1" s="166" t="s">
        <v>179</v>
      </c>
      <c r="H1" s="166"/>
      <c r="I1" s="166"/>
      <c r="J1" s="18" t="s">
        <v>180</v>
      </c>
      <c r="K1" s="18" t="s">
        <v>181</v>
      </c>
      <c r="L1" s="18" t="s">
        <v>182</v>
      </c>
      <c r="M1" s="18" t="s">
        <v>183</v>
      </c>
      <c r="N1" s="18" t="s">
        <v>184</v>
      </c>
      <c r="O1" s="18" t="s">
        <v>185</v>
      </c>
      <c r="P1" s="18" t="s">
        <v>186</v>
      </c>
      <c r="Q1" s="18" t="s">
        <v>187</v>
      </c>
    </row>
    <row r="2" spans="1:17" s="12" customFormat="1" ht="33" x14ac:dyDescent="0.35">
      <c r="A2" s="133" t="s">
        <v>188</v>
      </c>
      <c r="B2" s="36" t="s">
        <v>113</v>
      </c>
      <c r="C2" s="36" t="s">
        <v>189</v>
      </c>
      <c r="D2" s="36" t="s">
        <v>190</v>
      </c>
      <c r="E2" s="36" t="s">
        <v>191</v>
      </c>
      <c r="F2" s="36" t="s">
        <v>192</v>
      </c>
      <c r="G2" s="36" t="s">
        <v>193</v>
      </c>
      <c r="H2" s="36" t="s">
        <v>194</v>
      </c>
      <c r="I2" s="36" t="s">
        <v>195</v>
      </c>
      <c r="J2" s="36" t="s">
        <v>196</v>
      </c>
      <c r="K2" s="36" t="s">
        <v>197</v>
      </c>
      <c r="L2" s="36" t="s">
        <v>198</v>
      </c>
      <c r="M2" s="36" t="s">
        <v>199</v>
      </c>
      <c r="N2" s="36" t="s">
        <v>200</v>
      </c>
      <c r="O2" s="36" t="s">
        <v>201</v>
      </c>
      <c r="P2" s="36" t="s">
        <v>202</v>
      </c>
      <c r="Q2" s="36" t="s">
        <v>203</v>
      </c>
    </row>
    <row r="3" spans="1:17" s="45" customFormat="1" ht="313.5" x14ac:dyDescent="0.35">
      <c r="A3" s="94" t="str">
        <f>_xlfn.XLOOKUP(B3,'Paso 3 Redacción RA '!I$3:I$15,'Paso 3 Redacción RA '!C$3:C$15,,0,1)</f>
        <v>Saber</v>
      </c>
      <c r="B3" s="86" t="s">
        <v>106</v>
      </c>
      <c r="C3" s="67">
        <v>1</v>
      </c>
      <c r="D3" s="68" t="s">
        <v>204</v>
      </c>
      <c r="E3" s="66" t="s">
        <v>205</v>
      </c>
      <c r="F3" s="67" t="s">
        <v>206</v>
      </c>
      <c r="G3" s="67" t="s">
        <v>207</v>
      </c>
      <c r="H3" s="67"/>
      <c r="I3" s="67"/>
      <c r="J3" s="67">
        <v>3</v>
      </c>
      <c r="K3" s="67">
        <f>12*J3</f>
        <v>36</v>
      </c>
      <c r="L3" s="67">
        <f>36*J3</f>
        <v>108</v>
      </c>
      <c r="M3" s="67">
        <f>SUM(K3:L3)</f>
        <v>144</v>
      </c>
      <c r="N3" s="70" t="s">
        <v>208</v>
      </c>
      <c r="O3" s="86" t="s">
        <v>209</v>
      </c>
      <c r="P3" s="89" t="s">
        <v>210</v>
      </c>
      <c r="Q3" s="66" t="s">
        <v>211</v>
      </c>
    </row>
    <row r="4" spans="1:17" s="45" customFormat="1" ht="409.6" thickBot="1" x14ac:dyDescent="0.4">
      <c r="A4" s="94" t="str">
        <f>_xlfn.XLOOKUP(B4,'Paso 3 Redacción RA '!I$3:I$15,'Paso 3 Redacción RA '!C$3:C$15,,0,1)</f>
        <v>Saber</v>
      </c>
      <c r="B4" s="86" t="s">
        <v>106</v>
      </c>
      <c r="C4" s="100">
        <v>1</v>
      </c>
      <c r="D4" s="101" t="s">
        <v>212</v>
      </c>
      <c r="E4" s="89" t="s">
        <v>213</v>
      </c>
      <c r="F4" s="101" t="s">
        <v>206</v>
      </c>
      <c r="G4" s="100" t="s">
        <v>207</v>
      </c>
      <c r="H4" s="100"/>
      <c r="I4" s="100"/>
      <c r="J4" s="100">
        <v>3</v>
      </c>
      <c r="K4" s="110">
        <f>12*J4</f>
        <v>36</v>
      </c>
      <c r="L4" s="110">
        <f>36*J4</f>
        <v>108</v>
      </c>
      <c r="M4" s="100">
        <f>SUM(K4:L4)</f>
        <v>144</v>
      </c>
      <c r="N4" s="86" t="s">
        <v>214</v>
      </c>
      <c r="O4" s="86" t="s">
        <v>209</v>
      </c>
      <c r="P4" s="86" t="s">
        <v>215</v>
      </c>
      <c r="Q4" s="86" t="s">
        <v>216</v>
      </c>
    </row>
    <row r="5" spans="1:17" s="45" customFormat="1" ht="49.5" x14ac:dyDescent="0.35">
      <c r="A5" s="24" t="str">
        <f>_xlfn.XLOOKUP(B5,'Paso 3 Redacción RA '!I$3:I$15,'Paso 3 Redacción RA '!C$3:C$15,,0,1)</f>
        <v>Saber</v>
      </c>
      <c r="B5" s="129" t="s">
        <v>89</v>
      </c>
      <c r="C5" s="167">
        <v>1</v>
      </c>
      <c r="D5" s="167" t="s">
        <v>217</v>
      </c>
      <c r="E5" s="162" t="s">
        <v>218</v>
      </c>
      <c r="F5" s="167" t="s">
        <v>219</v>
      </c>
      <c r="G5" s="167"/>
      <c r="H5" s="167" t="s">
        <v>207</v>
      </c>
      <c r="I5" s="167"/>
      <c r="J5" s="167">
        <v>3</v>
      </c>
      <c r="K5" s="167">
        <f>J5*12</f>
        <v>36</v>
      </c>
      <c r="L5" s="167">
        <f>36*J5</f>
        <v>108</v>
      </c>
      <c r="M5" s="167">
        <f>SUM(K5:L5)</f>
        <v>144</v>
      </c>
      <c r="N5" s="162" t="s">
        <v>220</v>
      </c>
      <c r="O5" s="162" t="s">
        <v>221</v>
      </c>
      <c r="P5" s="162" t="s">
        <v>222</v>
      </c>
      <c r="Q5" s="162" t="s">
        <v>216</v>
      </c>
    </row>
    <row r="6" spans="1:17" s="45" customFormat="1" ht="66" x14ac:dyDescent="0.35">
      <c r="A6" s="24" t="str">
        <f>_xlfn.XLOOKUP(B6,'Paso 3 Redacción RA '!I$3:I$15,'Paso 3 Redacción RA '!C$3:C$15,,0,1)</f>
        <v>Saberhacer</v>
      </c>
      <c r="B6" s="129" t="s">
        <v>93</v>
      </c>
      <c r="C6" s="167"/>
      <c r="D6" s="167"/>
      <c r="E6" s="162"/>
      <c r="F6" s="167"/>
      <c r="G6" s="167"/>
      <c r="H6" s="167"/>
      <c r="I6" s="167"/>
      <c r="J6" s="167"/>
      <c r="K6" s="167"/>
      <c r="L6" s="167"/>
      <c r="M6" s="167"/>
      <c r="N6" s="162"/>
      <c r="O6" s="162"/>
      <c r="P6" s="162"/>
      <c r="Q6" s="162"/>
    </row>
    <row r="7" spans="1:17" s="45" customFormat="1" ht="50" thickBot="1" x14ac:dyDescent="0.4">
      <c r="A7" s="87" t="str">
        <f>_xlfn.XLOOKUP(B7,'Paso 3 Redacción RA '!I$3:I$15,'Paso 3 Redacción RA '!C$3:C$15,,0,1)</f>
        <v>Saberhacer</v>
      </c>
      <c r="B7" s="131" t="s">
        <v>99</v>
      </c>
      <c r="C7" s="168"/>
      <c r="D7" s="168"/>
      <c r="E7" s="163"/>
      <c r="F7" s="168"/>
      <c r="G7" s="168"/>
      <c r="H7" s="168"/>
      <c r="I7" s="168"/>
      <c r="J7" s="168"/>
      <c r="K7" s="168"/>
      <c r="L7" s="168"/>
      <c r="M7" s="168"/>
      <c r="N7" s="163"/>
      <c r="O7" s="163"/>
      <c r="P7" s="163"/>
      <c r="Q7" s="163"/>
    </row>
    <row r="8" spans="1:17" s="45" customFormat="1" ht="49.5" x14ac:dyDescent="0.35">
      <c r="A8" s="24" t="str">
        <f>_xlfn.XLOOKUP(B8,'Paso 3 Redacción RA '!I$3:I$15,'Paso 3 Redacción RA '!C$3:C$15,,0,1)</f>
        <v>Saber</v>
      </c>
      <c r="B8" s="16" t="s">
        <v>89</v>
      </c>
      <c r="C8" s="169">
        <v>1</v>
      </c>
      <c r="D8" s="152" t="s">
        <v>223</v>
      </c>
      <c r="E8" s="164" t="s">
        <v>224</v>
      </c>
      <c r="F8" s="152" t="s">
        <v>206</v>
      </c>
      <c r="G8" s="152"/>
      <c r="H8" s="152" t="s">
        <v>207</v>
      </c>
      <c r="I8" s="152"/>
      <c r="J8" s="152">
        <v>4</v>
      </c>
      <c r="K8" s="152">
        <f>J8*12</f>
        <v>48</v>
      </c>
      <c r="L8" s="152">
        <f>36*J8</f>
        <v>144</v>
      </c>
      <c r="M8" s="152">
        <f>SUM(K8:L8)</f>
        <v>192</v>
      </c>
      <c r="N8" s="164" t="s">
        <v>225</v>
      </c>
      <c r="O8" s="164" t="s">
        <v>221</v>
      </c>
      <c r="P8" s="164" t="s">
        <v>226</v>
      </c>
      <c r="Q8" s="164" t="s">
        <v>216</v>
      </c>
    </row>
    <row r="9" spans="1:17" s="45" customFormat="1" ht="66" x14ac:dyDescent="0.35">
      <c r="A9" s="24" t="str">
        <f>_xlfn.XLOOKUP(B9,'Paso 3 Redacción RA '!I$3:I$15,'Paso 3 Redacción RA '!C$3:C$15,,0,1)</f>
        <v>Saberhacer</v>
      </c>
      <c r="B9" s="16" t="s">
        <v>93</v>
      </c>
      <c r="C9" s="167"/>
      <c r="D9" s="140"/>
      <c r="E9" s="138"/>
      <c r="F9" s="140"/>
      <c r="G9" s="140"/>
      <c r="H9" s="140"/>
      <c r="I9" s="140"/>
      <c r="J9" s="140"/>
      <c r="K9" s="140"/>
      <c r="L9" s="140"/>
      <c r="M9" s="140"/>
      <c r="N9" s="138"/>
      <c r="O9" s="138"/>
      <c r="P9" s="138"/>
      <c r="Q9" s="138"/>
    </row>
    <row r="10" spans="1:17" s="45" customFormat="1" ht="50" thickBot="1" x14ac:dyDescent="0.4">
      <c r="A10" s="87" t="str">
        <f>_xlfn.XLOOKUP(B10,'Paso 3 Redacción RA '!I$3:I$15,'Paso 3 Redacción RA '!C$3:C$15,,0,1)</f>
        <v>Saberhacer</v>
      </c>
      <c r="B10" s="27" t="s">
        <v>99</v>
      </c>
      <c r="C10" s="168"/>
      <c r="D10" s="170"/>
      <c r="E10" s="165"/>
      <c r="F10" s="170"/>
      <c r="G10" s="170"/>
      <c r="H10" s="170"/>
      <c r="I10" s="170"/>
      <c r="J10" s="170"/>
      <c r="K10" s="170"/>
      <c r="L10" s="170"/>
      <c r="M10" s="170"/>
      <c r="N10" s="165"/>
      <c r="O10" s="165"/>
      <c r="P10" s="165"/>
      <c r="Q10" s="165"/>
    </row>
    <row r="11" spans="1:17" s="45" customFormat="1" ht="49.5" x14ac:dyDescent="0.35">
      <c r="A11" s="24" t="str">
        <f>_xlfn.XLOOKUP(B11,'Paso 3 Redacción RA '!I$3:I$15,'Paso 3 Redacción RA '!C$3:C$15,,0,1)</f>
        <v>Saber</v>
      </c>
      <c r="B11" s="16" t="s">
        <v>89</v>
      </c>
      <c r="C11" s="169">
        <v>1</v>
      </c>
      <c r="D11" s="152" t="s">
        <v>227</v>
      </c>
      <c r="E11" s="171" t="s">
        <v>228</v>
      </c>
      <c r="F11" s="169" t="s">
        <v>219</v>
      </c>
      <c r="G11" s="169"/>
      <c r="H11" s="169" t="s">
        <v>207</v>
      </c>
      <c r="I11" s="169"/>
      <c r="J11" s="169">
        <v>3</v>
      </c>
      <c r="K11" s="169">
        <f>J11*12</f>
        <v>36</v>
      </c>
      <c r="L11" s="169">
        <f>36*J11</f>
        <v>108</v>
      </c>
      <c r="M11" s="169">
        <f>SUM(K11:L11)</f>
        <v>144</v>
      </c>
      <c r="N11" s="171" t="s">
        <v>229</v>
      </c>
      <c r="O11" s="171" t="s">
        <v>221</v>
      </c>
      <c r="P11" s="171" t="s">
        <v>222</v>
      </c>
      <c r="Q11" s="171" t="s">
        <v>216</v>
      </c>
    </row>
    <row r="12" spans="1:17" s="45" customFormat="1" ht="66" x14ac:dyDescent="0.35">
      <c r="A12" s="24" t="str">
        <f>_xlfn.XLOOKUP(B12,'Paso 3 Redacción RA '!I$3:I$15,'Paso 3 Redacción RA '!C$3:C$15,,0,1)</f>
        <v>Saberhacer</v>
      </c>
      <c r="B12" s="16" t="s">
        <v>93</v>
      </c>
      <c r="C12" s="167"/>
      <c r="D12" s="140"/>
      <c r="E12" s="172"/>
      <c r="F12" s="167"/>
      <c r="G12" s="167"/>
      <c r="H12" s="167"/>
      <c r="I12" s="167"/>
      <c r="J12" s="167"/>
      <c r="K12" s="167"/>
      <c r="L12" s="167"/>
      <c r="M12" s="167"/>
      <c r="N12" s="172"/>
      <c r="O12" s="172"/>
      <c r="P12" s="172"/>
      <c r="Q12" s="172"/>
    </row>
    <row r="13" spans="1:17" s="45" customFormat="1" ht="50" thickBot="1" x14ac:dyDescent="0.4">
      <c r="A13" s="87" t="str">
        <f>_xlfn.XLOOKUP(B13,'Paso 3 Redacción RA '!I$3:I$15,'Paso 3 Redacción RA '!C$3:C$15,,0,1)</f>
        <v>Saberser</v>
      </c>
      <c r="B13" s="27" t="s">
        <v>97</v>
      </c>
      <c r="C13" s="168"/>
      <c r="D13" s="170"/>
      <c r="E13" s="173"/>
      <c r="F13" s="168"/>
      <c r="G13" s="168"/>
      <c r="H13" s="168"/>
      <c r="I13" s="168"/>
      <c r="J13" s="168"/>
      <c r="K13" s="168"/>
      <c r="L13" s="168"/>
      <c r="M13" s="168"/>
      <c r="N13" s="173"/>
      <c r="O13" s="173"/>
      <c r="P13" s="173"/>
      <c r="Q13" s="173"/>
    </row>
    <row r="14" spans="1:17" s="45" customFormat="1" ht="409.6" thickBot="1" x14ac:dyDescent="0.4">
      <c r="A14" s="94" t="str">
        <f>_xlfn.XLOOKUP(B14,'Paso 3 Redacción RA '!I$3:I$15,'Paso 3 Redacción RA '!C$3:C$15,,0,1)</f>
        <v>Saber</v>
      </c>
      <c r="B14" s="86" t="s">
        <v>106</v>
      </c>
      <c r="C14" s="67">
        <v>2</v>
      </c>
      <c r="D14" s="68" t="s">
        <v>230</v>
      </c>
      <c r="E14" s="66" t="s">
        <v>231</v>
      </c>
      <c r="F14" s="67" t="s">
        <v>206</v>
      </c>
      <c r="G14" s="68" t="s">
        <v>207</v>
      </c>
      <c r="H14" s="68"/>
      <c r="I14" s="68"/>
      <c r="J14" s="67">
        <v>3</v>
      </c>
      <c r="K14" s="67">
        <f>12*J14</f>
        <v>36</v>
      </c>
      <c r="L14" s="67">
        <f>36*J14</f>
        <v>108</v>
      </c>
      <c r="M14" s="67">
        <f>SUM(K14:L14)</f>
        <v>144</v>
      </c>
      <c r="N14" s="69" t="s">
        <v>232</v>
      </c>
      <c r="O14" s="89" t="s">
        <v>209</v>
      </c>
      <c r="P14" s="89" t="s">
        <v>215</v>
      </c>
      <c r="Q14" s="66" t="s">
        <v>216</v>
      </c>
    </row>
    <row r="15" spans="1:17" s="45" customFormat="1" ht="49.5" x14ac:dyDescent="0.35">
      <c r="A15" s="24" t="str">
        <f>_xlfn.XLOOKUP(B15,'Paso 3 Redacción RA '!I$3:I$15,'Paso 3 Redacción RA '!C$3:C$15,,0,1)</f>
        <v>Saber</v>
      </c>
      <c r="B15" s="16" t="s">
        <v>89</v>
      </c>
      <c r="C15" s="152">
        <v>2</v>
      </c>
      <c r="D15" s="152" t="s">
        <v>233</v>
      </c>
      <c r="E15" s="171" t="s">
        <v>234</v>
      </c>
      <c r="F15" s="152" t="s">
        <v>206</v>
      </c>
      <c r="G15" s="152"/>
      <c r="H15" s="152" t="s">
        <v>207</v>
      </c>
      <c r="I15" s="152"/>
      <c r="J15" s="152">
        <v>3</v>
      </c>
      <c r="K15" s="152">
        <f>J15*12</f>
        <v>36</v>
      </c>
      <c r="L15" s="152">
        <f>36*J15</f>
        <v>108</v>
      </c>
      <c r="M15" s="152">
        <f>SUM(K15:L15)</f>
        <v>144</v>
      </c>
      <c r="N15" s="171" t="s">
        <v>235</v>
      </c>
      <c r="O15" s="171" t="s">
        <v>221</v>
      </c>
      <c r="P15" s="171" t="s">
        <v>236</v>
      </c>
      <c r="Q15" s="171" t="s">
        <v>216</v>
      </c>
    </row>
    <row r="16" spans="1:17" s="45" customFormat="1" ht="66" x14ac:dyDescent="0.35">
      <c r="A16" s="24" t="str">
        <f>_xlfn.XLOOKUP(B16,'Paso 3 Redacción RA '!I$3:I$15,'Paso 3 Redacción RA '!C$3:C$15,,0,1)</f>
        <v>Saberhacer</v>
      </c>
      <c r="B16" s="16" t="s">
        <v>93</v>
      </c>
      <c r="C16" s="140"/>
      <c r="D16" s="140"/>
      <c r="E16" s="172"/>
      <c r="F16" s="140"/>
      <c r="G16" s="140"/>
      <c r="H16" s="140"/>
      <c r="I16" s="140"/>
      <c r="J16" s="140"/>
      <c r="K16" s="140"/>
      <c r="L16" s="140"/>
      <c r="M16" s="140"/>
      <c r="N16" s="172"/>
      <c r="O16" s="172"/>
      <c r="P16" s="172"/>
      <c r="Q16" s="172"/>
    </row>
    <row r="17" spans="1:17" s="45" customFormat="1" ht="50" thickBot="1" x14ac:dyDescent="0.4">
      <c r="A17" s="87" t="str">
        <f>_xlfn.XLOOKUP(B17,'Paso 3 Redacción RA '!I$3:I$15,'Paso 3 Redacción RA '!C$3:C$15,,0,1)</f>
        <v>Saberser</v>
      </c>
      <c r="B17" s="27" t="s">
        <v>97</v>
      </c>
      <c r="C17" s="170"/>
      <c r="D17" s="170"/>
      <c r="E17" s="173"/>
      <c r="F17" s="170"/>
      <c r="G17" s="170"/>
      <c r="H17" s="170"/>
      <c r="I17" s="170"/>
      <c r="J17" s="170"/>
      <c r="K17" s="170"/>
      <c r="L17" s="170"/>
      <c r="M17" s="170"/>
      <c r="N17" s="173"/>
      <c r="O17" s="173"/>
      <c r="P17" s="173"/>
      <c r="Q17" s="173"/>
    </row>
    <row r="18" spans="1:17" s="45" customFormat="1" ht="49.5" x14ac:dyDescent="0.35">
      <c r="A18" s="24" t="str">
        <f>_xlfn.XLOOKUP(B18,'Paso 3 Redacción RA '!I$3:I$15,'Paso 3 Redacción RA '!C$3:C$15,,0,1)</f>
        <v>Saber</v>
      </c>
      <c r="B18" s="16" t="s">
        <v>89</v>
      </c>
      <c r="C18" s="152">
        <v>2</v>
      </c>
      <c r="D18" s="152" t="s">
        <v>237</v>
      </c>
      <c r="E18" s="171" t="s">
        <v>238</v>
      </c>
      <c r="F18" s="152" t="s">
        <v>206</v>
      </c>
      <c r="G18" s="152"/>
      <c r="H18" s="152" t="s">
        <v>207</v>
      </c>
      <c r="I18" s="152"/>
      <c r="J18" s="152">
        <v>3</v>
      </c>
      <c r="K18" s="152">
        <f>J18*12</f>
        <v>36</v>
      </c>
      <c r="L18" s="152">
        <f>36*J18</f>
        <v>108</v>
      </c>
      <c r="M18" s="152">
        <f>SUM(K18:L18)</f>
        <v>144</v>
      </c>
      <c r="N18" s="171" t="s">
        <v>239</v>
      </c>
      <c r="O18" s="171" t="s">
        <v>221</v>
      </c>
      <c r="P18" s="171" t="s">
        <v>226</v>
      </c>
      <c r="Q18" s="171" t="s">
        <v>216</v>
      </c>
    </row>
    <row r="19" spans="1:17" s="45" customFormat="1" ht="66" x14ac:dyDescent="0.35">
      <c r="A19" s="24" t="str">
        <f>_xlfn.XLOOKUP(B19,'Paso 3 Redacción RA '!I$3:I$15,'Paso 3 Redacción RA '!C$3:C$15,,0,1)</f>
        <v>Saberhacer</v>
      </c>
      <c r="B19" s="16" t="s">
        <v>93</v>
      </c>
      <c r="C19" s="140"/>
      <c r="D19" s="140"/>
      <c r="E19" s="172"/>
      <c r="F19" s="140"/>
      <c r="G19" s="140"/>
      <c r="H19" s="140"/>
      <c r="I19" s="140"/>
      <c r="J19" s="140"/>
      <c r="K19" s="140"/>
      <c r="L19" s="140"/>
      <c r="M19" s="140"/>
      <c r="N19" s="172"/>
      <c r="O19" s="172"/>
      <c r="P19" s="172"/>
      <c r="Q19" s="172"/>
    </row>
    <row r="20" spans="1:17" s="45" customFormat="1" ht="49.5" x14ac:dyDescent="0.35">
      <c r="A20" s="24" t="str">
        <f>_xlfn.XLOOKUP(B20,'Paso 3 Redacción RA '!I$3:I$15,'Paso 3 Redacción RA '!C$3:C$15,,0,1)</f>
        <v>Saberhacer</v>
      </c>
      <c r="B20" s="16" t="s">
        <v>99</v>
      </c>
      <c r="C20" s="140"/>
      <c r="D20" s="140"/>
      <c r="E20" s="172"/>
      <c r="F20" s="140"/>
      <c r="G20" s="140"/>
      <c r="H20" s="140"/>
      <c r="I20" s="140"/>
      <c r="J20" s="140"/>
      <c r="K20" s="140"/>
      <c r="L20" s="140"/>
      <c r="M20" s="140"/>
      <c r="N20" s="172"/>
      <c r="O20" s="172"/>
      <c r="P20" s="172"/>
      <c r="Q20" s="172"/>
    </row>
    <row r="21" spans="1:17" s="45" customFormat="1" ht="50" thickBot="1" x14ac:dyDescent="0.4">
      <c r="A21" s="87" t="str">
        <f>_xlfn.XLOOKUP(B21,'Paso 3 Redacción RA '!I$3:I$15,'Paso 3 Redacción RA '!C$3:C$15,,0,1)</f>
        <v>Saberser</v>
      </c>
      <c r="B21" s="27" t="s">
        <v>97</v>
      </c>
      <c r="C21" s="170"/>
      <c r="D21" s="170"/>
      <c r="E21" s="173"/>
      <c r="F21" s="170"/>
      <c r="G21" s="170"/>
      <c r="H21" s="170"/>
      <c r="I21" s="170"/>
      <c r="J21" s="170"/>
      <c r="K21" s="170"/>
      <c r="L21" s="170"/>
      <c r="M21" s="170"/>
      <c r="N21" s="173"/>
      <c r="O21" s="173"/>
      <c r="P21" s="173"/>
      <c r="Q21" s="173"/>
    </row>
    <row r="22" spans="1:17" s="45" customFormat="1" ht="49.5" x14ac:dyDescent="0.35">
      <c r="A22" s="24" t="str">
        <f>_xlfn.XLOOKUP(B22,'Paso 3 Redacción RA '!I$3:I$15,'Paso 3 Redacción RA '!C$3:C$15,,0,1)</f>
        <v>Saber</v>
      </c>
      <c r="B22" s="16" t="s">
        <v>89</v>
      </c>
      <c r="C22" s="152">
        <v>2</v>
      </c>
      <c r="D22" s="152" t="s">
        <v>240</v>
      </c>
      <c r="E22" s="171" t="s">
        <v>241</v>
      </c>
      <c r="F22" s="152" t="s">
        <v>206</v>
      </c>
      <c r="G22" s="152"/>
      <c r="H22" s="152" t="s">
        <v>207</v>
      </c>
      <c r="I22" s="152"/>
      <c r="J22" s="152">
        <v>3</v>
      </c>
      <c r="K22" s="152">
        <f>J22*12</f>
        <v>36</v>
      </c>
      <c r="L22" s="152">
        <f>36*J22</f>
        <v>108</v>
      </c>
      <c r="M22" s="152">
        <f>SUM(K22:L22)</f>
        <v>144</v>
      </c>
      <c r="N22" s="171" t="s">
        <v>242</v>
      </c>
      <c r="O22" s="171" t="s">
        <v>221</v>
      </c>
      <c r="P22" s="171" t="s">
        <v>226</v>
      </c>
      <c r="Q22" s="171" t="s">
        <v>216</v>
      </c>
    </row>
    <row r="23" spans="1:17" s="45" customFormat="1" ht="66" x14ac:dyDescent="0.35">
      <c r="A23" s="24" t="str">
        <f>_xlfn.XLOOKUP(B23,'Paso 3 Redacción RA '!I$3:I$15,'Paso 3 Redacción RA '!C$3:C$15,,0,1)</f>
        <v>Saberhacer</v>
      </c>
      <c r="B23" s="16" t="s">
        <v>93</v>
      </c>
      <c r="C23" s="140"/>
      <c r="D23" s="140"/>
      <c r="E23" s="172"/>
      <c r="F23" s="140"/>
      <c r="G23" s="140"/>
      <c r="H23" s="140"/>
      <c r="I23" s="140"/>
      <c r="J23" s="140"/>
      <c r="K23" s="140"/>
      <c r="L23" s="140"/>
      <c r="M23" s="140"/>
      <c r="N23" s="172"/>
      <c r="O23" s="172"/>
      <c r="P23" s="172"/>
      <c r="Q23" s="172"/>
    </row>
    <row r="24" spans="1:17" s="45" customFormat="1" ht="50" thickBot="1" x14ac:dyDescent="0.4">
      <c r="A24" s="87" t="str">
        <f>_xlfn.XLOOKUP(B24,'Paso 3 Redacción RA '!I$3:I$15,'Paso 3 Redacción RA '!C$3:C$15,,0,1)</f>
        <v>Saberser</v>
      </c>
      <c r="B24" s="27" t="s">
        <v>97</v>
      </c>
      <c r="C24" s="170"/>
      <c r="D24" s="170"/>
      <c r="E24" s="173"/>
      <c r="F24" s="170"/>
      <c r="G24" s="170"/>
      <c r="H24" s="170"/>
      <c r="I24" s="170"/>
      <c r="J24" s="170"/>
      <c r="K24" s="170"/>
      <c r="L24" s="170"/>
      <c r="M24" s="170"/>
      <c r="N24" s="173"/>
      <c r="O24" s="173"/>
      <c r="P24" s="173"/>
      <c r="Q24" s="173"/>
    </row>
    <row r="25" spans="1:17" s="45" customFormat="1" ht="49.5" x14ac:dyDescent="0.35">
      <c r="A25" s="24" t="str">
        <f>_xlfn.XLOOKUP(B25,'Paso 3 Redacción RA '!I$3:I$15,'Paso 3 Redacción RA '!C$3:C$15,,0,1)</f>
        <v>Saber</v>
      </c>
      <c r="B25" s="129" t="s">
        <v>89</v>
      </c>
      <c r="C25" s="152">
        <v>2</v>
      </c>
      <c r="D25" s="152" t="s">
        <v>243</v>
      </c>
      <c r="E25" s="171" t="s">
        <v>244</v>
      </c>
      <c r="F25" s="152" t="s">
        <v>206</v>
      </c>
      <c r="G25" s="152"/>
      <c r="H25" s="152" t="s">
        <v>207</v>
      </c>
      <c r="I25" s="152"/>
      <c r="J25" s="152">
        <v>3</v>
      </c>
      <c r="K25" s="152">
        <f>J25*12</f>
        <v>36</v>
      </c>
      <c r="L25" s="152">
        <f>36*J25</f>
        <v>108</v>
      </c>
      <c r="M25" s="152">
        <f>SUM(K25:L25)</f>
        <v>144</v>
      </c>
      <c r="N25" s="171" t="s">
        <v>245</v>
      </c>
      <c r="O25" s="171" t="s">
        <v>221</v>
      </c>
      <c r="P25" s="171" t="s">
        <v>226</v>
      </c>
      <c r="Q25" s="171" t="s">
        <v>216</v>
      </c>
    </row>
    <row r="26" spans="1:17" s="45" customFormat="1" ht="49.5" x14ac:dyDescent="0.35">
      <c r="A26" s="24" t="str">
        <f>_xlfn.XLOOKUP(B26,'Paso 3 Redacción RA '!I$3:I$15,'Paso 3 Redacción RA '!C$3:C$15,,0,1)</f>
        <v>Saber</v>
      </c>
      <c r="B26" s="129" t="s">
        <v>101</v>
      </c>
      <c r="C26" s="140"/>
      <c r="D26" s="140"/>
      <c r="E26" s="172"/>
      <c r="F26" s="140"/>
      <c r="G26" s="140"/>
      <c r="H26" s="140"/>
      <c r="I26" s="140"/>
      <c r="J26" s="140"/>
      <c r="K26" s="140"/>
      <c r="L26" s="140"/>
      <c r="M26" s="140"/>
      <c r="N26" s="172"/>
      <c r="O26" s="172"/>
      <c r="P26" s="172"/>
      <c r="Q26" s="172"/>
    </row>
    <row r="27" spans="1:17" s="45" customFormat="1" ht="66.5" thickBot="1" x14ac:dyDescent="0.4">
      <c r="A27" s="87" t="str">
        <f>_xlfn.XLOOKUP(B27,'Paso 3 Redacción RA '!I$3:I$15,'Paso 3 Redacción RA '!C$3:C$15,,0,1)</f>
        <v>Saberhacer</v>
      </c>
      <c r="B27" s="131" t="s">
        <v>93</v>
      </c>
      <c r="C27" s="170"/>
      <c r="D27" s="170"/>
      <c r="E27" s="173"/>
      <c r="F27" s="170"/>
      <c r="G27" s="170"/>
      <c r="H27" s="170"/>
      <c r="I27" s="170"/>
      <c r="J27" s="170"/>
      <c r="K27" s="170"/>
      <c r="L27" s="170"/>
      <c r="M27" s="170"/>
      <c r="N27" s="173"/>
      <c r="O27" s="173"/>
      <c r="P27" s="173"/>
      <c r="Q27" s="173"/>
    </row>
    <row r="28" spans="1:17" s="45" customFormat="1" ht="49.5" x14ac:dyDescent="0.35">
      <c r="A28" s="24" t="str">
        <f>_xlfn.XLOOKUP(B28,'Paso 3 Redacción RA '!I$3:I$15,'Paso 3 Redacción RA '!C$3:C$15,,0,1)</f>
        <v>Saber</v>
      </c>
      <c r="B28" s="16" t="s">
        <v>89</v>
      </c>
      <c r="C28" s="152">
        <v>2</v>
      </c>
      <c r="D28" s="152" t="s">
        <v>246</v>
      </c>
      <c r="E28" s="174" t="s">
        <v>247</v>
      </c>
      <c r="F28" s="152" t="s">
        <v>206</v>
      </c>
      <c r="G28" s="152"/>
      <c r="H28" s="152" t="s">
        <v>207</v>
      </c>
      <c r="I28" s="152"/>
      <c r="J28" s="152">
        <v>3</v>
      </c>
      <c r="K28" s="152">
        <f>J28*12</f>
        <v>36</v>
      </c>
      <c r="L28" s="152">
        <f>36*J28</f>
        <v>108</v>
      </c>
      <c r="M28" s="152">
        <f>SUM(K28:L28)</f>
        <v>144</v>
      </c>
      <c r="N28" s="171" t="s">
        <v>248</v>
      </c>
      <c r="O28" s="171" t="s">
        <v>221</v>
      </c>
      <c r="P28" s="171" t="s">
        <v>226</v>
      </c>
      <c r="Q28" s="171" t="s">
        <v>216</v>
      </c>
    </row>
    <row r="29" spans="1:17" s="45" customFormat="1" ht="66" x14ac:dyDescent="0.35">
      <c r="A29" s="24" t="str">
        <f>_xlfn.XLOOKUP(B29,'Paso 3 Redacción RA '!I$3:I$15,'Paso 3 Redacción RA '!C$3:C$15,,0,1)</f>
        <v>Saberhacer</v>
      </c>
      <c r="B29" s="16" t="s">
        <v>93</v>
      </c>
      <c r="C29" s="140"/>
      <c r="D29" s="140"/>
      <c r="E29" s="162"/>
      <c r="F29" s="140"/>
      <c r="G29" s="140"/>
      <c r="H29" s="140"/>
      <c r="I29" s="140"/>
      <c r="J29" s="140"/>
      <c r="K29" s="140"/>
      <c r="L29" s="140"/>
      <c r="M29" s="140"/>
      <c r="N29" s="172"/>
      <c r="O29" s="172"/>
      <c r="P29" s="172"/>
      <c r="Q29" s="172"/>
    </row>
    <row r="30" spans="1:17" s="45" customFormat="1" ht="69.650000000000006" customHeight="1" thickBot="1" x14ac:dyDescent="0.4">
      <c r="A30" s="87" t="str">
        <f>_xlfn.XLOOKUP(B30,'Paso 3 Redacción RA '!I$3:I$15,'Paso 3 Redacción RA '!C$3:C$15,,0,1)</f>
        <v>Saberhacer</v>
      </c>
      <c r="B30" s="88" t="s">
        <v>99</v>
      </c>
      <c r="C30" s="170"/>
      <c r="D30" s="170"/>
      <c r="E30" s="163"/>
      <c r="F30" s="170"/>
      <c r="G30" s="170"/>
      <c r="H30" s="170"/>
      <c r="I30" s="170"/>
      <c r="J30" s="170"/>
      <c r="K30" s="170"/>
      <c r="L30" s="170"/>
      <c r="M30" s="170"/>
      <c r="N30" s="173"/>
      <c r="O30" s="173"/>
      <c r="P30" s="173"/>
      <c r="Q30" s="173"/>
    </row>
    <row r="31" spans="1:17" s="45" customFormat="1" ht="281" thickBot="1" x14ac:dyDescent="0.4">
      <c r="A31" s="94" t="str">
        <f>_xlfn.XLOOKUP(B31,'Paso 3 Redacción RA '!I$3:I$15,'Paso 3 Redacción RA '!C$3:C$15,,0,1)</f>
        <v>Saber</v>
      </c>
      <c r="B31" s="86" t="s">
        <v>106</v>
      </c>
      <c r="C31" s="67">
        <v>3</v>
      </c>
      <c r="D31" s="68" t="s">
        <v>249</v>
      </c>
      <c r="E31" s="66" t="s">
        <v>250</v>
      </c>
      <c r="F31" s="67" t="s">
        <v>206</v>
      </c>
      <c r="G31" s="68" t="s">
        <v>207</v>
      </c>
      <c r="H31" s="68"/>
      <c r="I31" s="68"/>
      <c r="J31" s="67">
        <v>3</v>
      </c>
      <c r="K31" s="67">
        <f>12*J31</f>
        <v>36</v>
      </c>
      <c r="L31" s="67">
        <f>36*J31</f>
        <v>108</v>
      </c>
      <c r="M31" s="67">
        <f>SUM(K31:L31)</f>
        <v>144</v>
      </c>
      <c r="N31" s="66" t="s">
        <v>251</v>
      </c>
      <c r="O31" s="89" t="s">
        <v>209</v>
      </c>
      <c r="P31" s="89" t="s">
        <v>252</v>
      </c>
      <c r="Q31" s="66" t="s">
        <v>216</v>
      </c>
    </row>
    <row r="32" spans="1:17" s="12" customFormat="1" ht="264" x14ac:dyDescent="0.35">
      <c r="A32" s="94" t="str">
        <f>_xlfn.XLOOKUP(B32,'Paso 3 Redacción RA '!I$3:I$15,'Paso 3 Redacción RA '!C$3:C$15,,0,1)</f>
        <v>Saber</v>
      </c>
      <c r="B32" s="86" t="s">
        <v>106</v>
      </c>
      <c r="C32" s="71">
        <v>3</v>
      </c>
      <c r="D32" s="68" t="s">
        <v>253</v>
      </c>
      <c r="E32" s="66" t="s">
        <v>254</v>
      </c>
      <c r="F32" s="67" t="s">
        <v>206</v>
      </c>
      <c r="G32" s="67" t="s">
        <v>207</v>
      </c>
      <c r="H32" s="67"/>
      <c r="I32" s="67"/>
      <c r="J32" s="71">
        <v>3</v>
      </c>
      <c r="K32" s="67">
        <f>12*J32</f>
        <v>36</v>
      </c>
      <c r="L32" s="67">
        <f>36*J32</f>
        <v>108</v>
      </c>
      <c r="M32" s="67">
        <f>SUM(K32:L32)</f>
        <v>144</v>
      </c>
      <c r="N32" s="66" t="s">
        <v>255</v>
      </c>
      <c r="O32" s="86" t="s">
        <v>209</v>
      </c>
      <c r="P32" s="86" t="s">
        <v>256</v>
      </c>
      <c r="Q32" s="66" t="s">
        <v>216</v>
      </c>
    </row>
    <row r="33" spans="1:17" s="45" customFormat="1" ht="49.5" x14ac:dyDescent="0.35">
      <c r="A33" s="24" t="str">
        <f>_xlfn.XLOOKUP(B33,'Paso 3 Redacción RA '!I$3:I$15,'Paso 3 Redacción RA '!C$3:C$15,,0,1)</f>
        <v>Saber</v>
      </c>
      <c r="B33" s="16" t="s">
        <v>89</v>
      </c>
      <c r="C33" s="152">
        <v>3</v>
      </c>
      <c r="D33" s="152" t="s">
        <v>257</v>
      </c>
      <c r="E33" s="171" t="s">
        <v>258</v>
      </c>
      <c r="F33" s="152" t="s">
        <v>206</v>
      </c>
      <c r="G33" s="152"/>
      <c r="H33" s="152" t="s">
        <v>207</v>
      </c>
      <c r="I33" s="152"/>
      <c r="J33" s="152">
        <v>3</v>
      </c>
      <c r="K33" s="152">
        <f>J33*12</f>
        <v>36</v>
      </c>
      <c r="L33" s="152">
        <f>36*J33</f>
        <v>108</v>
      </c>
      <c r="M33" s="152">
        <f>SUM(K33:L33)</f>
        <v>144</v>
      </c>
      <c r="N33" s="171" t="s">
        <v>259</v>
      </c>
      <c r="O33" s="171" t="s">
        <v>221</v>
      </c>
      <c r="P33" s="171" t="s">
        <v>226</v>
      </c>
      <c r="Q33" s="171" t="s">
        <v>216</v>
      </c>
    </row>
    <row r="34" spans="1:17" s="45" customFormat="1" ht="66" x14ac:dyDescent="0.35">
      <c r="A34" s="24" t="str">
        <f>_xlfn.XLOOKUP(B34,'Paso 3 Redacción RA '!I$3:I$15,'Paso 3 Redacción RA '!C$3:C$15,,0,1)</f>
        <v>Saberhacer</v>
      </c>
      <c r="B34" s="16" t="s">
        <v>93</v>
      </c>
      <c r="C34" s="140"/>
      <c r="D34" s="140"/>
      <c r="E34" s="172"/>
      <c r="F34" s="140"/>
      <c r="G34" s="140"/>
      <c r="H34" s="140"/>
      <c r="I34" s="140"/>
      <c r="J34" s="140"/>
      <c r="K34" s="140"/>
      <c r="L34" s="140"/>
      <c r="M34" s="140"/>
      <c r="N34" s="172"/>
      <c r="O34" s="172"/>
      <c r="P34" s="172"/>
      <c r="Q34" s="172"/>
    </row>
    <row r="35" spans="1:17" s="45" customFormat="1" ht="50" thickBot="1" x14ac:dyDescent="0.4">
      <c r="A35" s="87" t="str">
        <f>_xlfn.XLOOKUP(B35,'Paso 3 Redacción RA '!I$3:I$15,'Paso 3 Redacción RA '!C$3:C$15,,0,1)</f>
        <v>Saberhacer</v>
      </c>
      <c r="B35" s="27" t="s">
        <v>99</v>
      </c>
      <c r="C35" s="170"/>
      <c r="D35" s="170"/>
      <c r="E35" s="173"/>
      <c r="F35" s="170"/>
      <c r="G35" s="170"/>
      <c r="H35" s="170"/>
      <c r="I35" s="170"/>
      <c r="J35" s="170"/>
      <c r="K35" s="170"/>
      <c r="L35" s="170"/>
      <c r="M35" s="170"/>
      <c r="N35" s="173"/>
      <c r="O35" s="173"/>
      <c r="P35" s="173"/>
      <c r="Q35" s="173"/>
    </row>
    <row r="36" spans="1:17" s="45" customFormat="1" ht="49.5" x14ac:dyDescent="0.35">
      <c r="A36" s="24" t="str">
        <f>_xlfn.XLOOKUP(B36,'Paso 3 Redacción RA '!I$3:I$15,'Paso 3 Redacción RA '!C$3:C$15,,0,1)</f>
        <v>Saber</v>
      </c>
      <c r="B36" s="16" t="s">
        <v>89</v>
      </c>
      <c r="C36" s="152">
        <v>3</v>
      </c>
      <c r="D36" s="152" t="s">
        <v>260</v>
      </c>
      <c r="E36" s="171" t="s">
        <v>261</v>
      </c>
      <c r="F36" s="152" t="s">
        <v>206</v>
      </c>
      <c r="G36" s="152"/>
      <c r="H36" s="152" t="s">
        <v>207</v>
      </c>
      <c r="I36" s="152"/>
      <c r="J36" s="152">
        <v>3</v>
      </c>
      <c r="K36" s="152">
        <f>J36*12</f>
        <v>36</v>
      </c>
      <c r="L36" s="152">
        <f>36*J36</f>
        <v>108</v>
      </c>
      <c r="M36" s="152">
        <f>SUM(K36:L36)</f>
        <v>144</v>
      </c>
      <c r="N36" s="171" t="s">
        <v>262</v>
      </c>
      <c r="O36" s="171" t="s">
        <v>221</v>
      </c>
      <c r="P36" s="171" t="s">
        <v>236</v>
      </c>
      <c r="Q36" s="171" t="s">
        <v>216</v>
      </c>
    </row>
    <row r="37" spans="1:17" s="45" customFormat="1" ht="66" x14ac:dyDescent="0.35">
      <c r="A37" s="24" t="str">
        <f>_xlfn.XLOOKUP(B37,'Paso 3 Redacción RA '!I$3:I$15,'Paso 3 Redacción RA '!C$3:C$15,,0,1)</f>
        <v>Saberhacer</v>
      </c>
      <c r="B37" s="16" t="s">
        <v>93</v>
      </c>
      <c r="C37" s="140"/>
      <c r="D37" s="140"/>
      <c r="E37" s="172"/>
      <c r="F37" s="140"/>
      <c r="G37" s="140"/>
      <c r="H37" s="140"/>
      <c r="I37" s="140"/>
      <c r="J37" s="140"/>
      <c r="K37" s="140"/>
      <c r="L37" s="140"/>
      <c r="M37" s="140"/>
      <c r="N37" s="172"/>
      <c r="O37" s="172"/>
      <c r="P37" s="172"/>
      <c r="Q37" s="172"/>
    </row>
    <row r="38" spans="1:17" s="45" customFormat="1" ht="49.5" x14ac:dyDescent="0.35">
      <c r="A38" s="24" t="str">
        <f>_xlfn.XLOOKUP(B38,'Paso 3 Redacción RA '!I$3:I$15,'Paso 3 Redacción RA '!C$3:C$15,,0,1)</f>
        <v>Saberhacer</v>
      </c>
      <c r="B38" s="16" t="s">
        <v>99</v>
      </c>
      <c r="C38" s="140"/>
      <c r="D38" s="140"/>
      <c r="E38" s="172"/>
      <c r="F38" s="140"/>
      <c r="G38" s="140"/>
      <c r="H38" s="140"/>
      <c r="I38" s="140"/>
      <c r="J38" s="140"/>
      <c r="K38" s="140"/>
      <c r="L38" s="140"/>
      <c r="M38" s="140"/>
      <c r="N38" s="172"/>
      <c r="O38" s="172"/>
      <c r="P38" s="172"/>
      <c r="Q38" s="172"/>
    </row>
    <row r="39" spans="1:17" s="45" customFormat="1" ht="50" thickBot="1" x14ac:dyDescent="0.4">
      <c r="A39" s="87" t="str">
        <f>_xlfn.XLOOKUP(B39,'Paso 3 Redacción RA '!I$3:I$15,'Paso 3 Redacción RA '!C$3:C$15,,0,1)</f>
        <v>Saberser</v>
      </c>
      <c r="B39" s="27" t="s">
        <v>97</v>
      </c>
      <c r="C39" s="170"/>
      <c r="D39" s="170"/>
      <c r="E39" s="173"/>
      <c r="F39" s="170"/>
      <c r="G39" s="170"/>
      <c r="H39" s="170"/>
      <c r="I39" s="170"/>
      <c r="J39" s="170"/>
      <c r="K39" s="170"/>
      <c r="L39" s="170"/>
      <c r="M39" s="170"/>
      <c r="N39" s="173"/>
      <c r="O39" s="173"/>
      <c r="P39" s="173"/>
      <c r="Q39" s="173"/>
    </row>
    <row r="40" spans="1:17" s="45" customFormat="1" ht="49.5" x14ac:dyDescent="0.35">
      <c r="A40" s="24" t="str">
        <f>_xlfn.XLOOKUP(B40,'Paso 3 Redacción RA '!I$3:I$15,'Paso 3 Redacción RA '!C$3:C$15,,0,1)</f>
        <v>Saber</v>
      </c>
      <c r="B40" s="16" t="s">
        <v>89</v>
      </c>
      <c r="C40" s="152">
        <v>3</v>
      </c>
      <c r="D40" s="152" t="s">
        <v>263</v>
      </c>
      <c r="E40" s="171" t="s">
        <v>264</v>
      </c>
      <c r="F40" s="152" t="s">
        <v>206</v>
      </c>
      <c r="G40" s="152"/>
      <c r="H40" s="152" t="s">
        <v>207</v>
      </c>
      <c r="I40" s="152"/>
      <c r="J40" s="152">
        <v>3</v>
      </c>
      <c r="K40" s="152">
        <f>J40*12</f>
        <v>36</v>
      </c>
      <c r="L40" s="152">
        <f>36*J40</f>
        <v>108</v>
      </c>
      <c r="M40" s="152">
        <f>SUM(K40:L40)</f>
        <v>144</v>
      </c>
      <c r="N40" s="171" t="s">
        <v>265</v>
      </c>
      <c r="O40" s="171" t="s">
        <v>221</v>
      </c>
      <c r="P40" s="171" t="s">
        <v>236</v>
      </c>
      <c r="Q40" s="171" t="s">
        <v>216</v>
      </c>
    </row>
    <row r="41" spans="1:17" s="45" customFormat="1" ht="66" x14ac:dyDescent="0.35">
      <c r="A41" s="24" t="str">
        <f>_xlfn.XLOOKUP(B41,'Paso 3 Redacción RA '!I$3:I$15,'Paso 3 Redacción RA '!C$3:C$15,,0,1)</f>
        <v>Saberhacer</v>
      </c>
      <c r="B41" s="16" t="s">
        <v>93</v>
      </c>
      <c r="C41" s="140"/>
      <c r="D41" s="140"/>
      <c r="E41" s="172"/>
      <c r="F41" s="140"/>
      <c r="G41" s="140"/>
      <c r="H41" s="140"/>
      <c r="I41" s="140"/>
      <c r="J41" s="140"/>
      <c r="K41" s="140"/>
      <c r="L41" s="140"/>
      <c r="M41" s="140"/>
      <c r="N41" s="172"/>
      <c r="O41" s="172"/>
      <c r="P41" s="172"/>
      <c r="Q41" s="172"/>
    </row>
    <row r="42" spans="1:17" s="45" customFormat="1" ht="50" thickBot="1" x14ac:dyDescent="0.4">
      <c r="A42" s="87" t="str">
        <f>_xlfn.XLOOKUP(B42,'Paso 3 Redacción RA '!I$3:I$15,'Paso 3 Redacción RA '!C$3:C$15,,0,1)</f>
        <v>Saberhacer</v>
      </c>
      <c r="B42" s="27" t="s">
        <v>99</v>
      </c>
      <c r="C42" s="170"/>
      <c r="D42" s="170"/>
      <c r="E42" s="173"/>
      <c r="F42" s="170"/>
      <c r="G42" s="170"/>
      <c r="H42" s="170"/>
      <c r="I42" s="170"/>
      <c r="J42" s="170"/>
      <c r="K42" s="170"/>
      <c r="L42" s="170"/>
      <c r="M42" s="170"/>
      <c r="N42" s="173"/>
      <c r="O42" s="173"/>
      <c r="P42" s="173"/>
      <c r="Q42" s="173"/>
    </row>
    <row r="43" spans="1:17" s="45" customFormat="1" ht="49.5" x14ac:dyDescent="0.35">
      <c r="A43" s="24" t="str">
        <f>_xlfn.XLOOKUP(B43,'Paso 3 Redacción RA '!I$3:I$15,'Paso 3 Redacción RA '!C$3:C$15,,0,1)</f>
        <v>Saber</v>
      </c>
      <c r="B43" s="16" t="s">
        <v>89</v>
      </c>
      <c r="C43" s="152">
        <v>3</v>
      </c>
      <c r="D43" s="152" t="s">
        <v>266</v>
      </c>
      <c r="E43" s="171" t="s">
        <v>267</v>
      </c>
      <c r="F43" s="152" t="s">
        <v>206</v>
      </c>
      <c r="G43" s="152"/>
      <c r="H43" s="152" t="s">
        <v>207</v>
      </c>
      <c r="I43" s="152"/>
      <c r="J43" s="152">
        <v>3</v>
      </c>
      <c r="K43" s="152">
        <f>J43*12</f>
        <v>36</v>
      </c>
      <c r="L43" s="152">
        <f>36*J43</f>
        <v>108</v>
      </c>
      <c r="M43" s="152">
        <f>SUM(K43:L43)</f>
        <v>144</v>
      </c>
      <c r="N43" s="171" t="s">
        <v>268</v>
      </c>
      <c r="O43" s="171" t="s">
        <v>221</v>
      </c>
      <c r="P43" s="171" t="s">
        <v>226</v>
      </c>
      <c r="Q43" s="171" t="s">
        <v>216</v>
      </c>
    </row>
    <row r="44" spans="1:17" s="45" customFormat="1" ht="66" x14ac:dyDescent="0.35">
      <c r="A44" s="24" t="str">
        <f>_xlfn.XLOOKUP(B44,'Paso 3 Redacción RA '!I$3:I$15,'Paso 3 Redacción RA '!C$3:C$15,,0,1)</f>
        <v>Saberhacer</v>
      </c>
      <c r="B44" s="16" t="s">
        <v>93</v>
      </c>
      <c r="C44" s="140"/>
      <c r="D44" s="140"/>
      <c r="E44" s="172"/>
      <c r="F44" s="140"/>
      <c r="G44" s="140"/>
      <c r="H44" s="140"/>
      <c r="I44" s="140"/>
      <c r="J44" s="140"/>
      <c r="K44" s="140"/>
      <c r="L44" s="140"/>
      <c r="M44" s="140"/>
      <c r="N44" s="172"/>
      <c r="O44" s="172"/>
      <c r="P44" s="172"/>
      <c r="Q44" s="172"/>
    </row>
    <row r="45" spans="1:17" s="45" customFormat="1" ht="50" thickBot="1" x14ac:dyDescent="0.4">
      <c r="A45" s="87" t="str">
        <f>_xlfn.XLOOKUP(B45,'Paso 3 Redacción RA '!I$3:I$15,'Paso 3 Redacción RA '!C$3:C$15,,0,1)</f>
        <v>Saberser</v>
      </c>
      <c r="B45" s="27" t="s">
        <v>97</v>
      </c>
      <c r="C45" s="170"/>
      <c r="D45" s="170"/>
      <c r="E45" s="173"/>
      <c r="F45" s="170"/>
      <c r="G45" s="170"/>
      <c r="H45" s="170"/>
      <c r="I45" s="170"/>
      <c r="J45" s="170"/>
      <c r="K45" s="170"/>
      <c r="L45" s="170"/>
      <c r="M45" s="170"/>
      <c r="N45" s="173"/>
      <c r="O45" s="173"/>
      <c r="P45" s="173"/>
      <c r="Q45" s="173"/>
    </row>
    <row r="46" spans="1:17" s="45" customFormat="1" ht="264.5" thickBot="1" x14ac:dyDescent="0.4">
      <c r="A46" s="94" t="str">
        <f>_xlfn.XLOOKUP(B46,'Paso 3 Redacción RA '!I$3:I$15,'Paso 3 Redacción RA '!C$3:C$15,,0,1)</f>
        <v>Saber</v>
      </c>
      <c r="B46" s="86" t="s">
        <v>106</v>
      </c>
      <c r="C46" s="71">
        <v>4</v>
      </c>
      <c r="D46" s="67" t="s">
        <v>269</v>
      </c>
      <c r="E46" s="66" t="s">
        <v>270</v>
      </c>
      <c r="F46" s="67" t="s">
        <v>206</v>
      </c>
      <c r="G46" s="72" t="s">
        <v>207</v>
      </c>
      <c r="H46" s="72"/>
      <c r="I46" s="72"/>
      <c r="J46" s="68">
        <v>3</v>
      </c>
      <c r="K46" s="67">
        <f>12*J46</f>
        <v>36</v>
      </c>
      <c r="L46" s="67">
        <f>36*J46</f>
        <v>108</v>
      </c>
      <c r="M46" s="67">
        <f>SUM(K46:L46)</f>
        <v>144</v>
      </c>
      <c r="N46" s="73" t="s">
        <v>271</v>
      </c>
      <c r="O46" s="90" t="s">
        <v>209</v>
      </c>
      <c r="P46" s="90" t="s">
        <v>272</v>
      </c>
      <c r="Q46" s="74" t="s">
        <v>216</v>
      </c>
    </row>
    <row r="47" spans="1:17" s="45" customFormat="1" ht="49.5" x14ac:dyDescent="0.35">
      <c r="A47" s="24" t="str">
        <f>_xlfn.XLOOKUP(B47,'Paso 3 Redacción RA '!I$3:I$15,'Paso 3 Redacción RA '!C$3:C$15,,0,1)</f>
        <v>Saber</v>
      </c>
      <c r="B47" s="16" t="s">
        <v>89</v>
      </c>
      <c r="C47" s="152">
        <v>4</v>
      </c>
      <c r="D47" s="152" t="s">
        <v>273</v>
      </c>
      <c r="E47" s="171" t="s">
        <v>274</v>
      </c>
      <c r="F47" s="152" t="s">
        <v>206</v>
      </c>
      <c r="G47" s="152"/>
      <c r="H47" s="152" t="s">
        <v>207</v>
      </c>
      <c r="I47" s="152"/>
      <c r="J47" s="152">
        <v>4</v>
      </c>
      <c r="K47" s="152">
        <f>J47*12</f>
        <v>48</v>
      </c>
      <c r="L47" s="152">
        <f>36*J47</f>
        <v>144</v>
      </c>
      <c r="M47" s="152">
        <f>SUM(K47:L47)</f>
        <v>192</v>
      </c>
      <c r="N47" s="171" t="s">
        <v>275</v>
      </c>
      <c r="O47" s="171" t="s">
        <v>221</v>
      </c>
      <c r="P47" s="171" t="s">
        <v>226</v>
      </c>
      <c r="Q47" s="171" t="s">
        <v>216</v>
      </c>
    </row>
    <row r="48" spans="1:17" s="45" customFormat="1" ht="66" x14ac:dyDescent="0.35">
      <c r="A48" s="24" t="str">
        <f>_xlfn.XLOOKUP(B48,'Paso 3 Redacción RA '!I$3:I$15,'Paso 3 Redacción RA '!C$3:C$15,,0,1)</f>
        <v>Saberhacer</v>
      </c>
      <c r="B48" s="16" t="s">
        <v>93</v>
      </c>
      <c r="C48" s="140"/>
      <c r="D48" s="140"/>
      <c r="E48" s="172"/>
      <c r="F48" s="140"/>
      <c r="G48" s="140"/>
      <c r="H48" s="140"/>
      <c r="I48" s="140"/>
      <c r="J48" s="140"/>
      <c r="K48" s="140"/>
      <c r="L48" s="140"/>
      <c r="M48" s="140"/>
      <c r="N48" s="172"/>
      <c r="O48" s="172"/>
      <c r="P48" s="172"/>
      <c r="Q48" s="172"/>
    </row>
    <row r="49" spans="1:17" s="45" customFormat="1" ht="50" thickBot="1" x14ac:dyDescent="0.4">
      <c r="A49" s="87" t="str">
        <f>_xlfn.XLOOKUP(B49,'Paso 3 Redacción RA '!I$3:I$15,'Paso 3 Redacción RA '!C$3:C$15,,0,1)</f>
        <v>Saberhacer</v>
      </c>
      <c r="B49" s="27" t="s">
        <v>99</v>
      </c>
      <c r="C49" s="170"/>
      <c r="D49" s="170"/>
      <c r="E49" s="173"/>
      <c r="F49" s="170"/>
      <c r="G49" s="170"/>
      <c r="H49" s="170"/>
      <c r="I49" s="170"/>
      <c r="J49" s="170"/>
      <c r="K49" s="170"/>
      <c r="L49" s="170"/>
      <c r="M49" s="170"/>
      <c r="N49" s="173"/>
      <c r="O49" s="173"/>
      <c r="P49" s="173"/>
      <c r="Q49" s="173"/>
    </row>
    <row r="50" spans="1:17" s="45" customFormat="1" ht="49.5" x14ac:dyDescent="0.35">
      <c r="A50" s="24" t="str">
        <f>_xlfn.XLOOKUP(B50,'Paso 3 Redacción RA '!I$3:I$15,'Paso 3 Redacción RA '!C$3:C$15,,0,1)</f>
        <v>Saber</v>
      </c>
      <c r="B50" s="16" t="s">
        <v>89</v>
      </c>
      <c r="C50" s="152">
        <v>4</v>
      </c>
      <c r="D50" s="152" t="s">
        <v>276</v>
      </c>
      <c r="E50" s="174" t="s">
        <v>277</v>
      </c>
      <c r="F50" s="152" t="s">
        <v>206</v>
      </c>
      <c r="G50" s="152"/>
      <c r="H50" s="152" t="s">
        <v>207</v>
      </c>
      <c r="I50" s="152"/>
      <c r="J50" s="152">
        <v>4</v>
      </c>
      <c r="K50" s="152">
        <f>J50*12</f>
        <v>48</v>
      </c>
      <c r="L50" s="152">
        <f>36*J50</f>
        <v>144</v>
      </c>
      <c r="M50" s="152">
        <f>SUM(K50:L50)</f>
        <v>192</v>
      </c>
      <c r="N50" s="171" t="s">
        <v>278</v>
      </c>
      <c r="O50" s="171" t="s">
        <v>221</v>
      </c>
      <c r="P50" s="171" t="s">
        <v>226</v>
      </c>
      <c r="Q50" s="171" t="s">
        <v>216</v>
      </c>
    </row>
    <row r="51" spans="1:17" s="45" customFormat="1" ht="66" x14ac:dyDescent="0.35">
      <c r="A51" s="24" t="str">
        <f>_xlfn.XLOOKUP(B51,'Paso 3 Redacción RA '!I$3:I$15,'Paso 3 Redacción RA '!C$3:C$15,,0,1)</f>
        <v>Saberhacer</v>
      </c>
      <c r="B51" s="16" t="s">
        <v>93</v>
      </c>
      <c r="C51" s="140"/>
      <c r="D51" s="140"/>
      <c r="E51" s="162"/>
      <c r="F51" s="140"/>
      <c r="G51" s="140"/>
      <c r="H51" s="140"/>
      <c r="I51" s="140"/>
      <c r="J51" s="140"/>
      <c r="K51" s="140"/>
      <c r="L51" s="140"/>
      <c r="M51" s="140"/>
      <c r="N51" s="172"/>
      <c r="O51" s="172"/>
      <c r="P51" s="172"/>
      <c r="Q51" s="172"/>
    </row>
    <row r="52" spans="1:17" s="45" customFormat="1" ht="49.5" x14ac:dyDescent="0.35">
      <c r="A52" s="24" t="str">
        <f>_xlfn.XLOOKUP(B52,'Paso 3 Redacción RA '!I$3:I$15,'Paso 3 Redacción RA '!C$3:C$15,,0,1)</f>
        <v>Saberhacer</v>
      </c>
      <c r="B52" s="16" t="s">
        <v>99</v>
      </c>
      <c r="C52" s="140"/>
      <c r="D52" s="140"/>
      <c r="E52" s="162"/>
      <c r="F52" s="140"/>
      <c r="G52" s="140"/>
      <c r="H52" s="140"/>
      <c r="I52" s="140"/>
      <c r="J52" s="140"/>
      <c r="K52" s="140"/>
      <c r="L52" s="140"/>
      <c r="M52" s="140"/>
      <c r="N52" s="172"/>
      <c r="O52" s="172"/>
      <c r="P52" s="172"/>
      <c r="Q52" s="172"/>
    </row>
    <row r="53" spans="1:17" s="45" customFormat="1" ht="50" thickBot="1" x14ac:dyDescent="0.4">
      <c r="A53" s="87" t="str">
        <f>_xlfn.XLOOKUP(B53,'Paso 3 Redacción RA '!I$3:I$15,'Paso 3 Redacción RA '!C$3:C$15,,0,1)</f>
        <v>Saberser</v>
      </c>
      <c r="B53" s="27" t="s">
        <v>97</v>
      </c>
      <c r="C53" s="170"/>
      <c r="D53" s="170"/>
      <c r="E53" s="163"/>
      <c r="F53" s="170"/>
      <c r="G53" s="170"/>
      <c r="H53" s="170"/>
      <c r="I53" s="170"/>
      <c r="J53" s="170"/>
      <c r="K53" s="170"/>
      <c r="L53" s="170"/>
      <c r="M53" s="170"/>
      <c r="N53" s="173"/>
      <c r="O53" s="173"/>
      <c r="P53" s="173"/>
      <c r="Q53" s="173"/>
    </row>
    <row r="54" spans="1:17" s="45" customFormat="1" ht="49.5" x14ac:dyDescent="0.35">
      <c r="A54" s="24" t="str">
        <f>_xlfn.XLOOKUP(B54,'Paso 3 Redacción RA '!I$3:I$15,'Paso 3 Redacción RA '!C$3:C$15,,0,1)</f>
        <v>Saber</v>
      </c>
      <c r="B54" s="129" t="s">
        <v>89</v>
      </c>
      <c r="C54" s="152">
        <v>4</v>
      </c>
      <c r="D54" s="152" t="s">
        <v>279</v>
      </c>
      <c r="E54" s="171" t="s">
        <v>280</v>
      </c>
      <c r="F54" s="152" t="s">
        <v>206</v>
      </c>
      <c r="G54" s="152"/>
      <c r="H54" s="152" t="s">
        <v>207</v>
      </c>
      <c r="I54" s="152"/>
      <c r="J54" s="152">
        <v>3</v>
      </c>
      <c r="K54" s="152">
        <f>J54*12</f>
        <v>36</v>
      </c>
      <c r="L54" s="152">
        <f>36*J54</f>
        <v>108</v>
      </c>
      <c r="M54" s="152">
        <f>SUM(K54:L54)</f>
        <v>144</v>
      </c>
      <c r="N54" s="171" t="s">
        <v>281</v>
      </c>
      <c r="O54" s="171" t="s">
        <v>221</v>
      </c>
      <c r="P54" s="171" t="s">
        <v>226</v>
      </c>
      <c r="Q54" s="171" t="s">
        <v>216</v>
      </c>
    </row>
    <row r="55" spans="1:17" s="45" customFormat="1" ht="49.5" x14ac:dyDescent="0.35">
      <c r="A55" s="24" t="str">
        <f>_xlfn.XLOOKUP(B55,'Paso 3 Redacción RA '!I$3:I$15,'Paso 3 Redacción RA '!C$3:C$15,,0,1)</f>
        <v>Saber</v>
      </c>
      <c r="B55" s="129" t="s">
        <v>101</v>
      </c>
      <c r="C55" s="140"/>
      <c r="D55" s="140"/>
      <c r="E55" s="172"/>
      <c r="F55" s="140"/>
      <c r="G55" s="140"/>
      <c r="H55" s="140"/>
      <c r="I55" s="140"/>
      <c r="J55" s="140"/>
      <c r="K55" s="140"/>
      <c r="L55" s="140"/>
      <c r="M55" s="140"/>
      <c r="N55" s="172"/>
      <c r="O55" s="172"/>
      <c r="P55" s="172"/>
      <c r="Q55" s="172"/>
    </row>
    <row r="56" spans="1:17" s="45" customFormat="1" ht="50" thickBot="1" x14ac:dyDescent="0.4">
      <c r="A56" s="87" t="str">
        <f>_xlfn.XLOOKUP(B56,'Paso 3 Redacción RA '!I$3:I$15,'Paso 3 Redacción RA '!C$3:C$15,,0,1)</f>
        <v>Saberhacer</v>
      </c>
      <c r="B56" s="131" t="s">
        <v>99</v>
      </c>
      <c r="C56" s="170"/>
      <c r="D56" s="170"/>
      <c r="E56" s="173"/>
      <c r="F56" s="170"/>
      <c r="G56" s="170"/>
      <c r="H56" s="170"/>
      <c r="I56" s="170"/>
      <c r="J56" s="170"/>
      <c r="K56" s="170"/>
      <c r="L56" s="170"/>
      <c r="M56" s="170"/>
      <c r="N56" s="173"/>
      <c r="O56" s="173"/>
      <c r="P56" s="173"/>
      <c r="Q56" s="173"/>
    </row>
    <row r="57" spans="1:17" s="45" customFormat="1" ht="49.5" x14ac:dyDescent="0.35">
      <c r="A57" s="24" t="str">
        <f>_xlfn.XLOOKUP(B57,'Paso 3 Redacción RA '!I$3:I$15,'Paso 3 Redacción RA '!C$3:C$15,,0,1)</f>
        <v>Saber</v>
      </c>
      <c r="B57" s="129" t="s">
        <v>89</v>
      </c>
      <c r="C57" s="152">
        <v>4</v>
      </c>
      <c r="D57" s="152" t="s">
        <v>282</v>
      </c>
      <c r="E57" s="171" t="s">
        <v>283</v>
      </c>
      <c r="F57" s="152" t="s">
        <v>206</v>
      </c>
      <c r="G57" s="152"/>
      <c r="H57" s="152" t="s">
        <v>207</v>
      </c>
      <c r="I57" s="152"/>
      <c r="J57" s="152">
        <v>3</v>
      </c>
      <c r="K57" s="152">
        <f>J57*12</f>
        <v>36</v>
      </c>
      <c r="L57" s="152">
        <f>36*J57</f>
        <v>108</v>
      </c>
      <c r="M57" s="152">
        <f>SUM(K57:L57)</f>
        <v>144</v>
      </c>
      <c r="N57" s="171" t="s">
        <v>284</v>
      </c>
      <c r="O57" s="171" t="s">
        <v>221</v>
      </c>
      <c r="P57" s="171" t="s">
        <v>226</v>
      </c>
      <c r="Q57" s="171" t="s">
        <v>216</v>
      </c>
    </row>
    <row r="58" spans="1:17" s="45" customFormat="1" ht="66" x14ac:dyDescent="0.35">
      <c r="A58" s="24" t="str">
        <f>_xlfn.XLOOKUP(B58,'Paso 3 Redacción RA '!I$3:I$15,'Paso 3 Redacción RA '!C$3:C$15,,0,1)</f>
        <v>Saberhacer</v>
      </c>
      <c r="B58" s="129" t="s">
        <v>93</v>
      </c>
      <c r="C58" s="140"/>
      <c r="D58" s="140"/>
      <c r="E58" s="172"/>
      <c r="F58" s="140"/>
      <c r="G58" s="140"/>
      <c r="H58" s="140"/>
      <c r="I58" s="140"/>
      <c r="J58" s="140"/>
      <c r="K58" s="140"/>
      <c r="L58" s="140"/>
      <c r="M58" s="140"/>
      <c r="N58" s="172"/>
      <c r="O58" s="172"/>
      <c r="P58" s="172"/>
      <c r="Q58" s="172"/>
    </row>
    <row r="59" spans="1:17" s="45" customFormat="1" ht="50" thickBot="1" x14ac:dyDescent="0.4">
      <c r="A59" s="87" t="str">
        <f>_xlfn.XLOOKUP(B59,'Paso 3 Redacción RA '!I$3:I$15,'Paso 3 Redacción RA '!C$3:C$15,,0,1)</f>
        <v>Saberhacer</v>
      </c>
      <c r="B59" s="131" t="s">
        <v>99</v>
      </c>
      <c r="C59" s="170"/>
      <c r="D59" s="170"/>
      <c r="E59" s="173"/>
      <c r="F59" s="170"/>
      <c r="G59" s="170"/>
      <c r="H59" s="170"/>
      <c r="I59" s="170"/>
      <c r="J59" s="170"/>
      <c r="K59" s="170"/>
      <c r="L59" s="170"/>
      <c r="M59" s="170"/>
      <c r="N59" s="173"/>
      <c r="O59" s="173"/>
      <c r="P59" s="173"/>
      <c r="Q59" s="173"/>
    </row>
    <row r="60" spans="1:17" s="45" customFormat="1" ht="49.5" x14ac:dyDescent="0.35">
      <c r="A60" s="24" t="str">
        <f>_xlfn.XLOOKUP(B60,'Paso 3 Redacción RA '!I$3:I$15,'Paso 3 Redacción RA '!C$3:C$15,,0,1)</f>
        <v>Saber</v>
      </c>
      <c r="B60" s="16" t="s">
        <v>89</v>
      </c>
      <c r="C60" s="152">
        <v>5</v>
      </c>
      <c r="D60" s="152" t="s">
        <v>285</v>
      </c>
      <c r="E60" s="171" t="s">
        <v>286</v>
      </c>
      <c r="F60" s="152" t="s">
        <v>206</v>
      </c>
      <c r="G60" s="152"/>
      <c r="H60" s="152" t="s">
        <v>207</v>
      </c>
      <c r="I60" s="152"/>
      <c r="J60" s="152">
        <v>3</v>
      </c>
      <c r="K60" s="152">
        <f>J60*12</f>
        <v>36</v>
      </c>
      <c r="L60" s="152">
        <f>36*J60</f>
        <v>108</v>
      </c>
      <c r="M60" s="152">
        <f>SUM(K60:L60)</f>
        <v>144</v>
      </c>
      <c r="N60" s="171" t="s">
        <v>287</v>
      </c>
      <c r="O60" s="171" t="s">
        <v>221</v>
      </c>
      <c r="P60" s="171" t="s">
        <v>226</v>
      </c>
      <c r="Q60" s="171" t="s">
        <v>216</v>
      </c>
    </row>
    <row r="61" spans="1:17" s="45" customFormat="1" ht="66" x14ac:dyDescent="0.35">
      <c r="A61" s="24" t="str">
        <f>_xlfn.XLOOKUP(B61,'Paso 3 Redacción RA '!I$3:I$15,'Paso 3 Redacción RA '!C$3:C$15,,0,1)</f>
        <v>Saberhacer</v>
      </c>
      <c r="B61" s="16" t="s">
        <v>93</v>
      </c>
      <c r="C61" s="140"/>
      <c r="D61" s="140"/>
      <c r="E61" s="172"/>
      <c r="F61" s="140"/>
      <c r="G61" s="140"/>
      <c r="H61" s="140"/>
      <c r="I61" s="140"/>
      <c r="J61" s="140"/>
      <c r="K61" s="140"/>
      <c r="L61" s="140"/>
      <c r="M61" s="140"/>
      <c r="N61" s="172"/>
      <c r="O61" s="172"/>
      <c r="P61" s="172"/>
      <c r="Q61" s="172"/>
    </row>
    <row r="62" spans="1:17" s="45" customFormat="1" ht="50" thickBot="1" x14ac:dyDescent="0.4">
      <c r="A62" s="87" t="str">
        <f>_xlfn.XLOOKUP(B62,'Paso 3 Redacción RA '!I$3:I$15,'Paso 3 Redacción RA '!C$3:C$15,,0,1)</f>
        <v>Saberhacer</v>
      </c>
      <c r="B62" s="27" t="s">
        <v>99</v>
      </c>
      <c r="C62" s="170"/>
      <c r="D62" s="170"/>
      <c r="E62" s="173"/>
      <c r="F62" s="170"/>
      <c r="G62" s="170"/>
      <c r="H62" s="170"/>
      <c r="I62" s="170"/>
      <c r="J62" s="170"/>
      <c r="K62" s="170"/>
      <c r="L62" s="170"/>
      <c r="M62" s="170"/>
      <c r="N62" s="173"/>
      <c r="O62" s="173"/>
      <c r="P62" s="173"/>
      <c r="Q62" s="173"/>
    </row>
    <row r="63" spans="1:17" s="45" customFormat="1" ht="49.5" x14ac:dyDescent="0.35">
      <c r="A63" s="24" t="str">
        <f>_xlfn.XLOOKUP(B63,'Paso 3 Redacción RA '!I$3:I$15,'Paso 3 Redacción RA '!C$3:C$15,,0,1)</f>
        <v>Saber</v>
      </c>
      <c r="B63" s="16" t="s">
        <v>89</v>
      </c>
      <c r="C63" s="152">
        <v>5</v>
      </c>
      <c r="D63" s="152" t="s">
        <v>288</v>
      </c>
      <c r="E63" s="171" t="s">
        <v>289</v>
      </c>
      <c r="F63" s="152" t="s">
        <v>206</v>
      </c>
      <c r="G63" s="152"/>
      <c r="H63" s="152" t="s">
        <v>207</v>
      </c>
      <c r="I63" s="152"/>
      <c r="J63" s="152">
        <v>4</v>
      </c>
      <c r="K63" s="152">
        <f>J63*12</f>
        <v>48</v>
      </c>
      <c r="L63" s="152">
        <f>36*J63</f>
        <v>144</v>
      </c>
      <c r="M63" s="152">
        <f>SUM(K63:L63)</f>
        <v>192</v>
      </c>
      <c r="N63" s="171" t="s">
        <v>290</v>
      </c>
      <c r="O63" s="171" t="s">
        <v>221</v>
      </c>
      <c r="P63" s="171" t="s">
        <v>226</v>
      </c>
      <c r="Q63" s="171" t="s">
        <v>216</v>
      </c>
    </row>
    <row r="64" spans="1:17" s="45" customFormat="1" ht="66" x14ac:dyDescent="0.35">
      <c r="A64" s="24" t="str">
        <f>_xlfn.XLOOKUP(B64,'Paso 3 Redacción RA '!I$3:I$15,'Paso 3 Redacción RA '!C$3:C$15,,0,1)</f>
        <v>Saberhacer</v>
      </c>
      <c r="B64" s="16" t="s">
        <v>93</v>
      </c>
      <c r="C64" s="140"/>
      <c r="D64" s="140"/>
      <c r="E64" s="172"/>
      <c r="F64" s="140"/>
      <c r="G64" s="140"/>
      <c r="H64" s="140"/>
      <c r="I64" s="140"/>
      <c r="J64" s="140"/>
      <c r="K64" s="140"/>
      <c r="L64" s="140"/>
      <c r="M64" s="140"/>
      <c r="N64" s="172"/>
      <c r="O64" s="172"/>
      <c r="P64" s="172"/>
      <c r="Q64" s="172"/>
    </row>
    <row r="65" spans="1:17" s="45" customFormat="1" ht="49.5" x14ac:dyDescent="0.35">
      <c r="A65" s="24" t="str">
        <f>_xlfn.XLOOKUP(B65,'Paso 3 Redacción RA '!I$3:I$15,'Paso 3 Redacción RA '!C$3:C$15,,0,1)</f>
        <v>Saberhacer</v>
      </c>
      <c r="B65" s="16" t="s">
        <v>99</v>
      </c>
      <c r="C65" s="140"/>
      <c r="D65" s="140"/>
      <c r="E65" s="172"/>
      <c r="F65" s="140"/>
      <c r="G65" s="140"/>
      <c r="H65" s="140"/>
      <c r="I65" s="140"/>
      <c r="J65" s="140"/>
      <c r="K65" s="140"/>
      <c r="L65" s="140"/>
      <c r="M65" s="140"/>
      <c r="N65" s="172"/>
      <c r="O65" s="172"/>
      <c r="P65" s="172"/>
      <c r="Q65" s="172"/>
    </row>
    <row r="66" spans="1:17" s="45" customFormat="1" ht="50" thickBot="1" x14ac:dyDescent="0.4">
      <c r="A66" s="87" t="str">
        <f>_xlfn.XLOOKUP(B66,'Paso 3 Redacción RA '!I$3:I$15,'Paso 3 Redacción RA '!C$3:C$15,,0,1)</f>
        <v>Saberser</v>
      </c>
      <c r="B66" s="27" t="s">
        <v>97</v>
      </c>
      <c r="C66" s="170"/>
      <c r="D66" s="170"/>
      <c r="E66" s="173"/>
      <c r="F66" s="170"/>
      <c r="G66" s="170"/>
      <c r="H66" s="170"/>
      <c r="I66" s="170"/>
      <c r="J66" s="170"/>
      <c r="K66" s="170"/>
      <c r="L66" s="170"/>
      <c r="M66" s="170"/>
      <c r="N66" s="173"/>
      <c r="O66" s="173"/>
      <c r="P66" s="173"/>
      <c r="Q66" s="173"/>
    </row>
    <row r="67" spans="1:17" s="45" customFormat="1" ht="49.5" x14ac:dyDescent="0.35">
      <c r="A67" s="24" t="str">
        <f>_xlfn.XLOOKUP(B67,'Paso 3 Redacción RA '!I$3:I$15,'Paso 3 Redacción RA '!C$3:C$15,,0,1)</f>
        <v>Saber</v>
      </c>
      <c r="B67" s="16" t="s">
        <v>89</v>
      </c>
      <c r="C67" s="152">
        <v>5</v>
      </c>
      <c r="D67" s="152" t="s">
        <v>291</v>
      </c>
      <c r="E67" s="171" t="s">
        <v>292</v>
      </c>
      <c r="F67" s="152" t="s">
        <v>206</v>
      </c>
      <c r="G67" s="152"/>
      <c r="H67" s="152" t="s">
        <v>207</v>
      </c>
      <c r="I67" s="152"/>
      <c r="J67" s="152">
        <v>3</v>
      </c>
      <c r="K67" s="152">
        <f>J67*12</f>
        <v>36</v>
      </c>
      <c r="L67" s="152">
        <f>36*J67</f>
        <v>108</v>
      </c>
      <c r="M67" s="152">
        <f>SUM(K67:L67)</f>
        <v>144</v>
      </c>
      <c r="N67" s="171" t="s">
        <v>293</v>
      </c>
      <c r="O67" s="171" t="s">
        <v>221</v>
      </c>
      <c r="P67" s="171" t="s">
        <v>226</v>
      </c>
      <c r="Q67" s="171" t="s">
        <v>216</v>
      </c>
    </row>
    <row r="68" spans="1:17" s="45" customFormat="1" ht="66" x14ac:dyDescent="0.35">
      <c r="A68" s="24" t="str">
        <f>_xlfn.XLOOKUP(B68,'Paso 3 Redacción RA '!I$3:I$15,'Paso 3 Redacción RA '!C$3:C$15,,0,1)</f>
        <v>Saberhacer</v>
      </c>
      <c r="B68" s="16" t="s">
        <v>93</v>
      </c>
      <c r="C68" s="140"/>
      <c r="D68" s="140"/>
      <c r="E68" s="172"/>
      <c r="F68" s="140"/>
      <c r="G68" s="140"/>
      <c r="H68" s="140"/>
      <c r="I68" s="140"/>
      <c r="J68" s="140"/>
      <c r="K68" s="140"/>
      <c r="L68" s="140"/>
      <c r="M68" s="140"/>
      <c r="N68" s="172"/>
      <c r="O68" s="172"/>
      <c r="P68" s="172"/>
      <c r="Q68" s="172"/>
    </row>
    <row r="69" spans="1:17" s="45" customFormat="1" ht="50" thickBot="1" x14ac:dyDescent="0.4">
      <c r="A69" s="87" t="str">
        <f>_xlfn.XLOOKUP(B69,'Paso 3 Redacción RA '!I$3:I$15,'Paso 3 Redacción RA '!C$3:C$15,,0,1)</f>
        <v>Saberser</v>
      </c>
      <c r="B69" s="27" t="s">
        <v>97</v>
      </c>
      <c r="C69" s="170"/>
      <c r="D69" s="170"/>
      <c r="E69" s="175"/>
      <c r="F69" s="170"/>
      <c r="G69" s="170"/>
      <c r="H69" s="170"/>
      <c r="I69" s="170"/>
      <c r="J69" s="170"/>
      <c r="K69" s="170"/>
      <c r="L69" s="170"/>
      <c r="M69" s="170"/>
      <c r="N69" s="173"/>
      <c r="O69" s="173"/>
      <c r="P69" s="173"/>
      <c r="Q69" s="173"/>
    </row>
    <row r="70" spans="1:17" s="45" customFormat="1" ht="49.5" x14ac:dyDescent="0.35">
      <c r="A70" s="24" t="str">
        <f>_xlfn.XLOOKUP(B70,'Paso 3 Redacción RA '!I$3:I$15,'Paso 3 Redacción RA '!C$3:C$15,,0,1)</f>
        <v>Saber</v>
      </c>
      <c r="B70" s="16" t="s">
        <v>89</v>
      </c>
      <c r="C70" s="152">
        <v>5</v>
      </c>
      <c r="D70" s="152" t="s">
        <v>294</v>
      </c>
      <c r="E70" s="172" t="s">
        <v>295</v>
      </c>
      <c r="F70" s="152" t="s">
        <v>206</v>
      </c>
      <c r="G70" s="152"/>
      <c r="H70" s="152" t="s">
        <v>207</v>
      </c>
      <c r="I70" s="152"/>
      <c r="J70" s="152">
        <v>3</v>
      </c>
      <c r="K70" s="152">
        <f>J70*12</f>
        <v>36</v>
      </c>
      <c r="L70" s="152">
        <f>36*J70</f>
        <v>108</v>
      </c>
      <c r="M70" s="152">
        <f>SUM(K70:L70)</f>
        <v>144</v>
      </c>
      <c r="N70" s="171" t="s">
        <v>296</v>
      </c>
      <c r="O70" s="171" t="s">
        <v>221</v>
      </c>
      <c r="P70" s="171" t="s">
        <v>226</v>
      </c>
      <c r="Q70" s="171" t="s">
        <v>216</v>
      </c>
    </row>
    <row r="71" spans="1:17" s="45" customFormat="1" ht="49.5" x14ac:dyDescent="0.35">
      <c r="A71" s="24" t="str">
        <f>_xlfn.XLOOKUP(B71,'Paso 3 Redacción RA '!I$3:I$15,'Paso 3 Redacción RA '!C$3:C$15,,0,1)</f>
        <v>Saber</v>
      </c>
      <c r="B71" s="16" t="s">
        <v>101</v>
      </c>
      <c r="C71" s="140"/>
      <c r="D71" s="140"/>
      <c r="E71" s="172"/>
      <c r="F71" s="140"/>
      <c r="G71" s="140"/>
      <c r="H71" s="140"/>
      <c r="I71" s="140"/>
      <c r="J71" s="140"/>
      <c r="K71" s="140"/>
      <c r="L71" s="140"/>
      <c r="M71" s="140"/>
      <c r="N71" s="172"/>
      <c r="O71" s="172"/>
      <c r="P71" s="172"/>
      <c r="Q71" s="172"/>
    </row>
    <row r="72" spans="1:17" s="45" customFormat="1" ht="66" x14ac:dyDescent="0.35">
      <c r="A72" s="24" t="str">
        <f>_xlfn.XLOOKUP(B72,'Paso 3 Redacción RA '!I$3:I$15,'Paso 3 Redacción RA '!C$3:C$15,,0,1)</f>
        <v>Saberhacer</v>
      </c>
      <c r="B72" s="16" t="s">
        <v>93</v>
      </c>
      <c r="C72" s="140"/>
      <c r="D72" s="140"/>
      <c r="E72" s="172"/>
      <c r="F72" s="140"/>
      <c r="G72" s="140"/>
      <c r="H72" s="140"/>
      <c r="I72" s="140"/>
      <c r="J72" s="140"/>
      <c r="K72" s="140"/>
      <c r="L72" s="140"/>
      <c r="M72" s="140"/>
      <c r="N72" s="172"/>
      <c r="O72" s="172"/>
      <c r="P72" s="172"/>
      <c r="Q72" s="172"/>
    </row>
    <row r="73" spans="1:17" s="45" customFormat="1" ht="50" thickBot="1" x14ac:dyDescent="0.4">
      <c r="A73" s="87" t="str">
        <f>_xlfn.XLOOKUP(B73,'Paso 3 Redacción RA '!I$3:I$15,'Paso 3 Redacción RA '!C$3:C$15,,0,1)</f>
        <v>Saberhacer</v>
      </c>
      <c r="B73" s="27" t="s">
        <v>99</v>
      </c>
      <c r="C73" s="170"/>
      <c r="D73" s="170"/>
      <c r="E73" s="175"/>
      <c r="F73" s="176"/>
      <c r="G73" s="176"/>
      <c r="H73" s="176"/>
      <c r="I73" s="176"/>
      <c r="J73" s="176"/>
      <c r="K73" s="170"/>
      <c r="L73" s="170"/>
      <c r="M73" s="176"/>
      <c r="N73" s="175"/>
      <c r="O73" s="173"/>
      <c r="P73" s="173"/>
      <c r="Q73" s="173"/>
    </row>
    <row r="74" spans="1:17" s="45" customFormat="1" ht="49.5" x14ac:dyDescent="0.35">
      <c r="A74" s="24" t="str">
        <f>_xlfn.XLOOKUP(B74,'Paso 3 Redacción RA '!I$3:I$15,'Paso 3 Redacción RA '!C$3:C$15,,0,1)</f>
        <v>Saber</v>
      </c>
      <c r="B74" s="16" t="s">
        <v>89</v>
      </c>
      <c r="C74" s="152">
        <v>5</v>
      </c>
      <c r="D74" s="152" t="s">
        <v>297</v>
      </c>
      <c r="E74" s="172" t="s">
        <v>298</v>
      </c>
      <c r="F74" s="140" t="s">
        <v>206</v>
      </c>
      <c r="G74" s="140"/>
      <c r="H74" s="140" t="s">
        <v>207</v>
      </c>
      <c r="I74" s="140"/>
      <c r="J74" s="140">
        <v>4</v>
      </c>
      <c r="K74" s="152">
        <f>J74*12</f>
        <v>48</v>
      </c>
      <c r="L74" s="152">
        <f>36*J74</f>
        <v>144</v>
      </c>
      <c r="M74" s="140">
        <f>SUM(K74:L74)</f>
        <v>192</v>
      </c>
      <c r="N74" s="172" t="s">
        <v>299</v>
      </c>
      <c r="O74" s="171" t="s">
        <v>221</v>
      </c>
      <c r="P74" s="171" t="s">
        <v>226</v>
      </c>
      <c r="Q74" s="171" t="s">
        <v>216</v>
      </c>
    </row>
    <row r="75" spans="1:17" s="45" customFormat="1" ht="49.5" x14ac:dyDescent="0.35">
      <c r="A75" s="24" t="str">
        <f>_xlfn.XLOOKUP(B75,'Paso 3 Redacción RA '!I$3:I$15,'Paso 3 Redacción RA '!C$3:C$15,,0,1)</f>
        <v>Saber</v>
      </c>
      <c r="B75" s="16" t="s">
        <v>101</v>
      </c>
      <c r="C75" s="140"/>
      <c r="D75" s="140"/>
      <c r="E75" s="172"/>
      <c r="F75" s="140"/>
      <c r="G75" s="140"/>
      <c r="H75" s="140"/>
      <c r="I75" s="140"/>
      <c r="J75" s="140"/>
      <c r="K75" s="140"/>
      <c r="L75" s="140"/>
      <c r="M75" s="140"/>
      <c r="N75" s="172"/>
      <c r="O75" s="172"/>
      <c r="P75" s="172"/>
      <c r="Q75" s="172"/>
    </row>
    <row r="76" spans="1:17" s="45" customFormat="1" ht="66" x14ac:dyDescent="0.35">
      <c r="A76" s="24" t="str">
        <f>_xlfn.XLOOKUP(B76,'Paso 3 Redacción RA '!I$3:I$15,'Paso 3 Redacción RA '!C$3:C$15,,0,1)</f>
        <v>Saberhacer</v>
      </c>
      <c r="B76" s="16" t="s">
        <v>93</v>
      </c>
      <c r="C76" s="140"/>
      <c r="D76" s="140"/>
      <c r="E76" s="172"/>
      <c r="F76" s="140"/>
      <c r="G76" s="140"/>
      <c r="H76" s="140"/>
      <c r="I76" s="140"/>
      <c r="J76" s="140"/>
      <c r="K76" s="140"/>
      <c r="L76" s="140"/>
      <c r="M76" s="140"/>
      <c r="N76" s="172"/>
      <c r="O76" s="172"/>
      <c r="P76" s="172"/>
      <c r="Q76" s="172"/>
    </row>
    <row r="77" spans="1:17" s="45" customFormat="1" ht="50" thickBot="1" x14ac:dyDescent="0.4">
      <c r="A77" s="87" t="str">
        <f>_xlfn.XLOOKUP(B77,'Paso 3 Redacción RA '!I$3:I$15,'Paso 3 Redacción RA '!C$3:C$15,,0,1)</f>
        <v>Saberhacer</v>
      </c>
      <c r="B77" s="27" t="s">
        <v>99</v>
      </c>
      <c r="C77" s="170"/>
      <c r="D77" s="170"/>
      <c r="E77" s="173"/>
      <c r="F77" s="170"/>
      <c r="G77" s="170"/>
      <c r="H77" s="170"/>
      <c r="I77" s="170"/>
      <c r="J77" s="170"/>
      <c r="K77" s="170"/>
      <c r="L77" s="170"/>
      <c r="M77" s="170"/>
      <c r="N77" s="173"/>
      <c r="O77" s="173"/>
      <c r="P77" s="173"/>
      <c r="Q77" s="173"/>
    </row>
    <row r="78" spans="1:17" s="45" customFormat="1" ht="49.5" x14ac:dyDescent="0.35">
      <c r="A78" s="24" t="str">
        <f>_xlfn.XLOOKUP(B78,'Paso 3 Redacción RA '!I$3:I$15,'Paso 3 Redacción RA '!C$3:C$15,,0,1)</f>
        <v>Saber</v>
      </c>
      <c r="B78" s="16" t="s">
        <v>89</v>
      </c>
      <c r="C78" s="152">
        <v>6</v>
      </c>
      <c r="D78" s="152" t="s">
        <v>300</v>
      </c>
      <c r="E78" s="171" t="s">
        <v>301</v>
      </c>
      <c r="F78" s="152" t="s">
        <v>206</v>
      </c>
      <c r="G78" s="152"/>
      <c r="H78" s="152" t="s">
        <v>207</v>
      </c>
      <c r="I78" s="152"/>
      <c r="J78" s="152">
        <v>3</v>
      </c>
      <c r="K78" s="152">
        <f>J78*12</f>
        <v>36</v>
      </c>
      <c r="L78" s="152">
        <f>36*J78</f>
        <v>108</v>
      </c>
      <c r="M78" s="152">
        <f>SUM(K78:L78)</f>
        <v>144</v>
      </c>
      <c r="N78" s="171" t="s">
        <v>302</v>
      </c>
      <c r="O78" s="171" t="s">
        <v>221</v>
      </c>
      <c r="P78" s="171" t="s">
        <v>226</v>
      </c>
      <c r="Q78" s="171" t="s">
        <v>216</v>
      </c>
    </row>
    <row r="79" spans="1:17" s="45" customFormat="1" ht="66" x14ac:dyDescent="0.35">
      <c r="A79" s="24" t="str">
        <f>_xlfn.XLOOKUP(B79,'Paso 3 Redacción RA '!I$3:I$15,'Paso 3 Redacción RA '!C$3:C$15,,0,1)</f>
        <v>Saberhacer</v>
      </c>
      <c r="B79" s="16" t="s">
        <v>93</v>
      </c>
      <c r="C79" s="140"/>
      <c r="D79" s="140"/>
      <c r="E79" s="172"/>
      <c r="F79" s="140"/>
      <c r="G79" s="140"/>
      <c r="H79" s="140"/>
      <c r="I79" s="140"/>
      <c r="J79" s="140"/>
      <c r="K79" s="140"/>
      <c r="L79" s="140"/>
      <c r="M79" s="140"/>
      <c r="N79" s="172"/>
      <c r="O79" s="172"/>
      <c r="P79" s="172"/>
      <c r="Q79" s="172"/>
    </row>
    <row r="80" spans="1:17" s="45" customFormat="1" ht="50" thickBot="1" x14ac:dyDescent="0.4">
      <c r="A80" s="87" t="str">
        <f>_xlfn.XLOOKUP(B80,'Paso 3 Redacción RA '!I$3:I$15,'Paso 3 Redacción RA '!C$3:C$15,,0,1)</f>
        <v>Saberhacer</v>
      </c>
      <c r="B80" s="27" t="s">
        <v>99</v>
      </c>
      <c r="C80" s="170"/>
      <c r="D80" s="170"/>
      <c r="E80" s="173"/>
      <c r="F80" s="170"/>
      <c r="G80" s="170"/>
      <c r="H80" s="170"/>
      <c r="I80" s="170"/>
      <c r="J80" s="170"/>
      <c r="K80" s="170"/>
      <c r="L80" s="170"/>
      <c r="M80" s="170"/>
      <c r="N80" s="173"/>
      <c r="O80" s="173"/>
      <c r="P80" s="173"/>
      <c r="Q80" s="173"/>
    </row>
    <row r="81" spans="1:17" s="45" customFormat="1" ht="49.5" x14ac:dyDescent="0.35">
      <c r="A81" s="24" t="str">
        <f>_xlfn.XLOOKUP(B81,'Paso 3 Redacción RA '!I$3:I$15,'Paso 3 Redacción RA '!C$3:C$15,,0,1)</f>
        <v>Saber</v>
      </c>
      <c r="B81" s="16" t="s">
        <v>89</v>
      </c>
      <c r="C81" s="152">
        <v>6</v>
      </c>
      <c r="D81" s="152" t="s">
        <v>303</v>
      </c>
      <c r="E81" s="171" t="s">
        <v>304</v>
      </c>
      <c r="F81" s="152" t="s">
        <v>206</v>
      </c>
      <c r="G81" s="152"/>
      <c r="H81" s="152" t="s">
        <v>207</v>
      </c>
      <c r="I81" s="152"/>
      <c r="J81" s="152">
        <v>4</v>
      </c>
      <c r="K81" s="152">
        <f>J81*12</f>
        <v>48</v>
      </c>
      <c r="L81" s="152">
        <f>36*J81</f>
        <v>144</v>
      </c>
      <c r="M81" s="152">
        <f>SUM(K81:L81)</f>
        <v>192</v>
      </c>
      <c r="N81" s="171" t="s">
        <v>305</v>
      </c>
      <c r="O81" s="171" t="s">
        <v>221</v>
      </c>
      <c r="P81" s="171" t="s">
        <v>226</v>
      </c>
      <c r="Q81" s="171" t="s">
        <v>216</v>
      </c>
    </row>
    <row r="82" spans="1:17" s="45" customFormat="1" ht="66" x14ac:dyDescent="0.35">
      <c r="A82" s="24" t="str">
        <f>_xlfn.XLOOKUP(B82,'Paso 3 Redacción RA '!I$3:I$15,'Paso 3 Redacción RA '!C$3:C$15,,0,1)</f>
        <v>Saberhacer</v>
      </c>
      <c r="B82" s="16" t="s">
        <v>93</v>
      </c>
      <c r="C82" s="140"/>
      <c r="D82" s="140"/>
      <c r="E82" s="172"/>
      <c r="F82" s="140"/>
      <c r="G82" s="140"/>
      <c r="H82" s="140"/>
      <c r="I82" s="140"/>
      <c r="J82" s="140"/>
      <c r="K82" s="140"/>
      <c r="L82" s="140"/>
      <c r="M82" s="140"/>
      <c r="N82" s="172"/>
      <c r="O82" s="172"/>
      <c r="P82" s="172"/>
      <c r="Q82" s="172"/>
    </row>
    <row r="83" spans="1:17" s="45" customFormat="1" ht="49.5" x14ac:dyDescent="0.35">
      <c r="A83" s="24" t="str">
        <f>_xlfn.XLOOKUP(B83,'Paso 3 Redacción RA '!I$3:I$15,'Paso 3 Redacción RA '!C$3:C$15,,0,1)</f>
        <v>Saberhacer</v>
      </c>
      <c r="B83" s="16" t="s">
        <v>99</v>
      </c>
      <c r="C83" s="140"/>
      <c r="D83" s="140"/>
      <c r="E83" s="172"/>
      <c r="F83" s="140"/>
      <c r="G83" s="140"/>
      <c r="H83" s="140"/>
      <c r="I83" s="140"/>
      <c r="J83" s="140"/>
      <c r="K83" s="140"/>
      <c r="L83" s="140"/>
      <c r="M83" s="140"/>
      <c r="N83" s="172"/>
      <c r="O83" s="172"/>
      <c r="P83" s="172"/>
      <c r="Q83" s="172"/>
    </row>
    <row r="84" spans="1:17" s="45" customFormat="1" ht="50" thickBot="1" x14ac:dyDescent="0.4">
      <c r="A84" s="87" t="str">
        <f>_xlfn.XLOOKUP(B84,'Paso 3 Redacción RA '!I$3:I$15,'Paso 3 Redacción RA '!C$3:C$15,,0,1)</f>
        <v>Saberser</v>
      </c>
      <c r="B84" s="27" t="s">
        <v>97</v>
      </c>
      <c r="C84" s="170"/>
      <c r="D84" s="170"/>
      <c r="E84" s="173"/>
      <c r="F84" s="170"/>
      <c r="G84" s="170"/>
      <c r="H84" s="170"/>
      <c r="I84" s="170"/>
      <c r="J84" s="170"/>
      <c r="K84" s="170"/>
      <c r="L84" s="170"/>
      <c r="M84" s="170"/>
      <c r="N84" s="173"/>
      <c r="O84" s="173"/>
      <c r="P84" s="173"/>
      <c r="Q84" s="173"/>
    </row>
    <row r="85" spans="1:17" s="45" customFormat="1" ht="49.5" x14ac:dyDescent="0.35">
      <c r="A85" s="24" t="str">
        <f>_xlfn.XLOOKUP(B85,'Paso 3 Redacción RA '!I$3:I$15,'Paso 3 Redacción RA '!C$3:C$15,,0,1)</f>
        <v>Saber</v>
      </c>
      <c r="B85" s="16" t="s">
        <v>89</v>
      </c>
      <c r="C85" s="152">
        <v>6</v>
      </c>
      <c r="D85" s="152" t="s">
        <v>306</v>
      </c>
      <c r="E85" s="171" t="s">
        <v>307</v>
      </c>
      <c r="F85" s="152" t="s">
        <v>206</v>
      </c>
      <c r="G85" s="152"/>
      <c r="H85" s="152" t="s">
        <v>207</v>
      </c>
      <c r="I85" s="152"/>
      <c r="J85" s="152">
        <v>4</v>
      </c>
      <c r="K85" s="152">
        <f>J85*12</f>
        <v>48</v>
      </c>
      <c r="L85" s="152">
        <f>36*J85</f>
        <v>144</v>
      </c>
      <c r="M85" s="152">
        <f>SUM(K85:L85)</f>
        <v>192</v>
      </c>
      <c r="N85" s="171" t="s">
        <v>308</v>
      </c>
      <c r="O85" s="171" t="s">
        <v>221</v>
      </c>
      <c r="P85" s="171" t="s">
        <v>226</v>
      </c>
      <c r="Q85" s="171" t="s">
        <v>216</v>
      </c>
    </row>
    <row r="86" spans="1:17" s="45" customFormat="1" ht="66" x14ac:dyDescent="0.35">
      <c r="A86" s="24" t="str">
        <f>_xlfn.XLOOKUP(B86,'Paso 3 Redacción RA '!I$3:I$15,'Paso 3 Redacción RA '!C$3:C$15,,0,1)</f>
        <v>Saberhacer</v>
      </c>
      <c r="B86" s="16" t="s">
        <v>93</v>
      </c>
      <c r="C86" s="140"/>
      <c r="D86" s="140"/>
      <c r="E86" s="172"/>
      <c r="F86" s="140"/>
      <c r="G86" s="140"/>
      <c r="H86" s="140"/>
      <c r="I86" s="140"/>
      <c r="J86" s="140"/>
      <c r="K86" s="140"/>
      <c r="L86" s="140"/>
      <c r="M86" s="140"/>
      <c r="N86" s="172"/>
      <c r="O86" s="172"/>
      <c r="P86" s="172"/>
      <c r="Q86" s="172"/>
    </row>
    <row r="87" spans="1:17" s="45" customFormat="1" ht="49.5" x14ac:dyDescent="0.35">
      <c r="A87" s="24" t="str">
        <f>_xlfn.XLOOKUP(B87,'Paso 3 Redacción RA '!I$3:I$15,'Paso 3 Redacción RA '!C$3:C$15,,0,1)</f>
        <v>Saberhacer</v>
      </c>
      <c r="B87" s="16" t="s">
        <v>99</v>
      </c>
      <c r="C87" s="140"/>
      <c r="D87" s="140"/>
      <c r="E87" s="172"/>
      <c r="F87" s="140"/>
      <c r="G87" s="140"/>
      <c r="H87" s="140"/>
      <c r="I87" s="140"/>
      <c r="J87" s="140"/>
      <c r="K87" s="140"/>
      <c r="L87" s="140"/>
      <c r="M87" s="140"/>
      <c r="N87" s="172"/>
      <c r="O87" s="172"/>
      <c r="P87" s="172"/>
      <c r="Q87" s="172"/>
    </row>
    <row r="88" spans="1:17" s="45" customFormat="1" ht="50" thickBot="1" x14ac:dyDescent="0.4">
      <c r="A88" s="87" t="str">
        <f>_xlfn.XLOOKUP(B88,'Paso 3 Redacción RA '!I$3:I$15,'Paso 3 Redacción RA '!C$3:C$15,,0,1)</f>
        <v>Saberser</v>
      </c>
      <c r="B88" s="27" t="s">
        <v>97</v>
      </c>
      <c r="C88" s="170"/>
      <c r="D88" s="170"/>
      <c r="E88" s="173"/>
      <c r="F88" s="170"/>
      <c r="G88" s="170"/>
      <c r="H88" s="170"/>
      <c r="I88" s="170"/>
      <c r="J88" s="170"/>
      <c r="K88" s="170"/>
      <c r="L88" s="170"/>
      <c r="M88" s="170"/>
      <c r="N88" s="173"/>
      <c r="O88" s="173"/>
      <c r="P88" s="173"/>
      <c r="Q88" s="173"/>
    </row>
    <row r="89" spans="1:17" s="45" customFormat="1" ht="49.5" x14ac:dyDescent="0.35">
      <c r="A89" s="24" t="str">
        <f>_xlfn.XLOOKUP(B89,'Paso 3 Redacción RA '!I$3:I$15,'Paso 3 Redacción RA '!C$3:C$15,,0,1)</f>
        <v>Saber</v>
      </c>
      <c r="B89" s="16" t="s">
        <v>89</v>
      </c>
      <c r="C89" s="152">
        <v>6</v>
      </c>
      <c r="D89" s="152" t="s">
        <v>309</v>
      </c>
      <c r="E89" s="171" t="s">
        <v>310</v>
      </c>
      <c r="F89" s="152" t="s">
        <v>206</v>
      </c>
      <c r="G89" s="152"/>
      <c r="H89" s="152" t="s">
        <v>207</v>
      </c>
      <c r="I89" s="152"/>
      <c r="J89" s="152">
        <v>3</v>
      </c>
      <c r="K89" s="152">
        <f>J89*12</f>
        <v>36</v>
      </c>
      <c r="L89" s="152">
        <f>36*J89</f>
        <v>108</v>
      </c>
      <c r="M89" s="152">
        <f>SUM(K89:L89)</f>
        <v>144</v>
      </c>
      <c r="N89" s="171" t="s">
        <v>311</v>
      </c>
      <c r="O89" s="171" t="s">
        <v>221</v>
      </c>
      <c r="P89" s="171" t="s">
        <v>226</v>
      </c>
      <c r="Q89" s="171" t="s">
        <v>216</v>
      </c>
    </row>
    <row r="90" spans="1:17" s="45" customFormat="1" ht="66" x14ac:dyDescent="0.35">
      <c r="A90" s="24" t="str">
        <f>_xlfn.XLOOKUP(B90,'Paso 3 Redacción RA '!I$3:I$15,'Paso 3 Redacción RA '!C$3:C$15,,0,1)</f>
        <v>Saberhacer</v>
      </c>
      <c r="B90" s="16" t="s">
        <v>93</v>
      </c>
      <c r="C90" s="140"/>
      <c r="D90" s="140"/>
      <c r="E90" s="172"/>
      <c r="F90" s="140"/>
      <c r="G90" s="140"/>
      <c r="H90" s="140"/>
      <c r="I90" s="140"/>
      <c r="J90" s="140"/>
      <c r="K90" s="140"/>
      <c r="L90" s="140"/>
      <c r="M90" s="140"/>
      <c r="N90" s="172"/>
      <c r="O90" s="172"/>
      <c r="P90" s="172"/>
      <c r="Q90" s="172"/>
    </row>
    <row r="91" spans="1:17" s="45" customFormat="1" ht="50" thickBot="1" x14ac:dyDescent="0.4">
      <c r="A91" s="87" t="str">
        <f>_xlfn.XLOOKUP(B91,'Paso 3 Redacción RA '!I$3:I$15,'Paso 3 Redacción RA '!C$3:C$15,,0,1)</f>
        <v>Saberhacer</v>
      </c>
      <c r="B91" s="27" t="s">
        <v>99</v>
      </c>
      <c r="C91" s="170"/>
      <c r="D91" s="170"/>
      <c r="E91" s="173"/>
      <c r="F91" s="170"/>
      <c r="G91" s="170"/>
      <c r="H91" s="170"/>
      <c r="I91" s="170"/>
      <c r="J91" s="170"/>
      <c r="K91" s="170"/>
      <c r="L91" s="170"/>
      <c r="M91" s="170"/>
      <c r="N91" s="173"/>
      <c r="O91" s="173"/>
      <c r="P91" s="173"/>
      <c r="Q91" s="173"/>
    </row>
    <row r="92" spans="1:17" s="45" customFormat="1" ht="49.5" x14ac:dyDescent="0.35">
      <c r="A92" s="24" t="str">
        <f>_xlfn.XLOOKUP(B92,'Paso 3 Redacción RA '!I$3:I$15,'Paso 3 Redacción RA '!C$3:C$15,,0,1)</f>
        <v>Saber</v>
      </c>
      <c r="B92" s="16" t="s">
        <v>89</v>
      </c>
      <c r="C92" s="152">
        <v>6</v>
      </c>
      <c r="D92" s="152" t="s">
        <v>312</v>
      </c>
      <c r="E92" s="171" t="s">
        <v>313</v>
      </c>
      <c r="F92" s="152" t="s">
        <v>206</v>
      </c>
      <c r="G92" s="152"/>
      <c r="H92" s="152" t="s">
        <v>207</v>
      </c>
      <c r="I92" s="152"/>
      <c r="J92" s="152">
        <v>3</v>
      </c>
      <c r="K92" s="152">
        <f>J92*12</f>
        <v>36</v>
      </c>
      <c r="L92" s="152">
        <f>36*J92</f>
        <v>108</v>
      </c>
      <c r="M92" s="152">
        <f>SUM(K92:L92)</f>
        <v>144</v>
      </c>
      <c r="N92" s="171" t="s">
        <v>314</v>
      </c>
      <c r="O92" s="171" t="s">
        <v>221</v>
      </c>
      <c r="P92" s="171" t="s">
        <v>226</v>
      </c>
      <c r="Q92" s="171" t="s">
        <v>216</v>
      </c>
    </row>
    <row r="93" spans="1:17" s="45" customFormat="1" ht="66" x14ac:dyDescent="0.35">
      <c r="A93" s="24" t="str">
        <f>_xlfn.XLOOKUP(B93,'Paso 3 Redacción RA '!I$3:I$15,'Paso 3 Redacción RA '!C$3:C$15,,0,1)</f>
        <v>Saberhacer</v>
      </c>
      <c r="B93" s="16" t="s">
        <v>93</v>
      </c>
      <c r="C93" s="140"/>
      <c r="D93" s="140"/>
      <c r="E93" s="172"/>
      <c r="F93" s="140"/>
      <c r="G93" s="140"/>
      <c r="H93" s="140"/>
      <c r="I93" s="140"/>
      <c r="J93" s="140"/>
      <c r="K93" s="140"/>
      <c r="L93" s="140"/>
      <c r="M93" s="140"/>
      <c r="N93" s="172"/>
      <c r="O93" s="172"/>
      <c r="P93" s="172"/>
      <c r="Q93" s="172"/>
    </row>
    <row r="94" spans="1:17" s="45" customFormat="1" ht="50" thickBot="1" x14ac:dyDescent="0.4">
      <c r="A94" s="87" t="str">
        <f>_xlfn.XLOOKUP(B94,'Paso 3 Redacción RA '!I$3:I$15,'Paso 3 Redacción RA '!C$3:C$15,,0,1)</f>
        <v>Saberser</v>
      </c>
      <c r="B94" s="27" t="s">
        <v>97</v>
      </c>
      <c r="C94" s="170"/>
      <c r="D94" s="170"/>
      <c r="E94" s="173"/>
      <c r="F94" s="170"/>
      <c r="G94" s="170"/>
      <c r="H94" s="170"/>
      <c r="I94" s="170"/>
      <c r="J94" s="170"/>
      <c r="K94" s="170"/>
      <c r="L94" s="170"/>
      <c r="M94" s="170"/>
      <c r="N94" s="173"/>
      <c r="O94" s="173"/>
      <c r="P94" s="173"/>
      <c r="Q94" s="173"/>
    </row>
    <row r="95" spans="1:17" s="45" customFormat="1" ht="49.5" x14ac:dyDescent="0.35">
      <c r="A95" s="24" t="str">
        <f>_xlfn.XLOOKUP(B95,'Paso 3 Redacción RA '!I$3:I$15,'Paso 3 Redacción RA '!C$3:C$15,,0,1)</f>
        <v>Saber</v>
      </c>
      <c r="B95" s="16" t="s">
        <v>89</v>
      </c>
      <c r="C95" s="152">
        <v>7</v>
      </c>
      <c r="D95" s="152" t="s">
        <v>315</v>
      </c>
      <c r="E95" s="171" t="s">
        <v>316</v>
      </c>
      <c r="F95" s="152" t="s">
        <v>206</v>
      </c>
      <c r="G95" s="152"/>
      <c r="H95" s="152" t="s">
        <v>207</v>
      </c>
      <c r="I95" s="152"/>
      <c r="J95" s="152">
        <v>3</v>
      </c>
      <c r="K95" s="152">
        <f>J95*12</f>
        <v>36</v>
      </c>
      <c r="L95" s="152">
        <f>36*J95</f>
        <v>108</v>
      </c>
      <c r="M95" s="152">
        <f>SUM(K95:L95)</f>
        <v>144</v>
      </c>
      <c r="N95" s="171" t="s">
        <v>317</v>
      </c>
      <c r="O95" s="171" t="s">
        <v>221</v>
      </c>
      <c r="P95" s="171" t="s">
        <v>226</v>
      </c>
      <c r="Q95" s="171" t="s">
        <v>216</v>
      </c>
    </row>
    <row r="96" spans="1:17" s="45" customFormat="1" ht="66" x14ac:dyDescent="0.35">
      <c r="A96" s="24" t="str">
        <f>_xlfn.XLOOKUP(B96,'Paso 3 Redacción RA '!I$3:I$15,'Paso 3 Redacción RA '!C$3:C$15,,0,1)</f>
        <v>Saberhacer</v>
      </c>
      <c r="B96" s="16" t="s">
        <v>93</v>
      </c>
      <c r="C96" s="140"/>
      <c r="D96" s="140"/>
      <c r="E96" s="172"/>
      <c r="F96" s="140"/>
      <c r="G96" s="140"/>
      <c r="H96" s="140"/>
      <c r="I96" s="140"/>
      <c r="J96" s="140"/>
      <c r="K96" s="140"/>
      <c r="L96" s="140"/>
      <c r="M96" s="140"/>
      <c r="N96" s="172"/>
      <c r="O96" s="172"/>
      <c r="P96" s="172"/>
      <c r="Q96" s="172"/>
    </row>
    <row r="97" spans="1:17" s="45" customFormat="1" ht="49.5" x14ac:dyDescent="0.35">
      <c r="A97" s="24" t="str">
        <f>_xlfn.XLOOKUP(B97,'Paso 3 Redacción RA '!I$3:I$15,'Paso 3 Redacción RA '!C$3:C$15,,0,1)</f>
        <v>Saberhacer</v>
      </c>
      <c r="B97" s="16" t="s">
        <v>99</v>
      </c>
      <c r="C97" s="140"/>
      <c r="D97" s="140"/>
      <c r="E97" s="172"/>
      <c r="F97" s="140"/>
      <c r="G97" s="140"/>
      <c r="H97" s="140"/>
      <c r="I97" s="140"/>
      <c r="J97" s="140"/>
      <c r="K97" s="140"/>
      <c r="L97" s="140"/>
      <c r="M97" s="140"/>
      <c r="N97" s="172"/>
      <c r="O97" s="172"/>
      <c r="P97" s="172"/>
      <c r="Q97" s="172"/>
    </row>
    <row r="98" spans="1:17" s="45" customFormat="1" ht="50" thickBot="1" x14ac:dyDescent="0.4">
      <c r="A98" s="87" t="str">
        <f>_xlfn.XLOOKUP(B98,'Paso 3 Redacción RA '!I$3:I$15,'Paso 3 Redacción RA '!C$3:C$15,,0,1)</f>
        <v>Saberser</v>
      </c>
      <c r="B98" s="27" t="s">
        <v>97</v>
      </c>
      <c r="C98" s="170"/>
      <c r="D98" s="170"/>
      <c r="E98" s="173"/>
      <c r="F98" s="170"/>
      <c r="G98" s="170"/>
      <c r="H98" s="170"/>
      <c r="I98" s="170"/>
      <c r="J98" s="170"/>
      <c r="K98" s="170"/>
      <c r="L98" s="170"/>
      <c r="M98" s="170"/>
      <c r="N98" s="173"/>
      <c r="O98" s="173"/>
      <c r="P98" s="173"/>
      <c r="Q98" s="173"/>
    </row>
    <row r="99" spans="1:17" s="45" customFormat="1" ht="49.5" x14ac:dyDescent="0.35">
      <c r="A99" s="24" t="str">
        <f>_xlfn.XLOOKUP(B99,'Paso 3 Redacción RA '!I$3:I$15,'Paso 3 Redacción RA '!C$3:C$15,,0,1)</f>
        <v>Saber</v>
      </c>
      <c r="B99" s="16" t="s">
        <v>89</v>
      </c>
      <c r="C99" s="152">
        <v>7</v>
      </c>
      <c r="D99" s="152" t="s">
        <v>318</v>
      </c>
      <c r="E99" s="174" t="s">
        <v>319</v>
      </c>
      <c r="F99" s="152" t="s">
        <v>206</v>
      </c>
      <c r="G99" s="152"/>
      <c r="H99" s="152" t="s">
        <v>207</v>
      </c>
      <c r="I99" s="152"/>
      <c r="J99" s="152">
        <v>4</v>
      </c>
      <c r="K99" s="152">
        <f>J99*12</f>
        <v>48</v>
      </c>
      <c r="L99" s="152">
        <f>36*J99</f>
        <v>144</v>
      </c>
      <c r="M99" s="152">
        <f>SUM(K99:L99)</f>
        <v>192</v>
      </c>
      <c r="N99" s="171" t="s">
        <v>320</v>
      </c>
      <c r="O99" s="171" t="s">
        <v>221</v>
      </c>
      <c r="P99" s="171" t="s">
        <v>226</v>
      </c>
      <c r="Q99" s="171" t="s">
        <v>216</v>
      </c>
    </row>
    <row r="100" spans="1:17" s="45" customFormat="1" ht="66" x14ac:dyDescent="0.35">
      <c r="A100" s="24" t="str">
        <f>_xlfn.XLOOKUP(B100,'Paso 3 Redacción RA '!I$3:I$15,'Paso 3 Redacción RA '!C$3:C$15,,0,1)</f>
        <v>Saberhacer</v>
      </c>
      <c r="B100" s="16" t="s">
        <v>93</v>
      </c>
      <c r="C100" s="140"/>
      <c r="D100" s="140"/>
      <c r="E100" s="162"/>
      <c r="F100" s="140"/>
      <c r="G100" s="140"/>
      <c r="H100" s="140"/>
      <c r="I100" s="140"/>
      <c r="J100" s="140"/>
      <c r="K100" s="140"/>
      <c r="L100" s="140"/>
      <c r="M100" s="140"/>
      <c r="N100" s="172"/>
      <c r="O100" s="172"/>
      <c r="P100" s="172"/>
      <c r="Q100" s="172"/>
    </row>
    <row r="101" spans="1:17" s="45" customFormat="1" ht="49.5" x14ac:dyDescent="0.35">
      <c r="A101" s="24" t="str">
        <f>_xlfn.XLOOKUP(B101,'Paso 3 Redacción RA '!I$3:I$15,'Paso 3 Redacción RA '!C$3:C$15,,0,1)</f>
        <v>Saberhacer</v>
      </c>
      <c r="B101" s="16" t="s">
        <v>99</v>
      </c>
      <c r="C101" s="140"/>
      <c r="D101" s="140"/>
      <c r="E101" s="162"/>
      <c r="F101" s="140"/>
      <c r="G101" s="140"/>
      <c r="H101" s="140"/>
      <c r="I101" s="140"/>
      <c r="J101" s="140"/>
      <c r="K101" s="140"/>
      <c r="L101" s="140"/>
      <c r="M101" s="140"/>
      <c r="N101" s="172"/>
      <c r="O101" s="172"/>
      <c r="P101" s="172"/>
      <c r="Q101" s="172"/>
    </row>
    <row r="102" spans="1:17" s="45" customFormat="1" ht="50" thickBot="1" x14ac:dyDescent="0.4">
      <c r="A102" s="87" t="str">
        <f>_xlfn.XLOOKUP(B102,'Paso 3 Redacción RA '!I$3:I$15,'Paso 3 Redacción RA '!C$3:C$15,,0,1)</f>
        <v>Saberser</v>
      </c>
      <c r="B102" s="27" t="s">
        <v>97</v>
      </c>
      <c r="C102" s="170"/>
      <c r="D102" s="170"/>
      <c r="E102" s="163"/>
      <c r="F102" s="170"/>
      <c r="G102" s="170"/>
      <c r="H102" s="170"/>
      <c r="I102" s="170"/>
      <c r="J102" s="170"/>
      <c r="K102" s="170"/>
      <c r="L102" s="170"/>
      <c r="M102" s="170"/>
      <c r="N102" s="173"/>
      <c r="O102" s="173"/>
      <c r="P102" s="173"/>
      <c r="Q102" s="173"/>
    </row>
    <row r="103" spans="1:17" s="45" customFormat="1" ht="49.5" x14ac:dyDescent="0.35">
      <c r="A103" s="24" t="str">
        <f>_xlfn.XLOOKUP(B103,'Paso 3 Redacción RA '!I$3:I$15,'Paso 3 Redacción RA '!C$3:C$15,,0,1)</f>
        <v>Saber</v>
      </c>
      <c r="B103" s="16" t="s">
        <v>89</v>
      </c>
      <c r="C103" s="152">
        <v>7</v>
      </c>
      <c r="D103" s="152" t="s">
        <v>321</v>
      </c>
      <c r="E103" s="171" t="s">
        <v>322</v>
      </c>
      <c r="F103" s="152" t="s">
        <v>206</v>
      </c>
      <c r="G103" s="152"/>
      <c r="H103" s="152" t="s">
        <v>207</v>
      </c>
      <c r="I103" s="152"/>
      <c r="J103" s="152">
        <v>3</v>
      </c>
      <c r="K103" s="152">
        <f>J103*12</f>
        <v>36</v>
      </c>
      <c r="L103" s="152">
        <f>36*J103</f>
        <v>108</v>
      </c>
      <c r="M103" s="152">
        <f>SUM(K103:L103)</f>
        <v>144</v>
      </c>
      <c r="N103" s="171" t="s">
        <v>323</v>
      </c>
      <c r="O103" s="171" t="s">
        <v>221</v>
      </c>
      <c r="P103" s="171" t="s">
        <v>226</v>
      </c>
      <c r="Q103" s="171" t="s">
        <v>216</v>
      </c>
    </row>
    <row r="104" spans="1:17" s="45" customFormat="1" ht="66" x14ac:dyDescent="0.35">
      <c r="A104" s="24" t="str">
        <f>_xlfn.XLOOKUP(B104,'Paso 3 Redacción RA '!I$3:I$15,'Paso 3 Redacción RA '!C$3:C$15,,0,1)</f>
        <v>Saberhacer</v>
      </c>
      <c r="B104" s="16" t="s">
        <v>93</v>
      </c>
      <c r="C104" s="140"/>
      <c r="D104" s="140"/>
      <c r="E104" s="172"/>
      <c r="F104" s="140"/>
      <c r="G104" s="140"/>
      <c r="H104" s="140"/>
      <c r="I104" s="140"/>
      <c r="J104" s="140"/>
      <c r="K104" s="140"/>
      <c r="L104" s="140"/>
      <c r="M104" s="140"/>
      <c r="N104" s="172"/>
      <c r="O104" s="172"/>
      <c r="P104" s="172"/>
      <c r="Q104" s="172"/>
    </row>
    <row r="105" spans="1:17" s="45" customFormat="1" ht="49.5" x14ac:dyDescent="0.35">
      <c r="A105" s="24" t="str">
        <f>_xlfn.XLOOKUP(B105,'Paso 3 Redacción RA '!I$3:I$15,'Paso 3 Redacción RA '!C$3:C$15,,0,1)</f>
        <v>Saberhacer</v>
      </c>
      <c r="B105" s="16" t="s">
        <v>99</v>
      </c>
      <c r="C105" s="140"/>
      <c r="D105" s="140"/>
      <c r="E105" s="172"/>
      <c r="F105" s="140"/>
      <c r="G105" s="140"/>
      <c r="H105" s="140"/>
      <c r="I105" s="140"/>
      <c r="J105" s="140"/>
      <c r="K105" s="140"/>
      <c r="L105" s="140"/>
      <c r="M105" s="140"/>
      <c r="N105" s="172"/>
      <c r="O105" s="172"/>
      <c r="P105" s="172"/>
      <c r="Q105" s="172"/>
    </row>
    <row r="106" spans="1:17" s="45" customFormat="1" ht="50" thickBot="1" x14ac:dyDescent="0.4">
      <c r="A106" s="87" t="str">
        <f>_xlfn.XLOOKUP(B106,'Paso 3 Redacción RA '!I$3:I$15,'Paso 3 Redacción RA '!C$3:C$15,,0,1)</f>
        <v>Saberser</v>
      </c>
      <c r="B106" s="27" t="s">
        <v>97</v>
      </c>
      <c r="C106" s="170"/>
      <c r="D106" s="170"/>
      <c r="E106" s="173"/>
      <c r="F106" s="170"/>
      <c r="G106" s="170"/>
      <c r="H106" s="170"/>
      <c r="I106" s="170"/>
      <c r="J106" s="170"/>
      <c r="K106" s="170"/>
      <c r="L106" s="170"/>
      <c r="M106" s="176"/>
      <c r="N106" s="173"/>
      <c r="O106" s="173"/>
      <c r="P106" s="173"/>
      <c r="Q106" s="173"/>
    </row>
    <row r="107" spans="1:17" s="45" customFormat="1" ht="17" thickBot="1" x14ac:dyDescent="0.4">
      <c r="A107" s="121"/>
      <c r="B107" s="75"/>
      <c r="C107" s="76">
        <v>7</v>
      </c>
      <c r="D107" s="77" t="s">
        <v>324</v>
      </c>
      <c r="E107" s="78"/>
      <c r="F107" s="77"/>
      <c r="G107" s="79"/>
      <c r="H107" s="79"/>
      <c r="I107" s="79" t="s">
        <v>207</v>
      </c>
      <c r="J107" s="79">
        <v>3</v>
      </c>
      <c r="K107" s="77">
        <f>J107*12</f>
        <v>36</v>
      </c>
      <c r="L107" s="77">
        <f>36*J107</f>
        <v>108</v>
      </c>
      <c r="M107" s="120">
        <f>SUM(K107:L107)</f>
        <v>144</v>
      </c>
      <c r="N107" s="80"/>
      <c r="O107" s="80"/>
      <c r="P107" s="80"/>
      <c r="Q107" s="81"/>
    </row>
    <row r="108" spans="1:17" s="45" customFormat="1" ht="17" thickBot="1" x14ac:dyDescent="0.4">
      <c r="A108" s="121"/>
      <c r="B108" s="75"/>
      <c r="C108" s="76">
        <v>7</v>
      </c>
      <c r="D108" s="77" t="s">
        <v>325</v>
      </c>
      <c r="E108" s="75"/>
      <c r="F108" s="77"/>
      <c r="G108" s="77"/>
      <c r="H108" s="77"/>
      <c r="I108" s="77" t="s">
        <v>207</v>
      </c>
      <c r="J108" s="77">
        <v>3</v>
      </c>
      <c r="K108" s="77">
        <f>J108*12</f>
        <v>36</v>
      </c>
      <c r="L108" s="77">
        <f>36*J108</f>
        <v>108</v>
      </c>
      <c r="M108" s="77">
        <f>SUM(K108:L108)</f>
        <v>144</v>
      </c>
      <c r="N108" s="75"/>
      <c r="O108" s="75"/>
      <c r="P108" s="75"/>
      <c r="Q108" s="81"/>
    </row>
    <row r="109" spans="1:17" s="45" customFormat="1" ht="49.5" x14ac:dyDescent="0.35">
      <c r="A109" s="24" t="str">
        <f>_xlfn.XLOOKUP(B109,'Paso 3 Redacción RA '!I$3:I$15,'Paso 3 Redacción RA '!C$3:C$15,,0,1)</f>
        <v>Saber</v>
      </c>
      <c r="B109" s="129" t="s">
        <v>89</v>
      </c>
      <c r="C109" s="152">
        <v>8</v>
      </c>
      <c r="D109" s="152" t="s">
        <v>326</v>
      </c>
      <c r="E109" s="171" t="s">
        <v>327</v>
      </c>
      <c r="F109" s="152" t="s">
        <v>206</v>
      </c>
      <c r="G109" s="152"/>
      <c r="H109" s="152" t="s">
        <v>207</v>
      </c>
      <c r="I109" s="152"/>
      <c r="J109" s="152">
        <v>3</v>
      </c>
      <c r="K109" s="152">
        <f>J109*12</f>
        <v>36</v>
      </c>
      <c r="L109" s="152">
        <f>36*J109</f>
        <v>108</v>
      </c>
      <c r="M109" s="152">
        <f>SUM(K109:L109)</f>
        <v>144</v>
      </c>
      <c r="N109" s="171" t="s">
        <v>328</v>
      </c>
      <c r="O109" s="171" t="s">
        <v>221</v>
      </c>
      <c r="P109" s="171" t="s">
        <v>226</v>
      </c>
      <c r="Q109" s="171" t="s">
        <v>216</v>
      </c>
    </row>
    <row r="110" spans="1:17" s="45" customFormat="1" ht="66" x14ac:dyDescent="0.35">
      <c r="A110" s="24" t="str">
        <f>_xlfn.XLOOKUP(B110,'Paso 3 Redacción RA '!I$3:I$15,'Paso 3 Redacción RA '!C$3:C$15,,0,1)</f>
        <v>Saberhacer</v>
      </c>
      <c r="B110" s="129" t="s">
        <v>93</v>
      </c>
      <c r="C110" s="140"/>
      <c r="D110" s="140"/>
      <c r="E110" s="172"/>
      <c r="F110" s="140"/>
      <c r="G110" s="140"/>
      <c r="H110" s="140"/>
      <c r="I110" s="140"/>
      <c r="J110" s="140"/>
      <c r="K110" s="140"/>
      <c r="L110" s="140"/>
      <c r="M110" s="140"/>
      <c r="N110" s="172"/>
      <c r="O110" s="172"/>
      <c r="P110" s="172"/>
      <c r="Q110" s="172"/>
    </row>
    <row r="111" spans="1:17" s="45" customFormat="1" ht="50" thickBot="1" x14ac:dyDescent="0.4">
      <c r="A111" s="87" t="str">
        <f>_xlfn.XLOOKUP(B111,'Paso 3 Redacción RA '!I$3:I$15,'Paso 3 Redacción RA '!C$3:C$15,,0,1)</f>
        <v>Saberhacer</v>
      </c>
      <c r="B111" s="131" t="s">
        <v>99</v>
      </c>
      <c r="C111" s="170"/>
      <c r="D111" s="170"/>
      <c r="E111" s="173"/>
      <c r="F111" s="170"/>
      <c r="G111" s="170"/>
      <c r="H111" s="170"/>
      <c r="I111" s="170"/>
      <c r="J111" s="170"/>
      <c r="K111" s="170"/>
      <c r="L111" s="170"/>
      <c r="M111" s="170"/>
      <c r="N111" s="173"/>
      <c r="O111" s="173"/>
      <c r="P111" s="173"/>
      <c r="Q111" s="173"/>
    </row>
    <row r="112" spans="1:17" s="45" customFormat="1" ht="49.5" x14ac:dyDescent="0.35">
      <c r="A112" s="24" t="str">
        <f>_xlfn.XLOOKUP(B112,'Paso 3 Redacción RA '!I$3:I$15,'Paso 3 Redacción RA '!C$3:C$15,,0,1)</f>
        <v>Saber</v>
      </c>
      <c r="B112" s="16" t="s">
        <v>89</v>
      </c>
      <c r="C112" s="152">
        <v>8</v>
      </c>
      <c r="D112" s="152" t="s">
        <v>329</v>
      </c>
      <c r="E112" s="174" t="s">
        <v>330</v>
      </c>
      <c r="F112" s="152" t="s">
        <v>206</v>
      </c>
      <c r="G112" s="152"/>
      <c r="H112" s="152" t="s">
        <v>207</v>
      </c>
      <c r="I112" s="152"/>
      <c r="J112" s="152">
        <v>3</v>
      </c>
      <c r="K112" s="152">
        <f>J112*12</f>
        <v>36</v>
      </c>
      <c r="L112" s="152">
        <f>36*J112</f>
        <v>108</v>
      </c>
      <c r="M112" s="152">
        <f>SUM(K112:L112)</f>
        <v>144</v>
      </c>
      <c r="N112" s="171" t="s">
        <v>331</v>
      </c>
      <c r="O112" s="171" t="s">
        <v>221</v>
      </c>
      <c r="P112" s="171" t="s">
        <v>226</v>
      </c>
      <c r="Q112" s="171" t="s">
        <v>216</v>
      </c>
    </row>
    <row r="113" spans="1:17" s="45" customFormat="1" ht="66" x14ac:dyDescent="0.35">
      <c r="A113" s="24" t="str">
        <f>_xlfn.XLOOKUP(B113,'Paso 3 Redacción RA '!I$3:I$15,'Paso 3 Redacción RA '!C$3:C$15,,0,1)</f>
        <v>Saberhacer</v>
      </c>
      <c r="B113" s="16" t="s">
        <v>93</v>
      </c>
      <c r="C113" s="140"/>
      <c r="D113" s="140"/>
      <c r="E113" s="162"/>
      <c r="F113" s="140"/>
      <c r="G113" s="140"/>
      <c r="H113" s="140"/>
      <c r="I113" s="140"/>
      <c r="J113" s="140"/>
      <c r="K113" s="140"/>
      <c r="L113" s="140"/>
      <c r="M113" s="140"/>
      <c r="N113" s="172"/>
      <c r="O113" s="172"/>
      <c r="P113" s="172"/>
      <c r="Q113" s="172"/>
    </row>
    <row r="114" spans="1:17" s="45" customFormat="1" ht="50" thickBot="1" x14ac:dyDescent="0.4">
      <c r="A114" s="87" t="str">
        <f>_xlfn.XLOOKUP(B114,'Paso 3 Redacción RA '!I$3:I$15,'Paso 3 Redacción RA '!C$3:C$15,,0,1)</f>
        <v>Saberser</v>
      </c>
      <c r="B114" s="27" t="s">
        <v>97</v>
      </c>
      <c r="C114" s="170"/>
      <c r="D114" s="176"/>
      <c r="E114" s="177"/>
      <c r="F114" s="170"/>
      <c r="G114" s="170"/>
      <c r="H114" s="170"/>
      <c r="I114" s="170"/>
      <c r="J114" s="170"/>
      <c r="K114" s="170"/>
      <c r="L114" s="170"/>
      <c r="M114" s="170"/>
      <c r="N114" s="173"/>
      <c r="O114" s="173"/>
      <c r="P114" s="173"/>
      <c r="Q114" s="173"/>
    </row>
    <row r="115" spans="1:17" s="45" customFormat="1" ht="49.5" x14ac:dyDescent="0.35">
      <c r="A115" s="24" t="str">
        <f>_xlfn.XLOOKUP(B115,'Paso 3 Redacción RA '!I$3:I$15,'Paso 3 Redacción RA '!C$3:C$15,,0,1)</f>
        <v>Saber</v>
      </c>
      <c r="B115" s="16" t="s">
        <v>89</v>
      </c>
      <c r="C115" s="152">
        <v>8</v>
      </c>
      <c r="D115" s="140" t="s">
        <v>332</v>
      </c>
      <c r="E115" s="162" t="s">
        <v>333</v>
      </c>
      <c r="F115" s="152" t="s">
        <v>334</v>
      </c>
      <c r="G115" s="152"/>
      <c r="H115" s="152" t="s">
        <v>207</v>
      </c>
      <c r="I115" s="152"/>
      <c r="J115" s="152">
        <v>4</v>
      </c>
      <c r="K115" s="152">
        <f>J115*12</f>
        <v>48</v>
      </c>
      <c r="L115" s="152">
        <f>36*J115</f>
        <v>144</v>
      </c>
      <c r="M115" s="152">
        <f>SUM(K115:L115)</f>
        <v>192</v>
      </c>
      <c r="N115" s="171" t="s">
        <v>335</v>
      </c>
      <c r="O115" s="171" t="s">
        <v>221</v>
      </c>
      <c r="P115" s="171" t="s">
        <v>336</v>
      </c>
      <c r="Q115" s="171" t="s">
        <v>216</v>
      </c>
    </row>
    <row r="116" spans="1:17" s="45" customFormat="1" ht="49.5" x14ac:dyDescent="0.35">
      <c r="A116" s="24" t="str">
        <f>_xlfn.XLOOKUP(B116,'Paso 3 Redacción RA '!I$3:I$15,'Paso 3 Redacción RA '!C$3:C$15,,0,1)</f>
        <v>Saber</v>
      </c>
      <c r="B116" s="16" t="s">
        <v>101</v>
      </c>
      <c r="C116" s="140"/>
      <c r="D116" s="140"/>
      <c r="E116" s="162"/>
      <c r="F116" s="140"/>
      <c r="G116" s="140"/>
      <c r="H116" s="140"/>
      <c r="I116" s="140"/>
      <c r="J116" s="140"/>
      <c r="K116" s="140"/>
      <c r="L116" s="140"/>
      <c r="M116" s="140"/>
      <c r="N116" s="172"/>
      <c r="O116" s="172"/>
      <c r="P116" s="172"/>
      <c r="Q116" s="172"/>
    </row>
    <row r="117" spans="1:17" s="45" customFormat="1" ht="66" x14ac:dyDescent="0.35">
      <c r="A117" s="24" t="str">
        <f>_xlfn.XLOOKUP(B117,'Paso 3 Redacción RA '!I$3:I$15,'Paso 3 Redacción RA '!C$3:C$15,,0,1)</f>
        <v>Saberhacer</v>
      </c>
      <c r="B117" s="16" t="s">
        <v>93</v>
      </c>
      <c r="C117" s="140"/>
      <c r="D117" s="140"/>
      <c r="E117" s="162"/>
      <c r="F117" s="140"/>
      <c r="G117" s="140"/>
      <c r="H117" s="140"/>
      <c r="I117" s="140"/>
      <c r="J117" s="140"/>
      <c r="K117" s="140"/>
      <c r="L117" s="140"/>
      <c r="M117" s="140"/>
      <c r="N117" s="172"/>
      <c r="O117" s="172"/>
      <c r="P117" s="172"/>
      <c r="Q117" s="172"/>
    </row>
    <row r="118" spans="1:17" s="45" customFormat="1" ht="49.5" x14ac:dyDescent="0.35">
      <c r="A118" s="24" t="str">
        <f>_xlfn.XLOOKUP(B118,'Paso 3 Redacción RA '!I$3:I$15,'Paso 3 Redacción RA '!C$3:C$15,,0,1)</f>
        <v>Saberhacer</v>
      </c>
      <c r="B118" s="16" t="s">
        <v>99</v>
      </c>
      <c r="C118" s="140"/>
      <c r="D118" s="140"/>
      <c r="E118" s="162"/>
      <c r="F118" s="140"/>
      <c r="G118" s="140"/>
      <c r="H118" s="140"/>
      <c r="I118" s="140"/>
      <c r="J118" s="140"/>
      <c r="K118" s="140"/>
      <c r="L118" s="140"/>
      <c r="M118" s="140"/>
      <c r="N118" s="172"/>
      <c r="O118" s="172"/>
      <c r="P118" s="172"/>
      <c r="Q118" s="172"/>
    </row>
    <row r="119" spans="1:17" s="45" customFormat="1" ht="50" thickBot="1" x14ac:dyDescent="0.4">
      <c r="A119" s="87" t="str">
        <f>_xlfn.XLOOKUP(B119,'Paso 3 Redacción RA '!I$3:I$15,'Paso 3 Redacción RA '!C$3:C$15,,0,1)</f>
        <v>Saberser</v>
      </c>
      <c r="B119" s="16" t="s">
        <v>97</v>
      </c>
      <c r="C119" s="170"/>
      <c r="D119" s="170"/>
      <c r="E119" s="163"/>
      <c r="F119" s="170"/>
      <c r="G119" s="170"/>
      <c r="H119" s="170"/>
      <c r="I119" s="170"/>
      <c r="J119" s="170"/>
      <c r="K119" s="170"/>
      <c r="L119" s="170"/>
      <c r="M119" s="170"/>
      <c r="N119" s="173"/>
      <c r="O119" s="173"/>
      <c r="P119" s="173"/>
      <c r="Q119" s="173"/>
    </row>
    <row r="120" spans="1:17" s="45" customFormat="1" ht="17" thickBot="1" x14ac:dyDescent="0.4">
      <c r="A120" s="121"/>
      <c r="B120" s="82"/>
      <c r="C120" s="83">
        <v>8</v>
      </c>
      <c r="D120" s="84" t="s">
        <v>337</v>
      </c>
      <c r="E120" s="82"/>
      <c r="F120" s="84"/>
      <c r="G120" s="84"/>
      <c r="H120" s="84"/>
      <c r="I120" s="84" t="s">
        <v>207</v>
      </c>
      <c r="J120" s="84">
        <v>3</v>
      </c>
      <c r="K120" s="77">
        <f>J120*12</f>
        <v>36</v>
      </c>
      <c r="L120" s="77">
        <f>36*J120</f>
        <v>108</v>
      </c>
      <c r="M120" s="84">
        <f>SUM(K120:L120)</f>
        <v>144</v>
      </c>
      <c r="N120" s="82"/>
      <c r="O120" s="82"/>
      <c r="P120" s="82"/>
      <c r="Q120" s="85"/>
    </row>
    <row r="121" spans="1:17" s="45" customFormat="1" ht="17" thickBot="1" x14ac:dyDescent="0.4">
      <c r="A121" s="121"/>
      <c r="B121" s="75"/>
      <c r="C121" s="76">
        <v>8</v>
      </c>
      <c r="D121" s="77" t="s">
        <v>338</v>
      </c>
      <c r="E121" s="75"/>
      <c r="F121" s="77"/>
      <c r="G121" s="77"/>
      <c r="H121" s="77"/>
      <c r="I121" s="77" t="s">
        <v>207</v>
      </c>
      <c r="J121" s="77">
        <v>3</v>
      </c>
      <c r="K121" s="77">
        <f>J121*12</f>
        <v>36</v>
      </c>
      <c r="L121" s="77">
        <f>36*J121</f>
        <v>108</v>
      </c>
      <c r="M121" s="77">
        <f>SUM(K121:L121)</f>
        <v>144</v>
      </c>
      <c r="N121" s="75"/>
      <c r="O121" s="75"/>
      <c r="P121" s="75"/>
      <c r="Q121" s="75"/>
    </row>
    <row r="122" spans="1:17" s="45" customFormat="1" ht="32" x14ac:dyDescent="0.35">
      <c r="A122" s="24"/>
      <c r="B122" s="16"/>
      <c r="C122" s="112" t="s">
        <v>339</v>
      </c>
      <c r="D122" s="113">
        <f>COUNTA(D3:D121)</f>
        <v>42</v>
      </c>
      <c r="E122" s="16"/>
      <c r="F122" s="19"/>
      <c r="G122" s="19"/>
      <c r="H122" s="19"/>
      <c r="I122" s="114" t="s">
        <v>340</v>
      </c>
      <c r="J122" s="115">
        <f>SUM(J3:J121)</f>
        <v>135</v>
      </c>
      <c r="K122" s="91"/>
      <c r="L122" s="30"/>
      <c r="M122" s="19"/>
      <c r="N122" s="16"/>
      <c r="O122" s="16"/>
      <c r="P122" s="16"/>
      <c r="Q122" s="16"/>
    </row>
    <row r="123" spans="1:17" s="45" customFormat="1" ht="48" x14ac:dyDescent="0.35">
      <c r="A123" s="24"/>
      <c r="B123" s="16"/>
      <c r="D123" s="19"/>
      <c r="E123" s="16"/>
      <c r="F123" s="19"/>
      <c r="G123" s="19"/>
      <c r="H123" s="19"/>
      <c r="I123" s="116" t="s">
        <v>341</v>
      </c>
      <c r="J123" s="117">
        <f>SUMIF(G3:G121,"X",J3:J121)</f>
        <v>18</v>
      </c>
      <c r="K123" s="91"/>
      <c r="L123" s="47"/>
      <c r="M123" s="19"/>
      <c r="N123" s="16"/>
      <c r="O123" s="16"/>
      <c r="P123" s="16"/>
      <c r="Q123" s="16"/>
    </row>
    <row r="124" spans="1:17" s="45" customFormat="1" ht="48" x14ac:dyDescent="0.35">
      <c r="A124" s="24"/>
      <c r="B124" s="16"/>
      <c r="D124" s="32"/>
      <c r="E124" s="62"/>
      <c r="F124" s="32"/>
      <c r="G124" s="63"/>
      <c r="H124" s="63"/>
      <c r="I124" s="116" t="s">
        <v>342</v>
      </c>
      <c r="J124" s="117">
        <f>SUMIF(H4:H121,"X",J4:J121)</f>
        <v>105</v>
      </c>
      <c r="K124" s="91"/>
      <c r="L124" s="47"/>
      <c r="M124" s="63"/>
      <c r="N124" s="22"/>
      <c r="O124" s="64"/>
      <c r="P124" s="64"/>
      <c r="Q124" s="64"/>
    </row>
    <row r="125" spans="1:17" s="45" customFormat="1" ht="32" x14ac:dyDescent="0.35">
      <c r="A125" s="24"/>
      <c r="B125" s="16"/>
      <c r="D125" s="32"/>
      <c r="E125" s="62"/>
      <c r="F125" s="32"/>
      <c r="G125" s="63"/>
      <c r="H125" s="63"/>
      <c r="I125" s="118" t="s">
        <v>343</v>
      </c>
      <c r="J125" s="119">
        <f>SUMIF(I5:I121,"X",J5:J121)</f>
        <v>12</v>
      </c>
      <c r="K125" s="92"/>
      <c r="L125" s="47"/>
      <c r="M125" s="63"/>
      <c r="N125" s="22"/>
      <c r="O125" s="64"/>
      <c r="P125" s="64"/>
      <c r="Q125" s="64"/>
    </row>
    <row r="126" spans="1:17" s="45" customFormat="1" ht="16.5" x14ac:dyDescent="0.35">
      <c r="A126" s="24"/>
      <c r="B126" s="16"/>
      <c r="D126" s="32"/>
      <c r="E126" s="62"/>
      <c r="F126" s="32"/>
      <c r="G126" s="63"/>
      <c r="H126" s="63"/>
      <c r="I126" s="63"/>
      <c r="J126" s="63"/>
      <c r="K126" s="63"/>
      <c r="L126" s="63"/>
      <c r="M126" s="63"/>
      <c r="N126" s="22"/>
      <c r="O126" s="64"/>
      <c r="P126" s="64"/>
      <c r="Q126" s="64"/>
    </row>
    <row r="127" spans="1:17" s="45" customFormat="1" ht="16.5" x14ac:dyDescent="0.35">
      <c r="A127" s="24"/>
      <c r="B127" s="16"/>
      <c r="D127" s="32"/>
      <c r="E127" s="62"/>
      <c r="F127" s="32"/>
      <c r="G127" s="63"/>
      <c r="H127" s="63"/>
      <c r="I127" s="63"/>
      <c r="J127" s="63"/>
      <c r="K127" s="63"/>
      <c r="L127" s="63"/>
      <c r="M127" s="63"/>
      <c r="N127" s="22"/>
      <c r="O127" s="64"/>
      <c r="P127" s="64"/>
      <c r="Q127" s="64"/>
    </row>
    <row r="128" spans="1:17" s="45" customFormat="1" ht="16.5" x14ac:dyDescent="0.35">
      <c r="A128" s="24"/>
      <c r="B128" s="16"/>
      <c r="D128" s="19"/>
      <c r="E128" s="16"/>
      <c r="F128" s="19"/>
      <c r="G128" s="19"/>
      <c r="H128" s="19"/>
      <c r="I128" s="19"/>
      <c r="J128" s="19"/>
      <c r="K128" s="19"/>
      <c r="L128" s="19"/>
      <c r="M128" s="19"/>
      <c r="N128" s="16"/>
      <c r="O128" s="16"/>
      <c r="P128" s="16"/>
      <c r="Q128" s="16"/>
    </row>
    <row r="129" spans="1:17" s="45" customFormat="1" ht="16.5" x14ac:dyDescent="0.35">
      <c r="A129" s="24"/>
      <c r="B129" s="16"/>
      <c r="D129" s="19"/>
      <c r="E129" s="16"/>
      <c r="F129" s="19"/>
      <c r="G129" s="19"/>
      <c r="H129" s="19"/>
      <c r="I129" s="19"/>
      <c r="J129" s="19"/>
      <c r="K129" s="19"/>
      <c r="L129" s="19"/>
      <c r="M129" s="19"/>
      <c r="N129" s="16"/>
      <c r="O129" s="16"/>
      <c r="P129" s="16"/>
      <c r="Q129" s="16"/>
    </row>
    <row r="130" spans="1:17" s="45" customFormat="1" ht="16.5" x14ac:dyDescent="0.35">
      <c r="A130" s="24"/>
      <c r="B130" s="16"/>
      <c r="D130" s="19"/>
      <c r="E130" s="16"/>
      <c r="F130" s="19"/>
      <c r="G130" s="19"/>
      <c r="H130" s="19"/>
      <c r="I130" s="19"/>
      <c r="J130" s="19"/>
      <c r="K130" s="19"/>
      <c r="L130" s="19"/>
      <c r="M130" s="19"/>
      <c r="N130" s="16"/>
      <c r="O130" s="16"/>
      <c r="P130" s="16"/>
      <c r="Q130" s="16"/>
    </row>
    <row r="131" spans="1:17" s="45" customFormat="1" ht="16.5" x14ac:dyDescent="0.35">
      <c r="A131" s="24"/>
      <c r="B131" s="16"/>
      <c r="D131" s="19"/>
      <c r="E131" s="16"/>
      <c r="F131" s="19"/>
      <c r="G131" s="63"/>
      <c r="H131" s="63"/>
      <c r="I131" s="63"/>
      <c r="J131" s="63"/>
      <c r="K131" s="63"/>
      <c r="L131" s="63"/>
      <c r="M131" s="63"/>
      <c r="N131" s="16"/>
      <c r="O131" s="16"/>
      <c r="P131" s="16"/>
      <c r="Q131" s="16"/>
    </row>
    <row r="132" spans="1:17" s="45" customFormat="1" ht="16.5" x14ac:dyDescent="0.35">
      <c r="A132" s="24"/>
      <c r="B132" s="16"/>
      <c r="D132" s="19"/>
      <c r="E132" s="16"/>
      <c r="F132" s="19"/>
      <c r="G132" s="63"/>
      <c r="H132" s="63"/>
      <c r="I132" s="63"/>
      <c r="J132" s="63"/>
      <c r="K132" s="63"/>
      <c r="L132" s="63"/>
      <c r="M132" s="63"/>
      <c r="N132" s="16"/>
      <c r="O132" s="16"/>
      <c r="P132" s="16"/>
      <c r="Q132" s="16"/>
    </row>
    <row r="133" spans="1:17" s="45" customFormat="1" ht="16.5" x14ac:dyDescent="0.35">
      <c r="A133" s="24"/>
      <c r="B133" s="16"/>
      <c r="D133" s="19"/>
      <c r="E133" s="16"/>
      <c r="F133" s="19"/>
      <c r="G133" s="63"/>
      <c r="H133" s="63"/>
      <c r="I133" s="63"/>
      <c r="J133" s="63"/>
      <c r="K133" s="63"/>
      <c r="L133" s="63"/>
      <c r="M133" s="63"/>
      <c r="N133" s="16"/>
      <c r="O133" s="16"/>
      <c r="P133" s="16"/>
      <c r="Q133" s="16"/>
    </row>
    <row r="134" spans="1:17" s="45" customFormat="1" ht="16.5" x14ac:dyDescent="0.35">
      <c r="A134" s="24"/>
      <c r="B134" s="16"/>
      <c r="D134" s="19"/>
      <c r="E134" s="16"/>
      <c r="F134" s="19"/>
      <c r="G134" s="19"/>
      <c r="H134" s="19"/>
      <c r="I134" s="19"/>
      <c r="J134" s="19"/>
      <c r="K134" s="19"/>
      <c r="L134" s="19"/>
      <c r="M134" s="19"/>
      <c r="N134" s="16"/>
      <c r="O134" s="16"/>
      <c r="P134" s="16"/>
      <c r="Q134" s="16"/>
    </row>
    <row r="135" spans="1:17" s="45" customFormat="1" ht="16.5" x14ac:dyDescent="0.35">
      <c r="A135" s="24"/>
      <c r="B135" s="16"/>
      <c r="D135" s="19"/>
      <c r="E135" s="16"/>
      <c r="F135" s="19"/>
      <c r="G135" s="19"/>
      <c r="H135" s="19"/>
      <c r="I135" s="19"/>
      <c r="J135" s="19"/>
      <c r="K135" s="19"/>
      <c r="L135" s="19"/>
      <c r="M135" s="19"/>
      <c r="N135" s="16"/>
      <c r="O135" s="16"/>
      <c r="P135" s="16"/>
      <c r="Q135" s="16"/>
    </row>
    <row r="136" spans="1:17" s="45" customFormat="1" ht="16.5" x14ac:dyDescent="0.35">
      <c r="A136" s="24"/>
      <c r="B136" s="16"/>
      <c r="D136" s="19"/>
      <c r="E136" s="16"/>
      <c r="F136" s="19"/>
      <c r="G136" s="19"/>
      <c r="H136" s="19"/>
      <c r="I136" s="19"/>
      <c r="J136" s="19"/>
      <c r="K136" s="19"/>
      <c r="L136" s="19"/>
      <c r="M136" s="19"/>
      <c r="N136" s="16"/>
      <c r="O136" s="16"/>
      <c r="P136" s="16"/>
      <c r="Q136" s="16"/>
    </row>
    <row r="137" spans="1:17" s="45" customFormat="1" ht="16.5" x14ac:dyDescent="0.35">
      <c r="A137" s="24"/>
      <c r="B137" s="16"/>
      <c r="D137" s="19"/>
      <c r="E137" s="16"/>
      <c r="F137" s="19"/>
      <c r="G137" s="19"/>
      <c r="H137" s="19"/>
      <c r="I137" s="19"/>
      <c r="J137" s="19"/>
      <c r="K137" s="19"/>
      <c r="L137" s="19"/>
      <c r="M137" s="19"/>
      <c r="N137" s="16"/>
      <c r="O137" s="16"/>
      <c r="P137" s="16"/>
      <c r="Q137" s="16"/>
    </row>
    <row r="138" spans="1:17" s="45" customFormat="1" ht="16.5" x14ac:dyDescent="0.35">
      <c r="A138" s="24"/>
      <c r="B138" s="22"/>
      <c r="D138" s="19"/>
      <c r="E138" s="22"/>
      <c r="F138" s="19"/>
      <c r="G138" s="38"/>
      <c r="H138" s="38"/>
      <c r="I138" s="38"/>
      <c r="J138" s="38"/>
      <c r="K138" s="38"/>
      <c r="L138" s="38"/>
      <c r="M138" s="38"/>
      <c r="N138" s="22"/>
      <c r="O138" s="22"/>
      <c r="P138" s="22"/>
      <c r="Q138" s="22"/>
    </row>
    <row r="139" spans="1:17" s="45" customFormat="1" ht="16.5" x14ac:dyDescent="0.35">
      <c r="A139" s="24"/>
      <c r="B139" s="22"/>
      <c r="D139" s="19"/>
      <c r="E139" s="22"/>
      <c r="F139" s="19"/>
      <c r="G139" s="38"/>
      <c r="H139" s="38"/>
      <c r="I139" s="38"/>
      <c r="J139" s="38"/>
      <c r="K139" s="38"/>
      <c r="L139" s="38"/>
      <c r="M139" s="38"/>
      <c r="N139" s="22"/>
      <c r="O139" s="22"/>
      <c r="P139" s="22"/>
      <c r="Q139" s="22"/>
    </row>
    <row r="140" spans="1:17" s="45" customFormat="1" ht="16.5" x14ac:dyDescent="0.35">
      <c r="A140" s="24"/>
      <c r="B140" s="22"/>
      <c r="D140" s="19"/>
      <c r="E140" s="22"/>
      <c r="F140" s="19"/>
      <c r="G140" s="38"/>
      <c r="H140" s="38"/>
      <c r="I140" s="38"/>
      <c r="J140" s="38"/>
      <c r="K140" s="38"/>
      <c r="L140" s="38"/>
      <c r="M140" s="38"/>
      <c r="N140" s="22"/>
      <c r="O140" s="22"/>
      <c r="P140" s="22"/>
      <c r="Q140" s="22"/>
    </row>
    <row r="141" spans="1:17" s="45" customFormat="1" ht="16.5" x14ac:dyDescent="0.35">
      <c r="A141" s="24"/>
      <c r="B141" s="22"/>
      <c r="D141" s="19"/>
      <c r="E141" s="22"/>
      <c r="F141" s="19"/>
      <c r="G141" s="38"/>
      <c r="H141" s="38"/>
      <c r="I141" s="38"/>
      <c r="J141" s="38"/>
      <c r="K141" s="38"/>
      <c r="L141" s="38"/>
      <c r="M141" s="38"/>
      <c r="N141" s="22"/>
      <c r="O141" s="22"/>
      <c r="P141" s="22"/>
      <c r="Q141" s="22"/>
    </row>
    <row r="142" spans="1:17" s="45" customFormat="1" ht="16.5" x14ac:dyDescent="0.35">
      <c r="A142" s="24"/>
      <c r="B142" s="16"/>
      <c r="D142" s="32"/>
      <c r="E142" s="62"/>
      <c r="F142" s="32"/>
      <c r="G142" s="63"/>
      <c r="H142" s="63"/>
      <c r="I142" s="63"/>
      <c r="J142" s="63"/>
      <c r="K142" s="63"/>
      <c r="L142" s="63"/>
      <c r="M142" s="63"/>
      <c r="N142" s="64"/>
      <c r="O142" s="64"/>
      <c r="P142" s="64"/>
      <c r="Q142" s="64"/>
    </row>
    <row r="143" spans="1:17" s="45" customFormat="1" ht="16.5" x14ac:dyDescent="0.35">
      <c r="A143" s="24"/>
      <c r="B143" s="16"/>
      <c r="D143" s="32"/>
      <c r="E143" s="62"/>
      <c r="F143" s="32"/>
      <c r="G143" s="63"/>
      <c r="H143" s="63"/>
      <c r="I143" s="63"/>
      <c r="J143" s="63"/>
      <c r="K143" s="63"/>
      <c r="L143" s="63"/>
      <c r="M143" s="63"/>
      <c r="N143" s="64"/>
      <c r="O143" s="64"/>
      <c r="P143" s="64"/>
      <c r="Q143" s="64"/>
    </row>
    <row r="144" spans="1:17" s="45" customFormat="1" ht="16.5" x14ac:dyDescent="0.35">
      <c r="A144" s="24"/>
      <c r="B144" s="16"/>
      <c r="D144" s="32"/>
      <c r="E144" s="62"/>
      <c r="F144" s="32"/>
      <c r="G144" s="63"/>
      <c r="H144" s="63"/>
      <c r="I144" s="63"/>
      <c r="J144" s="63"/>
      <c r="K144" s="63"/>
      <c r="L144" s="63"/>
      <c r="M144" s="63"/>
      <c r="N144" s="64"/>
      <c r="O144" s="64"/>
      <c r="P144" s="64"/>
      <c r="Q144" s="64"/>
    </row>
    <row r="145" spans="1:17" s="45" customFormat="1" ht="16.5" x14ac:dyDescent="0.35">
      <c r="A145" s="24"/>
      <c r="B145" s="16"/>
      <c r="D145" s="32"/>
      <c r="E145" s="62"/>
      <c r="F145" s="32"/>
      <c r="G145" s="63"/>
      <c r="H145" s="63"/>
      <c r="I145" s="63"/>
      <c r="J145" s="63"/>
      <c r="K145" s="63"/>
      <c r="L145" s="63"/>
      <c r="M145" s="63"/>
      <c r="N145" s="64"/>
      <c r="O145" s="64"/>
      <c r="P145" s="64"/>
      <c r="Q145" s="64"/>
    </row>
    <row r="146" spans="1:17" s="45" customFormat="1" ht="16.5" x14ac:dyDescent="0.35">
      <c r="A146" s="24"/>
      <c r="B146" s="16"/>
      <c r="D146" s="19"/>
      <c r="E146" s="16"/>
      <c r="F146" s="19"/>
      <c r="L146" s="13"/>
      <c r="M146" s="13"/>
      <c r="N146" s="16"/>
      <c r="O146" s="16"/>
      <c r="P146" s="16"/>
      <c r="Q146" s="16"/>
    </row>
    <row r="147" spans="1:17" s="45" customFormat="1" ht="16.5" x14ac:dyDescent="0.35">
      <c r="A147" s="24"/>
      <c r="B147" s="16"/>
      <c r="D147" s="19"/>
      <c r="E147" s="16"/>
      <c r="F147" s="19"/>
      <c r="L147" s="13"/>
      <c r="M147" s="13"/>
      <c r="N147" s="16"/>
      <c r="O147" s="16"/>
      <c r="P147" s="16"/>
      <c r="Q147" s="16"/>
    </row>
    <row r="148" spans="1:17" s="45" customFormat="1" ht="16.5" x14ac:dyDescent="0.35">
      <c r="A148" s="24"/>
      <c r="B148" s="16"/>
      <c r="D148" s="19"/>
      <c r="E148" s="16"/>
      <c r="F148" s="19"/>
      <c r="L148" s="13"/>
      <c r="M148" s="13"/>
      <c r="N148" s="16"/>
      <c r="O148" s="16"/>
      <c r="P148" s="16"/>
      <c r="Q148" s="16"/>
    </row>
    <row r="149" spans="1:17" s="45" customFormat="1" ht="16.5" x14ac:dyDescent="0.35">
      <c r="A149" s="24"/>
      <c r="B149" s="16"/>
      <c r="D149" s="19"/>
      <c r="E149" s="16"/>
      <c r="F149" s="19"/>
      <c r="L149" s="13"/>
      <c r="M149" s="13"/>
      <c r="N149" s="16"/>
      <c r="O149" s="16"/>
      <c r="P149" s="16"/>
      <c r="Q149" s="16"/>
    </row>
    <row r="150" spans="1:17" s="45" customFormat="1" ht="16.5" x14ac:dyDescent="0.35">
      <c r="A150" s="24"/>
      <c r="B150" s="16"/>
      <c r="D150" s="19"/>
      <c r="E150" s="65"/>
      <c r="F150" s="19"/>
      <c r="G150" s="63"/>
      <c r="H150" s="63"/>
      <c r="I150" s="63"/>
      <c r="J150" s="63"/>
      <c r="K150" s="63"/>
      <c r="L150" s="63"/>
      <c r="M150" s="63"/>
      <c r="N150" s="65"/>
      <c r="O150" s="65"/>
      <c r="P150" s="65"/>
      <c r="Q150" s="65"/>
    </row>
    <row r="151" spans="1:17" s="45" customFormat="1" ht="16.5" x14ac:dyDescent="0.35">
      <c r="A151" s="24"/>
      <c r="B151" s="16"/>
      <c r="D151" s="32"/>
      <c r="E151" s="62"/>
      <c r="F151" s="32"/>
      <c r="G151" s="63"/>
      <c r="H151" s="63"/>
      <c r="I151" s="63"/>
      <c r="J151" s="63"/>
      <c r="K151" s="63"/>
      <c r="L151" s="63"/>
      <c r="M151" s="63"/>
      <c r="N151" s="64"/>
      <c r="O151" s="64"/>
      <c r="P151" s="64"/>
      <c r="Q151" s="64"/>
    </row>
    <row r="152" spans="1:17" s="45" customFormat="1" ht="16.5" x14ac:dyDescent="0.35">
      <c r="A152" s="24"/>
      <c r="B152" s="16"/>
      <c r="D152" s="32"/>
      <c r="E152" s="62"/>
      <c r="F152" s="32"/>
      <c r="G152" s="63"/>
      <c r="H152" s="63"/>
      <c r="I152" s="63"/>
      <c r="J152" s="63"/>
      <c r="K152" s="63"/>
      <c r="L152" s="63"/>
      <c r="M152" s="63"/>
      <c r="N152" s="64"/>
      <c r="O152" s="64"/>
      <c r="P152" s="64"/>
      <c r="Q152" s="64"/>
    </row>
    <row r="153" spans="1:17" s="45" customFormat="1" ht="16.5" x14ac:dyDescent="0.35">
      <c r="A153" s="24"/>
      <c r="B153" s="16"/>
      <c r="D153" s="32"/>
      <c r="E153" s="62"/>
      <c r="F153" s="32"/>
      <c r="G153" s="63"/>
      <c r="H153" s="63"/>
      <c r="I153" s="63"/>
      <c r="J153" s="63"/>
      <c r="K153" s="63"/>
      <c r="L153" s="63"/>
      <c r="M153" s="63"/>
      <c r="N153" s="64"/>
      <c r="O153" s="64"/>
      <c r="P153" s="64"/>
      <c r="Q153" s="64"/>
    </row>
    <row r="154" spans="1:17" s="45" customFormat="1" ht="16.5" x14ac:dyDescent="0.35">
      <c r="A154" s="24"/>
      <c r="B154" s="16"/>
      <c r="D154" s="32"/>
      <c r="E154" s="62"/>
      <c r="F154" s="32"/>
      <c r="G154" s="63"/>
      <c r="H154" s="63"/>
      <c r="I154" s="63"/>
      <c r="J154" s="63"/>
      <c r="K154" s="63"/>
      <c r="L154" s="63"/>
      <c r="M154" s="63"/>
      <c r="N154" s="64"/>
      <c r="O154" s="64"/>
      <c r="P154" s="64"/>
      <c r="Q154" s="64"/>
    </row>
    <row r="155" spans="1:17" s="45" customFormat="1" ht="16.5" x14ac:dyDescent="0.35">
      <c r="A155" s="24"/>
      <c r="B155" s="16"/>
      <c r="D155" s="19"/>
      <c r="E155" s="62"/>
      <c r="F155" s="19"/>
      <c r="G155" s="63"/>
      <c r="H155" s="63"/>
      <c r="I155" s="63"/>
      <c r="J155" s="63"/>
      <c r="K155" s="63"/>
      <c r="L155" s="63"/>
      <c r="M155" s="63"/>
      <c r="N155" s="64"/>
      <c r="O155" s="64"/>
      <c r="P155" s="64"/>
      <c r="Q155" s="64"/>
    </row>
    <row r="156" spans="1:17" s="45" customFormat="1" ht="16.5" x14ac:dyDescent="0.35">
      <c r="A156" s="24"/>
      <c r="B156" s="16"/>
      <c r="D156" s="19"/>
      <c r="E156" s="62"/>
      <c r="F156" s="19"/>
      <c r="G156" s="63"/>
      <c r="H156" s="63"/>
      <c r="I156" s="63"/>
      <c r="J156" s="63"/>
      <c r="K156" s="63"/>
      <c r="L156" s="63"/>
      <c r="M156" s="63"/>
      <c r="N156" s="64"/>
      <c r="O156" s="64"/>
      <c r="P156" s="64"/>
      <c r="Q156" s="64"/>
    </row>
    <row r="157" spans="1:17" s="45" customFormat="1" ht="16.5" x14ac:dyDescent="0.35">
      <c r="A157" s="24"/>
      <c r="B157" s="16"/>
      <c r="D157" s="19"/>
      <c r="E157" s="62"/>
      <c r="F157" s="19"/>
      <c r="G157" s="63"/>
      <c r="H157" s="63"/>
      <c r="I157" s="63"/>
      <c r="J157" s="63"/>
      <c r="K157" s="63"/>
      <c r="L157" s="63"/>
      <c r="M157" s="63"/>
      <c r="N157" s="64"/>
      <c r="O157" s="64"/>
      <c r="P157" s="64"/>
      <c r="Q157" s="64"/>
    </row>
    <row r="158" spans="1:17" s="45" customFormat="1" ht="16.5" x14ac:dyDescent="0.35">
      <c r="A158" s="24"/>
      <c r="B158" s="16"/>
      <c r="D158" s="19"/>
      <c r="E158" s="62"/>
      <c r="F158" s="19"/>
      <c r="G158" s="63"/>
      <c r="H158" s="63"/>
      <c r="I158" s="63"/>
      <c r="J158" s="63"/>
      <c r="K158" s="63"/>
      <c r="L158" s="63"/>
      <c r="M158" s="63"/>
      <c r="N158" s="64"/>
      <c r="O158" s="64"/>
      <c r="P158" s="64"/>
      <c r="Q158" s="64"/>
    </row>
    <row r="159" spans="1:17" s="45" customFormat="1" ht="16.5" x14ac:dyDescent="0.35">
      <c r="A159" s="24"/>
      <c r="B159" s="16"/>
      <c r="D159" s="19"/>
      <c r="E159" s="16"/>
      <c r="F159" s="19"/>
      <c r="L159" s="13"/>
      <c r="M159" s="13"/>
      <c r="N159" s="16"/>
      <c r="O159" s="16"/>
      <c r="P159" s="16"/>
      <c r="Q159" s="16"/>
    </row>
    <row r="160" spans="1:17" x14ac:dyDescent="0.35">
      <c r="E160" s="51"/>
      <c r="F160" s="47"/>
      <c r="L160" s="52"/>
      <c r="M160" s="52"/>
      <c r="N160" s="51"/>
      <c r="O160" s="51"/>
      <c r="P160" s="51"/>
      <c r="Q160" s="51"/>
    </row>
    <row r="161" spans="5:17" x14ac:dyDescent="0.35">
      <c r="E161" s="51"/>
      <c r="F161" s="47"/>
      <c r="L161" s="52"/>
      <c r="M161" s="52"/>
      <c r="N161" s="51"/>
      <c r="O161" s="51"/>
      <c r="P161" s="51"/>
      <c r="Q161" s="51"/>
    </row>
    <row r="162" spans="5:17" x14ac:dyDescent="0.35">
      <c r="E162" s="51"/>
      <c r="F162" s="47"/>
      <c r="L162" s="52"/>
      <c r="M162" s="52"/>
      <c r="N162" s="51"/>
      <c r="O162" s="51"/>
      <c r="P162" s="51"/>
      <c r="Q162" s="51"/>
    </row>
    <row r="163" spans="5:17" x14ac:dyDescent="0.35">
      <c r="E163" s="55"/>
      <c r="F163" s="47"/>
      <c r="G163" s="49"/>
      <c r="H163" s="49"/>
      <c r="I163" s="49"/>
      <c r="J163" s="49"/>
      <c r="K163" s="49"/>
      <c r="L163" s="49"/>
      <c r="M163" s="49"/>
      <c r="N163" s="55"/>
      <c r="O163" s="55"/>
      <c r="P163" s="55"/>
      <c r="Q163" s="55"/>
    </row>
    <row r="164" spans="5:17" x14ac:dyDescent="0.35">
      <c r="E164" s="56"/>
      <c r="F164" s="47"/>
      <c r="G164" s="57"/>
      <c r="H164" s="57"/>
      <c r="I164" s="57"/>
      <c r="J164" s="54"/>
      <c r="K164" s="54"/>
      <c r="L164" s="54"/>
      <c r="M164" s="54"/>
      <c r="N164" s="56"/>
      <c r="O164" s="56"/>
      <c r="P164" s="56"/>
      <c r="Q164" s="56"/>
    </row>
    <row r="165" spans="5:17" x14ac:dyDescent="0.35">
      <c r="E165" s="48"/>
      <c r="F165" s="47"/>
      <c r="G165" s="49"/>
      <c r="H165" s="49"/>
      <c r="I165" s="49"/>
      <c r="J165" s="49"/>
      <c r="K165" s="49"/>
      <c r="L165" s="49"/>
      <c r="M165" s="49"/>
      <c r="N165" s="60"/>
      <c r="O165" s="60"/>
      <c r="P165" s="60"/>
      <c r="Q165" s="60"/>
    </row>
    <row r="166" spans="5:17" x14ac:dyDescent="0.35">
      <c r="E166" s="48"/>
      <c r="F166" s="47"/>
      <c r="G166" s="49"/>
      <c r="H166" s="49"/>
      <c r="I166" s="49"/>
      <c r="J166" s="49"/>
      <c r="K166" s="49"/>
      <c r="L166" s="49"/>
      <c r="M166" s="49"/>
      <c r="N166" s="60"/>
      <c r="O166" s="60"/>
      <c r="P166" s="60"/>
      <c r="Q166" s="60"/>
    </row>
    <row r="167" spans="5:17" x14ac:dyDescent="0.35">
      <c r="E167" s="48"/>
      <c r="F167" s="47"/>
      <c r="G167" s="49"/>
      <c r="H167" s="49"/>
      <c r="I167" s="49"/>
      <c r="J167" s="49"/>
      <c r="K167" s="49"/>
      <c r="L167" s="49"/>
      <c r="M167" s="49"/>
      <c r="N167" s="60"/>
      <c r="O167" s="60"/>
      <c r="P167" s="60"/>
      <c r="Q167" s="60"/>
    </row>
    <row r="168" spans="5:17" x14ac:dyDescent="0.35">
      <c r="E168" s="48"/>
      <c r="F168" s="47"/>
      <c r="G168" s="49"/>
      <c r="H168" s="49"/>
      <c r="I168" s="49"/>
      <c r="J168" s="49"/>
      <c r="K168" s="49"/>
      <c r="L168" s="49"/>
      <c r="M168" s="49"/>
      <c r="N168" s="60"/>
      <c r="O168" s="60"/>
      <c r="P168" s="60"/>
      <c r="Q168" s="60"/>
    </row>
    <row r="169" spans="5:17" x14ac:dyDescent="0.35">
      <c r="E169" s="51"/>
      <c r="F169" s="47"/>
      <c r="G169" s="52"/>
      <c r="H169" s="52"/>
      <c r="I169" s="52"/>
      <c r="J169" s="52"/>
      <c r="K169" s="52"/>
      <c r="L169" s="52"/>
      <c r="M169" s="52"/>
      <c r="N169" s="50"/>
      <c r="O169" s="51"/>
      <c r="P169" s="51"/>
      <c r="Q169" s="51"/>
    </row>
    <row r="170" spans="5:17" x14ac:dyDescent="0.35">
      <c r="E170" s="51"/>
      <c r="F170" s="47"/>
      <c r="G170" s="52"/>
      <c r="H170" s="52"/>
      <c r="I170" s="52"/>
      <c r="J170" s="52"/>
      <c r="K170" s="52"/>
      <c r="L170" s="52"/>
      <c r="M170" s="52"/>
      <c r="N170" s="50"/>
      <c r="O170" s="51"/>
      <c r="P170" s="51"/>
      <c r="Q170" s="51"/>
    </row>
    <row r="171" spans="5:17" x14ac:dyDescent="0.35">
      <c r="E171" s="51"/>
      <c r="F171" s="47"/>
      <c r="G171" s="52"/>
      <c r="H171" s="52"/>
      <c r="I171" s="52"/>
      <c r="J171" s="52"/>
      <c r="K171" s="52"/>
      <c r="L171" s="52"/>
      <c r="M171" s="52"/>
      <c r="N171" s="50"/>
      <c r="O171" s="51"/>
      <c r="P171" s="51"/>
      <c r="Q171" s="51"/>
    </row>
    <row r="172" spans="5:17" x14ac:dyDescent="0.35">
      <c r="E172" s="51"/>
      <c r="F172" s="47"/>
      <c r="G172" s="52"/>
      <c r="H172" s="52"/>
      <c r="I172" s="52"/>
      <c r="J172" s="52"/>
      <c r="K172" s="52"/>
      <c r="L172" s="52"/>
      <c r="M172" s="52"/>
      <c r="N172" s="50"/>
      <c r="O172" s="51"/>
      <c r="P172" s="51"/>
      <c r="Q172" s="51"/>
    </row>
    <row r="173" spans="5:17" x14ac:dyDescent="0.35">
      <c r="E173" s="51"/>
      <c r="F173" s="47"/>
      <c r="I173" s="47"/>
      <c r="N173" s="51"/>
      <c r="O173" s="51"/>
      <c r="P173" s="51"/>
      <c r="Q173" s="51"/>
    </row>
    <row r="174" spans="5:17" x14ac:dyDescent="0.35">
      <c r="E174" s="51"/>
      <c r="F174" s="47"/>
      <c r="I174" s="47"/>
      <c r="N174" s="51"/>
      <c r="O174" s="51"/>
      <c r="P174" s="51"/>
      <c r="Q174" s="51"/>
    </row>
    <row r="175" spans="5:17" x14ac:dyDescent="0.35">
      <c r="E175" s="51"/>
      <c r="F175" s="47"/>
      <c r="I175" s="47"/>
      <c r="N175" s="51"/>
      <c r="O175" s="51"/>
      <c r="P175" s="51"/>
      <c r="Q175" s="51"/>
    </row>
    <row r="176" spans="5:17" x14ac:dyDescent="0.35">
      <c r="E176" s="51"/>
      <c r="F176" s="47"/>
      <c r="I176" s="47"/>
      <c r="N176" s="51"/>
      <c r="O176" s="51"/>
      <c r="P176" s="51"/>
      <c r="Q176" s="51"/>
    </row>
    <row r="177" spans="5:17" x14ac:dyDescent="0.35">
      <c r="E177" s="58"/>
      <c r="F177" s="47"/>
      <c r="G177" s="49"/>
      <c r="H177" s="49"/>
      <c r="I177" s="49"/>
      <c r="J177" s="49"/>
      <c r="K177" s="49"/>
      <c r="L177" s="49"/>
      <c r="M177" s="49"/>
      <c r="N177" s="50"/>
      <c r="O177" s="50"/>
      <c r="P177" s="50"/>
      <c r="Q177" s="50"/>
    </row>
    <row r="178" spans="5:17" x14ac:dyDescent="0.35">
      <c r="E178" s="58"/>
      <c r="F178" s="47"/>
      <c r="G178" s="49"/>
      <c r="H178" s="49"/>
      <c r="I178" s="49"/>
      <c r="J178" s="49"/>
      <c r="K178" s="49"/>
      <c r="L178" s="49"/>
      <c r="M178" s="49"/>
      <c r="N178" s="50"/>
      <c r="O178" s="50"/>
      <c r="P178" s="50"/>
      <c r="Q178" s="50"/>
    </row>
    <row r="179" spans="5:17" x14ac:dyDescent="0.35">
      <c r="E179" s="58"/>
      <c r="F179" s="47"/>
      <c r="G179" s="49"/>
      <c r="H179" s="49"/>
      <c r="I179" s="49"/>
      <c r="J179" s="49"/>
      <c r="K179" s="49"/>
      <c r="L179" s="49"/>
      <c r="M179" s="49"/>
      <c r="N179" s="50"/>
      <c r="O179" s="50"/>
      <c r="P179" s="50"/>
      <c r="Q179" s="50"/>
    </row>
    <row r="180" spans="5:17" x14ac:dyDescent="0.35">
      <c r="E180" s="48"/>
      <c r="F180" s="47"/>
      <c r="G180" s="49"/>
      <c r="H180" s="49"/>
      <c r="I180" s="49"/>
      <c r="J180" s="49"/>
      <c r="K180" s="49"/>
      <c r="L180" s="49"/>
      <c r="M180" s="49"/>
      <c r="N180" s="60"/>
      <c r="O180" s="60"/>
      <c r="P180" s="60"/>
      <c r="Q180" s="60"/>
    </row>
    <row r="181" spans="5:17" x14ac:dyDescent="0.35">
      <c r="E181" s="48"/>
      <c r="F181" s="47"/>
      <c r="G181" s="49"/>
      <c r="H181" s="49"/>
      <c r="I181" s="49"/>
      <c r="J181" s="49"/>
      <c r="K181" s="49"/>
      <c r="L181" s="49"/>
      <c r="M181" s="49"/>
      <c r="N181" s="60"/>
      <c r="O181" s="60"/>
      <c r="P181" s="60"/>
      <c r="Q181" s="60"/>
    </row>
    <row r="182" spans="5:17" x14ac:dyDescent="0.35">
      <c r="E182" s="48"/>
      <c r="F182" s="47"/>
      <c r="G182" s="49"/>
      <c r="H182" s="49"/>
      <c r="I182" s="49"/>
      <c r="J182" s="49"/>
      <c r="K182" s="49"/>
      <c r="L182" s="49"/>
      <c r="M182" s="49"/>
      <c r="N182" s="60"/>
      <c r="O182" s="60"/>
      <c r="P182" s="60"/>
      <c r="Q182" s="60"/>
    </row>
    <row r="183" spans="5:17" x14ac:dyDescent="0.35">
      <c r="E183" s="48"/>
      <c r="F183" s="47"/>
      <c r="G183" s="49"/>
      <c r="H183" s="49"/>
      <c r="I183" s="49"/>
      <c r="J183" s="49"/>
      <c r="K183" s="49"/>
      <c r="L183" s="49"/>
      <c r="M183" s="49"/>
      <c r="N183" s="60"/>
      <c r="O183" s="60"/>
      <c r="P183" s="60"/>
      <c r="Q183" s="60"/>
    </row>
    <row r="184" spans="5:17" x14ac:dyDescent="0.35">
      <c r="E184" s="48"/>
      <c r="F184" s="47"/>
      <c r="G184" s="49"/>
      <c r="H184" s="49"/>
      <c r="I184" s="49"/>
      <c r="J184" s="49"/>
      <c r="K184" s="49"/>
      <c r="L184" s="49"/>
      <c r="M184" s="49"/>
      <c r="N184" s="60"/>
      <c r="O184" s="60"/>
      <c r="P184" s="60"/>
      <c r="Q184" s="60"/>
    </row>
    <row r="185" spans="5:17" x14ac:dyDescent="0.35">
      <c r="E185" s="48"/>
      <c r="F185" s="47"/>
      <c r="G185" s="49"/>
      <c r="H185" s="49"/>
      <c r="I185" s="49"/>
      <c r="J185" s="49"/>
      <c r="K185" s="49"/>
      <c r="L185" s="49"/>
      <c r="M185" s="49"/>
      <c r="N185" s="60"/>
      <c r="O185" s="60"/>
      <c r="P185" s="60"/>
      <c r="Q185" s="60"/>
    </row>
    <row r="186" spans="5:17" x14ac:dyDescent="0.35">
      <c r="E186" s="48"/>
      <c r="F186" s="47"/>
      <c r="G186" s="49"/>
      <c r="H186" s="49"/>
      <c r="I186" s="49"/>
      <c r="J186" s="49"/>
      <c r="K186" s="49"/>
      <c r="L186" s="49"/>
      <c r="M186" s="49"/>
      <c r="N186" s="60"/>
      <c r="O186" s="60"/>
      <c r="P186" s="60"/>
      <c r="Q186" s="60"/>
    </row>
    <row r="187" spans="5:17" x14ac:dyDescent="0.35">
      <c r="E187" s="48"/>
      <c r="F187" s="47"/>
      <c r="G187" s="49"/>
      <c r="H187" s="49"/>
      <c r="I187" s="49"/>
      <c r="J187" s="49"/>
      <c r="K187" s="49"/>
      <c r="L187" s="49"/>
      <c r="M187" s="49"/>
      <c r="N187" s="60"/>
      <c r="O187" s="60"/>
      <c r="P187" s="60"/>
      <c r="Q187" s="60"/>
    </row>
    <row r="188" spans="5:17" x14ac:dyDescent="0.35">
      <c r="E188" s="48"/>
      <c r="F188" s="47"/>
      <c r="G188" s="49"/>
      <c r="H188" s="49"/>
      <c r="I188" s="49"/>
      <c r="J188" s="49"/>
      <c r="K188" s="49"/>
      <c r="L188" s="49"/>
      <c r="M188" s="49"/>
      <c r="N188" s="60"/>
      <c r="O188" s="60"/>
      <c r="P188" s="60"/>
      <c r="Q188" s="60"/>
    </row>
    <row r="189" spans="5:17" x14ac:dyDescent="0.35">
      <c r="E189" s="48"/>
      <c r="F189" s="47"/>
      <c r="G189" s="49"/>
      <c r="H189" s="49"/>
      <c r="I189" s="49"/>
      <c r="J189" s="49"/>
      <c r="K189" s="49"/>
      <c r="L189" s="49"/>
      <c r="M189" s="49"/>
      <c r="N189" s="60"/>
      <c r="O189" s="60"/>
      <c r="P189" s="60"/>
      <c r="Q189" s="60"/>
    </row>
    <row r="190" spans="5:17" x14ac:dyDescent="0.35">
      <c r="E190" s="48"/>
      <c r="F190" s="47"/>
      <c r="G190" s="49"/>
      <c r="H190" s="49"/>
      <c r="I190" s="49"/>
      <c r="J190" s="49"/>
      <c r="K190" s="49"/>
      <c r="L190" s="49"/>
      <c r="M190" s="49"/>
      <c r="N190" s="60"/>
      <c r="O190" s="60"/>
      <c r="P190" s="60"/>
      <c r="Q190" s="60"/>
    </row>
    <row r="191" spans="5:17" x14ac:dyDescent="0.35">
      <c r="E191" s="48"/>
      <c r="F191" s="47"/>
      <c r="G191" s="49"/>
      <c r="H191" s="49"/>
      <c r="I191" s="49"/>
      <c r="J191" s="49"/>
      <c r="K191" s="49"/>
      <c r="L191" s="49"/>
      <c r="M191" s="49"/>
      <c r="N191" s="60"/>
      <c r="O191" s="60"/>
      <c r="P191" s="60"/>
      <c r="Q191" s="60"/>
    </row>
    <row r="192" spans="5:17" x14ac:dyDescent="0.35">
      <c r="E192" s="48"/>
      <c r="F192" s="47"/>
      <c r="G192" s="49"/>
      <c r="H192" s="49"/>
      <c r="I192" s="49"/>
      <c r="J192" s="49"/>
      <c r="K192" s="49"/>
      <c r="L192" s="49"/>
      <c r="M192" s="49"/>
      <c r="N192" s="60"/>
      <c r="O192" s="60"/>
      <c r="P192" s="60"/>
      <c r="Q192" s="60"/>
    </row>
    <row r="193" spans="4:17" x14ac:dyDescent="0.35">
      <c r="E193" s="48"/>
      <c r="F193" s="47"/>
      <c r="G193" s="49"/>
      <c r="H193" s="49"/>
      <c r="I193" s="49"/>
      <c r="J193" s="49"/>
      <c r="K193" s="49"/>
      <c r="L193" s="49"/>
      <c r="M193" s="49"/>
      <c r="N193" s="60"/>
      <c r="O193" s="60"/>
      <c r="P193" s="60"/>
      <c r="Q193" s="60"/>
    </row>
    <row r="194" spans="4:17" x14ac:dyDescent="0.35">
      <c r="E194" s="48"/>
      <c r="F194" s="47"/>
      <c r="G194" s="49"/>
      <c r="H194" s="49"/>
      <c r="I194" s="49"/>
      <c r="J194" s="49"/>
      <c r="K194" s="49"/>
      <c r="L194" s="49"/>
      <c r="M194" s="49"/>
      <c r="N194" s="60"/>
      <c r="O194" s="60"/>
      <c r="P194" s="60"/>
      <c r="Q194" s="60"/>
    </row>
    <row r="195" spans="4:17" x14ac:dyDescent="0.35">
      <c r="E195" s="48"/>
      <c r="F195" s="47"/>
      <c r="G195" s="49"/>
      <c r="H195" s="49"/>
      <c r="I195" s="49"/>
      <c r="J195" s="49"/>
      <c r="K195" s="49"/>
      <c r="L195" s="49"/>
      <c r="M195" s="49"/>
      <c r="N195" s="60"/>
      <c r="O195" s="60"/>
      <c r="P195" s="60"/>
      <c r="Q195" s="60"/>
    </row>
    <row r="196" spans="4:17" x14ac:dyDescent="0.35">
      <c r="D196" s="53"/>
      <c r="E196" s="48"/>
      <c r="F196" s="53"/>
      <c r="G196" s="49"/>
      <c r="H196" s="49"/>
      <c r="I196" s="49"/>
      <c r="J196" s="49"/>
      <c r="K196" s="49"/>
      <c r="L196" s="49"/>
      <c r="M196" s="49"/>
      <c r="N196" s="60"/>
      <c r="O196" s="60"/>
      <c r="P196" s="60"/>
      <c r="Q196" s="60"/>
    </row>
    <row r="197" spans="4:17" x14ac:dyDescent="0.35">
      <c r="D197" s="53"/>
      <c r="E197" s="48"/>
      <c r="F197" s="53"/>
      <c r="G197" s="49"/>
      <c r="H197" s="49"/>
      <c r="I197" s="49"/>
      <c r="J197" s="49"/>
      <c r="K197" s="49"/>
      <c r="L197" s="49"/>
      <c r="M197" s="49"/>
      <c r="N197" s="60"/>
      <c r="O197" s="60"/>
      <c r="P197" s="60"/>
      <c r="Q197" s="60"/>
    </row>
    <row r="198" spans="4:17" x14ac:dyDescent="0.35">
      <c r="D198" s="53"/>
      <c r="E198" s="48"/>
      <c r="F198" s="53"/>
      <c r="G198" s="49"/>
      <c r="H198" s="49"/>
      <c r="I198" s="49"/>
      <c r="J198" s="49"/>
      <c r="K198" s="49"/>
      <c r="L198" s="49"/>
      <c r="M198" s="49"/>
      <c r="N198" s="60"/>
      <c r="O198" s="60"/>
      <c r="P198" s="60"/>
      <c r="Q198" s="60"/>
    </row>
    <row r="199" spans="4:17" x14ac:dyDescent="0.35">
      <c r="D199" s="53"/>
      <c r="E199" s="48"/>
      <c r="F199" s="53"/>
      <c r="G199" s="49"/>
      <c r="H199" s="49"/>
      <c r="I199" s="49"/>
      <c r="J199" s="49"/>
      <c r="K199" s="49"/>
      <c r="L199" s="49"/>
      <c r="M199" s="49"/>
      <c r="N199" s="60"/>
      <c r="O199" s="60"/>
      <c r="P199" s="60"/>
      <c r="Q199" s="60"/>
    </row>
  </sheetData>
  <mergeCells count="481">
    <mergeCell ref="M115:M119"/>
    <mergeCell ref="N115:N119"/>
    <mergeCell ref="O115:O119"/>
    <mergeCell ref="P115:P119"/>
    <mergeCell ref="Q115:Q119"/>
    <mergeCell ref="H115:H119"/>
    <mergeCell ref="I115:I119"/>
    <mergeCell ref="J115:J119"/>
    <mergeCell ref="K115:K119"/>
    <mergeCell ref="L115:L119"/>
    <mergeCell ref="C112:C114"/>
    <mergeCell ref="D112:D114"/>
    <mergeCell ref="E112:E114"/>
    <mergeCell ref="F112:F114"/>
    <mergeCell ref="G112:G114"/>
    <mergeCell ref="C115:C119"/>
    <mergeCell ref="D115:D119"/>
    <mergeCell ref="E115:E119"/>
    <mergeCell ref="F115:F119"/>
    <mergeCell ref="G115:G119"/>
    <mergeCell ref="Q109:Q111"/>
    <mergeCell ref="H109:H111"/>
    <mergeCell ref="I109:I111"/>
    <mergeCell ref="J109:J111"/>
    <mergeCell ref="K109:K111"/>
    <mergeCell ref="L109:L111"/>
    <mergeCell ref="Q112:Q114"/>
    <mergeCell ref="H112:H114"/>
    <mergeCell ref="I112:I114"/>
    <mergeCell ref="J112:J114"/>
    <mergeCell ref="K112:K114"/>
    <mergeCell ref="L112:L114"/>
    <mergeCell ref="M112:M114"/>
    <mergeCell ref="N112:N114"/>
    <mergeCell ref="O112:O114"/>
    <mergeCell ref="P112:P114"/>
    <mergeCell ref="C109:C111"/>
    <mergeCell ref="D109:D111"/>
    <mergeCell ref="E109:E111"/>
    <mergeCell ref="F109:F111"/>
    <mergeCell ref="G109:G111"/>
    <mergeCell ref="M109:M111"/>
    <mergeCell ref="N109:N111"/>
    <mergeCell ref="O109:O111"/>
    <mergeCell ref="P109:P111"/>
    <mergeCell ref="M103:M106"/>
    <mergeCell ref="N103:N106"/>
    <mergeCell ref="O103:O106"/>
    <mergeCell ref="P103:P106"/>
    <mergeCell ref="Q103:Q106"/>
    <mergeCell ref="H103:H106"/>
    <mergeCell ref="I103:I106"/>
    <mergeCell ref="J103:J106"/>
    <mergeCell ref="K103:K106"/>
    <mergeCell ref="L103:L106"/>
    <mergeCell ref="C99:C102"/>
    <mergeCell ref="D99:D102"/>
    <mergeCell ref="E99:E102"/>
    <mergeCell ref="F99:F102"/>
    <mergeCell ref="G99:G102"/>
    <mergeCell ref="C103:C106"/>
    <mergeCell ref="D103:D106"/>
    <mergeCell ref="E103:E106"/>
    <mergeCell ref="F103:F106"/>
    <mergeCell ref="G103:G106"/>
    <mergeCell ref="Q95:Q98"/>
    <mergeCell ref="H95:H98"/>
    <mergeCell ref="I95:I98"/>
    <mergeCell ref="J95:J98"/>
    <mergeCell ref="K95:K98"/>
    <mergeCell ref="L95:L98"/>
    <mergeCell ref="Q99:Q102"/>
    <mergeCell ref="H99:H102"/>
    <mergeCell ref="I99:I102"/>
    <mergeCell ref="J99:J102"/>
    <mergeCell ref="K99:K102"/>
    <mergeCell ref="L99:L102"/>
    <mergeCell ref="M99:M102"/>
    <mergeCell ref="N99:N102"/>
    <mergeCell ref="O99:O102"/>
    <mergeCell ref="P99:P102"/>
    <mergeCell ref="C95:C98"/>
    <mergeCell ref="D95:D98"/>
    <mergeCell ref="E95:E98"/>
    <mergeCell ref="F95:F98"/>
    <mergeCell ref="G95:G98"/>
    <mergeCell ref="M95:M98"/>
    <mergeCell ref="N95:N98"/>
    <mergeCell ref="O95:O98"/>
    <mergeCell ref="P95:P98"/>
    <mergeCell ref="M92:M94"/>
    <mergeCell ref="N92:N94"/>
    <mergeCell ref="O92:O94"/>
    <mergeCell ref="P92:P94"/>
    <mergeCell ref="Q92:Q94"/>
    <mergeCell ref="H92:H94"/>
    <mergeCell ref="I92:I94"/>
    <mergeCell ref="J92:J94"/>
    <mergeCell ref="K92:K94"/>
    <mergeCell ref="L92:L94"/>
    <mergeCell ref="C89:C91"/>
    <mergeCell ref="D89:D91"/>
    <mergeCell ref="E89:E91"/>
    <mergeCell ref="F89:F91"/>
    <mergeCell ref="G89:G91"/>
    <mergeCell ref="C92:C94"/>
    <mergeCell ref="D92:D94"/>
    <mergeCell ref="E92:E94"/>
    <mergeCell ref="F92:F94"/>
    <mergeCell ref="G92:G94"/>
    <mergeCell ref="Q85:Q88"/>
    <mergeCell ref="H85:H88"/>
    <mergeCell ref="I85:I88"/>
    <mergeCell ref="J85:J88"/>
    <mergeCell ref="K85:K88"/>
    <mergeCell ref="L85:L88"/>
    <mergeCell ref="Q89:Q91"/>
    <mergeCell ref="H89:H91"/>
    <mergeCell ref="I89:I91"/>
    <mergeCell ref="J89:J91"/>
    <mergeCell ref="K89:K91"/>
    <mergeCell ref="L89:L91"/>
    <mergeCell ref="M89:M91"/>
    <mergeCell ref="N89:N91"/>
    <mergeCell ref="O89:O91"/>
    <mergeCell ref="P89:P91"/>
    <mergeCell ref="C85:C88"/>
    <mergeCell ref="D85:D88"/>
    <mergeCell ref="E85:E88"/>
    <mergeCell ref="F85:F88"/>
    <mergeCell ref="G85:G88"/>
    <mergeCell ref="M81:M84"/>
    <mergeCell ref="N81:N84"/>
    <mergeCell ref="O81:O84"/>
    <mergeCell ref="P81:P84"/>
    <mergeCell ref="M85:M88"/>
    <mergeCell ref="N85:N88"/>
    <mergeCell ref="O85:O88"/>
    <mergeCell ref="P85:P88"/>
    <mergeCell ref="Q81:Q84"/>
    <mergeCell ref="H81:H84"/>
    <mergeCell ref="I81:I84"/>
    <mergeCell ref="J81:J84"/>
    <mergeCell ref="K81:K84"/>
    <mergeCell ref="L81:L84"/>
    <mergeCell ref="C81:C84"/>
    <mergeCell ref="D81:D84"/>
    <mergeCell ref="E81:E84"/>
    <mergeCell ref="F81:F84"/>
    <mergeCell ref="G81:G84"/>
    <mergeCell ref="Q74:Q77"/>
    <mergeCell ref="H74:H77"/>
    <mergeCell ref="I74:I77"/>
    <mergeCell ref="J74:J77"/>
    <mergeCell ref="K74:K77"/>
    <mergeCell ref="L74:L77"/>
    <mergeCell ref="C78:C80"/>
    <mergeCell ref="D78:D80"/>
    <mergeCell ref="E78:E80"/>
    <mergeCell ref="F78:F80"/>
    <mergeCell ref="G78:G80"/>
    <mergeCell ref="M78:M80"/>
    <mergeCell ref="N78:N80"/>
    <mergeCell ref="O78:O80"/>
    <mergeCell ref="P78:P80"/>
    <mergeCell ref="Q78:Q80"/>
    <mergeCell ref="H78:H80"/>
    <mergeCell ref="I78:I80"/>
    <mergeCell ref="J78:J80"/>
    <mergeCell ref="K78:K80"/>
    <mergeCell ref="L78:L80"/>
    <mergeCell ref="C74:C77"/>
    <mergeCell ref="D74:D77"/>
    <mergeCell ref="E74:E77"/>
    <mergeCell ref="F74:F77"/>
    <mergeCell ref="G74:G77"/>
    <mergeCell ref="M70:M73"/>
    <mergeCell ref="N70:N73"/>
    <mergeCell ref="O70:O73"/>
    <mergeCell ref="P70:P73"/>
    <mergeCell ref="M74:M77"/>
    <mergeCell ref="N74:N77"/>
    <mergeCell ref="O74:O77"/>
    <mergeCell ref="P74:P77"/>
    <mergeCell ref="Q70:Q73"/>
    <mergeCell ref="H70:H73"/>
    <mergeCell ref="I70:I73"/>
    <mergeCell ref="J70:J73"/>
    <mergeCell ref="K70:K73"/>
    <mergeCell ref="L70:L73"/>
    <mergeCell ref="C70:C73"/>
    <mergeCell ref="D70:D73"/>
    <mergeCell ref="E70:E73"/>
    <mergeCell ref="F70:F73"/>
    <mergeCell ref="G70:G73"/>
    <mergeCell ref="M67:M69"/>
    <mergeCell ref="N67:N69"/>
    <mergeCell ref="O67:O69"/>
    <mergeCell ref="P67:P69"/>
    <mergeCell ref="Q67:Q69"/>
    <mergeCell ref="H67:H69"/>
    <mergeCell ref="I67:I69"/>
    <mergeCell ref="J67:J69"/>
    <mergeCell ref="K67:K69"/>
    <mergeCell ref="L67:L69"/>
    <mergeCell ref="C63:C66"/>
    <mergeCell ref="D63:D66"/>
    <mergeCell ref="E63:E66"/>
    <mergeCell ref="F63:F66"/>
    <mergeCell ref="G63:G66"/>
    <mergeCell ref="C67:C69"/>
    <mergeCell ref="D67:D69"/>
    <mergeCell ref="E67:E69"/>
    <mergeCell ref="F67:F69"/>
    <mergeCell ref="G67:G69"/>
    <mergeCell ref="Q60:Q62"/>
    <mergeCell ref="H60:H62"/>
    <mergeCell ref="I60:I62"/>
    <mergeCell ref="J60:J62"/>
    <mergeCell ref="K60:K62"/>
    <mergeCell ref="L60:L62"/>
    <mergeCell ref="Q63:Q66"/>
    <mergeCell ref="H63:H66"/>
    <mergeCell ref="I63:I66"/>
    <mergeCell ref="J63:J66"/>
    <mergeCell ref="K63:K66"/>
    <mergeCell ref="L63:L66"/>
    <mergeCell ref="M63:M66"/>
    <mergeCell ref="N63:N66"/>
    <mergeCell ref="O63:O66"/>
    <mergeCell ref="P63:P66"/>
    <mergeCell ref="C60:C62"/>
    <mergeCell ref="D60:D62"/>
    <mergeCell ref="E60:E62"/>
    <mergeCell ref="F60:F62"/>
    <mergeCell ref="G60:G62"/>
    <mergeCell ref="M60:M62"/>
    <mergeCell ref="N60:N62"/>
    <mergeCell ref="O60:O62"/>
    <mergeCell ref="P60:P62"/>
    <mergeCell ref="M57:M59"/>
    <mergeCell ref="N57:N59"/>
    <mergeCell ref="O57:O59"/>
    <mergeCell ref="P57:P59"/>
    <mergeCell ref="Q57:Q59"/>
    <mergeCell ref="H57:H59"/>
    <mergeCell ref="I57:I59"/>
    <mergeCell ref="J57:J59"/>
    <mergeCell ref="K57:K59"/>
    <mergeCell ref="L57:L59"/>
    <mergeCell ref="C54:C56"/>
    <mergeCell ref="D54:D56"/>
    <mergeCell ref="E54:E56"/>
    <mergeCell ref="F54:F56"/>
    <mergeCell ref="G54:G56"/>
    <mergeCell ref="C57:C59"/>
    <mergeCell ref="D57:D59"/>
    <mergeCell ref="E57:E59"/>
    <mergeCell ref="F57:F59"/>
    <mergeCell ref="G57:G59"/>
    <mergeCell ref="Q50:Q53"/>
    <mergeCell ref="H50:H53"/>
    <mergeCell ref="I50:I53"/>
    <mergeCell ref="J50:J53"/>
    <mergeCell ref="K50:K53"/>
    <mergeCell ref="L50:L53"/>
    <mergeCell ref="Q54:Q56"/>
    <mergeCell ref="H54:H56"/>
    <mergeCell ref="I54:I56"/>
    <mergeCell ref="J54:J56"/>
    <mergeCell ref="K54:K56"/>
    <mergeCell ref="L54:L56"/>
    <mergeCell ref="M54:M56"/>
    <mergeCell ref="N54:N56"/>
    <mergeCell ref="O54:O56"/>
    <mergeCell ref="P54:P56"/>
    <mergeCell ref="Q43:Q45"/>
    <mergeCell ref="C47:C49"/>
    <mergeCell ref="D47:D49"/>
    <mergeCell ref="E47:E49"/>
    <mergeCell ref="F47:F49"/>
    <mergeCell ref="G47:G49"/>
    <mergeCell ref="H47:H49"/>
    <mergeCell ref="I47:I49"/>
    <mergeCell ref="J47:J49"/>
    <mergeCell ref="K47:K49"/>
    <mergeCell ref="L47:L49"/>
    <mergeCell ref="M47:M49"/>
    <mergeCell ref="N47:N49"/>
    <mergeCell ref="O47:O49"/>
    <mergeCell ref="P47:P49"/>
    <mergeCell ref="Q47:Q49"/>
    <mergeCell ref="L43:L45"/>
    <mergeCell ref="M43:M45"/>
    <mergeCell ref="N43:N45"/>
    <mergeCell ref="G43:G45"/>
    <mergeCell ref="H43:H45"/>
    <mergeCell ref="I43:I45"/>
    <mergeCell ref="J43:J45"/>
    <mergeCell ref="K43:K45"/>
    <mergeCell ref="C40:C42"/>
    <mergeCell ref="C43:C45"/>
    <mergeCell ref="D43:D45"/>
    <mergeCell ref="E43:E45"/>
    <mergeCell ref="F43:F45"/>
    <mergeCell ref="N40:N42"/>
    <mergeCell ref="O40:O42"/>
    <mergeCell ref="P40:P42"/>
    <mergeCell ref="C50:C53"/>
    <mergeCell ref="D50:D53"/>
    <mergeCell ref="E50:E53"/>
    <mergeCell ref="F50:F53"/>
    <mergeCell ref="G50:G53"/>
    <mergeCell ref="M50:M53"/>
    <mergeCell ref="N50:N53"/>
    <mergeCell ref="O50:O53"/>
    <mergeCell ref="P50:P53"/>
    <mergeCell ref="D40:D42"/>
    <mergeCell ref="E40:E42"/>
    <mergeCell ref="F40:F42"/>
    <mergeCell ref="G40:G42"/>
    <mergeCell ref="H40:H42"/>
    <mergeCell ref="O43:O45"/>
    <mergeCell ref="P43:P45"/>
    <mergeCell ref="Q36:Q39"/>
    <mergeCell ref="H36:H39"/>
    <mergeCell ref="I36:I39"/>
    <mergeCell ref="J36:J39"/>
    <mergeCell ref="K36:K39"/>
    <mergeCell ref="L36:L39"/>
    <mergeCell ref="Q40:Q42"/>
    <mergeCell ref="I40:I42"/>
    <mergeCell ref="J40:J42"/>
    <mergeCell ref="K40:K42"/>
    <mergeCell ref="L40:L42"/>
    <mergeCell ref="M40:M42"/>
    <mergeCell ref="C36:C39"/>
    <mergeCell ref="D36:D39"/>
    <mergeCell ref="E36:E39"/>
    <mergeCell ref="F36:F39"/>
    <mergeCell ref="G36:G39"/>
    <mergeCell ref="M33:M35"/>
    <mergeCell ref="N33:N35"/>
    <mergeCell ref="O33:O35"/>
    <mergeCell ref="P33:P35"/>
    <mergeCell ref="M36:M39"/>
    <mergeCell ref="N36:N39"/>
    <mergeCell ref="O36:O39"/>
    <mergeCell ref="P36:P39"/>
    <mergeCell ref="Q33:Q35"/>
    <mergeCell ref="H33:H35"/>
    <mergeCell ref="I33:I35"/>
    <mergeCell ref="J33:J35"/>
    <mergeCell ref="K33:K35"/>
    <mergeCell ref="L33:L35"/>
    <mergeCell ref="C33:C35"/>
    <mergeCell ref="D33:D35"/>
    <mergeCell ref="E33:E35"/>
    <mergeCell ref="F33:F35"/>
    <mergeCell ref="G33:G35"/>
    <mergeCell ref="M28:M30"/>
    <mergeCell ref="N28:N30"/>
    <mergeCell ref="O28:O30"/>
    <mergeCell ref="P28:P30"/>
    <mergeCell ref="Q28:Q30"/>
    <mergeCell ref="H28:H30"/>
    <mergeCell ref="I28:I30"/>
    <mergeCell ref="J28:J30"/>
    <mergeCell ref="K28:K30"/>
    <mergeCell ref="L28:L30"/>
    <mergeCell ref="C25:C27"/>
    <mergeCell ref="D25:D27"/>
    <mergeCell ref="E25:E27"/>
    <mergeCell ref="F25:F27"/>
    <mergeCell ref="G25:G27"/>
    <mergeCell ref="C28:C30"/>
    <mergeCell ref="D28:D30"/>
    <mergeCell ref="E28:E30"/>
    <mergeCell ref="F28:F30"/>
    <mergeCell ref="G28:G30"/>
    <mergeCell ref="Q22:Q24"/>
    <mergeCell ref="H22:H24"/>
    <mergeCell ref="I22:I24"/>
    <mergeCell ref="J22:J24"/>
    <mergeCell ref="K22:K24"/>
    <mergeCell ref="L22:L24"/>
    <mergeCell ref="Q25:Q27"/>
    <mergeCell ref="H25:H27"/>
    <mergeCell ref="I25:I27"/>
    <mergeCell ref="J25:J27"/>
    <mergeCell ref="K25:K27"/>
    <mergeCell ref="L25:L27"/>
    <mergeCell ref="M25:M27"/>
    <mergeCell ref="N25:N27"/>
    <mergeCell ref="O25:O27"/>
    <mergeCell ref="P25:P27"/>
    <mergeCell ref="C22:C24"/>
    <mergeCell ref="D22:D24"/>
    <mergeCell ref="E22:E24"/>
    <mergeCell ref="F22:F24"/>
    <mergeCell ref="G22:G24"/>
    <mergeCell ref="M18:M21"/>
    <mergeCell ref="N18:N21"/>
    <mergeCell ref="O18:O21"/>
    <mergeCell ref="P18:P21"/>
    <mergeCell ref="M22:M24"/>
    <mergeCell ref="N22:N24"/>
    <mergeCell ref="O22:O24"/>
    <mergeCell ref="P22:P24"/>
    <mergeCell ref="Q18:Q21"/>
    <mergeCell ref="H18:H21"/>
    <mergeCell ref="I18:I21"/>
    <mergeCell ref="J18:J21"/>
    <mergeCell ref="K18:K21"/>
    <mergeCell ref="L18:L21"/>
    <mergeCell ref="C18:C21"/>
    <mergeCell ref="D18:D21"/>
    <mergeCell ref="E18:E21"/>
    <mergeCell ref="F18:F21"/>
    <mergeCell ref="G18:G21"/>
    <mergeCell ref="M11:M13"/>
    <mergeCell ref="E11:E13"/>
    <mergeCell ref="N11:N13"/>
    <mergeCell ref="O11:O13"/>
    <mergeCell ref="P11:P13"/>
    <mergeCell ref="Q11:Q13"/>
    <mergeCell ref="C15:C17"/>
    <mergeCell ref="D15:D17"/>
    <mergeCell ref="E15:E17"/>
    <mergeCell ref="F15:F17"/>
    <mergeCell ref="G15:G17"/>
    <mergeCell ref="M15:M17"/>
    <mergeCell ref="N15:N17"/>
    <mergeCell ref="O15:O17"/>
    <mergeCell ref="P15:P17"/>
    <mergeCell ref="Q15:Q17"/>
    <mergeCell ref="H15:H17"/>
    <mergeCell ref="I15:I17"/>
    <mergeCell ref="J15:J17"/>
    <mergeCell ref="K15:K17"/>
    <mergeCell ref="L15:L17"/>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B165:B199 B119:B163 B17 B21 B24 B39 B49 B56 B59 B62 B66 B69 B73 B77 B80 B84 B88 B91 B94 B98 B102 B111 B114 B3 B27 B35 B30:B32 B42 B46 B53 B106:B108 B13:B14</xm:sqref>
        </x14:dataValidation>
        <x14:dataValidation type="list" allowBlank="1" showInputMessage="1" showErrorMessage="1" xr:uid="{C9DFEA4C-E456-40FA-A0B8-26962CF02348}">
          <x14:formula1>
            <xm:f>'Paso 3 Redacción RA '!$I$3:$I$15</xm:f>
          </x14:formula1>
          <xm:sqref>B11:B12 B15:B16 B18:B20 B22:B23 B25:B26 B28:B29 B33:B34 B36:B38 B40:B41 B43:B44 B47:B48 B50:B52 B54:B55 B57:B58 B60:B61 B63:B65 B67:B68 B70:B72 B74:B76 B78:B79 B81:B83 B85:B87 B89:B90 B92:B93 B95:B97 B99:B101 B103:B105 B109:B110 B112:B113 B115:B118 B4:B9</xm:sqref>
        </x14:dataValidation>
        <x14:dataValidation type="list" allowBlank="1" showInputMessage="1" showErrorMessage="1" xr:uid="{30DD22C5-FBF6-44B0-BCFD-32788D298910}">
          <x14:formula1>
            <xm:f>'Paso 3 Redacción RA '!$I$1:$I$15</xm:f>
          </x14:formula1>
          <xm:sqref>B10 B45:B46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344</v>
      </c>
    </row>
    <row r="2" spans="2:2" ht="16.5" x14ac:dyDescent="0.5">
      <c r="B2" s="1" t="s">
        <v>345</v>
      </c>
    </row>
    <row r="3" spans="2:2" ht="16.5" x14ac:dyDescent="0.5">
      <c r="B3" s="1" t="s">
        <v>346</v>
      </c>
    </row>
    <row r="4" spans="2:2" ht="16.5" x14ac:dyDescent="0.5">
      <c r="B4" s="1" t="s">
        <v>65</v>
      </c>
    </row>
    <row r="5" spans="2:2" ht="16.5" x14ac:dyDescent="0.5">
      <c r="B5" s="1" t="s">
        <v>61</v>
      </c>
    </row>
    <row r="6" spans="2:2" ht="16.5" x14ac:dyDescent="0.5">
      <c r="B6" s="1" t="s">
        <v>347</v>
      </c>
    </row>
    <row r="7" spans="2:2" ht="16.5" x14ac:dyDescent="0.5">
      <c r="B7" s="1" t="s">
        <v>348</v>
      </c>
    </row>
    <row r="8" spans="2:2" ht="16.5" x14ac:dyDescent="0.5">
      <c r="B8" s="1" t="s">
        <v>349</v>
      </c>
    </row>
    <row r="9" spans="2:2" ht="16.5" x14ac:dyDescent="0.5">
      <c r="B9" s="1" t="s">
        <v>350</v>
      </c>
    </row>
    <row r="10" spans="2:2" ht="16.5" x14ac:dyDescent="0.5">
      <c r="B10" s="1" t="s">
        <v>351</v>
      </c>
    </row>
    <row r="11" spans="2:2" ht="16.5" x14ac:dyDescent="0.5">
      <c r="B11" s="1" t="s">
        <v>352</v>
      </c>
    </row>
    <row r="12" spans="2:2" ht="16.5" x14ac:dyDescent="0.5">
      <c r="B12" s="1" t="s">
        <v>353</v>
      </c>
    </row>
    <row r="13" spans="2:2" ht="16.5" x14ac:dyDescent="0.5">
      <c r="B13" s="1" t="s">
        <v>354</v>
      </c>
    </row>
    <row r="14" spans="2:2" ht="16.5" x14ac:dyDescent="0.5">
      <c r="B14" s="1" t="s">
        <v>100</v>
      </c>
    </row>
    <row r="15" spans="2:2" ht="16.5" x14ac:dyDescent="0.5">
      <c r="B15" s="1" t="s">
        <v>355</v>
      </c>
    </row>
    <row r="16" spans="2:2" ht="16.5" x14ac:dyDescent="0.5">
      <c r="B16" s="1" t="s">
        <v>356</v>
      </c>
    </row>
    <row r="17" spans="2:2" ht="16.5" x14ac:dyDescent="0.5">
      <c r="B17" s="1" t="s">
        <v>357</v>
      </c>
    </row>
    <row r="18" spans="2:2" ht="16.5" x14ac:dyDescent="0.5">
      <c r="B18" s="1" t="s">
        <v>92</v>
      </c>
    </row>
    <row r="19" spans="2:2" ht="16.5" x14ac:dyDescent="0.5">
      <c r="B19" s="1" t="s">
        <v>358</v>
      </c>
    </row>
    <row r="20" spans="2:2" ht="16.5" x14ac:dyDescent="0.5">
      <c r="B20" s="1" t="s">
        <v>359</v>
      </c>
    </row>
    <row r="21" spans="2:2" ht="16.5" x14ac:dyDescent="0.5">
      <c r="B21" s="1" t="s">
        <v>63</v>
      </c>
    </row>
    <row r="22" spans="2:2" ht="16.5" x14ac:dyDescent="0.5">
      <c r="B22" s="1" t="s">
        <v>360</v>
      </c>
    </row>
    <row r="23" spans="2:2" ht="16.5" x14ac:dyDescent="0.5">
      <c r="B23" s="1" t="s">
        <v>56</v>
      </c>
    </row>
    <row r="24" spans="2:2" ht="16.5" x14ac:dyDescent="0.5">
      <c r="B24" s="1" t="s">
        <v>361</v>
      </c>
    </row>
    <row r="25" spans="2:2" ht="16.5" x14ac:dyDescent="0.5">
      <c r="B25" s="1" t="s">
        <v>362</v>
      </c>
    </row>
    <row r="26" spans="2:2" ht="16.5" x14ac:dyDescent="0.5">
      <c r="B26" s="1" t="s">
        <v>363</v>
      </c>
    </row>
    <row r="27" spans="2:2" ht="16.5" x14ac:dyDescent="0.5">
      <c r="B27" s="1" t="s">
        <v>364</v>
      </c>
    </row>
    <row r="28" spans="2:2" ht="16.5" x14ac:dyDescent="0.5">
      <c r="B28" s="1" t="s">
        <v>365</v>
      </c>
    </row>
    <row r="29" spans="2:2" ht="16.5" x14ac:dyDescent="0.5">
      <c r="B29" s="1" t="s">
        <v>59</v>
      </c>
    </row>
    <row r="30" spans="2:2" ht="16.5" x14ac:dyDescent="0.5">
      <c r="B30" s="1" t="s">
        <v>366</v>
      </c>
    </row>
    <row r="31" spans="2:2" ht="16.5" x14ac:dyDescent="0.5">
      <c r="B31" s="1" t="s">
        <v>367</v>
      </c>
    </row>
    <row r="32" spans="2:2" ht="16.5" x14ac:dyDescent="0.5">
      <c r="B32" s="1" t="s">
        <v>368</v>
      </c>
    </row>
    <row r="33" spans="2:2" ht="16.5" x14ac:dyDescent="0.5">
      <c r="B33" s="1" t="s">
        <v>369</v>
      </c>
    </row>
    <row r="34" spans="2:2" ht="16.5" x14ac:dyDescent="0.5">
      <c r="B34" s="1" t="s">
        <v>370</v>
      </c>
    </row>
    <row r="35" spans="2:2" ht="16.5" x14ac:dyDescent="0.5">
      <c r="B35" s="1" t="s">
        <v>371</v>
      </c>
    </row>
    <row r="36" spans="2:2" ht="16.5" x14ac:dyDescent="0.5">
      <c r="B36" s="1" t="s">
        <v>372</v>
      </c>
    </row>
    <row r="37" spans="2:2" ht="16.5" x14ac:dyDescent="0.5">
      <c r="B37" s="1" t="s">
        <v>373</v>
      </c>
    </row>
    <row r="38" spans="2:2" ht="16.5" x14ac:dyDescent="0.5">
      <c r="B38" s="1" t="s">
        <v>374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E1" zoomScale="66" workbookViewId="0">
      <selection activeCell="R16" sqref="R16"/>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8" t="s">
        <v>375</v>
      </c>
      <c r="T1" s="178"/>
      <c r="U1" s="178"/>
      <c r="V1" s="178"/>
      <c r="W1" s="178"/>
      <c r="X1" s="178"/>
      <c r="Y1" s="178"/>
      <c r="Z1" s="178"/>
      <c r="AA1" s="178"/>
      <c r="AB1" s="178"/>
      <c r="AC1" s="178"/>
      <c r="AD1" s="178"/>
      <c r="AE1" s="178"/>
      <c r="AF1" s="178"/>
      <c r="AG1" s="178"/>
      <c r="AH1" s="14"/>
      <c r="AI1" s="14"/>
      <c r="AJ1" s="14"/>
      <c r="AL1" s="178" t="s">
        <v>376</v>
      </c>
      <c r="AM1" s="178"/>
      <c r="AN1" s="178"/>
      <c r="AO1" s="178"/>
      <c r="AP1" s="178"/>
      <c r="AQ1" s="178"/>
      <c r="AR1" s="14"/>
      <c r="AS1" s="14"/>
      <c r="AT1" s="178" t="s">
        <v>377</v>
      </c>
      <c r="AU1" s="178"/>
      <c r="AV1" s="178"/>
      <c r="AW1" s="178"/>
      <c r="AX1" s="178"/>
      <c r="AY1" s="178"/>
      <c r="AZ1" s="14"/>
      <c r="BC1" s="14"/>
    </row>
    <row r="2" spans="1:55" x14ac:dyDescent="0.5">
      <c r="L2" s="178" t="s">
        <v>378</v>
      </c>
      <c r="M2" s="178"/>
      <c r="N2" s="178"/>
      <c r="O2" s="178"/>
      <c r="P2" s="178"/>
      <c r="Q2" s="178"/>
      <c r="S2" s="179" t="s">
        <v>379</v>
      </c>
      <c r="T2" s="179"/>
      <c r="U2" s="179"/>
      <c r="V2" s="179"/>
      <c r="W2" s="179"/>
      <c r="X2" s="179"/>
      <c r="Y2" s="179" t="s">
        <v>380</v>
      </c>
      <c r="Z2" s="179"/>
      <c r="AA2" s="179"/>
      <c r="AB2" s="179"/>
      <c r="AC2" s="179" t="s">
        <v>381</v>
      </c>
      <c r="AD2" s="179"/>
      <c r="AE2" s="179"/>
      <c r="AF2" s="179"/>
      <c r="AG2" s="179"/>
      <c r="AH2" s="14"/>
      <c r="AI2" s="14"/>
      <c r="AJ2" s="14"/>
      <c r="AL2" s="180"/>
      <c r="AM2" s="180"/>
      <c r="AN2" s="180"/>
      <c r="AO2" s="180"/>
      <c r="AP2" s="180"/>
      <c r="AQ2" s="180"/>
      <c r="AR2" s="14"/>
      <c r="AS2" s="14"/>
      <c r="AT2" s="14"/>
      <c r="AU2" s="14"/>
      <c r="AV2" s="14"/>
      <c r="AW2" s="14"/>
      <c r="AX2" s="14"/>
      <c r="AY2" s="14"/>
      <c r="AZ2" s="14"/>
      <c r="BC2" s="14"/>
    </row>
    <row r="3" spans="1:55" x14ac:dyDescent="0.5">
      <c r="A3" s="1" t="s">
        <v>382</v>
      </c>
      <c r="C3" s="1" t="s">
        <v>86</v>
      </c>
      <c r="D3" s="1" t="s">
        <v>383</v>
      </c>
      <c r="E3" s="123" t="s">
        <v>384</v>
      </c>
      <c r="G3" s="123" t="s">
        <v>103</v>
      </c>
      <c r="H3" s="123" t="s">
        <v>385</v>
      </c>
      <c r="I3" s="123" t="s">
        <v>386</v>
      </c>
      <c r="L3" s="1" t="s">
        <v>387</v>
      </c>
      <c r="M3" s="1" t="s">
        <v>104</v>
      </c>
      <c r="N3" s="1" t="s">
        <v>388</v>
      </c>
      <c r="O3" s="1" t="s">
        <v>389</v>
      </c>
      <c r="P3" s="1" t="s">
        <v>390</v>
      </c>
      <c r="Q3" s="1" t="s">
        <v>391</v>
      </c>
      <c r="S3" s="1" t="s">
        <v>392</v>
      </c>
      <c r="T3" s="1" t="s">
        <v>393</v>
      </c>
      <c r="U3" s="1" t="s">
        <v>394</v>
      </c>
      <c r="V3" s="1" t="s">
        <v>88</v>
      </c>
      <c r="W3" s="1" t="s">
        <v>395</v>
      </c>
      <c r="X3" s="1" t="s">
        <v>396</v>
      </c>
      <c r="Y3" s="1" t="s">
        <v>397</v>
      </c>
      <c r="Z3" s="1" t="s">
        <v>398</v>
      </c>
      <c r="AA3" s="1" t="s">
        <v>91</v>
      </c>
      <c r="AB3" s="1" t="s">
        <v>399</v>
      </c>
      <c r="AC3" s="1" t="s">
        <v>400</v>
      </c>
      <c r="AD3" s="1" t="s">
        <v>95</v>
      </c>
      <c r="AE3" s="1" t="s">
        <v>401</v>
      </c>
      <c r="AF3" s="1" t="s">
        <v>402</v>
      </c>
      <c r="AG3" s="1" t="s">
        <v>403</v>
      </c>
      <c r="AL3" s="181" t="s">
        <v>404</v>
      </c>
      <c r="AM3" s="181"/>
      <c r="AN3" s="181"/>
      <c r="AO3" s="181" t="s">
        <v>405</v>
      </c>
      <c r="AP3" s="181"/>
      <c r="AQ3" s="181"/>
      <c r="AR3" s="13"/>
      <c r="AS3" s="13"/>
      <c r="AT3" s="13"/>
      <c r="AU3" s="13"/>
      <c r="AV3" s="13"/>
      <c r="AW3" s="13"/>
      <c r="AX3" s="13"/>
      <c r="AY3" s="13"/>
      <c r="AZ3" s="13"/>
      <c r="BC3" s="13"/>
    </row>
    <row r="4" spans="1:55" x14ac:dyDescent="0.5">
      <c r="A4" s="1" t="s">
        <v>102</v>
      </c>
      <c r="C4" s="1" t="s">
        <v>87</v>
      </c>
      <c r="D4" s="1" t="s">
        <v>406</v>
      </c>
      <c r="E4" s="1" t="s">
        <v>407</v>
      </c>
      <c r="G4" s="1" t="s">
        <v>387</v>
      </c>
      <c r="H4" s="1" t="s">
        <v>387</v>
      </c>
      <c r="I4" s="1" t="s">
        <v>387</v>
      </c>
      <c r="L4" s="1" t="s">
        <v>408</v>
      </c>
      <c r="M4" s="1" t="s">
        <v>349</v>
      </c>
      <c r="N4" s="1" t="s">
        <v>61</v>
      </c>
      <c r="O4" s="1" t="s">
        <v>409</v>
      </c>
      <c r="P4" s="1" t="s">
        <v>410</v>
      </c>
      <c r="Q4" s="1" t="s">
        <v>411</v>
      </c>
      <c r="S4" s="1" t="s">
        <v>408</v>
      </c>
      <c r="T4" s="1" t="s">
        <v>349</v>
      </c>
      <c r="U4" s="1" t="s">
        <v>61</v>
      </c>
      <c r="V4" s="1" t="s">
        <v>409</v>
      </c>
      <c r="W4" s="1" t="s">
        <v>410</v>
      </c>
      <c r="X4" s="1" t="s">
        <v>411</v>
      </c>
      <c r="Y4" s="1" t="s">
        <v>412</v>
      </c>
      <c r="Z4" s="1" t="s">
        <v>413</v>
      </c>
      <c r="AA4" s="1" t="s">
        <v>414</v>
      </c>
      <c r="AB4" s="1" t="s">
        <v>415</v>
      </c>
      <c r="AC4" s="1" t="s">
        <v>416</v>
      </c>
      <c r="AD4" s="1" t="s">
        <v>412</v>
      </c>
      <c r="AE4" s="1" t="s">
        <v>416</v>
      </c>
      <c r="AF4" s="1" t="s">
        <v>417</v>
      </c>
      <c r="AG4" s="1" t="s">
        <v>418</v>
      </c>
      <c r="AL4" s="3" t="s">
        <v>419</v>
      </c>
      <c r="AM4" s="3" t="s">
        <v>420</v>
      </c>
      <c r="AN4" s="3" t="s">
        <v>421</v>
      </c>
      <c r="AO4" s="3" t="s">
        <v>422</v>
      </c>
      <c r="AP4" s="4" t="s">
        <v>423</v>
      </c>
      <c r="AQ4" s="3" t="s">
        <v>424</v>
      </c>
      <c r="AR4" s="13"/>
      <c r="AS4" s="13"/>
      <c r="AT4" s="1" t="s">
        <v>425</v>
      </c>
      <c r="AU4" s="1" t="s">
        <v>426</v>
      </c>
      <c r="AV4" s="1" t="s">
        <v>427</v>
      </c>
      <c r="AW4" s="1" t="s">
        <v>428</v>
      </c>
      <c r="AX4" s="1" t="s">
        <v>429</v>
      </c>
      <c r="AY4" s="1" t="s">
        <v>430</v>
      </c>
      <c r="AZ4" s="13"/>
      <c r="BC4" s="13"/>
    </row>
    <row r="5" spans="1:55" x14ac:dyDescent="0.5">
      <c r="A5" s="1" t="s">
        <v>86</v>
      </c>
      <c r="C5" s="1" t="s">
        <v>90</v>
      </c>
      <c r="D5" s="1" t="s">
        <v>431</v>
      </c>
      <c r="E5" s="1" t="s">
        <v>432</v>
      </c>
      <c r="G5" s="1" t="s">
        <v>104</v>
      </c>
      <c r="H5" s="1" t="s">
        <v>104</v>
      </c>
      <c r="I5" s="1" t="s">
        <v>104</v>
      </c>
      <c r="L5" s="1" t="s">
        <v>433</v>
      </c>
      <c r="M5" s="1" t="s">
        <v>434</v>
      </c>
      <c r="N5" s="1" t="s">
        <v>96</v>
      </c>
      <c r="O5" s="1" t="s">
        <v>65</v>
      </c>
      <c r="P5" s="1" t="s">
        <v>346</v>
      </c>
      <c r="Q5" s="1" t="s">
        <v>435</v>
      </c>
      <c r="S5" s="1" t="s">
        <v>433</v>
      </c>
      <c r="T5" s="1" t="s">
        <v>434</v>
      </c>
      <c r="U5" s="1" t="s">
        <v>436</v>
      </c>
      <c r="V5" s="1" t="s">
        <v>65</v>
      </c>
      <c r="W5" s="1" t="s">
        <v>346</v>
      </c>
      <c r="X5" s="1" t="s">
        <v>435</v>
      </c>
      <c r="Y5" s="1" t="s">
        <v>410</v>
      </c>
      <c r="Z5" s="1" t="s">
        <v>409</v>
      </c>
      <c r="AA5" s="1" t="s">
        <v>437</v>
      </c>
      <c r="AB5" s="1" t="s">
        <v>438</v>
      </c>
      <c r="AC5" s="1" t="s">
        <v>439</v>
      </c>
      <c r="AD5" s="1" t="s">
        <v>440</v>
      </c>
      <c r="AE5" s="1" t="s">
        <v>441</v>
      </c>
      <c r="AF5" s="1" t="s">
        <v>442</v>
      </c>
      <c r="AG5" s="1" t="s">
        <v>443</v>
      </c>
      <c r="AL5" s="2" t="s">
        <v>444</v>
      </c>
      <c r="AM5" s="2" t="s">
        <v>96</v>
      </c>
      <c r="AN5" s="2" t="s">
        <v>437</v>
      </c>
      <c r="AO5" s="2" t="s">
        <v>445</v>
      </c>
      <c r="AP5" s="2" t="s">
        <v>410</v>
      </c>
      <c r="AQ5" s="2" t="s">
        <v>100</v>
      </c>
      <c r="AR5" s="2"/>
      <c r="AS5" s="2"/>
      <c r="AT5" s="5" t="s">
        <v>444</v>
      </c>
      <c r="AU5" s="7" t="s">
        <v>349</v>
      </c>
      <c r="AV5" s="5" t="s">
        <v>445</v>
      </c>
      <c r="AW5" s="5" t="s">
        <v>437</v>
      </c>
      <c r="AX5" s="7" t="s">
        <v>416</v>
      </c>
      <c r="AY5" s="7" t="s">
        <v>416</v>
      </c>
      <c r="AZ5" s="2"/>
      <c r="BC5" s="2"/>
    </row>
    <row r="6" spans="1:55" x14ac:dyDescent="0.5">
      <c r="A6" s="1" t="s">
        <v>383</v>
      </c>
      <c r="C6" s="1" t="s">
        <v>94</v>
      </c>
      <c r="D6" s="1" t="s">
        <v>446</v>
      </c>
      <c r="E6" s="1" t="s">
        <v>447</v>
      </c>
      <c r="G6" s="1" t="s">
        <v>388</v>
      </c>
      <c r="H6" s="1" t="s">
        <v>388</v>
      </c>
      <c r="I6" s="1" t="s">
        <v>388</v>
      </c>
      <c r="L6" s="1" t="s">
        <v>448</v>
      </c>
      <c r="M6" s="1" t="s">
        <v>449</v>
      </c>
      <c r="N6" s="1" t="s">
        <v>450</v>
      </c>
      <c r="O6" s="1" t="s">
        <v>451</v>
      </c>
      <c r="P6" s="1" t="s">
        <v>415</v>
      </c>
      <c r="Q6" s="1" t="s">
        <v>452</v>
      </c>
      <c r="S6" s="1" t="s">
        <v>448</v>
      </c>
      <c r="T6" s="1" t="s">
        <v>449</v>
      </c>
      <c r="U6" s="1" t="s">
        <v>450</v>
      </c>
      <c r="V6" s="1" t="s">
        <v>451</v>
      </c>
      <c r="W6" s="1" t="s">
        <v>415</v>
      </c>
      <c r="X6" s="1" t="s">
        <v>452</v>
      </c>
      <c r="Y6" s="1" t="s">
        <v>453</v>
      </c>
      <c r="Z6" s="1" t="s">
        <v>453</v>
      </c>
      <c r="AA6" s="1" t="s">
        <v>453</v>
      </c>
      <c r="AB6" s="1" t="s">
        <v>96</v>
      </c>
      <c r="AC6" s="1" t="s">
        <v>454</v>
      </c>
      <c r="AD6" s="1" t="s">
        <v>444</v>
      </c>
      <c r="AE6" s="1" t="s">
        <v>444</v>
      </c>
      <c r="AF6" s="1" t="s">
        <v>415</v>
      </c>
      <c r="AG6" s="1" t="s">
        <v>455</v>
      </c>
      <c r="AL6" s="2" t="s">
        <v>448</v>
      </c>
      <c r="AM6" s="2" t="s">
        <v>456</v>
      </c>
      <c r="AN6" s="2" t="s">
        <v>445</v>
      </c>
      <c r="AO6" s="2" t="s">
        <v>409</v>
      </c>
      <c r="AP6" s="2" t="s">
        <v>457</v>
      </c>
      <c r="AQ6" s="2" t="s">
        <v>458</v>
      </c>
      <c r="AR6" s="2"/>
      <c r="AS6" s="2"/>
      <c r="AT6" s="6" t="s">
        <v>448</v>
      </c>
      <c r="AU6" s="8" t="s">
        <v>434</v>
      </c>
      <c r="AV6" s="7" t="s">
        <v>409</v>
      </c>
      <c r="AW6" s="6" t="s">
        <v>445</v>
      </c>
      <c r="AX6" s="8" t="s">
        <v>417</v>
      </c>
      <c r="AY6" s="7" t="s">
        <v>441</v>
      </c>
      <c r="AZ6" s="2"/>
      <c r="BC6" s="2"/>
    </row>
    <row r="7" spans="1:55" x14ac:dyDescent="0.5">
      <c r="A7" s="1" t="s">
        <v>384</v>
      </c>
      <c r="D7" s="1" t="s">
        <v>459</v>
      </c>
      <c r="G7" s="1" t="s">
        <v>389</v>
      </c>
      <c r="H7" s="1" t="s">
        <v>389</v>
      </c>
      <c r="I7" s="1" t="s">
        <v>389</v>
      </c>
      <c r="L7" s="1" t="s">
        <v>460</v>
      </c>
      <c r="M7" s="1" t="s">
        <v>350</v>
      </c>
      <c r="N7" s="1" t="s">
        <v>461</v>
      </c>
      <c r="O7" s="1" t="s">
        <v>462</v>
      </c>
      <c r="P7" s="1" t="s">
        <v>415</v>
      </c>
      <c r="Q7" s="1" t="s">
        <v>463</v>
      </c>
      <c r="S7" s="1" t="s">
        <v>460</v>
      </c>
      <c r="T7" s="1" t="s">
        <v>350</v>
      </c>
      <c r="U7" s="1" t="s">
        <v>461</v>
      </c>
      <c r="V7" s="1" t="s">
        <v>462</v>
      </c>
      <c r="W7" s="1" t="s">
        <v>415</v>
      </c>
      <c r="X7" s="1" t="s">
        <v>463</v>
      </c>
      <c r="Y7" s="1" t="s">
        <v>463</v>
      </c>
      <c r="Z7" s="1" t="s">
        <v>464</v>
      </c>
      <c r="AA7" s="1" t="s">
        <v>465</v>
      </c>
      <c r="AB7" s="1" t="s">
        <v>466</v>
      </c>
      <c r="AC7" s="1" t="s">
        <v>61</v>
      </c>
      <c r="AD7" s="1" t="s">
        <v>61</v>
      </c>
      <c r="AE7" s="1" t="s">
        <v>467</v>
      </c>
      <c r="AF7" s="1" t="s">
        <v>468</v>
      </c>
      <c r="AG7" s="1" t="s">
        <v>469</v>
      </c>
      <c r="AL7" s="2" t="s">
        <v>470</v>
      </c>
      <c r="AM7" s="2" t="s">
        <v>471</v>
      </c>
      <c r="AN7" s="2" t="s">
        <v>451</v>
      </c>
      <c r="AO7" s="2" t="s">
        <v>472</v>
      </c>
      <c r="AP7" s="2" t="s">
        <v>455</v>
      </c>
      <c r="AQ7" s="2" t="s">
        <v>473</v>
      </c>
      <c r="AR7" s="2"/>
      <c r="AS7" s="2"/>
      <c r="AT7" s="5" t="s">
        <v>470</v>
      </c>
      <c r="AU7" s="1" t="s">
        <v>96</v>
      </c>
      <c r="AV7" s="8" t="s">
        <v>65</v>
      </c>
      <c r="AW7" s="7" t="s">
        <v>61</v>
      </c>
      <c r="AX7" s="7" t="s">
        <v>441</v>
      </c>
      <c r="AY7" s="7" t="s">
        <v>443</v>
      </c>
      <c r="AZ7" s="2"/>
      <c r="BC7" s="2"/>
    </row>
    <row r="8" spans="1:55" x14ac:dyDescent="0.5">
      <c r="G8" s="1" t="s">
        <v>390</v>
      </c>
      <c r="H8" s="1" t="s">
        <v>390</v>
      </c>
      <c r="I8" s="1" t="s">
        <v>390</v>
      </c>
      <c r="L8" s="1" t="s">
        <v>474</v>
      </c>
      <c r="M8" s="1" t="s">
        <v>475</v>
      </c>
      <c r="N8" s="1" t="s">
        <v>351</v>
      </c>
      <c r="O8" s="1" t="s">
        <v>456</v>
      </c>
      <c r="P8" s="1" t="s">
        <v>476</v>
      </c>
      <c r="Q8" s="1" t="s">
        <v>477</v>
      </c>
      <c r="S8" s="1" t="s">
        <v>474</v>
      </c>
      <c r="T8" s="1" t="s">
        <v>475</v>
      </c>
      <c r="U8" s="1" t="s">
        <v>351</v>
      </c>
      <c r="V8" s="1" t="s">
        <v>456</v>
      </c>
      <c r="W8" s="1" t="s">
        <v>476</v>
      </c>
      <c r="X8" s="1" t="s">
        <v>477</v>
      </c>
      <c r="Y8" s="1" t="s">
        <v>65</v>
      </c>
      <c r="Z8" s="1" t="s">
        <v>415</v>
      </c>
      <c r="AA8" s="1" t="s">
        <v>478</v>
      </c>
      <c r="AB8" s="1" t="s">
        <v>479</v>
      </c>
      <c r="AC8" s="1" t="s">
        <v>480</v>
      </c>
      <c r="AD8" s="1" t="s">
        <v>481</v>
      </c>
      <c r="AE8" s="1" t="s">
        <v>482</v>
      </c>
      <c r="AF8" s="1" t="s">
        <v>483</v>
      </c>
      <c r="AG8" s="1" t="s">
        <v>462</v>
      </c>
      <c r="AL8" s="2" t="s">
        <v>474</v>
      </c>
      <c r="AM8" s="2" t="s">
        <v>484</v>
      </c>
      <c r="AN8" s="2" t="s">
        <v>462</v>
      </c>
      <c r="AO8" s="2" t="s">
        <v>485</v>
      </c>
      <c r="AP8" s="2" t="s">
        <v>486</v>
      </c>
      <c r="AQ8" s="2" t="s">
        <v>487</v>
      </c>
      <c r="AR8" s="2"/>
      <c r="AS8" s="2"/>
      <c r="AT8" s="6" t="s">
        <v>474</v>
      </c>
      <c r="AU8" s="7" t="s">
        <v>449</v>
      </c>
      <c r="AV8" s="7" t="s">
        <v>61</v>
      </c>
      <c r="AW8" s="5" t="s">
        <v>451</v>
      </c>
      <c r="AX8" s="8" t="s">
        <v>443</v>
      </c>
      <c r="AY8" s="7" t="s">
        <v>467</v>
      </c>
      <c r="AZ8" s="2"/>
      <c r="BC8" s="2"/>
    </row>
    <row r="9" spans="1:55" x14ac:dyDescent="0.5">
      <c r="G9" s="1" t="s">
        <v>391</v>
      </c>
      <c r="H9" s="1" t="s">
        <v>391</v>
      </c>
      <c r="I9" s="1" t="s">
        <v>391</v>
      </c>
      <c r="L9" s="1" t="s">
        <v>354</v>
      </c>
      <c r="M9" s="1" t="s">
        <v>488</v>
      </c>
      <c r="N9" s="1" t="s">
        <v>489</v>
      </c>
      <c r="O9" s="1" t="s">
        <v>483</v>
      </c>
      <c r="P9" s="1" t="s">
        <v>490</v>
      </c>
      <c r="Q9" s="1" t="s">
        <v>347</v>
      </c>
      <c r="S9" s="1" t="s">
        <v>354</v>
      </c>
      <c r="T9" s="1" t="s">
        <v>488</v>
      </c>
      <c r="U9" s="1" t="s">
        <v>489</v>
      </c>
      <c r="V9" s="1" t="s">
        <v>483</v>
      </c>
      <c r="W9" s="1" t="s">
        <v>490</v>
      </c>
      <c r="X9" s="1" t="s">
        <v>347</v>
      </c>
      <c r="Y9" s="1" t="s">
        <v>61</v>
      </c>
      <c r="Z9" s="1" t="s">
        <v>479</v>
      </c>
      <c r="AA9" s="1" t="s">
        <v>479</v>
      </c>
      <c r="AB9" s="1" t="s">
        <v>461</v>
      </c>
      <c r="AC9" s="1" t="s">
        <v>480</v>
      </c>
      <c r="AD9" s="1" t="s">
        <v>347</v>
      </c>
      <c r="AE9" s="1" t="s">
        <v>491</v>
      </c>
      <c r="AF9" s="1" t="s">
        <v>492</v>
      </c>
      <c r="AG9" s="1" t="s">
        <v>493</v>
      </c>
      <c r="AL9" s="2" t="s">
        <v>354</v>
      </c>
      <c r="AM9" s="2" t="s">
        <v>494</v>
      </c>
      <c r="AN9" s="2" t="s">
        <v>468</v>
      </c>
      <c r="AO9" s="2" t="s">
        <v>462</v>
      </c>
      <c r="AP9" s="2" t="s">
        <v>495</v>
      </c>
      <c r="AQ9" s="2" t="s">
        <v>496</v>
      </c>
      <c r="AR9" s="2"/>
      <c r="AS9" s="2"/>
      <c r="AT9" s="5" t="s">
        <v>354</v>
      </c>
      <c r="AU9" s="6" t="s">
        <v>456</v>
      </c>
      <c r="AV9" s="7" t="s">
        <v>472</v>
      </c>
      <c r="AW9" s="8" t="s">
        <v>436</v>
      </c>
      <c r="AX9" s="8" t="s">
        <v>444</v>
      </c>
      <c r="AY9" s="8" t="s">
        <v>482</v>
      </c>
      <c r="AZ9" s="2"/>
      <c r="BC9" s="2"/>
    </row>
    <row r="10" spans="1:55" x14ac:dyDescent="0.5">
      <c r="L10" s="1" t="s">
        <v>497</v>
      </c>
      <c r="M10" s="1" t="s">
        <v>498</v>
      </c>
      <c r="N10" s="1" t="s">
        <v>484</v>
      </c>
      <c r="O10" s="1" t="s">
        <v>471</v>
      </c>
      <c r="P10" s="1" t="s">
        <v>451</v>
      </c>
      <c r="Q10" s="1" t="s">
        <v>348</v>
      </c>
      <c r="S10" s="1" t="s">
        <v>497</v>
      </c>
      <c r="T10" s="1" t="s">
        <v>498</v>
      </c>
      <c r="U10" s="1" t="s">
        <v>484</v>
      </c>
      <c r="V10" s="1" t="s">
        <v>471</v>
      </c>
      <c r="W10" s="1" t="s">
        <v>451</v>
      </c>
      <c r="X10" s="1" t="s">
        <v>348</v>
      </c>
      <c r="Y10" s="1" t="s">
        <v>499</v>
      </c>
      <c r="Z10" s="1" t="s">
        <v>351</v>
      </c>
      <c r="AA10" s="1" t="s">
        <v>500</v>
      </c>
      <c r="AB10" s="1" t="s">
        <v>351</v>
      </c>
      <c r="AC10" s="1" t="s">
        <v>501</v>
      </c>
      <c r="AD10" s="1" t="s">
        <v>502</v>
      </c>
      <c r="AE10" s="1" t="s">
        <v>455</v>
      </c>
      <c r="AF10" s="1" t="s">
        <v>503</v>
      </c>
      <c r="AG10" s="1" t="s">
        <v>504</v>
      </c>
      <c r="AL10" s="2" t="s">
        <v>497</v>
      </c>
      <c r="AM10" s="2" t="s">
        <v>505</v>
      </c>
      <c r="AN10" s="2" t="s">
        <v>506</v>
      </c>
      <c r="AO10" s="2" t="s">
        <v>507</v>
      </c>
      <c r="AP10" s="2" t="s">
        <v>450</v>
      </c>
      <c r="AQ10" s="2" t="s">
        <v>364</v>
      </c>
      <c r="AR10" s="2"/>
      <c r="AS10" s="2"/>
      <c r="AT10" s="6" t="s">
        <v>497</v>
      </c>
      <c r="AU10" s="8" t="s">
        <v>350</v>
      </c>
      <c r="AV10" s="8" t="s">
        <v>485</v>
      </c>
      <c r="AW10" s="6" t="s">
        <v>462</v>
      </c>
      <c r="AX10" s="8" t="s">
        <v>467</v>
      </c>
      <c r="AY10" s="7" t="s">
        <v>491</v>
      </c>
      <c r="AZ10" s="2"/>
      <c r="BC10" s="2"/>
    </row>
    <row r="11" spans="1:55" x14ac:dyDescent="0.5">
      <c r="G11" s="123" t="s">
        <v>406</v>
      </c>
      <c r="H11" s="123" t="s">
        <v>431</v>
      </c>
      <c r="I11" s="123" t="s">
        <v>508</v>
      </c>
      <c r="J11" s="1" t="s">
        <v>459</v>
      </c>
      <c r="L11" s="1" t="s">
        <v>484</v>
      </c>
      <c r="M11" s="1" t="s">
        <v>509</v>
      </c>
      <c r="N11" s="1" t="s">
        <v>510</v>
      </c>
      <c r="O11" s="1" t="s">
        <v>488</v>
      </c>
      <c r="P11" s="1" t="s">
        <v>461</v>
      </c>
      <c r="Q11" s="1" t="s">
        <v>511</v>
      </c>
      <c r="S11" s="1" t="s">
        <v>484</v>
      </c>
      <c r="T11" s="1" t="s">
        <v>509</v>
      </c>
      <c r="U11" s="1" t="s">
        <v>510</v>
      </c>
      <c r="V11" s="1" t="s">
        <v>488</v>
      </c>
      <c r="W11" s="1" t="s">
        <v>461</v>
      </c>
      <c r="X11" s="1" t="s">
        <v>511</v>
      </c>
      <c r="Y11" s="1" t="s">
        <v>415</v>
      </c>
      <c r="Z11" s="1" t="s">
        <v>512</v>
      </c>
      <c r="AA11" s="1" t="s">
        <v>513</v>
      </c>
      <c r="AB11" s="1" t="s">
        <v>514</v>
      </c>
      <c r="AC11" s="1" t="s">
        <v>469</v>
      </c>
      <c r="AD11" s="1" t="s">
        <v>96</v>
      </c>
      <c r="AE11" s="1" t="s">
        <v>480</v>
      </c>
      <c r="AF11" s="1" t="s">
        <v>354</v>
      </c>
      <c r="AG11" s="1" t="s">
        <v>515</v>
      </c>
      <c r="AL11" s="2" t="s">
        <v>516</v>
      </c>
      <c r="AM11" s="2" t="s">
        <v>517</v>
      </c>
      <c r="AN11" s="2" t="s">
        <v>484</v>
      </c>
      <c r="AO11" s="2" t="s">
        <v>456</v>
      </c>
      <c r="AP11" s="2" t="s">
        <v>456</v>
      </c>
      <c r="AQ11" s="2" t="s">
        <v>518</v>
      </c>
      <c r="AR11" s="2"/>
      <c r="AS11" s="2"/>
      <c r="AT11" s="5" t="s">
        <v>516</v>
      </c>
      <c r="AU11" s="5" t="s">
        <v>471</v>
      </c>
      <c r="AV11" s="7" t="s">
        <v>451</v>
      </c>
      <c r="AW11" s="7" t="s">
        <v>450</v>
      </c>
      <c r="AX11" s="8" t="s">
        <v>482</v>
      </c>
      <c r="AY11" s="7" t="s">
        <v>442</v>
      </c>
      <c r="AZ11" s="2"/>
      <c r="BC11" s="2"/>
    </row>
    <row r="12" spans="1:55" x14ac:dyDescent="0.5">
      <c r="G12" s="1" t="s">
        <v>419</v>
      </c>
      <c r="H12" s="1" t="s">
        <v>419</v>
      </c>
      <c r="I12" s="1" t="s">
        <v>419</v>
      </c>
      <c r="J12" s="1" t="s">
        <v>419</v>
      </c>
      <c r="L12" s="1" t="s">
        <v>519</v>
      </c>
      <c r="M12" s="1" t="s">
        <v>519</v>
      </c>
      <c r="N12" s="1" t="s">
        <v>520</v>
      </c>
      <c r="O12" s="1" t="s">
        <v>492</v>
      </c>
      <c r="P12" s="1" t="s">
        <v>521</v>
      </c>
      <c r="Q12" s="1" t="s">
        <v>451</v>
      </c>
      <c r="S12" s="1" t="s">
        <v>519</v>
      </c>
      <c r="T12" s="1" t="s">
        <v>519</v>
      </c>
      <c r="U12" s="1" t="s">
        <v>520</v>
      </c>
      <c r="V12" s="1" t="s">
        <v>492</v>
      </c>
      <c r="W12" s="1" t="s">
        <v>521</v>
      </c>
      <c r="X12" s="1" t="s">
        <v>451</v>
      </c>
      <c r="Y12" s="1" t="s">
        <v>347</v>
      </c>
      <c r="Z12" s="1" t="s">
        <v>520</v>
      </c>
      <c r="AA12" s="1" t="s">
        <v>522</v>
      </c>
      <c r="AB12" s="1" t="s">
        <v>523</v>
      </c>
      <c r="AC12" s="1" t="s">
        <v>96</v>
      </c>
      <c r="AD12" s="1" t="s">
        <v>493</v>
      </c>
      <c r="AE12" s="1" t="s">
        <v>481</v>
      </c>
      <c r="AF12" s="1" t="s">
        <v>524</v>
      </c>
      <c r="AG12" s="1" t="s">
        <v>351</v>
      </c>
      <c r="AL12" s="2" t="s">
        <v>525</v>
      </c>
      <c r="AM12" s="2" t="s">
        <v>526</v>
      </c>
      <c r="AN12" s="2" t="s">
        <v>100</v>
      </c>
      <c r="AO12" s="2" t="s">
        <v>527</v>
      </c>
      <c r="AP12" s="2" t="s">
        <v>528</v>
      </c>
      <c r="AQ12" s="2" t="s">
        <v>529</v>
      </c>
      <c r="AR12" s="2"/>
      <c r="AS12" s="2"/>
      <c r="AT12" s="6" t="s">
        <v>525</v>
      </c>
      <c r="AU12" s="7" t="s">
        <v>475</v>
      </c>
      <c r="AV12" s="8" t="s">
        <v>436</v>
      </c>
      <c r="AW12" s="8" t="s">
        <v>461</v>
      </c>
      <c r="AX12" s="7" t="s">
        <v>491</v>
      </c>
      <c r="AY12" s="8" t="s">
        <v>480</v>
      </c>
      <c r="AZ12" s="2"/>
      <c r="BC12" s="2"/>
    </row>
    <row r="13" spans="1:55" x14ac:dyDescent="0.5">
      <c r="G13" s="1" t="s">
        <v>420</v>
      </c>
      <c r="H13" s="1" t="s">
        <v>420</v>
      </c>
      <c r="I13" s="1" t="s">
        <v>420</v>
      </c>
      <c r="J13" s="1" t="s">
        <v>420</v>
      </c>
      <c r="L13" s="1" t="s">
        <v>525</v>
      </c>
      <c r="M13" s="1" t="s">
        <v>524</v>
      </c>
      <c r="N13" s="1" t="s">
        <v>530</v>
      </c>
      <c r="O13" s="1" t="s">
        <v>509</v>
      </c>
      <c r="P13" s="1" t="s">
        <v>531</v>
      </c>
      <c r="Q13" s="1" t="s">
        <v>532</v>
      </c>
      <c r="S13" s="1" t="s">
        <v>525</v>
      </c>
      <c r="T13" s="1" t="s">
        <v>524</v>
      </c>
      <c r="U13" s="1" t="s">
        <v>530</v>
      </c>
      <c r="V13" s="1" t="s">
        <v>509</v>
      </c>
      <c r="W13" s="1" t="s">
        <v>531</v>
      </c>
      <c r="X13" s="1" t="s">
        <v>532</v>
      </c>
      <c r="Y13" s="1" t="s">
        <v>533</v>
      </c>
      <c r="Z13" s="1" t="s">
        <v>534</v>
      </c>
      <c r="AA13" s="1" t="s">
        <v>535</v>
      </c>
      <c r="AB13" s="1" t="s">
        <v>536</v>
      </c>
      <c r="AC13" s="1" t="s">
        <v>351</v>
      </c>
      <c r="AD13" s="1" t="s">
        <v>350</v>
      </c>
      <c r="AE13" s="1" t="s">
        <v>537</v>
      </c>
      <c r="AF13" s="1" t="s">
        <v>510</v>
      </c>
      <c r="AG13" s="1" t="s">
        <v>538</v>
      </c>
      <c r="AL13" s="2" t="s">
        <v>539</v>
      </c>
      <c r="AM13" s="2" t="s">
        <v>540</v>
      </c>
      <c r="AN13" s="2" t="s">
        <v>541</v>
      </c>
      <c r="AO13" s="2" t="s">
        <v>542</v>
      </c>
      <c r="AP13" s="2" t="s">
        <v>461</v>
      </c>
      <c r="AQ13" s="2" t="s">
        <v>543</v>
      </c>
      <c r="AR13" s="2"/>
      <c r="AS13" s="2"/>
      <c r="AT13" s="5" t="s">
        <v>539</v>
      </c>
      <c r="AU13" s="8" t="s">
        <v>488</v>
      </c>
      <c r="AV13" s="8" t="s">
        <v>462</v>
      </c>
      <c r="AW13" s="7" t="s">
        <v>351</v>
      </c>
      <c r="AX13" s="8" t="s">
        <v>442</v>
      </c>
      <c r="AY13" s="7" t="s">
        <v>481</v>
      </c>
      <c r="AZ13" s="2"/>
      <c r="BC13" s="2"/>
    </row>
    <row r="14" spans="1:55" x14ac:dyDescent="0.5">
      <c r="G14" s="1" t="s">
        <v>421</v>
      </c>
      <c r="H14" s="1" t="s">
        <v>421</v>
      </c>
      <c r="I14" s="1" t="s">
        <v>421</v>
      </c>
      <c r="J14" s="1" t="s">
        <v>421</v>
      </c>
      <c r="L14" s="1" t="s">
        <v>544</v>
      </c>
      <c r="M14" s="1" t="s">
        <v>520</v>
      </c>
      <c r="N14" s="1" t="s">
        <v>356</v>
      </c>
      <c r="O14" s="1" t="s">
        <v>545</v>
      </c>
      <c r="P14" s="1" t="s">
        <v>468</v>
      </c>
      <c r="Q14" s="1" t="s">
        <v>546</v>
      </c>
      <c r="S14" s="1" t="s">
        <v>544</v>
      </c>
      <c r="T14" s="1" t="s">
        <v>520</v>
      </c>
      <c r="U14" s="1" t="s">
        <v>356</v>
      </c>
      <c r="V14" s="1" t="s">
        <v>545</v>
      </c>
      <c r="W14" s="1" t="s">
        <v>468</v>
      </c>
      <c r="X14" s="1" t="s">
        <v>546</v>
      </c>
      <c r="Y14" s="1" t="s">
        <v>495</v>
      </c>
      <c r="Z14" s="1" t="s">
        <v>355</v>
      </c>
      <c r="AA14" s="1" t="s">
        <v>355</v>
      </c>
      <c r="AB14" s="1" t="s">
        <v>534</v>
      </c>
      <c r="AC14" s="1" t="s">
        <v>522</v>
      </c>
      <c r="AD14" s="1" t="s">
        <v>352</v>
      </c>
      <c r="AE14" s="1" t="s">
        <v>547</v>
      </c>
      <c r="AF14" s="1" t="s">
        <v>548</v>
      </c>
      <c r="AG14" s="1" t="s">
        <v>549</v>
      </c>
      <c r="AL14" s="2" t="s">
        <v>550</v>
      </c>
      <c r="AM14" s="2" t="s">
        <v>551</v>
      </c>
      <c r="AN14" s="2" t="s">
        <v>525</v>
      </c>
      <c r="AO14" s="2" t="s">
        <v>552</v>
      </c>
      <c r="AP14" s="2" t="s">
        <v>489</v>
      </c>
      <c r="AQ14" s="2" t="s">
        <v>553</v>
      </c>
      <c r="AR14" s="2"/>
      <c r="AS14" s="2"/>
      <c r="AT14" s="6" t="s">
        <v>550</v>
      </c>
      <c r="AU14" s="7" t="s">
        <v>498</v>
      </c>
      <c r="AV14" s="6" t="s">
        <v>507</v>
      </c>
      <c r="AW14" s="5" t="s">
        <v>468</v>
      </c>
      <c r="AX14" s="8" t="s">
        <v>455</v>
      </c>
      <c r="AY14" s="7" t="s">
        <v>537</v>
      </c>
      <c r="AZ14" s="2"/>
      <c r="BC14" s="2"/>
    </row>
    <row r="15" spans="1:55" x14ac:dyDescent="0.5">
      <c r="G15" s="1" t="s">
        <v>422</v>
      </c>
      <c r="H15" s="1" t="s">
        <v>422</v>
      </c>
      <c r="I15" s="1" t="s">
        <v>422</v>
      </c>
      <c r="J15" s="1" t="s">
        <v>422</v>
      </c>
      <c r="L15" s="1" t="s">
        <v>539</v>
      </c>
      <c r="M15" s="1" t="s">
        <v>494</v>
      </c>
      <c r="N15" s="1" t="s">
        <v>541</v>
      </c>
      <c r="O15" s="1" t="s">
        <v>100</v>
      </c>
      <c r="P15" s="1" t="s">
        <v>489</v>
      </c>
      <c r="Q15" s="1" t="s">
        <v>96</v>
      </c>
      <c r="S15" s="1" t="s">
        <v>539</v>
      </c>
      <c r="T15" s="1" t="s">
        <v>494</v>
      </c>
      <c r="U15" s="1" t="s">
        <v>541</v>
      </c>
      <c r="V15" s="1" t="s">
        <v>100</v>
      </c>
      <c r="W15" s="1" t="s">
        <v>489</v>
      </c>
      <c r="X15" s="1" t="s">
        <v>96</v>
      </c>
      <c r="Y15" s="1" t="s">
        <v>456</v>
      </c>
      <c r="Z15" s="1" t="s">
        <v>554</v>
      </c>
      <c r="AA15" s="1" t="s">
        <v>555</v>
      </c>
      <c r="AB15" s="1" t="s">
        <v>356</v>
      </c>
      <c r="AC15" s="1" t="s">
        <v>474</v>
      </c>
      <c r="AD15" s="1" t="s">
        <v>556</v>
      </c>
      <c r="AE15" s="1" t="s">
        <v>469</v>
      </c>
      <c r="AF15" s="1" t="s">
        <v>557</v>
      </c>
      <c r="AG15" s="1" t="s">
        <v>558</v>
      </c>
      <c r="AL15" s="2" t="s">
        <v>559</v>
      </c>
      <c r="AM15" s="2" t="s">
        <v>560</v>
      </c>
      <c r="AN15" s="2" t="s">
        <v>561</v>
      </c>
      <c r="AO15" s="2" t="s">
        <v>562</v>
      </c>
      <c r="AP15" s="2" t="s">
        <v>563</v>
      </c>
      <c r="AQ15" s="2" t="s">
        <v>564</v>
      </c>
      <c r="AR15" s="2"/>
      <c r="AS15" s="2"/>
      <c r="AT15" s="5" t="s">
        <v>559</v>
      </c>
      <c r="AU15" s="8" t="s">
        <v>509</v>
      </c>
      <c r="AV15" s="7" t="s">
        <v>450</v>
      </c>
      <c r="AW15" s="8" t="s">
        <v>489</v>
      </c>
      <c r="AX15" s="8" t="s">
        <v>480</v>
      </c>
      <c r="AY15" s="7" t="s">
        <v>547</v>
      </c>
      <c r="AZ15" s="2"/>
      <c r="BC15" s="2"/>
    </row>
    <row r="16" spans="1:55" x14ac:dyDescent="0.5">
      <c r="G16" s="1" t="s">
        <v>423</v>
      </c>
      <c r="H16" s="1" t="s">
        <v>423</v>
      </c>
      <c r="I16" s="1" t="s">
        <v>423</v>
      </c>
      <c r="J16" s="1" t="s">
        <v>423</v>
      </c>
      <c r="L16" s="1" t="s">
        <v>92</v>
      </c>
      <c r="M16" s="1" t="s">
        <v>356</v>
      </c>
      <c r="N16" s="1" t="s">
        <v>565</v>
      </c>
      <c r="O16" s="1" t="s">
        <v>566</v>
      </c>
      <c r="P16" s="1" t="s">
        <v>567</v>
      </c>
      <c r="Q16" s="1" t="s">
        <v>521</v>
      </c>
      <c r="S16" s="1" t="s">
        <v>92</v>
      </c>
      <c r="T16" s="1" t="s">
        <v>356</v>
      </c>
      <c r="U16" s="1" t="s">
        <v>565</v>
      </c>
      <c r="V16" s="1" t="s">
        <v>566</v>
      </c>
      <c r="W16" s="1" t="s">
        <v>567</v>
      </c>
      <c r="X16" s="1" t="s">
        <v>521</v>
      </c>
      <c r="Y16" s="1" t="s">
        <v>568</v>
      </c>
      <c r="Z16" s="1" t="s">
        <v>541</v>
      </c>
      <c r="AA16" s="1" t="s">
        <v>569</v>
      </c>
      <c r="AB16" s="1" t="s">
        <v>570</v>
      </c>
      <c r="AC16" s="1" t="s">
        <v>566</v>
      </c>
      <c r="AD16" s="1" t="s">
        <v>571</v>
      </c>
      <c r="AE16" s="1" t="s">
        <v>572</v>
      </c>
      <c r="AF16" s="1" t="s">
        <v>573</v>
      </c>
      <c r="AG16" s="1" t="s">
        <v>571</v>
      </c>
      <c r="AL16" s="2" t="s">
        <v>574</v>
      </c>
      <c r="AM16" s="2" t="s">
        <v>575</v>
      </c>
      <c r="AN16" s="2" t="s">
        <v>544</v>
      </c>
      <c r="AO16" s="2" t="s">
        <v>569</v>
      </c>
      <c r="AP16" s="2" t="s">
        <v>567</v>
      </c>
      <c r="AQ16" s="2" t="s">
        <v>576</v>
      </c>
      <c r="AR16" s="2"/>
      <c r="AS16" s="2"/>
      <c r="AT16" s="6" t="s">
        <v>574</v>
      </c>
      <c r="AU16" s="6" t="s">
        <v>484</v>
      </c>
      <c r="AV16" s="7" t="s">
        <v>456</v>
      </c>
      <c r="AW16" s="5" t="s">
        <v>484</v>
      </c>
      <c r="AX16" s="8" t="s">
        <v>481</v>
      </c>
      <c r="AY16" s="7" t="s">
        <v>469</v>
      </c>
      <c r="AZ16" s="2"/>
      <c r="BC16" s="2"/>
    </row>
    <row r="17" spans="7:55" x14ac:dyDescent="0.5">
      <c r="G17" s="1" t="s">
        <v>424</v>
      </c>
      <c r="H17" s="1" t="s">
        <v>424</v>
      </c>
      <c r="I17" s="1" t="s">
        <v>424</v>
      </c>
      <c r="J17" s="1" t="s">
        <v>424</v>
      </c>
      <c r="L17" s="1" t="s">
        <v>577</v>
      </c>
      <c r="M17" s="1" t="s">
        <v>92</v>
      </c>
      <c r="N17" s="1" t="s">
        <v>525</v>
      </c>
      <c r="O17" s="1" t="s">
        <v>578</v>
      </c>
      <c r="P17" s="1" t="s">
        <v>579</v>
      </c>
      <c r="Q17" s="1" t="s">
        <v>531</v>
      </c>
      <c r="S17" s="1" t="s">
        <v>577</v>
      </c>
      <c r="T17" s="1" t="s">
        <v>92</v>
      </c>
      <c r="U17" s="1" t="s">
        <v>525</v>
      </c>
      <c r="V17" s="1" t="s">
        <v>578</v>
      </c>
      <c r="W17" s="1" t="s">
        <v>579</v>
      </c>
      <c r="X17" s="1" t="s">
        <v>531</v>
      </c>
      <c r="Y17" s="1" t="s">
        <v>580</v>
      </c>
      <c r="Z17" s="1" t="s">
        <v>581</v>
      </c>
      <c r="AA17" s="1" t="s">
        <v>581</v>
      </c>
      <c r="AB17" s="1" t="s">
        <v>581</v>
      </c>
      <c r="AC17" s="1" t="s">
        <v>534</v>
      </c>
      <c r="AD17" s="1" t="s">
        <v>474</v>
      </c>
      <c r="AE17" s="1" t="s">
        <v>96</v>
      </c>
      <c r="AF17" s="1" t="s">
        <v>582</v>
      </c>
      <c r="AG17" s="1" t="s">
        <v>522</v>
      </c>
      <c r="AL17" s="2" t="s">
        <v>583</v>
      </c>
      <c r="AM17" s="2" t="s">
        <v>584</v>
      </c>
      <c r="AN17" s="2" t="s">
        <v>585</v>
      </c>
      <c r="AO17" s="2" t="s">
        <v>525</v>
      </c>
      <c r="AP17" s="2" t="s">
        <v>488</v>
      </c>
      <c r="AQ17" s="2" t="s">
        <v>586</v>
      </c>
      <c r="AR17" s="2"/>
      <c r="AS17" s="2"/>
      <c r="AT17" s="5" t="s">
        <v>583</v>
      </c>
      <c r="AU17" s="7" t="s">
        <v>519</v>
      </c>
      <c r="AV17" s="8" t="s">
        <v>461</v>
      </c>
      <c r="AW17" s="6" t="s">
        <v>100</v>
      </c>
      <c r="AX17" s="8" t="s">
        <v>415</v>
      </c>
      <c r="AY17" s="7" t="s">
        <v>462</v>
      </c>
      <c r="AZ17" s="2"/>
      <c r="BC17" s="2"/>
    </row>
    <row r="18" spans="7:55" x14ac:dyDescent="0.5">
      <c r="L18" s="1" t="s">
        <v>587</v>
      </c>
      <c r="M18" s="1" t="s">
        <v>587</v>
      </c>
      <c r="N18" s="1" t="s">
        <v>588</v>
      </c>
      <c r="O18" s="1" t="s">
        <v>552</v>
      </c>
      <c r="P18" s="1" t="s">
        <v>545</v>
      </c>
      <c r="Q18" s="1" t="s">
        <v>589</v>
      </c>
      <c r="S18" s="1" t="s">
        <v>587</v>
      </c>
      <c r="T18" s="1" t="s">
        <v>587</v>
      </c>
      <c r="U18" s="1" t="s">
        <v>588</v>
      </c>
      <c r="V18" s="1" t="s">
        <v>552</v>
      </c>
      <c r="W18" s="1" t="s">
        <v>545</v>
      </c>
      <c r="X18" s="1" t="s">
        <v>589</v>
      </c>
      <c r="Y18" s="1" t="s">
        <v>351</v>
      </c>
      <c r="Z18" s="1" t="s">
        <v>590</v>
      </c>
      <c r="AA18" s="1" t="s">
        <v>591</v>
      </c>
      <c r="AB18" s="1" t="s">
        <v>592</v>
      </c>
      <c r="AC18" s="1" t="s">
        <v>355</v>
      </c>
      <c r="AD18" s="1" t="s">
        <v>484</v>
      </c>
      <c r="AE18" s="1" t="s">
        <v>593</v>
      </c>
      <c r="AF18" s="1" t="s">
        <v>63</v>
      </c>
      <c r="AG18" s="1" t="s">
        <v>530</v>
      </c>
      <c r="AL18" s="2" t="s">
        <v>594</v>
      </c>
      <c r="AM18" s="2" t="s">
        <v>595</v>
      </c>
      <c r="AN18" s="2" t="s">
        <v>596</v>
      </c>
      <c r="AO18" s="2" t="s">
        <v>597</v>
      </c>
      <c r="AP18" s="2" t="s">
        <v>509</v>
      </c>
      <c r="AQ18" s="2" t="s">
        <v>598</v>
      </c>
      <c r="AR18" s="2"/>
      <c r="AS18" s="2"/>
      <c r="AT18" s="6" t="s">
        <v>594</v>
      </c>
      <c r="AU18" s="8" t="s">
        <v>524</v>
      </c>
      <c r="AV18" s="7" t="s">
        <v>351</v>
      </c>
      <c r="AW18" s="5" t="s">
        <v>510</v>
      </c>
      <c r="AX18" s="8" t="s">
        <v>537</v>
      </c>
      <c r="AY18" s="7" t="s">
        <v>96</v>
      </c>
      <c r="AZ18" s="2"/>
      <c r="BC18" s="2"/>
    </row>
    <row r="19" spans="7:55" x14ac:dyDescent="0.5">
      <c r="G19" s="123" t="s">
        <v>407</v>
      </c>
      <c r="H19" s="123" t="s">
        <v>599</v>
      </c>
      <c r="I19" s="123" t="s">
        <v>447</v>
      </c>
      <c r="L19" s="1" t="s">
        <v>587</v>
      </c>
      <c r="M19" s="1" t="s">
        <v>526</v>
      </c>
      <c r="N19" s="1" t="s">
        <v>561</v>
      </c>
      <c r="O19" s="1" t="s">
        <v>548</v>
      </c>
      <c r="P19" s="1" t="s">
        <v>600</v>
      </c>
      <c r="Q19" s="1" t="s">
        <v>601</v>
      </c>
      <c r="S19" s="1" t="s">
        <v>587</v>
      </c>
      <c r="T19" s="1" t="s">
        <v>526</v>
      </c>
      <c r="U19" s="1" t="s">
        <v>561</v>
      </c>
      <c r="V19" s="1" t="s">
        <v>548</v>
      </c>
      <c r="W19" s="1" t="s">
        <v>600</v>
      </c>
      <c r="X19" s="1" t="s">
        <v>601</v>
      </c>
      <c r="Y19" s="1" t="s">
        <v>489</v>
      </c>
      <c r="Z19" s="1" t="s">
        <v>602</v>
      </c>
      <c r="AA19" s="1" t="s">
        <v>603</v>
      </c>
      <c r="AB19" s="1" t="s">
        <v>561</v>
      </c>
      <c r="AC19" s="1" t="s">
        <v>562</v>
      </c>
      <c r="AD19" s="1" t="s">
        <v>494</v>
      </c>
      <c r="AE19" s="1" t="s">
        <v>604</v>
      </c>
      <c r="AF19" s="1" t="s">
        <v>105</v>
      </c>
      <c r="AG19" s="1" t="s">
        <v>562</v>
      </c>
      <c r="AL19" s="2" t="s">
        <v>605</v>
      </c>
      <c r="AM19" s="2" t="s">
        <v>594</v>
      </c>
      <c r="AN19" s="2" t="s">
        <v>105</v>
      </c>
      <c r="AO19" s="2" t="s">
        <v>606</v>
      </c>
      <c r="AP19" s="2" t="s">
        <v>579</v>
      </c>
      <c r="AQ19" s="2" t="s">
        <v>607</v>
      </c>
      <c r="AR19" s="2"/>
      <c r="AS19" s="2"/>
      <c r="AT19" s="5" t="s">
        <v>605</v>
      </c>
      <c r="AU19" s="7" t="s">
        <v>520</v>
      </c>
      <c r="AV19" s="8" t="s">
        <v>483</v>
      </c>
      <c r="AW19" s="5" t="s">
        <v>520</v>
      </c>
      <c r="AX19" s="7" t="s">
        <v>547</v>
      </c>
      <c r="AY19" s="7" t="s">
        <v>504</v>
      </c>
      <c r="AZ19" s="2"/>
      <c r="BC19" s="2"/>
    </row>
    <row r="20" spans="7:55" x14ac:dyDescent="0.5">
      <c r="G20" s="1" t="s">
        <v>425</v>
      </c>
      <c r="H20" s="1" t="s">
        <v>425</v>
      </c>
      <c r="I20" s="1" t="s">
        <v>425</v>
      </c>
      <c r="L20" s="1" t="s">
        <v>608</v>
      </c>
      <c r="M20" s="1" t="s">
        <v>609</v>
      </c>
      <c r="N20" s="1" t="s">
        <v>517</v>
      </c>
      <c r="O20" s="1" t="s">
        <v>530</v>
      </c>
      <c r="P20" s="1" t="s">
        <v>100</v>
      </c>
      <c r="Q20" s="1" t="s">
        <v>610</v>
      </c>
      <c r="S20" s="1" t="s">
        <v>608</v>
      </c>
      <c r="T20" s="1" t="s">
        <v>609</v>
      </c>
      <c r="U20" s="1" t="s">
        <v>517</v>
      </c>
      <c r="V20" s="1" t="s">
        <v>530</v>
      </c>
      <c r="W20" s="1" t="s">
        <v>100</v>
      </c>
      <c r="X20" s="1" t="s">
        <v>610</v>
      </c>
      <c r="Y20" s="1" t="s">
        <v>556</v>
      </c>
      <c r="Z20" s="1" t="s">
        <v>544</v>
      </c>
      <c r="AA20" s="1" t="s">
        <v>603</v>
      </c>
      <c r="AB20" s="1" t="s">
        <v>611</v>
      </c>
      <c r="AC20" s="1" t="s">
        <v>525</v>
      </c>
      <c r="AD20" s="1" t="s">
        <v>562</v>
      </c>
      <c r="AE20" s="1" t="s">
        <v>612</v>
      </c>
      <c r="AF20" s="1" t="s">
        <v>613</v>
      </c>
      <c r="AG20" s="1" t="s">
        <v>591</v>
      </c>
      <c r="AL20" s="2" t="s">
        <v>614</v>
      </c>
      <c r="AM20" s="2" t="s">
        <v>614</v>
      </c>
      <c r="AN20" s="2" t="s">
        <v>595</v>
      </c>
      <c r="AO20" s="2" t="s">
        <v>92</v>
      </c>
      <c r="AP20" s="2" t="s">
        <v>545</v>
      </c>
      <c r="AQ20" s="2" t="s">
        <v>371</v>
      </c>
      <c r="AR20" s="2"/>
      <c r="AS20" s="2"/>
      <c r="AT20" s="6" t="s">
        <v>614</v>
      </c>
      <c r="AU20" s="5" t="s">
        <v>494</v>
      </c>
      <c r="AV20" s="8" t="s">
        <v>489</v>
      </c>
      <c r="AW20" s="5" t="s">
        <v>530</v>
      </c>
      <c r="AX20" s="7" t="s">
        <v>469</v>
      </c>
      <c r="AY20" s="7" t="s">
        <v>604</v>
      </c>
      <c r="AZ20" s="2"/>
      <c r="BC20" s="2"/>
    </row>
    <row r="21" spans="7:55" x14ac:dyDescent="0.5">
      <c r="G21" s="1" t="s">
        <v>426</v>
      </c>
      <c r="H21" s="1" t="s">
        <v>426</v>
      </c>
      <c r="I21" s="1" t="s">
        <v>426</v>
      </c>
      <c r="L21" s="1" t="s">
        <v>361</v>
      </c>
      <c r="M21" s="1" t="s">
        <v>540</v>
      </c>
      <c r="N21" s="1" t="s">
        <v>615</v>
      </c>
      <c r="O21" s="1" t="s">
        <v>562</v>
      </c>
      <c r="P21" s="1" t="s">
        <v>519</v>
      </c>
      <c r="Q21" s="1" t="s">
        <v>558</v>
      </c>
      <c r="S21" s="1" t="s">
        <v>361</v>
      </c>
      <c r="T21" s="1" t="s">
        <v>540</v>
      </c>
      <c r="U21" s="1" t="s">
        <v>615</v>
      </c>
      <c r="V21" s="1" t="s">
        <v>562</v>
      </c>
      <c r="W21" s="1" t="s">
        <v>519</v>
      </c>
      <c r="X21" s="1" t="s">
        <v>558</v>
      </c>
      <c r="Y21" s="1" t="s">
        <v>471</v>
      </c>
      <c r="Z21" s="1" t="s">
        <v>587</v>
      </c>
      <c r="AA21" s="1" t="s">
        <v>616</v>
      </c>
      <c r="AB21" s="1" t="s">
        <v>617</v>
      </c>
      <c r="AC21" s="1" t="s">
        <v>561</v>
      </c>
      <c r="AD21" s="1" t="s">
        <v>525</v>
      </c>
      <c r="AE21" s="1" t="s">
        <v>618</v>
      </c>
      <c r="AF21" s="1" t="s">
        <v>619</v>
      </c>
      <c r="AG21" s="1" t="s">
        <v>620</v>
      </c>
      <c r="AL21" s="2" t="s">
        <v>621</v>
      </c>
      <c r="AM21" s="2" t="s">
        <v>622</v>
      </c>
      <c r="AN21" s="2" t="s">
        <v>623</v>
      </c>
      <c r="AO21" s="2" t="s">
        <v>587</v>
      </c>
      <c r="AP21" s="2" t="s">
        <v>503</v>
      </c>
      <c r="AQ21" s="2" t="s">
        <v>624</v>
      </c>
      <c r="AR21" s="2"/>
      <c r="AS21" s="2"/>
      <c r="AT21" s="5" t="s">
        <v>621</v>
      </c>
      <c r="AU21" s="7" t="s">
        <v>356</v>
      </c>
      <c r="AV21" s="7" t="s">
        <v>471</v>
      </c>
      <c r="AW21" s="5" t="s">
        <v>356</v>
      </c>
      <c r="AX21" s="8" t="s">
        <v>572</v>
      </c>
      <c r="AY21" s="7" t="s">
        <v>351</v>
      </c>
      <c r="AZ21" s="2"/>
      <c r="BC21" s="2"/>
    </row>
    <row r="22" spans="7:55" x14ac:dyDescent="0.5">
      <c r="G22" s="1" t="s">
        <v>427</v>
      </c>
      <c r="H22" s="1" t="s">
        <v>427</v>
      </c>
      <c r="I22" s="1" t="s">
        <v>427</v>
      </c>
      <c r="L22" s="1" t="s">
        <v>105</v>
      </c>
      <c r="M22" s="1" t="s">
        <v>573</v>
      </c>
      <c r="N22" s="1" t="s">
        <v>625</v>
      </c>
      <c r="O22" s="1" t="s">
        <v>625</v>
      </c>
      <c r="P22" s="1" t="s">
        <v>626</v>
      </c>
      <c r="Q22" s="1" t="s">
        <v>627</v>
      </c>
      <c r="S22" s="1" t="s">
        <v>105</v>
      </c>
      <c r="T22" s="1" t="s">
        <v>573</v>
      </c>
      <c r="U22" s="1" t="s">
        <v>625</v>
      </c>
      <c r="V22" s="1" t="s">
        <v>625</v>
      </c>
      <c r="W22" s="1" t="s">
        <v>626</v>
      </c>
      <c r="X22" s="1" t="s">
        <v>627</v>
      </c>
      <c r="Y22" s="1" t="s">
        <v>558</v>
      </c>
      <c r="Z22" s="1" t="s">
        <v>628</v>
      </c>
      <c r="AA22" s="1" t="s">
        <v>597</v>
      </c>
      <c r="AB22" s="1" t="s">
        <v>620</v>
      </c>
      <c r="AC22" s="1" t="s">
        <v>629</v>
      </c>
      <c r="AD22" s="1" t="s">
        <v>630</v>
      </c>
      <c r="AE22" s="1" t="s">
        <v>631</v>
      </c>
      <c r="AF22" s="1" t="s">
        <v>632</v>
      </c>
      <c r="AG22" s="1" t="s">
        <v>633</v>
      </c>
      <c r="AL22" s="2" t="s">
        <v>634</v>
      </c>
      <c r="AM22" s="2" t="s">
        <v>635</v>
      </c>
      <c r="AN22" s="2" t="s">
        <v>98</v>
      </c>
      <c r="AO22" s="2" t="s">
        <v>575</v>
      </c>
      <c r="AP22" s="2" t="s">
        <v>484</v>
      </c>
      <c r="AT22" s="5" t="s">
        <v>622</v>
      </c>
      <c r="AU22" s="7" t="s">
        <v>505</v>
      </c>
      <c r="AV22" s="8" t="s">
        <v>527</v>
      </c>
      <c r="AW22" s="5" t="s">
        <v>541</v>
      </c>
      <c r="AX22" s="8" t="s">
        <v>462</v>
      </c>
      <c r="AY22" s="7" t="s">
        <v>468</v>
      </c>
    </row>
    <row r="23" spans="7:55" x14ac:dyDescent="0.5">
      <c r="G23" s="1" t="s">
        <v>428</v>
      </c>
      <c r="H23" s="1" t="s">
        <v>428</v>
      </c>
      <c r="I23" s="1" t="s">
        <v>428</v>
      </c>
      <c r="L23" s="1" t="s">
        <v>560</v>
      </c>
      <c r="M23" s="1" t="s">
        <v>551</v>
      </c>
      <c r="N23" s="1" t="s">
        <v>625</v>
      </c>
      <c r="O23" s="1" t="s">
        <v>587</v>
      </c>
      <c r="P23" s="1" t="s">
        <v>355</v>
      </c>
      <c r="Q23" s="1" t="s">
        <v>488</v>
      </c>
      <c r="S23" s="1" t="s">
        <v>560</v>
      </c>
      <c r="T23" s="1" t="s">
        <v>551</v>
      </c>
      <c r="U23" s="1" t="s">
        <v>625</v>
      </c>
      <c r="V23" s="1" t="s">
        <v>587</v>
      </c>
      <c r="W23" s="1" t="s">
        <v>355</v>
      </c>
      <c r="X23" s="1" t="s">
        <v>488</v>
      </c>
      <c r="Y23" s="1" t="s">
        <v>353</v>
      </c>
      <c r="Z23" s="1" t="s">
        <v>540</v>
      </c>
      <c r="AA23" s="1" t="s">
        <v>636</v>
      </c>
      <c r="AB23" s="1" t="s">
        <v>637</v>
      </c>
      <c r="AC23" s="1" t="s">
        <v>638</v>
      </c>
      <c r="AD23" s="1" t="s">
        <v>629</v>
      </c>
      <c r="AE23" s="1" t="s">
        <v>639</v>
      </c>
      <c r="AF23" s="1" t="s">
        <v>543</v>
      </c>
      <c r="AG23" s="1" t="s">
        <v>640</v>
      </c>
      <c r="AL23" s="2" t="s">
        <v>641</v>
      </c>
      <c r="AM23" s="2" t="s">
        <v>619</v>
      </c>
      <c r="AN23" s="2" t="s">
        <v>59</v>
      </c>
      <c r="AO23" s="2" t="s">
        <v>642</v>
      </c>
      <c r="AP23" s="2" t="s">
        <v>643</v>
      </c>
      <c r="AT23" s="6" t="s">
        <v>634</v>
      </c>
      <c r="AU23" s="7" t="s">
        <v>517</v>
      </c>
      <c r="AV23" s="8" t="s">
        <v>488</v>
      </c>
      <c r="AW23" s="7" t="s">
        <v>565</v>
      </c>
      <c r="AX23" s="7" t="s">
        <v>96</v>
      </c>
      <c r="AY23" s="7" t="s">
        <v>483</v>
      </c>
    </row>
    <row r="24" spans="7:55" x14ac:dyDescent="0.5">
      <c r="G24" s="1" t="s">
        <v>429</v>
      </c>
      <c r="H24" s="1" t="s">
        <v>429</v>
      </c>
      <c r="I24" s="1" t="s">
        <v>429</v>
      </c>
      <c r="L24" s="1" t="s">
        <v>559</v>
      </c>
      <c r="M24" s="1" t="s">
        <v>361</v>
      </c>
      <c r="N24" s="1" t="s">
        <v>358</v>
      </c>
      <c r="O24" s="1" t="s">
        <v>644</v>
      </c>
      <c r="P24" s="1" t="s">
        <v>356</v>
      </c>
      <c r="Q24" s="1" t="s">
        <v>492</v>
      </c>
      <c r="S24" s="1" t="s">
        <v>559</v>
      </c>
      <c r="T24" s="1" t="s">
        <v>361</v>
      </c>
      <c r="U24" s="1" t="s">
        <v>358</v>
      </c>
      <c r="V24" s="1" t="s">
        <v>644</v>
      </c>
      <c r="W24" s="1" t="s">
        <v>356</v>
      </c>
      <c r="X24" s="1" t="s">
        <v>492</v>
      </c>
      <c r="Y24" s="1" t="s">
        <v>513</v>
      </c>
      <c r="Z24" s="1" t="s">
        <v>573</v>
      </c>
      <c r="AA24" s="1" t="s">
        <v>645</v>
      </c>
      <c r="AB24" s="1" t="s">
        <v>646</v>
      </c>
      <c r="AC24" s="1" t="s">
        <v>615</v>
      </c>
      <c r="AD24" s="1" t="s">
        <v>647</v>
      </c>
      <c r="AE24" s="1" t="s">
        <v>525</v>
      </c>
      <c r="AF24" s="1" t="s">
        <v>648</v>
      </c>
      <c r="AG24" s="1" t="s">
        <v>649</v>
      </c>
      <c r="AL24" s="2" t="s">
        <v>650</v>
      </c>
      <c r="AM24" s="2" t="s">
        <v>651</v>
      </c>
      <c r="AN24" s="2" t="s">
        <v>652</v>
      </c>
      <c r="AO24" s="2" t="s">
        <v>653</v>
      </c>
      <c r="AP24" s="2" t="s">
        <v>356</v>
      </c>
      <c r="AT24" s="5" t="s">
        <v>641</v>
      </c>
      <c r="AU24" s="7" t="s">
        <v>92</v>
      </c>
      <c r="AV24" s="7" t="s">
        <v>492</v>
      </c>
      <c r="AW24" s="6" t="s">
        <v>525</v>
      </c>
      <c r="AX24" s="7" t="s">
        <v>493</v>
      </c>
      <c r="AY24" s="7" t="s">
        <v>538</v>
      </c>
    </row>
    <row r="25" spans="7:55" x14ac:dyDescent="0.5">
      <c r="G25" s="1" t="s">
        <v>654</v>
      </c>
      <c r="H25" s="1" t="s">
        <v>654</v>
      </c>
      <c r="I25" s="1" t="s">
        <v>654</v>
      </c>
      <c r="L25" s="1" t="s">
        <v>655</v>
      </c>
      <c r="M25" s="1" t="s">
        <v>105</v>
      </c>
      <c r="N25" s="1" t="s">
        <v>644</v>
      </c>
      <c r="O25" s="1" t="s">
        <v>642</v>
      </c>
      <c r="P25" s="1" t="s">
        <v>591</v>
      </c>
      <c r="Q25" s="1" t="s">
        <v>656</v>
      </c>
      <c r="S25" s="1" t="s">
        <v>655</v>
      </c>
      <c r="T25" s="1" t="s">
        <v>105</v>
      </c>
      <c r="U25" s="1" t="s">
        <v>644</v>
      </c>
      <c r="V25" s="1" t="s">
        <v>642</v>
      </c>
      <c r="W25" s="1" t="s">
        <v>591</v>
      </c>
      <c r="X25" s="1" t="s">
        <v>656</v>
      </c>
      <c r="Y25" s="1" t="s">
        <v>657</v>
      </c>
      <c r="Z25" s="1" t="s">
        <v>658</v>
      </c>
      <c r="AA25" s="1" t="s">
        <v>92</v>
      </c>
      <c r="AB25" s="1" t="s">
        <v>659</v>
      </c>
      <c r="AC25" s="1" t="s">
        <v>358</v>
      </c>
      <c r="AD25" s="1" t="s">
        <v>361</v>
      </c>
      <c r="AE25" s="1" t="s">
        <v>660</v>
      </c>
      <c r="AF25" s="1" t="s">
        <v>650</v>
      </c>
      <c r="AG25" s="1" t="s">
        <v>365</v>
      </c>
      <c r="AL25" s="2" t="s">
        <v>651</v>
      </c>
      <c r="AM25" s="2" t="s">
        <v>661</v>
      </c>
      <c r="AN25" s="2" t="s">
        <v>368</v>
      </c>
      <c r="AO25" s="2" t="s">
        <v>662</v>
      </c>
      <c r="AP25" s="2" t="s">
        <v>615</v>
      </c>
      <c r="AT25" s="6" t="s">
        <v>650</v>
      </c>
      <c r="AU25" s="7" t="s">
        <v>587</v>
      </c>
      <c r="AV25" s="8" t="s">
        <v>509</v>
      </c>
      <c r="AW25" s="7" t="s">
        <v>588</v>
      </c>
      <c r="AX25" s="7" t="s">
        <v>593</v>
      </c>
      <c r="AY25" s="7" t="s">
        <v>549</v>
      </c>
    </row>
    <row r="26" spans="7:55" x14ac:dyDescent="0.5">
      <c r="L26" s="1" t="s">
        <v>605</v>
      </c>
      <c r="M26" s="1" t="s">
        <v>663</v>
      </c>
      <c r="N26" s="1" t="s">
        <v>560</v>
      </c>
      <c r="O26" s="1" t="s">
        <v>664</v>
      </c>
      <c r="P26" s="1" t="s">
        <v>660</v>
      </c>
      <c r="Q26" s="1" t="s">
        <v>509</v>
      </c>
      <c r="S26" s="1" t="s">
        <v>605</v>
      </c>
      <c r="T26" s="1" t="s">
        <v>663</v>
      </c>
      <c r="U26" s="1" t="s">
        <v>560</v>
      </c>
      <c r="V26" s="1" t="s">
        <v>664</v>
      </c>
      <c r="W26" s="1" t="s">
        <v>660</v>
      </c>
      <c r="X26" s="1" t="s">
        <v>509</v>
      </c>
      <c r="Y26" s="1" t="s">
        <v>484</v>
      </c>
      <c r="Z26" s="1" t="s">
        <v>361</v>
      </c>
      <c r="AA26" s="1" t="s">
        <v>665</v>
      </c>
      <c r="AB26" s="1" t="s">
        <v>361</v>
      </c>
      <c r="AC26" s="1" t="s">
        <v>587</v>
      </c>
      <c r="AD26" s="1" t="s">
        <v>663</v>
      </c>
      <c r="AE26" s="1" t="s">
        <v>629</v>
      </c>
      <c r="AF26" s="1" t="s">
        <v>651</v>
      </c>
      <c r="AG26" s="1" t="s">
        <v>666</v>
      </c>
      <c r="AL26" s="2" t="s">
        <v>651</v>
      </c>
      <c r="AM26" s="2" t="s">
        <v>667</v>
      </c>
      <c r="AN26" s="2" t="s">
        <v>661</v>
      </c>
      <c r="AO26" s="2" t="s">
        <v>614</v>
      </c>
      <c r="AP26" s="2" t="s">
        <v>358</v>
      </c>
      <c r="AT26" s="5" t="s">
        <v>651</v>
      </c>
      <c r="AU26" s="7" t="s">
        <v>526</v>
      </c>
      <c r="AV26" s="7" t="s">
        <v>545</v>
      </c>
      <c r="AW26" s="8" t="s">
        <v>561</v>
      </c>
      <c r="AX26" s="7" t="s">
        <v>504</v>
      </c>
      <c r="AY26" s="7" t="s">
        <v>492</v>
      </c>
    </row>
    <row r="27" spans="7:55" x14ac:dyDescent="0.5">
      <c r="L27" s="1" t="s">
        <v>668</v>
      </c>
      <c r="M27" s="1" t="s">
        <v>575</v>
      </c>
      <c r="N27" s="1" t="s">
        <v>663</v>
      </c>
      <c r="O27" s="1" t="s">
        <v>653</v>
      </c>
      <c r="P27" s="1" t="s">
        <v>539</v>
      </c>
      <c r="Q27" s="1" t="s">
        <v>579</v>
      </c>
      <c r="S27" s="1" t="s">
        <v>668</v>
      </c>
      <c r="T27" s="1" t="s">
        <v>575</v>
      </c>
      <c r="U27" s="1" t="s">
        <v>663</v>
      </c>
      <c r="V27" s="1" t="s">
        <v>653</v>
      </c>
      <c r="W27" s="1" t="s">
        <v>539</v>
      </c>
      <c r="X27" s="1" t="s">
        <v>579</v>
      </c>
      <c r="Y27" s="1" t="s">
        <v>566</v>
      </c>
      <c r="Z27" s="1" t="s">
        <v>105</v>
      </c>
      <c r="AA27" s="1" t="s">
        <v>669</v>
      </c>
      <c r="AB27" s="1" t="s">
        <v>362</v>
      </c>
      <c r="AC27" s="1" t="s">
        <v>658</v>
      </c>
      <c r="AD27" s="1" t="s">
        <v>670</v>
      </c>
      <c r="AE27" s="1" t="s">
        <v>615</v>
      </c>
      <c r="AF27" s="1" t="s">
        <v>671</v>
      </c>
      <c r="AG27" s="1" t="s">
        <v>672</v>
      </c>
      <c r="AL27" s="2" t="s">
        <v>673</v>
      </c>
      <c r="AM27" s="2" t="s">
        <v>674</v>
      </c>
      <c r="AN27" s="2" t="s">
        <v>675</v>
      </c>
      <c r="AO27" s="2" t="s">
        <v>676</v>
      </c>
      <c r="AP27" s="2" t="s">
        <v>644</v>
      </c>
      <c r="AT27" s="10" t="s">
        <v>673</v>
      </c>
      <c r="AU27" s="7" t="s">
        <v>609</v>
      </c>
      <c r="AV27" s="7" t="s">
        <v>484</v>
      </c>
      <c r="AW27" s="6" t="s">
        <v>544</v>
      </c>
      <c r="AX27" s="8" t="s">
        <v>515</v>
      </c>
      <c r="AY27" s="7" t="s">
        <v>639</v>
      </c>
    </row>
    <row r="28" spans="7:55" x14ac:dyDescent="0.5">
      <c r="L28" s="1" t="s">
        <v>614</v>
      </c>
      <c r="M28" s="1" t="s">
        <v>595</v>
      </c>
      <c r="N28" s="1" t="s">
        <v>595</v>
      </c>
      <c r="O28" s="1" t="s">
        <v>559</v>
      </c>
      <c r="P28" s="1" t="s">
        <v>92</v>
      </c>
      <c r="Q28" s="1" t="s">
        <v>545</v>
      </c>
      <c r="S28" s="1" t="s">
        <v>614</v>
      </c>
      <c r="T28" s="1" t="s">
        <v>595</v>
      </c>
      <c r="U28" s="1" t="s">
        <v>595</v>
      </c>
      <c r="V28" s="1" t="s">
        <v>559</v>
      </c>
      <c r="W28" s="1" t="s">
        <v>92</v>
      </c>
      <c r="X28" s="1" t="s">
        <v>545</v>
      </c>
      <c r="Y28" s="1" t="s">
        <v>534</v>
      </c>
      <c r="Z28" s="1" t="s">
        <v>642</v>
      </c>
      <c r="AA28" s="1" t="s">
        <v>358</v>
      </c>
      <c r="AB28" s="1" t="s">
        <v>677</v>
      </c>
      <c r="AC28" s="1" t="s">
        <v>361</v>
      </c>
      <c r="AD28" s="1" t="s">
        <v>678</v>
      </c>
      <c r="AE28" s="1" t="s">
        <v>669</v>
      </c>
      <c r="AF28" s="1" t="s">
        <v>661</v>
      </c>
      <c r="AG28" s="1" t="s">
        <v>679</v>
      </c>
      <c r="AL28" s="2"/>
      <c r="AM28" s="2"/>
      <c r="AN28" s="2" t="s">
        <v>680</v>
      </c>
      <c r="AO28" s="2" t="s">
        <v>619</v>
      </c>
      <c r="AP28" s="2" t="s">
        <v>526</v>
      </c>
      <c r="AT28" s="10"/>
      <c r="AU28" s="7" t="s">
        <v>540</v>
      </c>
      <c r="AV28" s="8" t="s">
        <v>100</v>
      </c>
      <c r="AW28" s="5" t="s">
        <v>585</v>
      </c>
      <c r="AX28" s="7" t="s">
        <v>604</v>
      </c>
      <c r="AY28" s="7" t="s">
        <v>522</v>
      </c>
    </row>
    <row r="29" spans="7:55" x14ac:dyDescent="0.5">
      <c r="L29" s="1" t="s">
        <v>681</v>
      </c>
      <c r="M29" s="1" t="s">
        <v>664</v>
      </c>
      <c r="N29" s="1" t="s">
        <v>653</v>
      </c>
      <c r="O29" s="1" t="s">
        <v>682</v>
      </c>
      <c r="P29" s="1" t="s">
        <v>683</v>
      </c>
      <c r="Q29" s="1" t="s">
        <v>503</v>
      </c>
      <c r="S29" s="1" t="s">
        <v>681</v>
      </c>
      <c r="T29" s="1" t="s">
        <v>664</v>
      </c>
      <c r="U29" s="1" t="s">
        <v>653</v>
      </c>
      <c r="V29" s="1" t="s">
        <v>682</v>
      </c>
      <c r="W29" s="1" t="s">
        <v>683</v>
      </c>
      <c r="X29" s="1" t="s">
        <v>503</v>
      </c>
      <c r="Y29" s="1" t="s">
        <v>555</v>
      </c>
      <c r="Z29" s="1" t="s">
        <v>684</v>
      </c>
      <c r="AA29" s="1" t="s">
        <v>573</v>
      </c>
      <c r="AB29" s="1" t="s">
        <v>642</v>
      </c>
      <c r="AC29" s="1" t="s">
        <v>685</v>
      </c>
      <c r="AD29" s="1" t="s">
        <v>686</v>
      </c>
      <c r="AE29" s="1" t="s">
        <v>365</v>
      </c>
      <c r="AF29" s="1" t="s">
        <v>687</v>
      </c>
      <c r="AG29" s="1" t="s">
        <v>374</v>
      </c>
      <c r="AL29" s="2"/>
      <c r="AN29" s="2" t="s">
        <v>688</v>
      </c>
      <c r="AO29" s="2" t="s">
        <v>689</v>
      </c>
      <c r="AP29" s="2" t="s">
        <v>646</v>
      </c>
      <c r="AU29" s="7" t="s">
        <v>573</v>
      </c>
      <c r="AV29" s="7" t="s">
        <v>542</v>
      </c>
      <c r="AW29" s="7" t="s">
        <v>517</v>
      </c>
      <c r="AX29" s="7" t="s">
        <v>351</v>
      </c>
      <c r="AY29" s="7" t="s">
        <v>503</v>
      </c>
    </row>
    <row r="30" spans="7:55" x14ac:dyDescent="0.5">
      <c r="L30" s="1" t="s">
        <v>676</v>
      </c>
      <c r="M30" s="1" t="s">
        <v>574</v>
      </c>
      <c r="N30" s="1" t="s">
        <v>559</v>
      </c>
      <c r="O30" s="1" t="s">
        <v>59</v>
      </c>
      <c r="P30" s="1" t="s">
        <v>690</v>
      </c>
      <c r="Q30" s="1" t="s">
        <v>503</v>
      </c>
      <c r="S30" s="1" t="s">
        <v>676</v>
      </c>
      <c r="T30" s="1" t="s">
        <v>574</v>
      </c>
      <c r="U30" s="1" t="s">
        <v>559</v>
      </c>
      <c r="V30" s="1" t="s">
        <v>59</v>
      </c>
      <c r="W30" s="1" t="s">
        <v>690</v>
      </c>
      <c r="X30" s="1" t="s">
        <v>503</v>
      </c>
      <c r="Y30" s="1" t="s">
        <v>691</v>
      </c>
      <c r="Z30" s="1" t="s">
        <v>664</v>
      </c>
      <c r="AA30" s="1" t="s">
        <v>692</v>
      </c>
      <c r="AB30" s="1" t="s">
        <v>693</v>
      </c>
      <c r="AC30" s="1" t="s">
        <v>694</v>
      </c>
      <c r="AD30" s="1" t="s">
        <v>641</v>
      </c>
      <c r="AE30" s="1" t="s">
        <v>695</v>
      </c>
      <c r="AL30" s="2"/>
      <c r="AN30" s="2" t="s">
        <v>696</v>
      </c>
      <c r="AO30" s="2" t="s">
        <v>697</v>
      </c>
      <c r="AP30" s="2" t="s">
        <v>63</v>
      </c>
      <c r="AU30" s="7" t="s">
        <v>551</v>
      </c>
      <c r="AV30" s="7" t="s">
        <v>566</v>
      </c>
      <c r="AW30" s="8" t="s">
        <v>615</v>
      </c>
      <c r="AX30" s="8" t="s">
        <v>468</v>
      </c>
      <c r="AY30" s="7" t="s">
        <v>510</v>
      </c>
    </row>
    <row r="31" spans="7:55" x14ac:dyDescent="0.5">
      <c r="L31" s="1" t="s">
        <v>98</v>
      </c>
      <c r="M31" s="1" t="s">
        <v>678</v>
      </c>
      <c r="N31" s="1" t="s">
        <v>623</v>
      </c>
      <c r="O31" s="1" t="s">
        <v>619</v>
      </c>
      <c r="P31" s="1" t="s">
        <v>63</v>
      </c>
      <c r="Q31" s="1" t="s">
        <v>510</v>
      </c>
      <c r="S31" s="1" t="s">
        <v>98</v>
      </c>
      <c r="T31" s="1" t="s">
        <v>678</v>
      </c>
      <c r="U31" s="1" t="s">
        <v>623</v>
      </c>
      <c r="V31" s="1" t="s">
        <v>619</v>
      </c>
      <c r="W31" s="1" t="s">
        <v>63</v>
      </c>
      <c r="X31" s="1" t="s">
        <v>510</v>
      </c>
      <c r="Y31" s="1" t="s">
        <v>660</v>
      </c>
      <c r="Z31" s="1" t="s">
        <v>694</v>
      </c>
      <c r="AA31" s="1" t="s">
        <v>56</v>
      </c>
      <c r="AB31" s="1" t="s">
        <v>694</v>
      </c>
      <c r="AC31" s="1" t="s">
        <v>614</v>
      </c>
      <c r="AD31" s="1" t="s">
        <v>698</v>
      </c>
      <c r="AE31" s="1" t="s">
        <v>699</v>
      </c>
      <c r="AL31" s="2"/>
      <c r="AN31" s="2" t="s">
        <v>372</v>
      </c>
      <c r="AO31" s="2" t="s">
        <v>700</v>
      </c>
      <c r="AP31" s="2" t="s">
        <v>701</v>
      </c>
      <c r="AU31" s="7" t="s">
        <v>361</v>
      </c>
      <c r="AV31" s="8" t="s">
        <v>510</v>
      </c>
      <c r="AW31" s="7" t="s">
        <v>625</v>
      </c>
      <c r="AX31" s="8" t="s">
        <v>483</v>
      </c>
      <c r="AY31" s="7" t="s">
        <v>548</v>
      </c>
    </row>
    <row r="32" spans="7:55" x14ac:dyDescent="0.5">
      <c r="L32" s="1" t="s">
        <v>619</v>
      </c>
      <c r="M32" s="1" t="s">
        <v>622</v>
      </c>
      <c r="N32" s="1" t="s">
        <v>364</v>
      </c>
      <c r="O32" s="1" t="s">
        <v>697</v>
      </c>
      <c r="P32" s="1" t="s">
        <v>360</v>
      </c>
      <c r="Q32" s="1" t="s">
        <v>494</v>
      </c>
      <c r="S32" s="1" t="s">
        <v>619</v>
      </c>
      <c r="T32" s="1" t="s">
        <v>622</v>
      </c>
      <c r="U32" s="1" t="s">
        <v>364</v>
      </c>
      <c r="V32" s="1" t="s">
        <v>697</v>
      </c>
      <c r="W32" s="1" t="s">
        <v>360</v>
      </c>
      <c r="X32" s="1" t="s">
        <v>494</v>
      </c>
      <c r="Y32" s="1" t="s">
        <v>629</v>
      </c>
      <c r="Z32" s="1" t="s">
        <v>702</v>
      </c>
      <c r="AA32" s="1" t="s">
        <v>608</v>
      </c>
      <c r="AB32" s="1" t="s">
        <v>703</v>
      </c>
      <c r="AC32" s="1" t="s">
        <v>704</v>
      </c>
      <c r="AD32" s="1" t="s">
        <v>671</v>
      </c>
      <c r="AE32" s="1" t="s">
        <v>705</v>
      </c>
      <c r="AL32" s="2"/>
      <c r="AO32" s="2" t="s">
        <v>706</v>
      </c>
      <c r="AP32" s="2" t="s">
        <v>707</v>
      </c>
      <c r="AU32" s="7" t="s">
        <v>105</v>
      </c>
      <c r="AV32" s="8" t="s">
        <v>578</v>
      </c>
      <c r="AW32" s="7" t="s">
        <v>358</v>
      </c>
      <c r="AX32" s="7" t="s">
        <v>538</v>
      </c>
      <c r="AY32" s="7" t="s">
        <v>530</v>
      </c>
    </row>
    <row r="33" spans="12:51" x14ac:dyDescent="0.5">
      <c r="L33" s="1" t="s">
        <v>708</v>
      </c>
      <c r="M33" s="1" t="s">
        <v>708</v>
      </c>
      <c r="N33" s="1" t="s">
        <v>709</v>
      </c>
      <c r="O33" s="1" t="s">
        <v>650</v>
      </c>
      <c r="P33" s="1" t="s">
        <v>56</v>
      </c>
      <c r="Q33" s="1" t="s">
        <v>525</v>
      </c>
      <c r="S33" s="1" t="s">
        <v>708</v>
      </c>
      <c r="T33" s="1" t="s">
        <v>708</v>
      </c>
      <c r="U33" s="1" t="s">
        <v>709</v>
      </c>
      <c r="V33" s="1" t="s">
        <v>650</v>
      </c>
      <c r="W33" s="1" t="s">
        <v>56</v>
      </c>
      <c r="X33" s="1" t="s">
        <v>525</v>
      </c>
      <c r="Y33" s="1" t="s">
        <v>710</v>
      </c>
      <c r="Z33" s="1" t="s">
        <v>623</v>
      </c>
      <c r="AA33" s="1" t="s">
        <v>361</v>
      </c>
      <c r="AB33" s="1" t="s">
        <v>711</v>
      </c>
      <c r="AC33" s="1" t="s">
        <v>619</v>
      </c>
      <c r="AD33" s="1" t="s">
        <v>368</v>
      </c>
      <c r="AE33" s="1" t="s">
        <v>712</v>
      </c>
      <c r="AO33" s="2" t="s">
        <v>713</v>
      </c>
      <c r="AP33" s="2" t="s">
        <v>714</v>
      </c>
      <c r="AU33" s="7" t="s">
        <v>560</v>
      </c>
      <c r="AV33" s="7" t="s">
        <v>520</v>
      </c>
      <c r="AW33" s="8" t="s">
        <v>644</v>
      </c>
      <c r="AX33" s="7" t="s">
        <v>549</v>
      </c>
      <c r="AY33" s="7" t="s">
        <v>562</v>
      </c>
    </row>
    <row r="34" spans="12:51" x14ac:dyDescent="0.5">
      <c r="L34" s="1" t="s">
        <v>697</v>
      </c>
      <c r="M34" s="1" t="s">
        <v>671</v>
      </c>
      <c r="N34" s="1" t="s">
        <v>98</v>
      </c>
      <c r="O34" s="1" t="s">
        <v>651</v>
      </c>
      <c r="P34" s="1" t="s">
        <v>361</v>
      </c>
      <c r="Q34" s="1" t="s">
        <v>660</v>
      </c>
      <c r="S34" s="1" t="s">
        <v>697</v>
      </c>
      <c r="T34" s="1" t="s">
        <v>671</v>
      </c>
      <c r="U34" s="1" t="s">
        <v>98</v>
      </c>
      <c r="V34" s="1" t="s">
        <v>651</v>
      </c>
      <c r="W34" s="1" t="s">
        <v>361</v>
      </c>
      <c r="X34" s="1" t="s">
        <v>660</v>
      </c>
      <c r="Y34" s="1" t="s">
        <v>56</v>
      </c>
      <c r="Z34" s="1" t="s">
        <v>487</v>
      </c>
      <c r="AA34" s="1" t="s">
        <v>715</v>
      </c>
      <c r="AB34" s="1" t="s">
        <v>676</v>
      </c>
      <c r="AC34" s="1" t="s">
        <v>716</v>
      </c>
      <c r="AD34" s="1" t="s">
        <v>675</v>
      </c>
      <c r="AE34" s="1" t="s">
        <v>675</v>
      </c>
      <c r="AO34" s="2" t="s">
        <v>717</v>
      </c>
      <c r="AP34" s="2" t="s">
        <v>718</v>
      </c>
      <c r="AU34" s="7" t="s">
        <v>663</v>
      </c>
      <c r="AV34" s="7" t="s">
        <v>552</v>
      </c>
      <c r="AW34" s="6" t="s">
        <v>596</v>
      </c>
      <c r="AX34" s="7" t="s">
        <v>612</v>
      </c>
      <c r="AY34" s="7" t="s">
        <v>591</v>
      </c>
    </row>
    <row r="35" spans="12:51" x14ac:dyDescent="0.5">
      <c r="L35" s="1" t="s">
        <v>719</v>
      </c>
      <c r="M35" s="1" t="s">
        <v>720</v>
      </c>
      <c r="N35" s="1" t="s">
        <v>721</v>
      </c>
      <c r="O35" s="1" t="s">
        <v>717</v>
      </c>
      <c r="P35" s="1" t="s">
        <v>575</v>
      </c>
      <c r="Q35" s="1" t="s">
        <v>629</v>
      </c>
      <c r="S35" s="1" t="s">
        <v>719</v>
      </c>
      <c r="T35" s="1" t="s">
        <v>720</v>
      </c>
      <c r="U35" s="1" t="s">
        <v>721</v>
      </c>
      <c r="V35" s="1" t="s">
        <v>717</v>
      </c>
      <c r="W35" s="1" t="s">
        <v>575</v>
      </c>
      <c r="X35" s="1" t="s">
        <v>629</v>
      </c>
      <c r="Y35" s="1" t="s">
        <v>361</v>
      </c>
      <c r="Z35" s="1" t="s">
        <v>722</v>
      </c>
      <c r="AA35" s="1" t="s">
        <v>723</v>
      </c>
      <c r="AB35" s="1" t="s">
        <v>724</v>
      </c>
      <c r="AC35" s="1" t="s">
        <v>719</v>
      </c>
      <c r="AE35" s="1" t="s">
        <v>725</v>
      </c>
      <c r="AO35" s="2" t="s">
        <v>564</v>
      </c>
      <c r="AP35" s="2" t="s">
        <v>633</v>
      </c>
      <c r="AU35" s="7" t="s">
        <v>575</v>
      </c>
      <c r="AV35" s="8" t="s">
        <v>548</v>
      </c>
      <c r="AW35" s="5" t="s">
        <v>105</v>
      </c>
      <c r="AX35" s="8" t="s">
        <v>558</v>
      </c>
      <c r="AY35" s="7" t="s">
        <v>525</v>
      </c>
    </row>
    <row r="36" spans="12:51" x14ac:dyDescent="0.5">
      <c r="L36" s="1" t="s">
        <v>650</v>
      </c>
      <c r="M36" s="1" t="s">
        <v>661</v>
      </c>
      <c r="N36" s="1" t="s">
        <v>652</v>
      </c>
      <c r="O36" s="1" t="s">
        <v>726</v>
      </c>
      <c r="P36" s="1" t="s">
        <v>684</v>
      </c>
      <c r="Q36" s="1" t="s">
        <v>92</v>
      </c>
      <c r="S36" s="1" t="s">
        <v>650</v>
      </c>
      <c r="T36" s="1" t="s">
        <v>661</v>
      </c>
      <c r="U36" s="1" t="s">
        <v>652</v>
      </c>
      <c r="V36" s="1" t="s">
        <v>726</v>
      </c>
      <c r="W36" s="1" t="s">
        <v>684</v>
      </c>
      <c r="X36" s="1" t="s">
        <v>92</v>
      </c>
      <c r="Y36" s="1" t="s">
        <v>642</v>
      </c>
      <c r="Z36" s="1" t="s">
        <v>727</v>
      </c>
      <c r="AA36" s="1" t="s">
        <v>728</v>
      </c>
      <c r="AB36" s="1" t="s">
        <v>619</v>
      </c>
      <c r="AC36" s="1" t="s">
        <v>675</v>
      </c>
      <c r="AE36" s="1" t="s">
        <v>672</v>
      </c>
      <c r="AP36" s="2" t="s">
        <v>682</v>
      </c>
      <c r="AU36" s="7" t="s">
        <v>584</v>
      </c>
      <c r="AV36" s="7" t="s">
        <v>530</v>
      </c>
      <c r="AW36" s="7" t="s">
        <v>560</v>
      </c>
      <c r="AX36" s="8" t="s">
        <v>618</v>
      </c>
      <c r="AY36" s="7" t="s">
        <v>629</v>
      </c>
    </row>
    <row r="37" spans="12:51" x14ac:dyDescent="0.5">
      <c r="L37" s="1" t="s">
        <v>729</v>
      </c>
      <c r="M37" s="1" t="s">
        <v>667</v>
      </c>
      <c r="N37" s="1" t="s">
        <v>730</v>
      </c>
      <c r="P37" s="1" t="s">
        <v>595</v>
      </c>
      <c r="Q37" s="1" t="s">
        <v>615</v>
      </c>
      <c r="S37" s="1" t="s">
        <v>729</v>
      </c>
      <c r="T37" s="1" t="s">
        <v>667</v>
      </c>
      <c r="U37" s="1" t="s">
        <v>730</v>
      </c>
      <c r="W37" s="1" t="s">
        <v>595</v>
      </c>
      <c r="X37" s="1" t="s">
        <v>615</v>
      </c>
      <c r="Y37" s="1" t="s">
        <v>731</v>
      </c>
      <c r="Z37" s="1" t="s">
        <v>650</v>
      </c>
      <c r="AA37" s="1" t="s">
        <v>595</v>
      </c>
      <c r="AB37" s="1" t="s">
        <v>697</v>
      </c>
      <c r="AC37" s="1" t="s">
        <v>666</v>
      </c>
      <c r="AE37" s="1" t="s">
        <v>732</v>
      </c>
      <c r="AP37" s="2" t="s">
        <v>733</v>
      </c>
      <c r="AU37" s="7" t="s">
        <v>595</v>
      </c>
      <c r="AV37" s="7" t="s">
        <v>356</v>
      </c>
      <c r="AW37" s="8" t="s">
        <v>663</v>
      </c>
      <c r="AX37" s="8" t="s">
        <v>571</v>
      </c>
      <c r="AY37" s="7" t="s">
        <v>615</v>
      </c>
    </row>
    <row r="38" spans="12:51" x14ac:dyDescent="0.5">
      <c r="L38" s="1" t="s">
        <v>734</v>
      </c>
      <c r="M38" s="1" t="s">
        <v>675</v>
      </c>
      <c r="N38" s="1" t="s">
        <v>651</v>
      </c>
      <c r="P38" s="1" t="s">
        <v>735</v>
      </c>
      <c r="Q38" s="1" t="s">
        <v>358</v>
      </c>
      <c r="S38" s="1" t="s">
        <v>734</v>
      </c>
      <c r="T38" s="1" t="s">
        <v>675</v>
      </c>
      <c r="U38" s="1" t="s">
        <v>651</v>
      </c>
      <c r="W38" s="1" t="s">
        <v>735</v>
      </c>
      <c r="X38" s="1" t="s">
        <v>358</v>
      </c>
      <c r="Y38" s="1" t="s">
        <v>736</v>
      </c>
      <c r="Z38" s="1" t="s">
        <v>734</v>
      </c>
      <c r="AA38" s="1" t="s">
        <v>737</v>
      </c>
      <c r="AB38" s="1" t="s">
        <v>738</v>
      </c>
      <c r="AC38" s="1" t="s">
        <v>732</v>
      </c>
      <c r="AE38" s="1" t="s">
        <v>696</v>
      </c>
      <c r="AP38" s="2" t="s">
        <v>739</v>
      </c>
      <c r="AU38" s="7" t="s">
        <v>664</v>
      </c>
      <c r="AV38" s="5" t="s">
        <v>562</v>
      </c>
      <c r="AW38" s="5" t="s">
        <v>595</v>
      </c>
      <c r="AX38" s="8" t="s">
        <v>631</v>
      </c>
      <c r="AY38" s="7" t="s">
        <v>669</v>
      </c>
    </row>
    <row r="39" spans="12:51" x14ac:dyDescent="0.5">
      <c r="L39" s="1" t="s">
        <v>651</v>
      </c>
      <c r="M39" s="1" t="s">
        <v>717</v>
      </c>
      <c r="N39" s="1" t="s">
        <v>720</v>
      </c>
      <c r="P39" s="1" t="s">
        <v>740</v>
      </c>
      <c r="Q39" s="1" t="s">
        <v>358</v>
      </c>
      <c r="S39" s="1" t="s">
        <v>651</v>
      </c>
      <c r="T39" s="1" t="s">
        <v>717</v>
      </c>
      <c r="U39" s="1" t="s">
        <v>720</v>
      </c>
      <c r="W39" s="1" t="s">
        <v>740</v>
      </c>
      <c r="X39" s="1" t="s">
        <v>358</v>
      </c>
      <c r="Y39" s="1" t="s">
        <v>741</v>
      </c>
      <c r="Z39" s="1" t="s">
        <v>667</v>
      </c>
      <c r="AA39" s="1" t="s">
        <v>574</v>
      </c>
      <c r="AB39" s="1" t="s">
        <v>650</v>
      </c>
      <c r="AC39" s="1" t="s">
        <v>372</v>
      </c>
      <c r="AP39" s="2" t="s">
        <v>613</v>
      </c>
      <c r="AU39" s="7" t="s">
        <v>574</v>
      </c>
      <c r="AV39" s="6" t="s">
        <v>569</v>
      </c>
      <c r="AW39" s="8" t="s">
        <v>653</v>
      </c>
      <c r="AX39" s="8" t="s">
        <v>492</v>
      </c>
      <c r="AY39" s="7" t="s">
        <v>557</v>
      </c>
    </row>
    <row r="40" spans="12:51" x14ac:dyDescent="0.5">
      <c r="L40" s="1" t="s">
        <v>671</v>
      </c>
      <c r="M40" s="1" t="s">
        <v>674</v>
      </c>
      <c r="N40" s="1" t="s">
        <v>368</v>
      </c>
      <c r="P40" s="1" t="s">
        <v>731</v>
      </c>
      <c r="Q40" s="1" t="s">
        <v>742</v>
      </c>
      <c r="S40" s="1" t="s">
        <v>671</v>
      </c>
      <c r="T40" s="1" t="s">
        <v>674</v>
      </c>
      <c r="U40" s="1" t="s">
        <v>368</v>
      </c>
      <c r="W40" s="1" t="s">
        <v>731</v>
      </c>
      <c r="X40" s="1" t="s">
        <v>742</v>
      </c>
      <c r="Y40" s="1" t="s">
        <v>741</v>
      </c>
      <c r="Z40" s="1" t="s">
        <v>743</v>
      </c>
      <c r="AA40" s="1" t="s">
        <v>694</v>
      </c>
      <c r="AB40" s="1" t="s">
        <v>744</v>
      </c>
      <c r="AC40" s="1" t="s">
        <v>745</v>
      </c>
      <c r="AP40" s="2" t="s">
        <v>746</v>
      </c>
      <c r="AU40" s="7" t="s">
        <v>594</v>
      </c>
      <c r="AV40" s="8" t="s">
        <v>541</v>
      </c>
      <c r="AW40" s="7" t="s">
        <v>559</v>
      </c>
      <c r="AX40" s="8" t="s">
        <v>639</v>
      </c>
      <c r="AY40" s="7" t="s">
        <v>573</v>
      </c>
    </row>
    <row r="41" spans="12:51" x14ac:dyDescent="0.5">
      <c r="L41" s="1" t="s">
        <v>747</v>
      </c>
      <c r="M41" s="1" t="s">
        <v>371</v>
      </c>
      <c r="N41" s="1" t="s">
        <v>688</v>
      </c>
      <c r="P41" s="1" t="s">
        <v>623</v>
      </c>
      <c r="Q41" s="1" t="s">
        <v>748</v>
      </c>
      <c r="S41" s="1" t="s">
        <v>747</v>
      </c>
      <c r="T41" s="1" t="s">
        <v>371</v>
      </c>
      <c r="U41" s="1" t="s">
        <v>688</v>
      </c>
      <c r="W41" s="1" t="s">
        <v>623</v>
      </c>
      <c r="X41" s="1" t="s">
        <v>748</v>
      </c>
      <c r="Y41" s="1" t="s">
        <v>676</v>
      </c>
      <c r="AA41" s="1" t="s">
        <v>702</v>
      </c>
      <c r="AB41" s="1" t="s">
        <v>749</v>
      </c>
      <c r="AP41" s="2" t="s">
        <v>750</v>
      </c>
      <c r="AU41" s="7" t="s">
        <v>678</v>
      </c>
      <c r="AV41" s="7" t="s">
        <v>565</v>
      </c>
      <c r="AW41" s="8" t="s">
        <v>623</v>
      </c>
      <c r="AX41" s="7" t="s">
        <v>522</v>
      </c>
      <c r="AY41" s="7" t="s">
        <v>63</v>
      </c>
    </row>
    <row r="42" spans="12:51" x14ac:dyDescent="0.5">
      <c r="L42" s="1" t="s">
        <v>667</v>
      </c>
      <c r="M42" s="1" t="s">
        <v>751</v>
      </c>
      <c r="N42" s="1" t="s">
        <v>372</v>
      </c>
      <c r="P42" s="1" t="s">
        <v>487</v>
      </c>
      <c r="Q42" s="1" t="s">
        <v>718</v>
      </c>
      <c r="S42" s="1" t="s">
        <v>667</v>
      </c>
      <c r="T42" s="1" t="s">
        <v>751</v>
      </c>
      <c r="U42" s="1" t="s">
        <v>372</v>
      </c>
      <c r="W42" s="1" t="s">
        <v>487</v>
      </c>
      <c r="X42" s="1" t="s">
        <v>718</v>
      </c>
      <c r="Y42" s="1" t="s">
        <v>98</v>
      </c>
      <c r="AA42" s="1" t="s">
        <v>623</v>
      </c>
      <c r="AB42" s="1" t="s">
        <v>752</v>
      </c>
      <c r="AP42" s="2" t="s">
        <v>697</v>
      </c>
      <c r="AU42" s="7" t="s">
        <v>614</v>
      </c>
      <c r="AV42" s="5" t="s">
        <v>525</v>
      </c>
      <c r="AW42" s="7" t="s">
        <v>364</v>
      </c>
      <c r="AX42" s="8" t="s">
        <v>503</v>
      </c>
      <c r="AY42" s="7" t="s">
        <v>105</v>
      </c>
    </row>
    <row r="43" spans="12:51" x14ac:dyDescent="0.5">
      <c r="L43" s="1" t="s">
        <v>753</v>
      </c>
      <c r="N43" s="1" t="s">
        <v>745</v>
      </c>
      <c r="P43" s="1" t="s">
        <v>741</v>
      </c>
      <c r="Q43" s="1" t="s">
        <v>633</v>
      </c>
      <c r="S43" s="1" t="s">
        <v>753</v>
      </c>
      <c r="U43" s="1" t="s">
        <v>745</v>
      </c>
      <c r="W43" s="1" t="s">
        <v>741</v>
      </c>
      <c r="X43" s="1" t="s">
        <v>633</v>
      </c>
      <c r="Y43" s="1" t="s">
        <v>754</v>
      </c>
      <c r="AA43" s="1" t="s">
        <v>682</v>
      </c>
      <c r="AB43" s="1" t="s">
        <v>755</v>
      </c>
      <c r="AP43" s="2" t="s">
        <v>756</v>
      </c>
      <c r="AU43" s="7" t="s">
        <v>635</v>
      </c>
      <c r="AV43" s="7" t="s">
        <v>588</v>
      </c>
      <c r="AW43" s="8" t="s">
        <v>709</v>
      </c>
      <c r="AX43" s="8" t="s">
        <v>354</v>
      </c>
      <c r="AY43" s="7" t="s">
        <v>633</v>
      </c>
    </row>
    <row r="44" spans="12:51" x14ac:dyDescent="0.5">
      <c r="L44" s="1" t="s">
        <v>675</v>
      </c>
      <c r="P44" s="1" t="s">
        <v>668</v>
      </c>
      <c r="Q44" s="1" t="s">
        <v>757</v>
      </c>
      <c r="S44" s="1" t="s">
        <v>675</v>
      </c>
      <c r="W44" s="1" t="s">
        <v>668</v>
      </c>
      <c r="X44" s="1" t="s">
        <v>757</v>
      </c>
      <c r="Y44" s="1" t="s">
        <v>697</v>
      </c>
      <c r="AA44" s="1" t="s">
        <v>758</v>
      </c>
      <c r="AB44" s="1" t="s">
        <v>747</v>
      </c>
      <c r="AP44" s="2" t="s">
        <v>675</v>
      </c>
      <c r="AU44" s="7" t="s">
        <v>619</v>
      </c>
      <c r="AV44" s="8" t="s">
        <v>561</v>
      </c>
      <c r="AW44" s="7" t="s">
        <v>98</v>
      </c>
      <c r="AX44" s="8" t="s">
        <v>524</v>
      </c>
      <c r="AY44" s="7" t="s">
        <v>640</v>
      </c>
    </row>
    <row r="45" spans="12:51" x14ac:dyDescent="0.5">
      <c r="L45" s="1" t="s">
        <v>759</v>
      </c>
      <c r="P45" s="1" t="s">
        <v>681</v>
      </c>
      <c r="Q45" s="1" t="s">
        <v>757</v>
      </c>
      <c r="S45" s="1" t="s">
        <v>759</v>
      </c>
      <c r="W45" s="1" t="s">
        <v>681</v>
      </c>
      <c r="X45" s="1" t="s">
        <v>757</v>
      </c>
      <c r="Y45" s="1" t="s">
        <v>760</v>
      </c>
      <c r="AA45" s="1" t="s">
        <v>761</v>
      </c>
      <c r="AB45" s="1" t="s">
        <v>368</v>
      </c>
      <c r="AP45" s="2" t="s">
        <v>607</v>
      </c>
      <c r="AU45" s="7" t="s">
        <v>708</v>
      </c>
      <c r="AV45" s="6" t="s">
        <v>597</v>
      </c>
      <c r="AW45" s="8" t="s">
        <v>721</v>
      </c>
      <c r="AX45" s="7" t="s">
        <v>510</v>
      </c>
      <c r="AY45" s="7" t="s">
        <v>649</v>
      </c>
    </row>
    <row r="46" spans="12:51" x14ac:dyDescent="0.5">
      <c r="P46" s="1" t="s">
        <v>676</v>
      </c>
      <c r="Q46" s="1" t="s">
        <v>682</v>
      </c>
      <c r="W46" s="1" t="s">
        <v>676</v>
      </c>
      <c r="X46" s="1" t="s">
        <v>682</v>
      </c>
      <c r="Y46" s="1" t="s">
        <v>730</v>
      </c>
      <c r="AA46" s="1" t="s">
        <v>741</v>
      </c>
      <c r="AB46" s="1" t="s">
        <v>762</v>
      </c>
      <c r="AP46" s="2" t="s">
        <v>745</v>
      </c>
      <c r="AU46" s="7" t="s">
        <v>651</v>
      </c>
      <c r="AV46" s="5" t="s">
        <v>606</v>
      </c>
      <c r="AW46" s="5" t="s">
        <v>59</v>
      </c>
      <c r="AX46" s="7" t="s">
        <v>548</v>
      </c>
      <c r="AY46" s="7" t="s">
        <v>365</v>
      </c>
    </row>
    <row r="47" spans="12:51" x14ac:dyDescent="0.5">
      <c r="P47" s="1" t="s">
        <v>98</v>
      </c>
      <c r="Q47" s="1" t="s">
        <v>741</v>
      </c>
      <c r="W47" s="1" t="s">
        <v>98</v>
      </c>
      <c r="X47" s="1" t="s">
        <v>741</v>
      </c>
      <c r="Y47" s="1" t="s">
        <v>763</v>
      </c>
      <c r="AA47" s="1" t="s">
        <v>711</v>
      </c>
      <c r="AB47" s="1" t="s">
        <v>667</v>
      </c>
      <c r="AP47" s="2"/>
      <c r="AU47" s="7" t="s">
        <v>671</v>
      </c>
      <c r="AV47" s="7" t="s">
        <v>517</v>
      </c>
      <c r="AW47" s="7" t="s">
        <v>652</v>
      </c>
      <c r="AX47" s="8" t="s">
        <v>530</v>
      </c>
      <c r="AY47" s="7" t="s">
        <v>613</v>
      </c>
    </row>
    <row r="48" spans="12:51" x14ac:dyDescent="0.5">
      <c r="P48" s="1" t="s">
        <v>98</v>
      </c>
      <c r="Q48" s="1" t="s">
        <v>668</v>
      </c>
      <c r="W48" s="1" t="s">
        <v>98</v>
      </c>
      <c r="X48" s="1" t="s">
        <v>668</v>
      </c>
      <c r="Y48" s="1" t="s">
        <v>764</v>
      </c>
      <c r="AA48" s="1" t="s">
        <v>640</v>
      </c>
      <c r="AB48" s="1" t="s">
        <v>765</v>
      </c>
      <c r="AU48" s="7" t="s">
        <v>720</v>
      </c>
      <c r="AV48" s="6" t="s">
        <v>92</v>
      </c>
      <c r="AW48" s="8" t="s">
        <v>730</v>
      </c>
      <c r="AX48" s="7" t="s">
        <v>562</v>
      </c>
      <c r="AY48" s="7" t="s">
        <v>619</v>
      </c>
    </row>
    <row r="49" spans="16:51" x14ac:dyDescent="0.5">
      <c r="P49" s="1" t="s">
        <v>766</v>
      </c>
      <c r="Q49" s="1" t="s">
        <v>767</v>
      </c>
      <c r="W49" s="1" t="s">
        <v>766</v>
      </c>
      <c r="X49" s="1" t="s">
        <v>767</v>
      </c>
      <c r="Y49" s="1" t="s">
        <v>768</v>
      </c>
      <c r="AA49" s="1" t="s">
        <v>709</v>
      </c>
      <c r="AB49" s="1" t="s">
        <v>666</v>
      </c>
      <c r="AU49" s="7" t="s">
        <v>661</v>
      </c>
      <c r="AV49" s="8" t="s">
        <v>615</v>
      </c>
      <c r="AW49" s="7" t="s">
        <v>651</v>
      </c>
      <c r="AX49" s="8" t="s">
        <v>591</v>
      </c>
      <c r="AY49" s="7" t="s">
        <v>632</v>
      </c>
    </row>
    <row r="50" spans="16:51" x14ac:dyDescent="0.5">
      <c r="P50" s="1" t="s">
        <v>59</v>
      </c>
      <c r="Q50" s="1" t="s">
        <v>635</v>
      </c>
      <c r="W50" s="1" t="s">
        <v>59</v>
      </c>
      <c r="X50" s="1" t="s">
        <v>635</v>
      </c>
      <c r="Y50" s="1" t="s">
        <v>371</v>
      </c>
      <c r="AA50" s="1" t="s">
        <v>676</v>
      </c>
      <c r="AB50" s="1" t="s">
        <v>769</v>
      </c>
      <c r="AU50" s="7" t="s">
        <v>667</v>
      </c>
      <c r="AV50" s="7" t="s">
        <v>625</v>
      </c>
      <c r="AW50" s="8" t="s">
        <v>720</v>
      </c>
      <c r="AX50" s="8" t="s">
        <v>525</v>
      </c>
      <c r="AY50" s="7" t="s">
        <v>543</v>
      </c>
    </row>
    <row r="51" spans="16:51" x14ac:dyDescent="0.5">
      <c r="P51" s="1" t="s">
        <v>770</v>
      </c>
      <c r="Q51" s="1" t="s">
        <v>771</v>
      </c>
      <c r="W51" s="1" t="s">
        <v>770</v>
      </c>
      <c r="X51" s="1" t="s">
        <v>771</v>
      </c>
      <c r="Y51" s="1" t="s">
        <v>743</v>
      </c>
      <c r="AA51" s="1" t="s">
        <v>98</v>
      </c>
      <c r="AB51" s="1" t="s">
        <v>772</v>
      </c>
      <c r="AU51" s="7" t="s">
        <v>675</v>
      </c>
      <c r="AV51" s="7" t="s">
        <v>358</v>
      </c>
      <c r="AW51" s="7" t="s">
        <v>368</v>
      </c>
      <c r="AX51" s="8" t="s">
        <v>660</v>
      </c>
      <c r="AY51" s="7" t="s">
        <v>699</v>
      </c>
    </row>
    <row r="52" spans="16:51" x14ac:dyDescent="0.5">
      <c r="P52" s="1" t="s">
        <v>727</v>
      </c>
      <c r="Q52" s="1" t="s">
        <v>756</v>
      </c>
      <c r="W52" s="1" t="s">
        <v>727</v>
      </c>
      <c r="X52" s="1" t="s">
        <v>756</v>
      </c>
      <c r="Y52" s="1" t="s">
        <v>374</v>
      </c>
      <c r="AA52" s="1" t="s">
        <v>773</v>
      </c>
      <c r="AB52" s="1" t="s">
        <v>774</v>
      </c>
      <c r="AU52" s="7" t="s">
        <v>717</v>
      </c>
      <c r="AV52" s="5" t="s">
        <v>587</v>
      </c>
      <c r="AW52" s="6" t="s">
        <v>661</v>
      </c>
      <c r="AX52" s="7" t="s">
        <v>620</v>
      </c>
      <c r="AY52" s="7" t="s">
        <v>705</v>
      </c>
    </row>
    <row r="53" spans="16:51" x14ac:dyDescent="0.5">
      <c r="P53" s="1" t="s">
        <v>635</v>
      </c>
      <c r="Q53" s="1" t="s">
        <v>775</v>
      </c>
      <c r="W53" s="1" t="s">
        <v>635</v>
      </c>
      <c r="X53" s="1" t="s">
        <v>775</v>
      </c>
      <c r="AA53" s="1" t="s">
        <v>59</v>
      </c>
      <c r="AB53" s="1" t="s">
        <v>586</v>
      </c>
      <c r="AU53" s="7" t="s">
        <v>674</v>
      </c>
      <c r="AV53" s="7" t="s">
        <v>644</v>
      </c>
      <c r="AW53" s="5" t="s">
        <v>675</v>
      </c>
      <c r="AX53" s="8" t="s">
        <v>629</v>
      </c>
      <c r="AY53" s="7" t="s">
        <v>650</v>
      </c>
    </row>
    <row r="54" spans="16:51" x14ac:dyDescent="0.5">
      <c r="P54" s="1" t="s">
        <v>754</v>
      </c>
      <c r="Q54" s="1" t="s">
        <v>368</v>
      </c>
      <c r="W54" s="1" t="s">
        <v>754</v>
      </c>
      <c r="X54" s="1" t="s">
        <v>368</v>
      </c>
      <c r="AA54" s="1" t="s">
        <v>776</v>
      </c>
      <c r="AB54" s="1" t="s">
        <v>777</v>
      </c>
      <c r="AU54" s="7" t="s">
        <v>371</v>
      </c>
      <c r="AV54" s="7" t="s">
        <v>560</v>
      </c>
      <c r="AW54" s="6" t="s">
        <v>680</v>
      </c>
      <c r="AX54" s="7" t="s">
        <v>615</v>
      </c>
      <c r="AY54" s="7" t="s">
        <v>651</v>
      </c>
    </row>
    <row r="55" spans="16:51" x14ac:dyDescent="0.5">
      <c r="P55" s="1" t="s">
        <v>367</v>
      </c>
      <c r="Q55" s="1" t="s">
        <v>764</v>
      </c>
      <c r="W55" s="1" t="s">
        <v>367</v>
      </c>
      <c r="X55" s="1" t="s">
        <v>764</v>
      </c>
      <c r="AA55" s="1" t="s">
        <v>652</v>
      </c>
      <c r="AB55" s="1" t="s">
        <v>674</v>
      </c>
      <c r="AU55" s="7" t="s">
        <v>751</v>
      </c>
      <c r="AV55" s="8" t="s">
        <v>663</v>
      </c>
      <c r="AW55" s="8" t="s">
        <v>688</v>
      </c>
      <c r="AX55" s="8" t="s">
        <v>669</v>
      </c>
      <c r="AY55" s="7" t="s">
        <v>661</v>
      </c>
    </row>
    <row r="56" spans="16:51" x14ac:dyDescent="0.5">
      <c r="P56" s="1" t="s">
        <v>543</v>
      </c>
      <c r="Q56" s="1" t="s">
        <v>667</v>
      </c>
      <c r="W56" s="1" t="s">
        <v>543</v>
      </c>
      <c r="X56" s="1" t="s">
        <v>667</v>
      </c>
      <c r="AA56" s="1" t="s">
        <v>708</v>
      </c>
      <c r="AB56" s="1" t="s">
        <v>778</v>
      </c>
      <c r="AU56" s="9"/>
      <c r="AV56" s="6" t="s">
        <v>575</v>
      </c>
      <c r="AW56" s="6" t="s">
        <v>696</v>
      </c>
      <c r="AX56" s="7" t="s">
        <v>557</v>
      </c>
      <c r="AY56" s="7" t="s">
        <v>675</v>
      </c>
    </row>
    <row r="57" spans="16:51" x14ac:dyDescent="0.5">
      <c r="P57" s="1" t="s">
        <v>779</v>
      </c>
      <c r="Q57" s="1" t="s">
        <v>675</v>
      </c>
      <c r="W57" s="1" t="s">
        <v>779</v>
      </c>
      <c r="X57" s="1" t="s">
        <v>675</v>
      </c>
      <c r="AA57" s="1" t="s">
        <v>367</v>
      </c>
      <c r="AB57" s="1" t="s">
        <v>780</v>
      </c>
      <c r="AV57" s="8" t="s">
        <v>642</v>
      </c>
      <c r="AW57" s="7" t="s">
        <v>372</v>
      </c>
      <c r="AX57" s="7" t="s">
        <v>573</v>
      </c>
      <c r="AY57" s="7" t="s">
        <v>725</v>
      </c>
    </row>
    <row r="58" spans="16:51" x14ac:dyDescent="0.5">
      <c r="P58" s="1" t="s">
        <v>368</v>
      </c>
      <c r="Q58" s="1" t="s">
        <v>369</v>
      </c>
      <c r="W58" s="1" t="s">
        <v>368</v>
      </c>
      <c r="X58" s="1" t="s">
        <v>369</v>
      </c>
      <c r="AA58" s="1" t="s">
        <v>543</v>
      </c>
      <c r="AB58" s="1" t="s">
        <v>751</v>
      </c>
      <c r="AV58" s="7" t="s">
        <v>595</v>
      </c>
      <c r="AW58" s="5"/>
      <c r="AX58" s="7" t="s">
        <v>582</v>
      </c>
      <c r="AY58" s="7" t="s">
        <v>696</v>
      </c>
    </row>
    <row r="59" spans="16:51" x14ac:dyDescent="0.5">
      <c r="P59" s="1" t="s">
        <v>764</v>
      </c>
      <c r="Q59" s="1" t="s">
        <v>781</v>
      </c>
      <c r="W59" s="1" t="s">
        <v>764</v>
      </c>
      <c r="X59" s="1" t="s">
        <v>781</v>
      </c>
      <c r="AA59" s="1" t="s">
        <v>782</v>
      </c>
      <c r="AB59" s="1" t="s">
        <v>372</v>
      </c>
      <c r="AU59" s="2"/>
      <c r="AV59" s="7" t="s">
        <v>664</v>
      </c>
      <c r="AW59" s="5"/>
      <c r="AX59" s="7" t="s">
        <v>63</v>
      </c>
      <c r="AY59" s="7" t="s">
        <v>745</v>
      </c>
    </row>
    <row r="60" spans="16:51" x14ac:dyDescent="0.5">
      <c r="P60" s="1" t="s">
        <v>768</v>
      </c>
      <c r="Q60" s="1" t="s">
        <v>732</v>
      </c>
      <c r="W60" s="1" t="s">
        <v>768</v>
      </c>
      <c r="X60" s="1" t="s">
        <v>732</v>
      </c>
      <c r="AA60" s="1" t="s">
        <v>719</v>
      </c>
      <c r="AB60" s="1" t="s">
        <v>783</v>
      </c>
      <c r="AV60" s="8" t="s">
        <v>653</v>
      </c>
      <c r="AW60" s="5"/>
      <c r="AX60" s="7" t="s">
        <v>105</v>
      </c>
      <c r="AY60" s="7"/>
    </row>
    <row r="61" spans="16:51" x14ac:dyDescent="0.5">
      <c r="P61" s="1" t="s">
        <v>564</v>
      </c>
      <c r="Q61" s="1" t="s">
        <v>679</v>
      </c>
      <c r="W61" s="1" t="s">
        <v>564</v>
      </c>
      <c r="X61" s="1" t="s">
        <v>679</v>
      </c>
      <c r="AA61" s="1" t="s">
        <v>784</v>
      </c>
      <c r="AB61" s="1" t="s">
        <v>373</v>
      </c>
      <c r="AV61" s="7" t="s">
        <v>559</v>
      </c>
      <c r="AW61" s="5"/>
      <c r="AX61" s="7" t="s">
        <v>633</v>
      </c>
      <c r="AY61" s="7"/>
    </row>
    <row r="62" spans="16:51" x14ac:dyDescent="0.5">
      <c r="P62" s="1" t="s">
        <v>726</v>
      </c>
      <c r="Q62" s="1" t="s">
        <v>696</v>
      </c>
      <c r="W62" s="1" t="s">
        <v>726</v>
      </c>
      <c r="X62" s="1" t="s">
        <v>696</v>
      </c>
      <c r="AA62" s="1" t="s">
        <v>775</v>
      </c>
      <c r="AB62" s="1" t="s">
        <v>374</v>
      </c>
      <c r="AV62" s="8" t="s">
        <v>623</v>
      </c>
      <c r="AW62" s="5"/>
      <c r="AX62" s="7" t="s">
        <v>640</v>
      </c>
      <c r="AY62" s="7"/>
    </row>
    <row r="63" spans="16:51" x14ac:dyDescent="0.5">
      <c r="P63" s="1" t="s">
        <v>576</v>
      </c>
      <c r="Q63" s="1" t="s">
        <v>373</v>
      </c>
      <c r="W63" s="1" t="s">
        <v>576</v>
      </c>
      <c r="X63" s="1" t="s">
        <v>373</v>
      </c>
      <c r="AA63" s="1" t="s">
        <v>785</v>
      </c>
      <c r="AU63" s="2"/>
      <c r="AV63" s="8" t="s">
        <v>682</v>
      </c>
      <c r="AW63" s="5"/>
      <c r="AX63" s="8" t="s">
        <v>649</v>
      </c>
      <c r="AY63" s="7"/>
    </row>
    <row r="64" spans="16:51" x14ac:dyDescent="0.5">
      <c r="Q64" s="1" t="s">
        <v>745</v>
      </c>
      <c r="X64" s="1" t="s">
        <v>745</v>
      </c>
      <c r="AA64" s="1" t="s">
        <v>786</v>
      </c>
      <c r="AV64" s="7" t="s">
        <v>364</v>
      </c>
      <c r="AW64" s="5"/>
      <c r="AX64" s="7" t="s">
        <v>365</v>
      </c>
      <c r="AY64" s="7"/>
    </row>
    <row r="65" spans="17:51" x14ac:dyDescent="0.5">
      <c r="Q65" s="1" t="s">
        <v>374</v>
      </c>
      <c r="X65" s="1" t="s">
        <v>374</v>
      </c>
      <c r="AA65" s="1" t="s">
        <v>667</v>
      </c>
      <c r="AV65" s="5" t="s">
        <v>662</v>
      </c>
      <c r="AW65" s="5"/>
      <c r="AX65" s="8" t="s">
        <v>613</v>
      </c>
      <c r="AY65" s="7"/>
    </row>
    <row r="66" spans="17:51" x14ac:dyDescent="0.5">
      <c r="Q66" s="1" t="s">
        <v>787</v>
      </c>
      <c r="X66" s="1" t="s">
        <v>787</v>
      </c>
      <c r="AA66" s="1" t="s">
        <v>788</v>
      </c>
      <c r="AV66" s="6" t="s">
        <v>614</v>
      </c>
      <c r="AW66" s="5"/>
      <c r="AX66" s="7" t="s">
        <v>619</v>
      </c>
      <c r="AY66" s="7"/>
    </row>
    <row r="67" spans="17:51" x14ac:dyDescent="0.5">
      <c r="AA67" s="1" t="s">
        <v>789</v>
      </c>
      <c r="AV67" s="8" t="s">
        <v>709</v>
      </c>
      <c r="AW67" s="5"/>
      <c r="AX67" s="7" t="s">
        <v>695</v>
      </c>
      <c r="AY67" s="7"/>
    </row>
    <row r="68" spans="17:51" x14ac:dyDescent="0.5">
      <c r="AA68" s="1" t="s">
        <v>790</v>
      </c>
      <c r="AV68" s="5" t="s">
        <v>676</v>
      </c>
      <c r="AW68" s="5"/>
      <c r="AX68" s="7" t="s">
        <v>632</v>
      </c>
      <c r="AY68" s="7"/>
    </row>
    <row r="69" spans="17:51" x14ac:dyDescent="0.5">
      <c r="AA69" s="1" t="s">
        <v>791</v>
      </c>
      <c r="AV69" s="7" t="s">
        <v>98</v>
      </c>
      <c r="AW69" s="5"/>
      <c r="AX69" s="7" t="s">
        <v>543</v>
      </c>
      <c r="AY69" s="7"/>
    </row>
    <row r="70" spans="17:51" x14ac:dyDescent="0.5">
      <c r="AA70" s="1" t="s">
        <v>751</v>
      </c>
      <c r="AV70" s="8" t="s">
        <v>721</v>
      </c>
      <c r="AW70" s="10"/>
      <c r="AX70" s="7" t="s">
        <v>699</v>
      </c>
      <c r="AY70" s="7"/>
    </row>
    <row r="71" spans="17:51" x14ac:dyDescent="0.5">
      <c r="AV71" s="7" t="s">
        <v>59</v>
      </c>
      <c r="AX71" s="7" t="s">
        <v>648</v>
      </c>
      <c r="AY71" s="7"/>
    </row>
    <row r="72" spans="17:51" x14ac:dyDescent="0.5">
      <c r="AV72" s="7" t="s">
        <v>652</v>
      </c>
      <c r="AX72" s="8" t="s">
        <v>705</v>
      </c>
      <c r="AY72" s="7"/>
    </row>
    <row r="73" spans="17:51" x14ac:dyDescent="0.5">
      <c r="AV73" s="8" t="s">
        <v>619</v>
      </c>
      <c r="AX73" s="7" t="s">
        <v>712</v>
      </c>
      <c r="AY73" s="7"/>
    </row>
    <row r="74" spans="17:51" x14ac:dyDescent="0.5">
      <c r="AV74" s="5" t="s">
        <v>689</v>
      </c>
      <c r="AX74" s="8" t="s">
        <v>650</v>
      </c>
      <c r="AY74" s="7"/>
    </row>
    <row r="75" spans="17:51" x14ac:dyDescent="0.5">
      <c r="AV75" s="6" t="s">
        <v>697</v>
      </c>
      <c r="AX75" s="7" t="s">
        <v>651</v>
      </c>
      <c r="AY75" s="7"/>
    </row>
    <row r="76" spans="17:51" x14ac:dyDescent="0.5">
      <c r="AV76" s="5" t="s">
        <v>700</v>
      </c>
      <c r="AX76" s="7" t="s">
        <v>671</v>
      </c>
      <c r="AY76" s="7"/>
    </row>
    <row r="77" spans="17:51" x14ac:dyDescent="0.5">
      <c r="AV77" s="8" t="s">
        <v>730</v>
      </c>
      <c r="AX77" s="8" t="s">
        <v>661</v>
      </c>
      <c r="AY77" s="7"/>
    </row>
    <row r="78" spans="17:51" x14ac:dyDescent="0.5">
      <c r="AV78" s="8" t="s">
        <v>650</v>
      </c>
      <c r="AX78" s="8" t="s">
        <v>687</v>
      </c>
      <c r="AY78" s="7"/>
    </row>
    <row r="79" spans="17:51" x14ac:dyDescent="0.5">
      <c r="AV79" s="7" t="s">
        <v>651</v>
      </c>
      <c r="AX79" s="7" t="s">
        <v>675</v>
      </c>
      <c r="AY79" s="7"/>
    </row>
    <row r="80" spans="17:51" x14ac:dyDescent="0.5">
      <c r="AV80" s="6" t="s">
        <v>706</v>
      </c>
      <c r="AX80" s="7" t="s">
        <v>725</v>
      </c>
      <c r="AY80" s="7"/>
    </row>
    <row r="81" spans="48:51" x14ac:dyDescent="0.5">
      <c r="AV81" s="8" t="s">
        <v>720</v>
      </c>
      <c r="AX81" s="8" t="s">
        <v>666</v>
      </c>
      <c r="AY81" s="8"/>
    </row>
    <row r="82" spans="48:51" x14ac:dyDescent="0.5">
      <c r="AV82" s="5" t="s">
        <v>713</v>
      </c>
      <c r="AX82" s="7" t="s">
        <v>672</v>
      </c>
      <c r="AY82" s="7"/>
    </row>
    <row r="83" spans="48:51" x14ac:dyDescent="0.5">
      <c r="AV83" s="7" t="s">
        <v>368</v>
      </c>
      <c r="AX83" s="8" t="s">
        <v>732</v>
      </c>
      <c r="AY83" s="8"/>
    </row>
    <row r="84" spans="48:51" x14ac:dyDescent="0.5">
      <c r="AV84" s="8" t="s">
        <v>717</v>
      </c>
      <c r="AX84" s="8" t="s">
        <v>679</v>
      </c>
      <c r="AY84" s="7"/>
    </row>
    <row r="85" spans="48:51" x14ac:dyDescent="0.5">
      <c r="AV85" s="5" t="s">
        <v>564</v>
      </c>
      <c r="AX85" s="7" t="s">
        <v>696</v>
      </c>
      <c r="AY85" s="7"/>
    </row>
    <row r="86" spans="48:51" x14ac:dyDescent="0.5">
      <c r="AV86" s="7" t="s">
        <v>726</v>
      </c>
      <c r="AX86" s="11" t="s">
        <v>745</v>
      </c>
      <c r="AY86" s="7"/>
    </row>
    <row r="87" spans="48:51" x14ac:dyDescent="0.5">
      <c r="AV87" s="8" t="s">
        <v>688</v>
      </c>
      <c r="AX87" s="8" t="s">
        <v>374</v>
      </c>
      <c r="AY87" s="11"/>
    </row>
    <row r="88" spans="48:51" x14ac:dyDescent="0.5">
      <c r="AV88" s="7" t="s">
        <v>372</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pageSetup paperSize="9" orientation="portrait" r:id="rId1"/>
  <legacyDrawing r:id="rId2"/>
  <tableParts count="4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746E99-C03A-46A8-9EEE-4BA11177E888}">
  <ds:schemaRefs>
    <ds:schemaRef ds:uri="http://schemas.microsoft.com/sharepoint/v3/contenttype/forms"/>
  </ds:schemaRefs>
</ds:datastoreItem>
</file>

<file path=customXml/itemProps2.xml><?xml version="1.0" encoding="utf-8"?>
<ds:datastoreItem xmlns:ds="http://schemas.openxmlformats.org/officeDocument/2006/customXml" ds:itemID="{15904506-88F8-4ACF-8062-27C301F6F605}">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2CED3A90-6A1F-40C4-AD8E-1A3475BA04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