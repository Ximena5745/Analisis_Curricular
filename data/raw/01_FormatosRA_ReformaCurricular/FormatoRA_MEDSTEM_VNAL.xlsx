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1" documentId="13_ncr:1_{191B9AF3-72A4-4AEA-BA71-48673F966626}" xr6:coauthVersionLast="47" xr6:coauthVersionMax="47" xr10:uidLastSave="{0C01028C-7254-4C63-AC00-8616E0BBDB8A}"/>
  <bookViews>
    <workbookView xWindow="-110" yWindow="-110" windowWidth="19420" windowHeight="10300" firstSheet="3"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'!$A$1:$I$11</definedName>
    <definedName name="_xlnm._FilterDatabase" localSheetId="4" hidden="1">'Paso 5 Estrategias micro'!$B$1:$Q$42</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egreso'!$E$3:$E$16</definedName>
    <definedName name="CognitivoAK">'Taxonomias para RA'!$AL$4:$AQ$4</definedName>
    <definedName name="cognitivoB">Tabla5583[CognitivoB]</definedName>
    <definedName name="CognitivoBAK">'Taxonomias para RA'!$S$3:$X$3</definedName>
    <definedName name="competencias">'Paso 2 Redacción competen'!$F$3:$F$7</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egreso'!$E$3:$E$16</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'Paso1 Analisis perfil egreso'!$E$2:$E$5</definedName>
    <definedName name="Saberhacer">'Paso1 Analisis perfil egreso'!$F$3:$F$15</definedName>
    <definedName name="saberser">'Paso1 Analisis perfil egreso'!$G$3:$G$15</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6" i="7" l="1"/>
  <c r="Q55" i="7"/>
  <c r="Q42" i="7"/>
  <c r="Q23" i="7"/>
  <c r="D56" i="7"/>
  <c r="I58" i="7"/>
  <c r="I57" i="7"/>
  <c r="A38" i="7"/>
  <c r="A39" i="7"/>
  <c r="A34" i="7"/>
  <c r="J27" i="7"/>
  <c r="A29" i="7"/>
  <c r="A13" i="7" l="1"/>
  <c r="A14" i="7"/>
  <c r="A12" i="7" l="1"/>
  <c r="A8" i="7"/>
  <c r="J3" i="7"/>
  <c r="I56" i="7" l="1"/>
  <c r="K3" i="7" l="1"/>
  <c r="L3" i="7" s="1"/>
  <c r="A55" i="7"/>
  <c r="A54" i="7"/>
  <c r="K53" i="7"/>
  <c r="J53" i="7"/>
  <c r="A53" i="7"/>
  <c r="A52" i="7"/>
  <c r="A51" i="7"/>
  <c r="K50" i="7"/>
  <c r="J50" i="7"/>
  <c r="A50" i="7"/>
  <c r="K49" i="7"/>
  <c r="J49" i="7"/>
  <c r="A48" i="7"/>
  <c r="A47" i="7"/>
  <c r="K46" i="7"/>
  <c r="J46" i="7"/>
  <c r="A46" i="7"/>
  <c r="A45" i="7"/>
  <c r="A44" i="7"/>
  <c r="K43" i="7"/>
  <c r="J43" i="7"/>
  <c r="A43" i="7"/>
  <c r="A42" i="7"/>
  <c r="A41" i="7"/>
  <c r="A40" i="7"/>
  <c r="A37" i="7"/>
  <c r="K37" i="7"/>
  <c r="J37" i="7"/>
  <c r="A33" i="7"/>
  <c r="A25" i="7"/>
  <c r="A4" i="7"/>
  <c r="A15" i="7"/>
  <c r="A5" i="7"/>
  <c r="A6" i="7"/>
  <c r="A7" i="7"/>
  <c r="A9" i="7"/>
  <c r="A10" i="7"/>
  <c r="A11" i="7"/>
  <c r="A16" i="7"/>
  <c r="A17" i="7"/>
  <c r="A18" i="7"/>
  <c r="A19" i="7"/>
  <c r="A20" i="7"/>
  <c r="A21" i="7"/>
  <c r="A22" i="7"/>
  <c r="A23" i="7"/>
  <c r="A24" i="7"/>
  <c r="A26" i="7"/>
  <c r="A27" i="7"/>
  <c r="A28" i="7"/>
  <c r="A30" i="7"/>
  <c r="A31" i="7"/>
  <c r="A32" i="7"/>
  <c r="A35" i="7"/>
  <c r="A36" i="7"/>
  <c r="A3" i="7"/>
  <c r="L43" i="7" l="1"/>
  <c r="L53" i="7"/>
  <c r="L37" i="7"/>
  <c r="L50" i="7"/>
  <c r="L46" i="7"/>
  <c r="L49" i="7"/>
  <c r="J32" i="7"/>
  <c r="K32" i="7"/>
  <c r="J31" i="7"/>
  <c r="K31" i="7"/>
  <c r="K27" i="7"/>
  <c r="J24" i="7"/>
  <c r="K24" i="7"/>
  <c r="J21" i="7"/>
  <c r="K21" i="7"/>
  <c r="J17" i="7"/>
  <c r="K17" i="7"/>
  <c r="J11" i="7"/>
  <c r="K11" i="7"/>
  <c r="K6" i="7"/>
  <c r="J6" i="7"/>
  <c r="L24" i="7" l="1"/>
  <c r="L11" i="7"/>
  <c r="L6" i="7"/>
  <c r="L27" i="7"/>
  <c r="L31" i="7"/>
  <c r="L32" i="7"/>
  <c r="L21" i="7"/>
  <c r="L1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compentencia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<sst xmlns="http://schemas.openxmlformats.org/spreadsheetml/2006/main" count="2392" uniqueCount="677">
  <si>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</si>
  <si>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</si>
  <si>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</si>
  <si>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</si>
  <si>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</si>
  <si>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</si>
  <si>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</si>
  <si>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</si>
  <si>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</si>
  <si>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</si>
  <si>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</si>
  <si>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</si>
  <si>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</si>
  <si>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</si>
  <si>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</si>
  <si>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</si>
  <si>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</si>
  <si>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</si>
  <si>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</si>
  <si>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</si>
  <si>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</si>
  <si>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</si>
  <si>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</si>
  <si>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</si>
  <si>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</si>
  <si>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</si>
  <si>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</si>
  <si>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</si>
  <si>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</si>
  <si>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</si>
  <si>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</si>
  <si>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</si>
  <si>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</si>
  <si>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</si>
  <si>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</si>
  <si>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</si>
  <si>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</si>
  <si>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</si>
  <si>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</si>
  <si>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</si>
  <si>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</si>
  <si>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</si>
  <si>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</si>
  <si>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</si>
  <si>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</si>
  <si>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</si>
  <si>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</si>
  <si>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</si>
  <si>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</si>
  <si>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</si>
  <si>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</si>
  <si>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</si>
  <si>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</si>
  <si>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</si>
  <si>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</si>
  <si>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</si>
  <si>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</si>
  <si>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</si>
  <si>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</si>
  <si>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</si>
  <si>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</si>
  <si>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</si>
  <si>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Valoración del nivel de contribución de la estrategia a los resultados de aprendizaje del programa, en una escala de 1 a 5.</t>
  </si>
  <si>
    <t>Encuesta</t>
  </si>
  <si>
    <t>Número de estudiantes y graduados que participan en la estrategia.</t>
  </si>
  <si>
    <t>Listado</t>
  </si>
  <si>
    <t>Número de veces que se realiza la estrategia en el tiempo que determine el programa.</t>
  </si>
  <si>
    <t>Informe o Reporte</t>
  </si>
  <si>
    <t>Número de estudiantes que participan en la estrategia.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</si>
  <si>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</si>
  <si>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</si>
  <si>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</si>
  <si>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</si>
  <si>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</si>
  <si>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</si>
  <si>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</si>
  <si>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</si>
  <si>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</si>
  <si>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</si>
  <si>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</si>
  <si>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</si>
  <si>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</si>
  <si>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</si>
  <si>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</si>
  <si>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</si>
  <si>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</si>
  <si>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</si>
  <si>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</si>
  <si>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</si>
  <si>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C.Fudamentación</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</si>
  <si>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</si>
  <si>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</si>
  <si>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</si>
  <si>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</si>
  <si>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</si>
  <si>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</si>
  <si>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</si>
  <si>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</si>
  <si>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</si>
  <si>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</si>
  <si>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</si>
  <si>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</si>
  <si>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II</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</si>
  <si>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</si>
  <si>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</si>
  <si>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</si>
  <si>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</si>
  <si>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</si>
  <si>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</si>
  <si>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</si>
  <si>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</si>
  <si>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</si>
  <si>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</si>
  <si>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</si>
  <si>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</si>
  <si>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</si>
  <si>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</si>
  <si>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</si>
  <si>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</si>
  <si>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</si>
  <si>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</si>
  <si>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</si>
  <si>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</si>
  <si>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</si>
  <si>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</si>
  <si>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</si>
  <si>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</si>
  <si>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</si>
  <si>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</si>
  <si>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</si>
  <si>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</si>
  <si>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</si>
  <si>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</si>
  <si>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</si>
  <si>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</si>
  <si>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</si>
  <si>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</si>
  <si>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</si>
  <si>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</si>
  <si>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</si>
  <si>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</si>
  <si>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</si>
  <si>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</si>
  <si>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</si>
  <si>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</si>
  <si>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</si>
  <si>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</si>
  <si>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</si>
  <si>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</si>
  <si>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</si>
  <si>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</si>
  <si>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</si>
  <si>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</si>
  <si>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</si>
  <si>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</si>
  <si>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</si>
  <si>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CognitivoB</t>
  </si>
  <si>
    <t>ProcedimentalB</t>
  </si>
  <si>
    <t>ActitudinalB</t>
  </si>
  <si>
    <t>ConocimientoB</t>
  </si>
  <si>
    <t>ComprensiónB</t>
  </si>
  <si>
    <t>AplicaciónB</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</si>
  <si>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</si>
  <si>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</si>
  <si>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</si>
  <si>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</si>
  <si>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</si>
  <si>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</si>
  <si>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</si>
  <si>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</si>
  <si>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</si>
  <si>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</si>
  <si>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</si>
  <si>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</si>
  <si>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</si>
  <si>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</si>
  <si>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</si>
  <si>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</si>
  <si>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</si>
  <si>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</si>
  <si>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</si>
  <si>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</si>
  <si>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</si>
  <si>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</si>
  <si>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Bloom</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</si>
  <si>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</si>
  <si>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</si>
  <si>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</si>
  <si>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</si>
  <si>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</si>
  <si>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</si>
  <si>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</si>
  <si>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</si>
  <si>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</si>
  <si>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</si>
  <si>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</si>
  <si>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</si>
  <si>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</si>
  <si>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</si>
  <si>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</si>
  <si>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</si>
  <si>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</si>
  <si>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</si>
  <si>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</si>
  <si>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</si>
  <si>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</si>
  <si>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</si>
  <si>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</si>
  <si>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</si>
  <si>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</si>
  <si>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</si>
  <si>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</si>
  <si>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</si>
  <si>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</si>
  <si>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</si>
  <si>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</si>
  <si>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</si>
  <si>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</si>
  <si>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Analizar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</si>
  <si>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</si>
  <si>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</si>
  <si>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</si>
  <si>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</si>
  <si>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</si>
  <si>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</si>
  <si>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</si>
  <si>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</si>
  <si>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</si>
  <si>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</si>
  <si>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</si>
  <si>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</si>
  <si>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</si>
  <si>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</si>
  <si>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</si>
  <si>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</si>
  <si>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</si>
  <si>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</si>
  <si>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</si>
  <si>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</si>
  <si>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</si>
  <si>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</si>
  <si>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</si>
  <si>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</si>
  <si>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</si>
  <si>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</si>
  <si>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</si>
  <si>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</si>
  <si>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</si>
  <si>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</si>
  <si>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</si>
  <si>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</si>
  <si>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</si>
  <si>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</si>
  <si>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</si>
  <si>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</si>
  <si>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</si>
  <si>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</si>
  <si>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</si>
  <si>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</si>
  <si>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</si>
  <si>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</si>
  <si>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</si>
  <si>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</si>
  <si>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</si>
  <si>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</si>
  <si>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</si>
  <si>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</si>
  <si>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</si>
  <si>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</si>
  <si>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</si>
  <si>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</si>
  <si>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</si>
  <si>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</si>
  <si>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</si>
  <si>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</si>
  <si>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</si>
  <si>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</si>
  <si>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</si>
  <si>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</si>
  <si>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</si>
  <si>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</si>
  <si>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</si>
  <si>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</si>
  <si>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</si>
  <si>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</si>
  <si>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</si>
  <si>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</si>
  <si>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</si>
  <si>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</si>
  <si>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</si>
  <si>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</si>
  <si>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</si>
  <si>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</si>
  <si>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</si>
  <si>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</si>
  <si>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</si>
  <si>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</si>
  <si>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</si>
  <si>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</si>
  <si>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</si>
  <si>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</si>
  <si>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</si>
  <si>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</si>
  <si>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</si>
  <si>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</si>
  <si>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</si>
  <si>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</si>
  <si>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</si>
  <si>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</si>
  <si>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</si>
  <si>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</si>
  <si>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</si>
  <si>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</si>
  <si>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</si>
  <si>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</si>
  <si>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</si>
  <si>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</si>
  <si>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</si>
  <si>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</si>
  <si>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</si>
  <si>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</si>
  <si>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</si>
  <si>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</si>
  <si>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</si>
  <si>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</si>
  <si>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</si>
  <si>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</si>
  <si>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</si>
  <si>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</si>
  <si>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</si>
  <si>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</si>
  <si>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</si>
  <si>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</si>
  <si>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</si>
  <si>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</si>
  <si>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</si>
  <si>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</si>
  <si>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</si>
  <si>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</si>
  <si>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</si>
  <si>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</si>
  <si>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</si>
  <si>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</si>
  <si>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</si>
  <si>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</si>
  <si>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</si>
  <si>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</si>
  <si>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</si>
  <si>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</si>
  <si>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</si>
  <si>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</si>
  <si>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</si>
  <si>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</si>
  <si>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</si>
  <si>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</si>
  <si>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</si>
  <si>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</si>
  <si>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</si>
  <si>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</si>
  <si>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</si>
  <si>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</si>
  <si>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</si>
  <si>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</si>
  <si>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</si>
  <si>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</si>
  <si>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</si>
  <si>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</si>
  <si>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</si>
  <si>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</si>
  <si>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</si>
  <si>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</si>
  <si>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</si>
  <si>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</si>
  <si>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</si>
  <si>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</si>
  <si>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</si>
  <si>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</si>
  <si>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</si>
  <si>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</si>
  <si>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</si>
  <si>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</si>
  <si>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</si>
  <si>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</si>
  <si>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</si>
  <si>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</si>
  <si>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</si>
  <si>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</si>
  <si>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</si>
  <si>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</si>
  <si>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</si>
  <si>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</si>
  <si>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</si>
  <si>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</si>
  <si>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</si>
  <si>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</si>
  <si>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</si>
  <si>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</si>
  <si>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</si>
  <si>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</si>
  <si>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</si>
  <si>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</si>
  <si>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</si>
  <si>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</si>
  <si>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</si>
  <si>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</si>
  <si>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</si>
  <si>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</si>
  <si>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</si>
  <si>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</si>
  <si>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</si>
  <si>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</si>
  <si>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</si>
  <si>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</si>
  <si>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</si>
  <si>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</si>
  <si>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</si>
  <si>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</si>
  <si>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</si>
  <si>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</si>
  <si>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</si>
  <si>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</si>
  <si>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</si>
  <si>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</si>
  <si>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</si>
  <si>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</si>
  <si>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</si>
  <si>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</si>
  <si>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</si>
  <si>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</si>
  <si>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</si>
  <si>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</si>
  <si>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</si>
  <si>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</si>
  <si>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</si>
  <si>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</si>
  <si>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</si>
  <si>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</si>
  <si>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</si>
  <si>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</si>
  <si>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</si>
  <si>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</si>
  <si>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</si>
  <si>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</si>
  <si>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</si>
  <si>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</si>
  <si>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</si>
  <si>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</si>
  <si>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</si>
  <si>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</si>
  <si>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</si>
  <si>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</si>
  <si>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</si>
  <si>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</si>
  <si>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</si>
  <si>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</si>
  <si>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</si>
  <si>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</si>
  <si>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</si>
  <si>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</si>
  <si>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</si>
  <si>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</si>
  <si>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</si>
  <si>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</si>
  <si>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</si>
  <si>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</si>
  <si>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</si>
  <si>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</si>
  <si>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</si>
  <si>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</si>
  <si>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</si>
  <si>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</si>
  <si>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</si>
  <si>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</si>
  <si>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</si>
  <si>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</si>
  <si>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</si>
  <si>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</si>
  <si>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</si>
  <si>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</si>
  <si>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</si>
  <si>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</si>
  <si>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</si>
  <si>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</si>
  <si>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</si>
  <si>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</si>
  <si>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</si>
  <si>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</si>
  <si>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</si>
  <si>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</si>
  <si>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</si>
  <si>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</si>
  <si>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</si>
  <si>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</si>
  <si>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</si>
  <si>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</si>
  <si>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</si>
  <si>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</si>
  <si>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</si>
  <si>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</si>
  <si>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</si>
  <si>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</si>
  <si>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</si>
  <si>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</si>
  <si>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</si>
  <si>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</si>
  <si>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</si>
  <si>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</si>
  <si>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</si>
  <si>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</si>
  <si>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</si>
  <si>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</si>
  <si>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</si>
  <si>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</si>
  <si>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</si>
  <si>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</si>
  <si>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</si>
  <si>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</si>
  <si>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</si>
  <si>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</si>
  <si>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</si>
  <si>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</si>
  <si>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</si>
  <si>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</si>
  <si>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</si>
  <si>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</si>
  <si>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</si>
  <si>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</si>
  <si>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</si>
  <si>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</si>
  <si>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</si>
  <si>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</si>
  <si>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</si>
  <si>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</si>
  <si>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</si>
  <si>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</si>
  <si>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</si>
  <si>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</si>
  <si>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</si>
  <si>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</si>
  <si>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</si>
  <si>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</si>
  <si>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</si>
  <si>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</si>
  <si>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</si>
  <si>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</si>
  <si>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</si>
  <si>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</si>
  <si>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</si>
  <si>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</si>
  <si>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</si>
  <si>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</si>
  <si>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</si>
  <si>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</si>
  <si>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</si>
  <si>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</si>
  <si>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</si>
  <si>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</si>
  <si>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</si>
  <si>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</si>
  <si>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</si>
  <si>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</si>
  <si>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</si>
  <si>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</si>
  <si>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</si>
  <si>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</si>
  <si>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</si>
  <si>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</si>
  <si>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</si>
  <si>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</si>
  <si>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</si>
  <si>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</si>
  <si>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</si>
  <si>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</si>
  <si>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</si>
  <si>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</si>
  <si>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</si>
  <si>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</si>
  <si>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</si>
  <si>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</si>
  <si>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</si>
  <si>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</si>
  <si>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</si>
  <si>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</si>
  <si>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</si>
  <si>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Maestría en Educación STEM</t>
  </si>
  <si>
    <t>Virtual</t>
  </si>
  <si>
    <t>El egresado es un ser humano que impulsa el cambio educativo en los diferentes niveles de formación del país, profundizando en la integración de las ciencias, la tecnología, la ingeniería y las matemáticas (STEM), para proyectar propuestas educativas o curriculares innovadoras enmarcadas en el estudio y la promoción del desarrollo de vocaciones STEM, el cierre de brechas e inclusión en las áreas STEM, y la apropiación social de la ciencia, la tecnología y la innovación, en la población estudiantil, de acuerdo con las condiciones y necesidades de las regiones.</t>
  </si>
  <si>
    <t>El egresado del programa tendrá habilidades para gestionar, asesorar, coordinar, diseñar, implementar y evaluar  proyectos o propuestas educativas o curriculares en educación STEM, orientados al mejoramiento de la educación y la integración conocimientos de estas áreas disciplinares.</t>
  </si>
  <si>
    <t>Educación STEM</t>
  </si>
  <si>
    <t>Vocaciones STEM, cierre de brechas e inclusión en STEM, apropiación social de CTeI</t>
  </si>
  <si>
    <t>Proyectos educativos y curriculares</t>
  </si>
  <si>
    <t>para desarrollar competencias analíticas, sistémicas, críticas y de alfabetización digital, desde un enfoque integrador</t>
  </si>
  <si>
    <t xml:space="preserve">para plantear estudios que permitan reconocer y comprender las necesidades formativas del país </t>
  </si>
  <si>
    <t>para materializar propuestas y experiencias en educación STEM</t>
  </si>
  <si>
    <t>que transforme los procesos de enseñanza y de aprendizaje, en los distintos niveles de formación, de acuerdo con las condiciones locales o regionales de la comunidad educativa.</t>
  </si>
  <si>
    <t>que emergen a partir de  las diferencias y potencialidades regionales ante los cambios culturales y educativos que demanda la sociedad del conocimiento.</t>
  </si>
  <si>
    <t>que aborden los retos y problemas de la educación en el país, con una perspectiva analítica, reflexiva, crítica y constructiva.</t>
  </si>
  <si>
    <t>Docencia
Dirección de proyectos educativos
Coordinación de proyectos educativos
Gestión de proyectos educativos
Consultoría</t>
  </si>
  <si>
    <t>Diseñar y orientar procesos de formación bajo el marco de la educación STEM en diferentes niveles educativos.
Gestionar propuestas educativas innovadoras bajo un marco integrador de las ciencias, la tecnología, la ingeniería y las matemáticas.
Direccionar el horizonte institucional atendiendo a los requerimientos del contexto local y regional.
Coordinar equipo de trabajo en acciones asociadas a la educación STEM y dirigidos a la comunidad educativa.
Asesorar y orientar procesos de gestión de proyectos educativos o currículos en educación formal y no formal.
Promover y articular acciones, procesos y estrategias de gestión intrainstitucional e intersectorial en el marco de la educación STEM.</t>
  </si>
  <si>
    <t>Educación formal en diferentes niveles educativos.
Instituciones cuyo propósito es la apropiación y divulgación de la ciencia y la tecnología para la apropiación social del conocimiento.</t>
  </si>
  <si>
    <t>Estar en la capacidad de generar propuestas o proyectos innovadores que contribuyen a la apropiación social del conocimiento. Desarrollar procesos y estrategias de educación STEM intrainstitucionales o intersectoriales.</t>
  </si>
  <si>
    <t>Domina los elementos teóricos y prácticos de la educación STEM para el desarrollo de competencias analíticas, sistémicas, computacionales, críticas y de alfabetización digital, desde un enfoque integrador, que transforme los procesos de enseñanza y de aprendizaje, en los distintos niveles de formación, de acuerdo con las condiciones locales o regionales de la comunidad educativa.</t>
  </si>
  <si>
    <t>Analiza problemáticas asociadas al desarrollo de vocaciones STEM, el cierre de brechas e inclusión en STEM y la apropiación social de CTI, para darles solución a través de estudios o propuestas de investigación en los que se reconozcan y comprendan las necesidades formativas del país, según las diferencias y potencialidades regionales que demandan los cambios culturales y educativos en la sociedad del conocimiento.</t>
  </si>
  <si>
    <t>Formula proyectos educativos y curriculares para materializar propuestas y experiencias educativas innovadoras en STEM, desde la práctica profesional, que aborden los retos y problemas de la educación en el país, con una perspectiva analítica, reflexiva, crítica y constructiva.</t>
  </si>
  <si>
    <t>Específica</t>
  </si>
  <si>
    <t>Determina las condiciones y estructuras de pensamiento que se requieren para impulsar el aprendizaje en la educación STEM, contrastando los factores que inciden en el desarrollo de competencias analíticas, sistémicas, computacionales, críticas y de alfabetización digital con los principios teóricos y prácticos de este marco educativo.</t>
  </si>
  <si>
    <t>Elabora una ruta pedagógica y didáctica que articule los factores que inciden en el desarrollo de competencias analíticas, sistémicas, computacionales, críticas y de alfabetización digital con los principios teóricos y prácticos de la educación STEM para definir una propuesta formativa.</t>
  </si>
  <si>
    <t>Evalúa las condiciones y necesidades educativas del contexto local o regional para validar la pertinencia de estudios o propuestas formativas en educación STEM con una visión transformadora de los procesos de enseñanza y de aprendizaje.</t>
  </si>
  <si>
    <t>Diseña un estudio o una propuesta de investigación que aborde problemáticas asociadas al desarrollo de vocaciones STEM, el cierre de brechas e inclusión en STEM y la apropiación social de CTI, desde un enfoque integrador, incorporando una ruta pedagógica y didáctica para el desarrollo de competencias analíticas, sistémicas, computacionales, críticas y de alfabetización digital en la población estudiantil.</t>
  </si>
  <si>
    <t>Diagnostica los factores y necesidades formativas del país, según las diferencias y potencialidades regionales que demandan los cambios culturales y educativos, para identificar problemáticas asociadas al desarrollo de vocaciones STEM, el cierre de brechas e inclusión en STEM y la apropiación social de CTI.</t>
  </si>
  <si>
    <t>Desarrolla un estudio o una propuesta educativa innovadora basada en la educación STEM desde un enfoque integrador, para abordar los retos y problemas de la educación en el país, con una perspectiva analítica, reflexiva, crítica y constructiva.</t>
  </si>
  <si>
    <t>Diagnosticar</t>
  </si>
  <si>
    <t>Clases espejo</t>
  </si>
  <si>
    <t>Diagnostica los factores y necesidades formativas del país, según las diferencias y potencialidades regionales que demandan los cambios culturales y educativos, para identificar  problemáticas asociadas al desarrollo de vocaciones STEM, el cierre de brech</t>
  </si>
  <si>
    <t xml:space="preserve">Diseña un estudio o una propuesta de investigación que aborde problemáticas asociadas al desarrollo de vocaciones STEM, el cierre de brechas e inclusión en STEM y la apropiación social de CTI, desde un enfoque integrador, incorporando una ruta pedagógica </t>
  </si>
  <si>
    <t>Determina las condiciones y estructuras de pensamiento que se requieren para impulsar el aprendizaje en la educación STEM, contrastando los factores que inciden en el desarrollo de competencias analíticas, sistémicas, computacionales, críticas y de alfabe</t>
  </si>
  <si>
    <t>Eventos con expertos</t>
  </si>
  <si>
    <t xml:space="preserve">Elabora una ruta pedagógica y didáctica que articule los factores que inciden en el desarrollo de competencias analíticas, sistémicas, computacionales, críticas y de alfabetización digital con los principios teóricos y prácticos de la educación STEM para </t>
  </si>
  <si>
    <t>Participación en el proyecto de proyección social  Articulación TIC con Colegios</t>
  </si>
  <si>
    <t>Contacto con universidades a nivel nacional o internacional que tengan grupos de estudio,  de investigación o planes de estudio cuyo objeto sea la Educación STEM.</t>
  </si>
  <si>
    <t>Sesiones de encuentro sincrónico con expertos o líderes de proyectos de Educación STEM para el reconocimiento de experiencias llevadas a cabo a nivel nacional o internacional tanto en instituciones educativas como en instituciones cuyo propósito sea la apropiación y la divulgación de la ciencia y la tecnología..(internacionalización movilidad entrante); se relaciona con el sector externo.</t>
  </si>
  <si>
    <t>Participar en el proyecto liderado por la Facultad de Ingeniería Diseño e Innovación a través del diseño de propuestas educativas para el fortalecimiento de las competencias TIC en estudiantes de educación inicial, básica y media de Colombia y como una estrategia de relación con el sector externo.</t>
  </si>
  <si>
    <t>Informar y formar a los estudiantes sobre temas asociados a la Educación STEM a través de las clases y para quienes no puedan participar sincrónicamente se publicarán las grabaciones en la sección de anuncios de los módulos.</t>
  </si>
  <si>
    <t>Informar y formar a los estudiantes sobre temas asociados a la Educación STEM a través de diálogos, foros, talleres o conferencias y para quienes no puedan participar sincrónicamente se publicarán las grabaciones en la sección de anuncios de los módulos.
Ayudar a tomar decisiones respecto a los temas que se pueden abordar en los trabajos de investigación.</t>
  </si>
  <si>
    <t>Formar a los estudiantes sobre temas de proyectos educativo en STEM a través de un trabajo articulado con colegios  y para quienes no puedan participar se socializarán los resultados parciales y finales de los proyectos.
Prevenir y ayudar a tomar decisiones respecto a los temas que se pueden abordar en los trabajos de investigación y temas asociados a cómo investigar, cómo escribir, cómo divulgar y cómo validar propuestas educativas o de investigación.</t>
  </si>
  <si>
    <t>Fundamentos de la Educación STEM</t>
  </si>
  <si>
    <t>Reconoce la situación actual de participación y rendimiento en educación STEM de la población de un territorio local o regional, para identificar oportunidades de atención a través de propuestas educativas o estudios que articulen los factores que inciden en su mejoramiento.
Examina programas y estrategias de intervención para la inclusión y cierre de brechas en STEM, para validar la pertinencia de su implementación teniendo en cuenta las condiciones y necesidades educativas del contexto local o regional.</t>
  </si>
  <si>
    <t>TP</t>
  </si>
  <si>
    <t>Equidad e Inclusión en la Educación STEM</t>
  </si>
  <si>
    <t>Territorios y Educación STEM</t>
  </si>
  <si>
    <t>Competencias en STEM</t>
  </si>
  <si>
    <t>Diseño Curricular y de Propuestas Educativas</t>
  </si>
  <si>
    <t>X</t>
  </si>
  <si>
    <t>1.	Políticas para la inclusión y cierre de brechas en STEM
2.	Estado actual de participación en STEM de grupos étnicos minoritarios
3.	Caracterización de factores que influyen en la participación y rendimiento en STEM
4.	Intervenciones estratégicas desde la educación STEM</t>
  </si>
  <si>
    <t>Aplica estrategias y herramientas adecuadas que permiten evaluar las condiciones y necesidades educativas del territorio respecto al estado, equidad e inclusión en el desarrollo de competencias y vocaciones científicas y tecnológicas.
Plantea una problemática asociada a las necesidades educativas de un contexto local o regional para ser abordada por medio del diseño de un estudio o propuesta formativa bajo el marco de la educación STEM.</t>
  </si>
  <si>
    <t>Reconoce las competencias que se promueven desde la educación STEM, para identificar su desarrollo en estrategias y experiencias educativas, de acuerdo con el nivel escolar y el contexto local o regional en el que se lleva a cabo su proceso formativo.</t>
  </si>
  <si>
    <t>1.	Reconocimiento del contexto educativo en los territorios respecto a CTI
2.	Análisis territorial de los elementos estratégicos que movilizan la educación STEM
3.	Diagnóstico e interpretación de datos para al análisis de Educación STEM en el territorio
4.	Delimitación del problema orientado a soluciones de contexto asociado a educación STEM y territorio</t>
  </si>
  <si>
    <t>1.	Condiciones y estructuras del pensamiento
2.	Competencia analítica y crítica
3.	Competencias sistémicas y de pensamiento computacional
4.	Competencia de alfabetización digital</t>
  </si>
  <si>
    <t>Contrasta los fundamentos de la educación STEM con las prácticas educativas del contexto local o regional para identificar oportunidades de transformación en los procesos formativos, a través de la integración de las áreas STEM y en correspondencia con los desafíos y condiciones del país.</t>
  </si>
  <si>
    <t>1.	Inicios y evolución del STEM y la educación STEM
2.	Principios y alcance de la educación STEM
3.	Relaciones entre las áreas STEM
4.	Visión integradora de la educación STEM</t>
  </si>
  <si>
    <t>Analiza las representaciones de los enfoques implícitos del currículo teniendo en cuenta las dimensiones transversales de la educación bajo un enfoque STEM.
Estructura una propuesta curricular o educativa para la transformación de los procesos formativos, que integre los fundamentos de la educación STEM para el desarrollo de competencias en estas áreas y que esté en correspondencia con los desafíos y condiciones del país.</t>
  </si>
  <si>
    <t>Modelos y Metodologías Activas en Educación STEM</t>
  </si>
  <si>
    <t>La Pedagogía y el Enfoque Integrador</t>
  </si>
  <si>
    <t>Investigación</t>
  </si>
  <si>
    <t>Vocaciones STEM</t>
  </si>
  <si>
    <t>Tecnologías Emergentes</t>
  </si>
  <si>
    <t>Estructura una propuesta de transformación de una práctica educativa profesional, que atienda al fomento de competencias, a la inclusión o cierre de brechas, reconociendo modelos y metodologías para el aprendizaje activo y el desarrollo de procesos educativos en STEM, desde un enfoque integrador.</t>
  </si>
  <si>
    <t>Analiza el tipo de conexión, el énfasis disciplinario y los niveles de integración de las áreas STEM para establecer el alcance y la naturaleza de una propuesta educativa enmarcada en el desarrollo de competencias, de inclusión o de cierre de brechas en educación STEM.</t>
  </si>
  <si>
    <t>1.	Modelos teóricos sobre educación STEM
2.	Metodologías para el aprendizaje activo y social
3.	Metodologías en educación STEM
4.	Experiencias de educación STEM</t>
  </si>
  <si>
    <t>1. Pedagogía
2. Pedagogía integradora
3. Niveles de integración disciplinar
4. Integración de las áreas STEM en la educación</t>
  </si>
  <si>
    <t>Reconoce las características metodológicas del diseño y desarrollo de proyectos de investigación-innovación o de estudios de caso en el área de la educación, para generar una propuesta que exponga cómo abordar una problemática o un tema en educación STEM.</t>
  </si>
  <si>
    <t>1. Investigación en educación.
2. Análisis sistemático de literatura
3. Proyectos de estudio de caso.
4. Proyectos de investigación-innovación.</t>
  </si>
  <si>
    <t>Reconoce la situación de desarrollo de vocaciones STEM para elaborar un diagnóstico que describa las condiciones y necesidades de un contexto educativo en una población, susceptible de intervenir, en un territorio local o regional.</t>
  </si>
  <si>
    <t>1. Diagnóstico del estado actual vocaciones STEM
2. Caracterización de factores que influyen en el desarrollo de vocaciones STEM
3. Políticas para el desarrollo de vocaciones STEM
4. Intervenciones estratégicas desde la educación STEM</t>
  </si>
  <si>
    <t>Reconoce las competencias digitales y tecnologías que favorecen los procesos de formación en educación STEM, identificando el estado y las oportunidades de desarrollo social o de cierre de brechas de una población en un territorio local o regional, mediante el análisis de tecnologías en tendencia o de vanguardia.</t>
  </si>
  <si>
    <t>1. Desarrollo de habilidades tecnológicas para la ciudadanía
2. Formación tecnológica para la vida
3. Pensamiento computacional para pensar y actuar en el mundo
4. Tecnologías disruptivas y su impacto en la educación y la sociedad</t>
  </si>
  <si>
    <t xml:space="preserve">Formulación y Gestión de Propuestas y Proyectos STEM </t>
  </si>
  <si>
    <t>Diseño de Ambientes de Aprendizaje en Educación STEM</t>
  </si>
  <si>
    <t>Electiva</t>
  </si>
  <si>
    <t>Apropiación Social del Conocimiento Científico Tecnológico</t>
  </si>
  <si>
    <t>Trabajo de Investigación [STEM]</t>
  </si>
  <si>
    <t>1.	El currículo
2.	El diseño curricular
3.	Las propuestas educativas
4.	El diseño de propuestas educativas</t>
  </si>
  <si>
    <t>Planea una propuesta de proyecto educativo STEM considerando sus etapas y tipos de recursos, que permitan atender necesidades de carácter educativo y social de un contexto local o regional respecto al desarrollo de vocaciones STEM, inclusión y cierre de brechas o de apropiación social del conocimiento científico tecnológico.</t>
  </si>
  <si>
    <t>1. Fundamentos de propuestas y proyectos educativos STEM
2. Formulación de propuestas y proyectos en educación STEM
3. Gestión de propuestas y proyectos en educación STEM
4. Evaluación y seguimiento de propuestas y proyectos en educación STEM</t>
  </si>
  <si>
    <t>Identifica oportunidades de transformación de las propias prácticas profesionales desde el diseño de ambientes de aprendizaje en educación STEM, para atender una problemática diagnosticada en un contexto local o regional.
Formula un ambiente de aprendizaje en educación STEM desde un enfoque integrador, que atienda una problemática diagnosticada en un contexto local o regional.</t>
  </si>
  <si>
    <t>1.	Principios orientadores en el enfoque STEM
2.	Caracterización de un ambiente de aprendizaje con enfoque educativo STEM
3.	Estrategias para el diseño e implementación
4.	Evaluación desde la educación STEM</t>
  </si>
  <si>
    <t>Diseña una estrategia de apropiación social del conocimiento en el marco de la educación STEM, teniendo en cuenta las características y necesidades específicas del territorio, para estimular la cultura científica y tecnológica, y promover el desarrollo regional.</t>
  </si>
  <si>
    <t>Elabora el informe final del trabajo de investigación seleccionando y aplicando el método de análisis, de acuerdo con el diseño de investigación seleccionado.</t>
  </si>
  <si>
    <t>P</t>
  </si>
  <si>
    <t>1. Conceptos y políticas públicas de apropiación social del conocimiento en el marco de la CTI
2. Metodologías para la apropiación social del conocimiento en el marco de la CTI
3. Formulación, evaluación y seguimiento de procesos de apropiación social del conocimiento
4. Intervenciones estratégicas desde la educación STEM</t>
  </si>
  <si>
    <t>1. Diseño metodológico
2. Análisis, validación y revisión de resultados
3. Elaboración de la discusión y conclusiones
4. Estrategias de comunicación y difusión</t>
  </si>
  <si>
    <t>Trabajo directo:
Encuentros sincrónicos, mensajeria interna, foros generales, anuncios.  
Trabajo independiente: 
Lecturas Fundamentales y complementarias
Anuncios
Foros
Actividades de refuerzo y recursos del módulo</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</si>
  <si>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</si>
  <si>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</si>
  <si>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</si>
  <si>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 xml:space="preserve">Evaluación diagnóstica (semana 1 – Cuestionario de 5 preguntas) 
Actividad formativa (semanas 2 a 7 - Foro de carácter individual o grupal según las características del módulo) 
Informe inicial (semana 5 - Escrito expositivo parcial en el que se explican y describen los aspectos referidos al ejercicio investigativo o de estudio en su primera fase de implementación) 
Informe final (semana 7 - Escrito expositivo de consolidación en el que se explica y describe el desarrollo del ejercicio investigativo o de estudio a partir de las realimentaciones obtenidas en las entregas parciales) 
Autoevaluación (semana 8 - Cuestionario de 5 preguntas) </t>
  </si>
  <si>
    <t>Dominar los elementos teóricos y prácticos de la educación STEM para el desarrollo de competencias analíticas, sistémicas, computacionales, críticas y de alfabetización digital, desde un enfoque integrador, que transforme los procesos de enseñanza y de aprendizaje, en los distintos niveles de formación, de acuerdo con las condiciones locales o regionales de la comunidad educativa.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</si>
</sst>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8" tint="0.59999389629810485"/>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rgb="FF1FB2DE"/>
      </left>
      <right style="thin">
        <color rgb="FF1FB2DE"/>
      </right>
      <top style="thin">
        <color rgb="FF1FB2DE"/>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1FB2DE"/>
      </left>
      <right style="thin">
        <color rgb="FF1FB2DE"/>
      </right>
      <top/>
      <bottom/>
      <diagonal/>
    </border>
    <border>
      <left/>
      <right/>
      <top/>
      <bottom style="medium">
        <color rgb="FF000000"/>
      </bottom>
      <diagonal/>
    </border>
    <border>
      <left style="thin">
        <color rgb="FF1FB2DE"/>
      </left>
      <right style="thin">
        <color rgb="FF1FB2DE"/>
      </right>
      <top/>
      <bottom style="thin">
        <color rgb="FF1FB2DE"/>
      </bottom>
      <diagonal/>
    </border>
    <border>
      <left/>
      <right/>
      <top style="thin">
        <color rgb="FF0F385A"/>
      </top>
      <bottom/>
      <diagonal/>
    </border>
    <border>
      <left style="thin">
        <color rgb="FF1FB2DE"/>
      </left>
      <right style="thin">
        <color rgb="FF1FB2DE"/>
      </right>
      <top style="medium">
        <color indexed="64"/>
      </top>
      <bottom/>
      <diagonal/>
    </border>
    <border>
      <left style="thin">
        <color rgb="FF1FB2DE"/>
      </left>
      <right style="thin">
        <color rgb="FF1FB2DE"/>
      </right>
      <top/>
      <bottom style="medium">
        <color indexed="64"/>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top/>
      <bottom style="medium">
        <color indexed="64"/>
      </bottom>
      <diagonal/>
    </border>
  </borders>
  <cellStyleXfs count="1">
    <xf numFmtId="0" fontId="0" fillId="0" borderId="0"/>
  </cellStyleXfs>
  <cellXfs count="121">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3" xfId="0" applyFont="1" applyFill="1" applyBorder="1" applyAlignment="1">
      <alignment vertical="center"/>
    </xf>
    <xf numFmtId="0" fontId="4" fillId="0" borderId="3" xfId="0" applyFont="1" applyBorder="1" applyAlignment="1">
      <alignment vertical="center"/>
    </xf>
    <xf numFmtId="0" fontId="3" fillId="5" borderId="3" xfId="0" applyFont="1" applyFill="1" applyBorder="1"/>
    <xf numFmtId="0" fontId="3" fillId="0" borderId="3" xfId="0" applyFont="1" applyBorder="1"/>
    <xf numFmtId="0" fontId="3" fillId="5" borderId="4" xfId="0" applyFont="1" applyFill="1" applyBorder="1"/>
    <xf numFmtId="0" fontId="4" fillId="5" borderId="4" xfId="0" applyFont="1" applyFill="1" applyBorder="1" applyAlignment="1">
      <alignment vertical="center"/>
    </xf>
    <xf numFmtId="0" fontId="3" fillId="0" borderId="4" xfId="0" applyFont="1" applyBorder="1"/>
    <xf numFmtId="0" fontId="3" fillId="0" borderId="8" xfId="0" applyFont="1" applyBorder="1" applyAlignment="1">
      <alignment horizontal="center"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4" fillId="0" borderId="0" xfId="0" applyFont="1" applyAlignment="1">
      <alignment wrapText="1"/>
    </xf>
    <xf numFmtId="0" fontId="3" fillId="0" borderId="0" xfId="0" applyFont="1" applyAlignment="1">
      <alignment vertical="center"/>
    </xf>
    <xf numFmtId="0" fontId="9" fillId="0" borderId="0" xfId="0" applyFont="1" applyAlignment="1">
      <alignment horizontal="left" vertical="center" wrapText="1"/>
    </xf>
    <xf numFmtId="0" fontId="9" fillId="0" borderId="17" xfId="0" applyFont="1" applyBorder="1" applyAlignment="1">
      <alignment horizontal="left" vertical="center" wrapText="1"/>
    </xf>
    <xf numFmtId="0" fontId="3" fillId="0" borderId="17" xfId="0" applyFont="1" applyBorder="1" applyAlignment="1">
      <alignment vertical="center"/>
    </xf>
    <xf numFmtId="0" fontId="13" fillId="6" borderId="2" xfId="0" applyFont="1" applyFill="1" applyBorder="1" applyAlignment="1">
      <alignment horizontal="center" vertical="center" wrapText="1"/>
    </xf>
    <xf numFmtId="0" fontId="3" fillId="0" borderId="14" xfId="0" applyFont="1" applyBorder="1" applyAlignment="1">
      <alignment vertical="center" wrapText="1"/>
    </xf>
    <xf numFmtId="0" fontId="3" fillId="0" borderId="9" xfId="0" applyFont="1" applyBorder="1" applyAlignment="1">
      <alignment vertical="center" wrapText="1"/>
    </xf>
    <xf numFmtId="0" fontId="3" fillId="0" borderId="9" xfId="0" applyFont="1" applyBorder="1" applyAlignment="1">
      <alignment wrapText="1"/>
    </xf>
    <xf numFmtId="0" fontId="4" fillId="0" borderId="9" xfId="0" applyFont="1" applyBorder="1" applyAlignment="1">
      <alignment vertical="center" wrapText="1"/>
    </xf>
    <xf numFmtId="0" fontId="3" fillId="0" borderId="14" xfId="0" applyFont="1" applyBorder="1" applyAlignment="1">
      <alignment wrapText="1"/>
    </xf>
    <xf numFmtId="0" fontId="5" fillId="2" borderId="18" xfId="0" applyFont="1" applyFill="1" applyBorder="1" applyAlignment="1">
      <alignment horizontal="center" vertical="center" wrapText="1"/>
    </xf>
    <xf numFmtId="0" fontId="3" fillId="0" borderId="9" xfId="0" applyFont="1" applyBorder="1" applyAlignment="1">
      <alignment vertical="center"/>
    </xf>
    <xf numFmtId="0" fontId="3" fillId="0" borderId="14" xfId="0" applyFont="1" applyBorder="1" applyAlignment="1">
      <alignment vertical="center"/>
    </xf>
    <xf numFmtId="0" fontId="4" fillId="0" borderId="19" xfId="0" applyFont="1" applyBorder="1" applyAlignment="1">
      <alignment wrapText="1"/>
    </xf>
    <xf numFmtId="0" fontId="3" fillId="0" borderId="19" xfId="0" applyFont="1" applyBorder="1" applyAlignment="1">
      <alignment vertical="center" wrapText="1"/>
    </xf>
    <xf numFmtId="0" fontId="3" fillId="0" borderId="19" xfId="0" applyFont="1" applyBorder="1" applyAlignment="1">
      <alignment vertical="center"/>
    </xf>
    <xf numFmtId="0" fontId="5" fillId="2" borderId="1" xfId="0" applyFont="1" applyFill="1" applyBorder="1" applyAlignment="1">
      <alignment horizontal="center" vertical="center" wrapText="1"/>
    </xf>
    <xf numFmtId="0" fontId="3" fillId="0" borderId="20" xfId="0" applyFont="1" applyBorder="1" applyAlignment="1">
      <alignment vertical="center" wrapText="1"/>
    </xf>
    <xf numFmtId="0" fontId="3" fillId="0" borderId="16" xfId="0" applyFont="1" applyBorder="1" applyAlignment="1">
      <alignment vertical="center" wrapText="1"/>
    </xf>
    <xf numFmtId="0" fontId="7" fillId="3" borderId="22" xfId="0" applyFont="1" applyFill="1" applyBorder="1" applyAlignment="1">
      <alignment horizontal="center" vertical="center" wrapText="1"/>
    </xf>
    <xf numFmtId="0" fontId="3" fillId="0" borderId="21" xfId="0" applyFont="1" applyBorder="1" applyAlignment="1">
      <alignment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23" xfId="0" applyFont="1" applyBorder="1" applyAlignment="1">
      <alignment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7"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8" fillId="8" borderId="24" xfId="0" applyFont="1" applyFill="1" applyBorder="1" applyAlignment="1">
      <alignment horizontal="center" vertical="center" wrapText="1"/>
    </xf>
    <xf numFmtId="0" fontId="18" fillId="7" borderId="25"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9" fillId="0" borderId="14" xfId="0" applyFont="1" applyBorder="1" applyAlignment="1">
      <alignment horizontal="left" vertical="center" wrapText="1"/>
    </xf>
    <xf numFmtId="0" fontId="4" fillId="0" borderId="19" xfId="0" applyFont="1" applyBorder="1" applyAlignment="1">
      <alignment vertical="center" wrapText="1"/>
    </xf>
    <xf numFmtId="0" fontId="3" fillId="0" borderId="12" xfId="0" applyFont="1" applyBorder="1" applyAlignment="1">
      <alignment horizontal="left" vertical="center" wrapText="1"/>
    </xf>
    <xf numFmtId="0" fontId="3" fillId="0" borderId="26" xfId="0" applyFont="1" applyBorder="1" applyAlignment="1">
      <alignment wrapText="1"/>
    </xf>
    <xf numFmtId="0" fontId="3" fillId="0" borderId="28" xfId="0" applyFont="1" applyBorder="1" applyAlignment="1">
      <alignment wrapText="1"/>
    </xf>
    <xf numFmtId="0" fontId="3" fillId="0" borderId="29" xfId="0" applyFont="1" applyBorder="1" applyAlignment="1">
      <alignment wrapText="1"/>
    </xf>
    <xf numFmtId="0" fontId="3" fillId="0" borderId="30" xfId="0" applyFont="1" applyBorder="1" applyAlignment="1">
      <alignment wrapText="1"/>
    </xf>
    <xf numFmtId="0" fontId="3" fillId="9" borderId="9" xfId="0" applyFont="1" applyFill="1" applyBorder="1" applyAlignment="1">
      <alignment vertical="center" wrapText="1"/>
    </xf>
    <xf numFmtId="0" fontId="3" fillId="9" borderId="9" xfId="0" applyFont="1" applyFill="1" applyBorder="1" applyAlignment="1">
      <alignment horizontal="center" vertical="center" wrapText="1"/>
    </xf>
    <xf numFmtId="0" fontId="3" fillId="9" borderId="9" xfId="0" applyFont="1" applyFill="1" applyBorder="1" applyAlignment="1">
      <alignment horizontal="left" vertical="center" wrapText="1"/>
    </xf>
    <xf numFmtId="0" fontId="4" fillId="9" borderId="9" xfId="0" applyFont="1" applyFill="1" applyBorder="1" applyAlignment="1">
      <alignment horizontal="center" vertical="center" wrapText="1"/>
    </xf>
    <xf numFmtId="0" fontId="4" fillId="9" borderId="9" xfId="0" applyFont="1" applyFill="1" applyBorder="1" applyAlignment="1">
      <alignment vertical="center" wrapText="1"/>
    </xf>
    <xf numFmtId="0" fontId="4" fillId="0" borderId="9" xfId="0" applyFont="1" applyBorder="1" applyAlignment="1">
      <alignment horizontal="center" vertical="center" wrapText="1"/>
    </xf>
    <xf numFmtId="0" fontId="3" fillId="0" borderId="9"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0" xfId="0" applyFont="1" applyAlignment="1">
      <alignment horizontal="center" vertical="center" wrapText="1"/>
    </xf>
    <xf numFmtId="0" fontId="15" fillId="2" borderId="1" xfId="0" applyFont="1" applyFill="1" applyBorder="1" applyAlignment="1">
      <alignment horizontal="center" vertical="center" wrapText="1"/>
    </xf>
    <xf numFmtId="0" fontId="3" fillId="0" borderId="23" xfId="0" applyFont="1" applyBorder="1" applyAlignment="1">
      <alignment horizontal="left" vertical="center" wrapText="1"/>
    </xf>
    <xf numFmtId="0" fontId="3" fillId="0" borderId="0" xfId="0" applyFont="1" applyAlignment="1">
      <alignment horizontal="left" vertical="center" wrapText="1"/>
    </xf>
    <xf numFmtId="0" fontId="3" fillId="0" borderId="17" xfId="0" applyFont="1" applyBorder="1" applyAlignment="1">
      <alignment horizontal="center" vertical="center" wrapText="1"/>
    </xf>
    <xf numFmtId="0" fontId="3" fillId="0" borderId="27"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0" xfId="0" applyFont="1" applyAlignment="1">
      <alignment horizontal="center" vertical="center" wrapText="1"/>
    </xf>
    <xf numFmtId="0" fontId="9" fillId="0" borderId="27" xfId="0" applyFont="1" applyBorder="1" applyAlignment="1">
      <alignment horizontal="left" vertical="center" wrapText="1"/>
    </xf>
    <xf numFmtId="0" fontId="9" fillId="0" borderId="0" xfId="0" applyFont="1" applyAlignment="1">
      <alignment horizontal="left" vertical="center" wrapText="1"/>
    </xf>
    <xf numFmtId="0" fontId="4" fillId="0" borderId="14" xfId="0" applyFont="1" applyBorder="1" applyAlignment="1">
      <alignment horizontal="center" vertical="center" wrapText="1"/>
    </xf>
    <xf numFmtId="0" fontId="9" fillId="0" borderId="14" xfId="0" applyFont="1" applyBorder="1" applyAlignment="1">
      <alignment horizontal="left" vertical="center" wrapText="1"/>
    </xf>
    <xf numFmtId="0" fontId="4" fillId="0" borderId="17" xfId="0" applyFont="1" applyBorder="1" applyAlignment="1">
      <alignment horizontal="center" vertical="center" wrapText="1"/>
    </xf>
    <xf numFmtId="0" fontId="9" fillId="0" borderId="17" xfId="0" applyFont="1" applyBorder="1" applyAlignment="1">
      <alignment horizontal="left" vertical="center" wrapText="1"/>
    </xf>
    <xf numFmtId="0" fontId="3" fillId="0" borderId="9"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9" xfId="0" applyFont="1" applyBorder="1" applyAlignment="1">
      <alignment horizontal="left" vertical="center" wrapText="1"/>
    </xf>
    <xf numFmtId="0" fontId="3" fillId="0" borderId="14" xfId="0" applyFont="1" applyBorder="1" applyAlignment="1">
      <alignment horizontal="left" vertical="center" wrapText="1"/>
    </xf>
    <xf numFmtId="0" fontId="4" fillId="0" borderId="9" xfId="0" applyFont="1" applyBorder="1" applyAlignment="1">
      <alignment horizontal="center" vertical="center" wrapText="1"/>
    </xf>
    <xf numFmtId="0" fontId="4" fillId="0" borderId="9"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4" fillId="0" borderId="9" xfId="0" applyFont="1" applyBorder="1" applyAlignment="1">
      <alignment vertical="center" wrapText="1"/>
    </xf>
    <xf numFmtId="0" fontId="4" fillId="0" borderId="0" xfId="0" applyFont="1" applyAlignment="1">
      <alignment vertical="center" wrapText="1"/>
    </xf>
    <xf numFmtId="0" fontId="4" fillId="0" borderId="14" xfId="0" applyFont="1" applyBorder="1" applyAlignment="1">
      <alignment vertical="center" wrapText="1"/>
    </xf>
    <xf numFmtId="0" fontId="9" fillId="0" borderId="9"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14" xfId="0" applyFont="1" applyBorder="1" applyAlignment="1">
      <alignment horizontal="left" vertical="center" wrapText="1"/>
    </xf>
    <xf numFmtId="0" fontId="14" fillId="6" borderId="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3" fillId="0" borderId="9" xfId="0" applyFont="1" applyBorder="1" applyAlignment="1">
      <alignment vertical="center" wrapText="1"/>
    </xf>
    <xf numFmtId="0" fontId="3" fillId="0" borderId="0" xfId="0" applyFont="1" applyAlignment="1">
      <alignment vertical="center" wrapText="1"/>
    </xf>
    <xf numFmtId="0" fontId="3" fillId="0" borderId="14" xfId="0" applyFont="1" applyBorder="1" applyAlignment="1">
      <alignment vertical="center" wrapText="1"/>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8" totalsRowShown="0" headerRowDxfId="175" dataDxfId="174">
  <autoFilter ref="B1:B38"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7" totalsRowShown="0" headerRowDxfId="136" dataDxfId="135">
  <autoFilter ref="X3:X67"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9" totalsRowShown="0" headerRowDxfId="127" dataDxfId="126">
  <autoFilter ref="AA3:AA69"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4" totalsRowShown="0" headerRowDxfId="124" dataDxfId="123">
  <autoFilter ref="AB3:AB64"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30" totalsRowShown="0" headerRowDxfId="109" dataDxfId="108">
  <autoFilter ref="AG3:AG30"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70" totalsRowShown="0" headerRowDxfId="20" dataDxfId="19">
  <autoFilter ref="AT4:AT70"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1"/>
  <sheetViews>
    <sheetView zoomScaleNormal="100" workbookViewId="0"/>
  </sheetViews>
  <sheetFormatPr baseColWidth="10" defaultColWidth="76.26953125" defaultRowHeight="16.5" x14ac:dyDescent="0.5"/>
  <cols>
    <col min="1" max="1" width="19.7265625" style="3" customWidth="1"/>
    <col min="2" max="2" width="16.7265625" style="3" customWidth="1"/>
    <col min="3" max="3" width="42.7265625" style="3" customWidth="1"/>
    <col min="4" max="4" width="42.08984375" style="3" customWidth="1"/>
    <col min="5" max="5" width="27.453125" style="3" customWidth="1"/>
    <col min="6" max="6" width="27.453125" style="1" customWidth="1"/>
    <col min="7" max="7" width="33.54296875" style="1" customWidth="1"/>
    <col min="8" max="8" width="23.54296875" style="3" customWidth="1"/>
    <col min="9" max="9" width="42" style="3" customWidth="1"/>
    <col min="10" max="10" width="30" style="3" customWidth="1"/>
    <col min="11" max="11" width="53.26953125" style="3" customWidth="1"/>
    <col min="12" max="16384" width="76.26953125" style="3"/>
  </cols>
  <sheetData>
    <row r="1" spans="1:11" ht="55.5" x14ac:dyDescent="0.5">
      <c r="A1" s="51" t="s">
        <v>0</v>
      </c>
      <c r="B1" s="51" t="s">
        <v>1</v>
      </c>
      <c r="C1" s="51" t="s">
        <v>2</v>
      </c>
      <c r="D1" s="51" t="s">
        <v>3</v>
      </c>
      <c r="E1" s="83" t="s">
        <v>4</v>
      </c>
      <c r="F1" s="83"/>
      <c r="G1" s="83"/>
      <c r="H1" s="83" t="s">
        <v>5</v>
      </c>
      <c r="I1" s="83"/>
      <c r="J1" s="83"/>
      <c r="K1" s="52" t="s">
        <v>6</v>
      </c>
    </row>
    <row r="2" spans="1:11" s="4" customFormat="1" x14ac:dyDescent="0.5">
      <c r="A2" s="46" t="s">
        <v>7</v>
      </c>
      <c r="B2" s="46" t="s">
        <v>8</v>
      </c>
      <c r="C2" s="46" t="s">
        <v>9</v>
      </c>
      <c r="D2" s="46" t="s">
        <v>10</v>
      </c>
      <c r="E2" s="49" t="s">
        <v>11</v>
      </c>
      <c r="F2" s="49" t="s">
        <v>12</v>
      </c>
      <c r="G2" s="49" t="s">
        <v>13</v>
      </c>
      <c r="H2" s="53" t="s">
        <v>14</v>
      </c>
      <c r="I2" s="53" t="s">
        <v>15</v>
      </c>
      <c r="J2" s="53" t="s">
        <v>16</v>
      </c>
      <c r="K2" s="53" t="s">
        <v>17</v>
      </c>
    </row>
    <row r="3" spans="1:11" s="6" customFormat="1" ht="85" customHeight="1" x14ac:dyDescent="0.35">
      <c r="A3" s="82" t="s">
        <v>584</v>
      </c>
      <c r="B3" s="82" t="s">
        <v>585</v>
      </c>
      <c r="C3" s="82" t="s">
        <v>586</v>
      </c>
      <c r="D3" s="82" t="s">
        <v>587</v>
      </c>
      <c r="E3" s="54" t="s">
        <v>588</v>
      </c>
      <c r="F3" s="54" t="s">
        <v>591</v>
      </c>
      <c r="G3" s="54" t="s">
        <v>594</v>
      </c>
      <c r="H3" s="84" t="s">
        <v>597</v>
      </c>
      <c r="I3" s="84" t="s">
        <v>598</v>
      </c>
      <c r="J3" s="84" t="s">
        <v>599</v>
      </c>
      <c r="K3" s="81" t="s">
        <v>600</v>
      </c>
    </row>
    <row r="4" spans="1:11" s="6" customFormat="1" ht="64.5" customHeight="1" x14ac:dyDescent="0.35">
      <c r="A4" s="82"/>
      <c r="B4" s="82"/>
      <c r="C4" s="82"/>
      <c r="D4" s="82"/>
      <c r="E4" s="6" t="s">
        <v>589</v>
      </c>
      <c r="F4" s="28" t="s">
        <v>592</v>
      </c>
      <c r="G4" s="28" t="s">
        <v>595</v>
      </c>
      <c r="H4" s="85"/>
      <c r="I4" s="85"/>
      <c r="J4" s="85"/>
      <c r="K4" s="82"/>
    </row>
    <row r="5" spans="1:11" s="6" customFormat="1" ht="66.5" customHeight="1" x14ac:dyDescent="0.35">
      <c r="A5" s="82"/>
      <c r="B5" s="82"/>
      <c r="C5" s="82"/>
      <c r="D5" s="82"/>
      <c r="E5" s="6" t="s">
        <v>590</v>
      </c>
      <c r="F5" s="28" t="s">
        <v>593</v>
      </c>
      <c r="G5" s="28" t="s">
        <v>596</v>
      </c>
      <c r="H5" s="85"/>
      <c r="I5" s="85"/>
      <c r="J5" s="85"/>
      <c r="K5" s="82"/>
    </row>
    <row r="6" spans="1:11" x14ac:dyDescent="0.5">
      <c r="A6" s="5"/>
      <c r="B6" s="5"/>
      <c r="C6" s="7"/>
      <c r="D6" s="7"/>
      <c r="E6" s="5"/>
      <c r="F6" s="4"/>
      <c r="H6" s="4"/>
    </row>
    <row r="7" spans="1:11" x14ac:dyDescent="0.5">
      <c r="A7" s="5"/>
      <c r="B7" s="5"/>
      <c r="C7" s="7"/>
      <c r="D7" s="7"/>
      <c r="E7" s="5"/>
      <c r="F7" s="4"/>
      <c r="H7" s="4"/>
    </row>
    <row r="8" spans="1:11" x14ac:dyDescent="0.5">
      <c r="A8" s="5"/>
      <c r="B8" s="5"/>
      <c r="C8" s="7"/>
      <c r="D8" s="7"/>
      <c r="E8" s="5"/>
      <c r="F8" s="4"/>
    </row>
    <row r="9" spans="1:11" x14ac:dyDescent="0.5">
      <c r="A9" s="5"/>
      <c r="B9" s="5"/>
      <c r="C9" s="7"/>
      <c r="D9" s="7"/>
      <c r="E9" s="4"/>
      <c r="F9" s="4"/>
    </row>
    <row r="10" spans="1:11" x14ac:dyDescent="0.5">
      <c r="A10" s="5"/>
      <c r="B10" s="5"/>
      <c r="C10" s="7"/>
      <c r="D10" s="7"/>
      <c r="E10" s="4"/>
      <c r="F10" s="4"/>
    </row>
    <row r="11" spans="1:11" x14ac:dyDescent="0.5">
      <c r="A11" s="5"/>
      <c r="B11" s="5"/>
      <c r="C11" s="7"/>
      <c r="D11" s="7"/>
      <c r="E11" s="4"/>
      <c r="F11" s="4"/>
    </row>
    <row r="12" spans="1:11" x14ac:dyDescent="0.5">
      <c r="A12" s="5"/>
      <c r="B12" s="5"/>
      <c r="C12" s="7"/>
      <c r="D12" s="7"/>
      <c r="E12" s="4"/>
      <c r="F12" s="4"/>
    </row>
    <row r="13" spans="1:11" x14ac:dyDescent="0.5">
      <c r="A13" s="5"/>
      <c r="B13" s="5"/>
      <c r="C13" s="5"/>
      <c r="E13" s="4"/>
      <c r="F13" s="4"/>
    </row>
    <row r="14" spans="1:11" x14ac:dyDescent="0.5">
      <c r="A14" s="5"/>
      <c r="B14" s="5"/>
      <c r="C14" s="5"/>
      <c r="E14" s="4"/>
      <c r="F14" s="4"/>
    </row>
    <row r="15" spans="1:11" x14ac:dyDescent="0.5">
      <c r="A15" s="5"/>
      <c r="B15" s="5"/>
      <c r="C15" s="5"/>
      <c r="E15" s="4"/>
      <c r="F15" s="4"/>
    </row>
    <row r="16" spans="1:11" x14ac:dyDescent="0.5">
      <c r="A16" s="5"/>
      <c r="B16" s="5"/>
      <c r="C16" s="5"/>
      <c r="E16" s="4"/>
    </row>
    <row r="17" spans="1:3" x14ac:dyDescent="0.5">
      <c r="A17" s="5"/>
      <c r="B17" s="5"/>
      <c r="C17" s="5"/>
    </row>
    <row r="18" spans="1:3" x14ac:dyDescent="0.5">
      <c r="A18" s="5"/>
      <c r="B18" s="5"/>
      <c r="C18" s="5"/>
    </row>
    <row r="19" spans="1:3" x14ac:dyDescent="0.5">
      <c r="A19" s="5"/>
      <c r="B19" s="5"/>
      <c r="C19" s="5"/>
    </row>
    <row r="20" spans="1:3" x14ac:dyDescent="0.5">
      <c r="A20" s="5"/>
      <c r="B20" s="5"/>
      <c r="C20" s="5"/>
    </row>
    <row r="21" spans="1:3" x14ac:dyDescent="0.5">
      <c r="A21" s="5"/>
      <c r="B21" s="5"/>
      <c r="C21" s="5"/>
    </row>
  </sheetData>
  <mergeCells count="10">
    <mergeCell ref="A3:A5"/>
    <mergeCell ref="B3:B5"/>
    <mergeCell ref="H3:H5"/>
    <mergeCell ref="I3:I5"/>
    <mergeCell ref="J3:J5"/>
    <mergeCell ref="K3:K5"/>
    <mergeCell ref="C3:C5"/>
    <mergeCell ref="D3:D5"/>
    <mergeCell ref="H1:J1"/>
    <mergeCell ref="E1:G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7"/>
  <sheetViews>
    <sheetView zoomScaleNormal="100" workbookViewId="0"/>
  </sheetViews>
  <sheetFormatPr baseColWidth="10" defaultColWidth="11.453125" defaultRowHeight="16.5" x14ac:dyDescent="0.5"/>
  <cols>
    <col min="1" max="1" width="19" style="3" customWidth="1"/>
    <col min="2" max="2" width="24" style="3" customWidth="1"/>
    <col min="3" max="3" width="25.1796875" style="3" customWidth="1"/>
    <col min="4" max="4" width="33.1796875" style="3" customWidth="1"/>
    <col min="5" max="5" width="41.54296875" style="3" customWidth="1"/>
    <col min="6" max="6" width="105.26953125" style="3" customWidth="1"/>
    <col min="7" max="7" width="34.453125" style="3" customWidth="1"/>
    <col min="8" max="16384" width="11.453125" style="3"/>
  </cols>
  <sheetData>
    <row r="1" spans="1:7" ht="52" x14ac:dyDescent="0.5">
      <c r="A1" s="61" t="s">
        <v>18</v>
      </c>
      <c r="B1" s="62" t="s">
        <v>19</v>
      </c>
      <c r="C1" s="62" t="s">
        <v>20</v>
      </c>
      <c r="D1" s="62" t="s">
        <v>21</v>
      </c>
      <c r="E1" s="62" t="s">
        <v>22</v>
      </c>
      <c r="F1" s="63" t="s">
        <v>23</v>
      </c>
      <c r="G1" s="63" t="s">
        <v>24</v>
      </c>
    </row>
    <row r="2" spans="1:7" x14ac:dyDescent="0.5">
      <c r="A2" s="64" t="s">
        <v>25</v>
      </c>
      <c r="B2" s="65" t="s">
        <v>26</v>
      </c>
      <c r="C2" s="65" t="s">
        <v>27</v>
      </c>
      <c r="D2" s="65" t="s">
        <v>28</v>
      </c>
      <c r="E2" s="65" t="s">
        <v>29</v>
      </c>
      <c r="F2" s="66" t="s">
        <v>30</v>
      </c>
      <c r="G2" s="66" t="s">
        <v>31</v>
      </c>
    </row>
    <row r="3" spans="1:7" s="5" customFormat="1" ht="66" x14ac:dyDescent="0.5">
      <c r="A3" s="7">
        <v>1</v>
      </c>
      <c r="B3" s="45" t="s">
        <v>123</v>
      </c>
      <c r="C3" s="44" t="s">
        <v>588</v>
      </c>
      <c r="D3" s="68" t="s">
        <v>591</v>
      </c>
      <c r="E3" s="43" t="s">
        <v>594</v>
      </c>
      <c r="F3" s="6" t="s">
        <v>676</v>
      </c>
      <c r="G3" s="5" t="s">
        <v>604</v>
      </c>
    </row>
    <row r="4" spans="1:7" s="5" customFormat="1" ht="66" x14ac:dyDescent="0.5">
      <c r="A4" s="7">
        <v>2</v>
      </c>
      <c r="B4" s="30" t="s">
        <v>218</v>
      </c>
      <c r="C4" s="5" t="s">
        <v>589</v>
      </c>
      <c r="D4" s="28" t="s">
        <v>592</v>
      </c>
      <c r="E4" s="29" t="s">
        <v>595</v>
      </c>
      <c r="F4" s="6" t="s">
        <v>602</v>
      </c>
      <c r="G4" s="5" t="s">
        <v>604</v>
      </c>
    </row>
    <row r="5" spans="1:7" s="5" customFormat="1" ht="49.5" x14ac:dyDescent="0.35">
      <c r="A5" s="7">
        <v>3</v>
      </c>
      <c r="B5" s="30" t="s">
        <v>127</v>
      </c>
      <c r="C5" s="5" t="s">
        <v>590</v>
      </c>
      <c r="D5" s="28" t="s">
        <v>593</v>
      </c>
      <c r="E5" s="28" t="s">
        <v>596</v>
      </c>
      <c r="F5" s="6" t="s">
        <v>603</v>
      </c>
      <c r="G5" s="5" t="s">
        <v>604</v>
      </c>
    </row>
    <row r="6" spans="1:7" x14ac:dyDescent="0.5">
      <c r="B6" s="1"/>
      <c r="D6" s="4"/>
      <c r="E6" s="1"/>
    </row>
    <row r="7" spans="1:7" x14ac:dyDescent="0.5">
      <c r="B7" s="1"/>
    </row>
  </sheetData>
  <dataValidations count="2">
    <dataValidation type="list" allowBlank="1" showInputMessage="1" showErrorMessage="1" sqref="C3:C7" xr:uid="{296160A6-FB03-49EA-93B2-DD1CAF2E1EB2}">
      <formula1>Conocimientos</formula1>
    </dataValidation>
    <dataValidation type="list" allowBlank="1" showInputMessage="1" showErrorMessage="1" sqref="B3:B7"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4F7BFB7-6D79-4D3E-A4B3-08C9FA5FA2E0}">
          <x14:formula1>
            <xm:f>'Paso1 Analisis perfil egreso'!$F$3:$F$5</xm:f>
          </x14:formula1>
          <xm:sqref>D3:D5</xm:sqref>
        </x14:dataValidation>
        <x14:dataValidation type="list" allowBlank="1" showInputMessage="1" showErrorMessage="1" xr:uid="{935A93D0-429D-4174-BE69-26BB4B3688BF}">
          <x14:formula1>
            <xm:f>'Paso1 Analisis perfil egreso'!$G$3:$G$5</xm:f>
          </x14:formula1>
          <xm:sqref>E3:E5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heetViews>
  <sheetFormatPr baseColWidth="10" defaultColWidth="11.453125" defaultRowHeight="16.5" x14ac:dyDescent="0.5"/>
  <cols>
    <col min="1" max="1" width="81.1796875" style="6" customWidth="1"/>
    <col min="2" max="2" width="16.7265625" style="7" customWidth="1"/>
    <col min="3" max="3" width="19.1796875" style="6" customWidth="1"/>
    <col min="4" max="4" width="23.81640625" style="6" customWidth="1"/>
    <col min="5" max="5" width="17.54296875" style="6" customWidth="1"/>
    <col min="6" max="6" width="17.81640625" style="6" customWidth="1"/>
    <col min="7" max="7" width="20.1796875" style="8" customWidth="1"/>
    <col min="8" max="8" width="18.26953125" style="1" customWidth="1"/>
    <col min="9" max="9" width="72" style="1" customWidth="1"/>
    <col min="10" max="10" width="43.26953125" style="6" customWidth="1"/>
    <col min="11" max="16384" width="11.453125" style="6"/>
  </cols>
  <sheetData>
    <row r="1" spans="1:9" ht="78" x14ac:dyDescent="0.35">
      <c r="A1" s="51" t="s">
        <v>32</v>
      </c>
      <c r="B1" s="51" t="s">
        <v>33</v>
      </c>
      <c r="C1" s="56" t="s">
        <v>34</v>
      </c>
      <c r="D1" s="57" t="s">
        <v>35</v>
      </c>
      <c r="E1" s="57" t="s">
        <v>36</v>
      </c>
      <c r="F1" s="56" t="s">
        <v>37</v>
      </c>
      <c r="G1" s="56" t="s">
        <v>38</v>
      </c>
      <c r="H1" s="56" t="s">
        <v>39</v>
      </c>
      <c r="I1" s="51" t="s">
        <v>40</v>
      </c>
    </row>
    <row r="2" spans="1:9" ht="33.5" thickBot="1" x14ac:dyDescent="0.4">
      <c r="A2" s="55" t="s">
        <v>41</v>
      </c>
      <c r="B2" s="55" t="s">
        <v>42</v>
      </c>
      <c r="C2" s="58" t="s">
        <v>43</v>
      </c>
      <c r="D2" s="59" t="s">
        <v>44</v>
      </c>
      <c r="E2" s="59" t="s">
        <v>45</v>
      </c>
      <c r="F2" s="58" t="s">
        <v>46</v>
      </c>
      <c r="G2" s="58" t="s">
        <v>47</v>
      </c>
      <c r="H2" s="58" t="s">
        <v>48</v>
      </c>
      <c r="I2" s="55" t="s">
        <v>49</v>
      </c>
    </row>
    <row r="3" spans="1:9" ht="82.5" x14ac:dyDescent="0.35">
      <c r="A3" s="47" t="s">
        <v>601</v>
      </c>
      <c r="B3" s="20">
        <v>1</v>
      </c>
      <c r="C3" s="21" t="s">
        <v>11</v>
      </c>
      <c r="D3" s="21" t="s">
        <v>588</v>
      </c>
      <c r="E3" s="21" t="s">
        <v>153</v>
      </c>
      <c r="F3" s="36" t="s">
        <v>185</v>
      </c>
      <c r="G3" s="41" t="s">
        <v>170</v>
      </c>
      <c r="H3" s="41" t="s">
        <v>309</v>
      </c>
      <c r="I3" s="69" t="s">
        <v>605</v>
      </c>
    </row>
    <row r="4" spans="1:9" ht="82.5" x14ac:dyDescent="0.35">
      <c r="A4" s="48" t="s">
        <v>601</v>
      </c>
      <c r="B4" s="23">
        <v>2</v>
      </c>
      <c r="C4" s="6" t="s">
        <v>12</v>
      </c>
      <c r="D4" s="6" t="s">
        <v>591</v>
      </c>
      <c r="E4" s="6" t="s">
        <v>153</v>
      </c>
      <c r="F4" s="5" t="s">
        <v>212</v>
      </c>
      <c r="G4" s="30" t="s">
        <v>173</v>
      </c>
      <c r="H4" s="30" t="s">
        <v>247</v>
      </c>
      <c r="I4" s="69" t="s">
        <v>606</v>
      </c>
    </row>
    <row r="5" spans="1:9" ht="132.5" thickBot="1" x14ac:dyDescent="0.4">
      <c r="A5" s="48" t="s">
        <v>601</v>
      </c>
      <c r="B5" s="24">
        <v>3</v>
      </c>
      <c r="C5" s="6" t="s">
        <v>13</v>
      </c>
      <c r="D5" s="6" t="s">
        <v>594</v>
      </c>
      <c r="E5" s="6" t="s">
        <v>153</v>
      </c>
      <c r="F5" s="5" t="s">
        <v>230</v>
      </c>
      <c r="G5" s="30" t="s">
        <v>179</v>
      </c>
      <c r="H5" s="30" t="s">
        <v>125</v>
      </c>
      <c r="I5" s="69" t="s">
        <v>607</v>
      </c>
    </row>
    <row r="6" spans="1:9" ht="82.5" x14ac:dyDescent="0.35">
      <c r="A6" s="47" t="s">
        <v>602</v>
      </c>
      <c r="B6" s="20">
        <v>4</v>
      </c>
      <c r="C6" s="21" t="s">
        <v>11</v>
      </c>
      <c r="D6" s="21" t="s">
        <v>589</v>
      </c>
      <c r="E6" s="21" t="s">
        <v>153</v>
      </c>
      <c r="F6" s="36" t="s">
        <v>185</v>
      </c>
      <c r="G6" s="41" t="s">
        <v>170</v>
      </c>
      <c r="H6" s="41" t="s">
        <v>611</v>
      </c>
      <c r="I6" s="22" t="s">
        <v>609</v>
      </c>
    </row>
    <row r="7" spans="1:9" ht="82.5" x14ac:dyDescent="0.35">
      <c r="A7" s="48" t="s">
        <v>602</v>
      </c>
      <c r="B7" s="23">
        <v>5</v>
      </c>
      <c r="C7" s="6" t="s">
        <v>12</v>
      </c>
      <c r="D7" s="6" t="s">
        <v>592</v>
      </c>
      <c r="E7" s="6" t="s">
        <v>153</v>
      </c>
      <c r="F7" s="5" t="s">
        <v>212</v>
      </c>
      <c r="G7" s="30" t="s">
        <v>174</v>
      </c>
      <c r="H7" s="30" t="s">
        <v>122</v>
      </c>
      <c r="I7" s="69" t="s">
        <v>608</v>
      </c>
    </row>
    <row r="8" spans="1:9" ht="116" thickBot="1" x14ac:dyDescent="0.4">
      <c r="A8" s="48" t="s">
        <v>602</v>
      </c>
      <c r="B8" s="24">
        <v>3</v>
      </c>
      <c r="C8" s="6" t="s">
        <v>13</v>
      </c>
      <c r="D8" s="6" t="s">
        <v>595</v>
      </c>
      <c r="E8" s="6" t="s">
        <v>153</v>
      </c>
      <c r="F8" s="5" t="s">
        <v>230</v>
      </c>
      <c r="G8" s="30" t="s">
        <v>179</v>
      </c>
      <c r="H8" s="30" t="s">
        <v>125</v>
      </c>
      <c r="I8" s="69" t="s">
        <v>607</v>
      </c>
    </row>
    <row r="9" spans="1:9" ht="66" x14ac:dyDescent="0.35">
      <c r="A9" s="47" t="s">
        <v>603</v>
      </c>
      <c r="B9" s="20">
        <v>4</v>
      </c>
      <c r="C9" s="21" t="s">
        <v>11</v>
      </c>
      <c r="D9" s="21" t="s">
        <v>590</v>
      </c>
      <c r="E9" s="21" t="s">
        <v>153</v>
      </c>
      <c r="F9" s="36" t="s">
        <v>185</v>
      </c>
      <c r="G9" s="41" t="s">
        <v>170</v>
      </c>
      <c r="H9" s="41" t="s">
        <v>611</v>
      </c>
      <c r="I9" s="22" t="s">
        <v>609</v>
      </c>
    </row>
    <row r="10" spans="1:9" ht="66" x14ac:dyDescent="0.35">
      <c r="A10" s="48" t="s">
        <v>603</v>
      </c>
      <c r="B10" s="23">
        <v>6</v>
      </c>
      <c r="C10" s="6" t="s">
        <v>12</v>
      </c>
      <c r="D10" s="6" t="s">
        <v>593</v>
      </c>
      <c r="E10" s="6" t="s">
        <v>153</v>
      </c>
      <c r="F10" s="5" t="s">
        <v>212</v>
      </c>
      <c r="G10" s="30" t="s">
        <v>174</v>
      </c>
      <c r="H10" s="30" t="s">
        <v>120</v>
      </c>
      <c r="I10" s="69" t="s">
        <v>610</v>
      </c>
    </row>
    <row r="11" spans="1:9" ht="99.5" thickBot="1" x14ac:dyDescent="0.4">
      <c r="A11" s="50" t="s">
        <v>603</v>
      </c>
      <c r="B11" s="24">
        <v>3</v>
      </c>
      <c r="C11" s="25" t="s">
        <v>13</v>
      </c>
      <c r="D11" s="25" t="s">
        <v>596</v>
      </c>
      <c r="E11" s="25" t="s">
        <v>153</v>
      </c>
      <c r="F11" s="35" t="s">
        <v>230</v>
      </c>
      <c r="G11" s="42" t="s">
        <v>179</v>
      </c>
      <c r="H11" s="42" t="s">
        <v>125</v>
      </c>
      <c r="I11" s="26" t="s">
        <v>607</v>
      </c>
    </row>
  </sheetData>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 type="list" allowBlank="1" showInputMessage="1" showErrorMessage="1" sqref="D3:D11" xr:uid="{8B694A6C-2F9D-4256-9525-279EF56F94F5}">
      <formula1>INDIRECT($C3)</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13"/>
  <sheetViews>
    <sheetView zoomScaleNormal="100" workbookViewId="0"/>
  </sheetViews>
  <sheetFormatPr baseColWidth="10" defaultColWidth="11.453125" defaultRowHeight="16.5" x14ac:dyDescent="0.35"/>
  <cols>
    <col min="1" max="1" width="46.26953125" style="30" customWidth="1"/>
    <col min="2" max="2" width="43.81640625" style="8" customWidth="1"/>
    <col min="3" max="3" width="48" style="30" customWidth="1"/>
    <col min="4" max="4" width="45.81640625" style="30" customWidth="1"/>
    <col min="5" max="5" width="39.1796875" style="30" customWidth="1"/>
    <col min="6" max="6" width="33.453125" style="30" customWidth="1"/>
    <col min="7" max="16384" width="11.453125" style="30"/>
  </cols>
  <sheetData>
    <row r="1" spans="1:6" ht="65" x14ac:dyDescent="0.35">
      <c r="A1" s="51" t="s">
        <v>50</v>
      </c>
      <c r="B1" s="51" t="s">
        <v>51</v>
      </c>
      <c r="C1" s="51" t="s">
        <v>52</v>
      </c>
      <c r="D1" s="51" t="s">
        <v>53</v>
      </c>
      <c r="E1" s="51" t="s">
        <v>54</v>
      </c>
      <c r="F1" s="51" t="s">
        <v>55</v>
      </c>
    </row>
    <row r="2" spans="1:6" ht="33.5" thickBot="1" x14ac:dyDescent="0.4">
      <c r="A2" s="55" t="s">
        <v>56</v>
      </c>
      <c r="B2" s="55" t="s">
        <v>57</v>
      </c>
      <c r="C2" s="55" t="s">
        <v>58</v>
      </c>
      <c r="D2" s="55" t="s">
        <v>59</v>
      </c>
      <c r="E2" s="55" t="s">
        <v>60</v>
      </c>
      <c r="F2" s="55" t="s">
        <v>61</v>
      </c>
    </row>
    <row r="3" spans="1:6" ht="82.5" x14ac:dyDescent="0.5">
      <c r="A3" s="70" t="s">
        <v>607</v>
      </c>
      <c r="B3" s="88" t="s">
        <v>612</v>
      </c>
      <c r="C3" s="90" t="s">
        <v>619</v>
      </c>
      <c r="D3" s="31" t="s">
        <v>62</v>
      </c>
      <c r="E3" s="81" t="s">
        <v>622</v>
      </c>
      <c r="F3" s="30" t="s">
        <v>63</v>
      </c>
    </row>
    <row r="4" spans="1:6" ht="82.5" x14ac:dyDescent="0.5">
      <c r="A4" s="71" t="s">
        <v>613</v>
      </c>
      <c r="B4" s="89"/>
      <c r="C4" s="91"/>
      <c r="D4" s="31" t="s">
        <v>64</v>
      </c>
      <c r="E4" s="82"/>
      <c r="F4" s="30" t="s">
        <v>65</v>
      </c>
    </row>
    <row r="5" spans="1:6" ht="83" thickBot="1" x14ac:dyDescent="0.55000000000000004">
      <c r="A5" s="71" t="s">
        <v>614</v>
      </c>
      <c r="B5" s="89"/>
      <c r="C5" s="91"/>
      <c r="D5" s="67" t="s">
        <v>66</v>
      </c>
      <c r="E5" s="86"/>
      <c r="F5" s="33" t="s">
        <v>67</v>
      </c>
    </row>
    <row r="6" spans="1:6" ht="99" x14ac:dyDescent="0.5">
      <c r="A6" s="70" t="s">
        <v>615</v>
      </c>
      <c r="B6" s="88" t="s">
        <v>616</v>
      </c>
      <c r="C6" s="90" t="s">
        <v>620</v>
      </c>
      <c r="D6" s="31" t="s">
        <v>62</v>
      </c>
      <c r="E6" s="87" t="s">
        <v>623</v>
      </c>
      <c r="F6" s="30" t="s">
        <v>63</v>
      </c>
    </row>
    <row r="7" spans="1:6" ht="82.5" x14ac:dyDescent="0.5">
      <c r="A7" s="71" t="s">
        <v>617</v>
      </c>
      <c r="B7" s="89"/>
      <c r="C7" s="91"/>
      <c r="D7" s="31" t="s">
        <v>68</v>
      </c>
      <c r="E7" s="82"/>
      <c r="F7" s="30" t="s">
        <v>65</v>
      </c>
    </row>
    <row r="8" spans="1:6" ht="82.5" x14ac:dyDescent="0.5">
      <c r="A8" s="71" t="s">
        <v>613</v>
      </c>
      <c r="B8" s="89"/>
      <c r="C8" s="91"/>
      <c r="D8" s="31" t="s">
        <v>66</v>
      </c>
      <c r="E8" s="82"/>
      <c r="F8" s="30" t="s">
        <v>67</v>
      </c>
    </row>
    <row r="9" spans="1:6" ht="83" thickBot="1" x14ac:dyDescent="0.55000000000000004">
      <c r="A9" s="73" t="s">
        <v>614</v>
      </c>
      <c r="B9" s="92"/>
      <c r="C9" s="93"/>
      <c r="D9" s="32"/>
      <c r="E9" s="86"/>
      <c r="F9" s="33"/>
    </row>
    <row r="10" spans="1:6" ht="99" x14ac:dyDescent="0.5">
      <c r="A10" s="71" t="s">
        <v>615</v>
      </c>
      <c r="B10" s="89" t="s">
        <v>618</v>
      </c>
      <c r="C10" s="91" t="s">
        <v>621</v>
      </c>
      <c r="D10" s="31" t="s">
        <v>62</v>
      </c>
      <c r="E10" s="87" t="s">
        <v>624</v>
      </c>
      <c r="F10" s="30" t="s">
        <v>63</v>
      </c>
    </row>
    <row r="11" spans="1:6" ht="82.5" x14ac:dyDescent="0.5">
      <c r="A11" s="71" t="s">
        <v>617</v>
      </c>
      <c r="B11" s="89"/>
      <c r="C11" s="91"/>
      <c r="D11" s="31" t="s">
        <v>68</v>
      </c>
      <c r="E11" s="82"/>
      <c r="F11" s="30" t="s">
        <v>65</v>
      </c>
    </row>
    <row r="12" spans="1:6" ht="82.5" x14ac:dyDescent="0.5">
      <c r="A12" s="71" t="s">
        <v>607</v>
      </c>
      <c r="B12" s="89"/>
      <c r="C12" s="91"/>
      <c r="D12" s="31" t="s">
        <v>66</v>
      </c>
      <c r="E12" s="82"/>
      <c r="F12" s="30" t="s">
        <v>67</v>
      </c>
    </row>
    <row r="13" spans="1:6" ht="83" thickBot="1" x14ac:dyDescent="0.55000000000000004">
      <c r="A13" s="72" t="s">
        <v>610</v>
      </c>
      <c r="B13" s="94"/>
      <c r="C13" s="95"/>
      <c r="D13" s="32"/>
      <c r="E13" s="86"/>
      <c r="F13" s="33"/>
    </row>
  </sheetData>
  <mergeCells count="9">
    <mergeCell ref="E3:E5"/>
    <mergeCell ref="E6:E9"/>
    <mergeCell ref="E10:E13"/>
    <mergeCell ref="B3:B5"/>
    <mergeCell ref="C3:C5"/>
    <mergeCell ref="B6:B9"/>
    <mergeCell ref="C6:C9"/>
    <mergeCell ref="B10:B13"/>
    <mergeCell ref="C10:C13"/>
  </mergeCells>
  <dataValidations count="1">
    <dataValidation type="list" allowBlank="1" showInputMessage="1" showErrorMessage="1" sqref="A3:A13" xr:uid="{0C954EC5-CF87-4C9D-AB3B-3FE83D4F844F}">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58"/>
  <sheetViews>
    <sheetView tabSelected="1" zoomScaleNormal="100" workbookViewId="0"/>
  </sheetViews>
  <sheetFormatPr baseColWidth="10" defaultColWidth="11.453125" defaultRowHeight="16.5" x14ac:dyDescent="0.35"/>
  <cols>
    <col min="1" max="1" width="12.81640625" style="5" customWidth="1"/>
    <col min="2" max="2" width="65.08984375" style="5" customWidth="1"/>
    <col min="3" max="3" width="17.26953125" style="5" customWidth="1"/>
    <col min="4" max="4" width="26.54296875" style="5" customWidth="1"/>
    <col min="5" max="5" width="57" style="6" customWidth="1"/>
    <col min="6" max="6" width="16.6328125" style="7" customWidth="1"/>
    <col min="7" max="7" width="16.7265625" style="7" customWidth="1"/>
    <col min="8" max="8" width="18.1796875" style="7" customWidth="1"/>
    <col min="9" max="9" width="13.54296875" style="7" customWidth="1"/>
    <col min="10" max="10" width="20.453125" style="7" customWidth="1"/>
    <col min="11" max="11" width="24.453125" style="7" customWidth="1"/>
    <col min="12" max="12" width="11.26953125" style="7" customWidth="1"/>
    <col min="13" max="14" width="40.7265625" style="6" customWidth="1"/>
    <col min="15" max="15" width="115" style="6" customWidth="1"/>
    <col min="16" max="16" width="92.1796875" style="6" customWidth="1"/>
    <col min="17" max="16384" width="11.453125" style="5"/>
  </cols>
  <sheetData>
    <row r="1" spans="1:17" s="7" customFormat="1" ht="65" x14ac:dyDescent="0.35">
      <c r="A1" s="51" t="s">
        <v>69</v>
      </c>
      <c r="B1" s="51" t="s">
        <v>70</v>
      </c>
      <c r="C1" s="51" t="s">
        <v>71</v>
      </c>
      <c r="D1" s="51" t="s">
        <v>72</v>
      </c>
      <c r="E1" s="51" t="s">
        <v>73</v>
      </c>
      <c r="F1" s="51" t="s">
        <v>74</v>
      </c>
      <c r="G1" s="111" t="s">
        <v>75</v>
      </c>
      <c r="H1" s="112"/>
      <c r="I1" s="51" t="s">
        <v>76</v>
      </c>
      <c r="J1" s="51" t="s">
        <v>77</v>
      </c>
      <c r="K1" s="51" t="s">
        <v>78</v>
      </c>
      <c r="L1" s="51" t="s">
        <v>79</v>
      </c>
      <c r="M1" s="51" t="s">
        <v>80</v>
      </c>
      <c r="N1" s="51" t="s">
        <v>81</v>
      </c>
      <c r="O1" s="51" t="s">
        <v>82</v>
      </c>
      <c r="P1" s="51" t="s">
        <v>83</v>
      </c>
    </row>
    <row r="2" spans="1:17" s="7" customFormat="1" ht="33" x14ac:dyDescent="0.35">
      <c r="A2" s="55" t="s">
        <v>84</v>
      </c>
      <c r="B2" s="55" t="s">
        <v>56</v>
      </c>
      <c r="C2" s="55" t="s">
        <v>85</v>
      </c>
      <c r="D2" s="55" t="s">
        <v>86</v>
      </c>
      <c r="E2" s="55" t="s">
        <v>87</v>
      </c>
      <c r="F2" s="55" t="s">
        <v>88</v>
      </c>
      <c r="G2" s="60" t="s">
        <v>89</v>
      </c>
      <c r="H2" s="60" t="s">
        <v>90</v>
      </c>
      <c r="I2" s="55" t="s">
        <v>91</v>
      </c>
      <c r="J2" s="55" t="s">
        <v>92</v>
      </c>
      <c r="K2" s="55" t="s">
        <v>93</v>
      </c>
      <c r="L2" s="55" t="s">
        <v>94</v>
      </c>
      <c r="M2" s="55" t="s">
        <v>95</v>
      </c>
      <c r="N2" s="55" t="s">
        <v>96</v>
      </c>
      <c r="O2" s="55" t="s">
        <v>97</v>
      </c>
      <c r="P2" s="55" t="s">
        <v>98</v>
      </c>
    </row>
    <row r="3" spans="1:17" ht="82.5" x14ac:dyDescent="0.35">
      <c r="A3" s="5" t="str">
        <f>_xlfn.XLOOKUP(B3,'Paso 3 Redacción RA '!I$3:I$11,'Paso 3 Redacción RA '!C$3:C$11,,0,1)</f>
        <v>Saber</v>
      </c>
      <c r="B3" s="5" t="s">
        <v>609</v>
      </c>
      <c r="C3" s="82">
        <v>1</v>
      </c>
      <c r="D3" s="82" t="s">
        <v>628</v>
      </c>
      <c r="E3" s="85" t="s">
        <v>626</v>
      </c>
      <c r="F3" s="89" t="s">
        <v>627</v>
      </c>
      <c r="G3" s="89"/>
      <c r="H3" s="89" t="s">
        <v>632</v>
      </c>
      <c r="I3" s="89">
        <v>3</v>
      </c>
      <c r="J3" s="89">
        <f>12*I3</f>
        <v>36</v>
      </c>
      <c r="K3" s="89">
        <f>36*I3</f>
        <v>108</v>
      </c>
      <c r="L3" s="89">
        <f>SUM(J3:K5)</f>
        <v>144</v>
      </c>
      <c r="M3" s="109" t="s">
        <v>633</v>
      </c>
      <c r="N3" s="109" t="s">
        <v>671</v>
      </c>
      <c r="O3" s="105" t="s">
        <v>672</v>
      </c>
      <c r="P3" s="109" t="s">
        <v>99</v>
      </c>
      <c r="Q3" s="5" t="s">
        <v>100</v>
      </c>
    </row>
    <row r="4" spans="1:17" ht="99" x14ac:dyDescent="0.35">
      <c r="A4" s="5" t="str">
        <f>_xlfn.XLOOKUP(B4,'Paso 3 Redacción RA '!I$3:I$11,'Paso 3 Redacción RA '!C$3:C$11,,0,1)</f>
        <v>Saberhacer</v>
      </c>
      <c r="B4" s="5" t="s">
        <v>608</v>
      </c>
      <c r="C4" s="82"/>
      <c r="D4" s="82"/>
      <c r="E4" s="85"/>
      <c r="F4" s="89"/>
      <c r="G4" s="89"/>
      <c r="H4" s="89"/>
      <c r="I4" s="89"/>
      <c r="J4" s="89"/>
      <c r="K4" s="89"/>
      <c r="L4" s="89"/>
      <c r="M4" s="109"/>
      <c r="N4" s="109"/>
      <c r="O4" s="105"/>
      <c r="P4" s="109"/>
    </row>
    <row r="5" spans="1:17" ht="66.5" thickBot="1" x14ac:dyDescent="0.4">
      <c r="A5" s="35" t="str">
        <f>_xlfn.XLOOKUP(B5,'Paso 3 Redacción RA '!I$3:I$11,'Paso 3 Redacción RA '!C$3:C$11,,0,1)</f>
        <v>Saberser</v>
      </c>
      <c r="B5" s="35" t="s">
        <v>607</v>
      </c>
      <c r="C5" s="97"/>
      <c r="D5" s="97"/>
      <c r="E5" s="99"/>
      <c r="F5" s="92"/>
      <c r="G5" s="92"/>
      <c r="H5" s="92"/>
      <c r="I5" s="92"/>
      <c r="J5" s="92"/>
      <c r="K5" s="92"/>
      <c r="L5" s="92"/>
      <c r="M5" s="110"/>
      <c r="N5" s="110"/>
      <c r="O5" s="106"/>
      <c r="P5" s="110"/>
    </row>
    <row r="6" spans="1:17" ht="66" x14ac:dyDescent="0.5">
      <c r="A6" s="36" t="str">
        <f>_xlfn.XLOOKUP(B6,'Paso 3 Redacción RA '!I$3:I$11,'Paso 3 Redacción RA '!C$3:C$11,,0,1)</f>
        <v>Saberhacer</v>
      </c>
      <c r="B6" s="37" t="s">
        <v>606</v>
      </c>
      <c r="C6" s="96">
        <v>1</v>
      </c>
      <c r="D6" s="96" t="s">
        <v>629</v>
      </c>
      <c r="E6" s="113" t="s">
        <v>634</v>
      </c>
      <c r="F6" s="96" t="s">
        <v>627</v>
      </c>
      <c r="G6" s="100"/>
      <c r="H6" s="100" t="s">
        <v>632</v>
      </c>
      <c r="I6" s="100">
        <v>4</v>
      </c>
      <c r="J6" s="100">
        <f>12*I6</f>
        <v>48</v>
      </c>
      <c r="K6" s="100">
        <f>36*I6</f>
        <v>144</v>
      </c>
      <c r="L6" s="100">
        <f>SUM(J6:K10)</f>
        <v>192</v>
      </c>
      <c r="M6" s="108" t="s">
        <v>636</v>
      </c>
      <c r="N6" s="108" t="s">
        <v>671</v>
      </c>
      <c r="O6" s="104" t="s">
        <v>672</v>
      </c>
      <c r="P6" s="108" t="s">
        <v>101</v>
      </c>
    </row>
    <row r="7" spans="1:17" ht="82.5" x14ac:dyDescent="0.5">
      <c r="A7" s="5" t="str">
        <f>_xlfn.XLOOKUP(B7,'Paso 3 Redacción RA '!I$3:I$11,'Paso 3 Redacción RA '!C$3:C$11,,0,1)</f>
        <v>Saber</v>
      </c>
      <c r="B7" s="3" t="s">
        <v>609</v>
      </c>
      <c r="C7" s="82"/>
      <c r="D7" s="82"/>
      <c r="E7" s="114"/>
      <c r="F7" s="82"/>
      <c r="G7" s="89"/>
      <c r="H7" s="89"/>
      <c r="I7" s="89"/>
      <c r="J7" s="89"/>
      <c r="K7" s="89"/>
      <c r="L7" s="89"/>
      <c r="M7" s="109"/>
      <c r="N7" s="109"/>
      <c r="O7" s="105"/>
      <c r="P7" s="109"/>
    </row>
    <row r="8" spans="1:17" ht="99" x14ac:dyDescent="0.5">
      <c r="A8" s="5" t="str">
        <f>_xlfn.XLOOKUP(B8,'Paso 3 Redacción RA '!I$3:I$11,'Paso 3 Redacción RA '!C$3:C$11,,0,1)</f>
        <v>Saberhacer</v>
      </c>
      <c r="B8" s="3" t="s">
        <v>608</v>
      </c>
      <c r="C8" s="82"/>
      <c r="D8" s="82"/>
      <c r="E8" s="114"/>
      <c r="F8" s="82"/>
      <c r="G8" s="89"/>
      <c r="H8" s="89"/>
      <c r="I8" s="89"/>
      <c r="J8" s="89"/>
      <c r="K8" s="89"/>
      <c r="L8" s="89"/>
      <c r="M8" s="109"/>
      <c r="N8" s="109"/>
      <c r="O8" s="105"/>
      <c r="P8" s="109"/>
    </row>
    <row r="9" spans="1:17" ht="66" x14ac:dyDescent="0.5">
      <c r="A9" s="5" t="str">
        <f>_xlfn.XLOOKUP(B9,'Paso 3 Redacción RA '!I$3:I$11,'Paso 3 Redacción RA '!C$3:C$11,,0,1)</f>
        <v>Saberhacer</v>
      </c>
      <c r="B9" s="3" t="s">
        <v>610</v>
      </c>
      <c r="C9" s="82"/>
      <c r="D9" s="82"/>
      <c r="E9" s="114"/>
      <c r="F9" s="82"/>
      <c r="G9" s="89"/>
      <c r="H9" s="89"/>
      <c r="I9" s="89"/>
      <c r="J9" s="89"/>
      <c r="K9" s="89"/>
      <c r="L9" s="89"/>
      <c r="M9" s="109"/>
      <c r="N9" s="109"/>
      <c r="O9" s="105"/>
      <c r="P9" s="109"/>
    </row>
    <row r="10" spans="1:17" ht="66.5" thickBot="1" x14ac:dyDescent="0.55000000000000004">
      <c r="A10" s="35" t="str">
        <f>_xlfn.XLOOKUP(B10,'Paso 3 Redacción RA '!I$3:I$11,'Paso 3 Redacción RA '!C$3:C$11,,0,1)</f>
        <v>Saberser</v>
      </c>
      <c r="B10" s="39" t="s">
        <v>607</v>
      </c>
      <c r="C10" s="97"/>
      <c r="D10" s="97"/>
      <c r="E10" s="115"/>
      <c r="F10" s="97"/>
      <c r="G10" s="92"/>
      <c r="H10" s="92"/>
      <c r="I10" s="92"/>
      <c r="J10" s="92"/>
      <c r="K10" s="92"/>
      <c r="L10" s="92"/>
      <c r="M10" s="110"/>
      <c r="N10" s="110"/>
      <c r="O10" s="106"/>
      <c r="P10" s="110"/>
    </row>
    <row r="11" spans="1:17" ht="82.5" x14ac:dyDescent="0.35">
      <c r="A11" s="5" t="str">
        <f>_xlfn.XLOOKUP(B11,'Paso 3 Redacción RA '!I$3:I$11,'Paso 3 Redacción RA '!C$3:C$11,,0,1)</f>
        <v>Saber</v>
      </c>
      <c r="B11" s="36" t="s">
        <v>605</v>
      </c>
      <c r="C11" s="96">
        <v>1</v>
      </c>
      <c r="D11" s="96" t="s">
        <v>630</v>
      </c>
      <c r="E11" s="98" t="s">
        <v>635</v>
      </c>
      <c r="F11" s="96" t="s">
        <v>627</v>
      </c>
      <c r="G11" s="100" t="s">
        <v>632</v>
      </c>
      <c r="H11" s="100"/>
      <c r="I11" s="100">
        <v>2</v>
      </c>
      <c r="J11" s="100">
        <f>12*I11</f>
        <v>24</v>
      </c>
      <c r="K11" s="100">
        <f>36*I11</f>
        <v>72</v>
      </c>
      <c r="L11" s="100">
        <f>SUM(J11:K11)</f>
        <v>96</v>
      </c>
      <c r="M11" s="104" t="s">
        <v>637</v>
      </c>
      <c r="N11" s="108" t="s">
        <v>671</v>
      </c>
      <c r="O11" s="104" t="s">
        <v>672</v>
      </c>
      <c r="P11" s="108" t="s">
        <v>99</v>
      </c>
    </row>
    <row r="12" spans="1:17" ht="66" x14ac:dyDescent="0.35">
      <c r="A12" s="5" t="str">
        <f>_xlfn.XLOOKUP(B12,'Paso 3 Redacción RA '!I$3:I$11,'Paso 3 Redacción RA '!C$3:C$11,,0,1)</f>
        <v>Saberhacer</v>
      </c>
      <c r="B12" s="5" t="s">
        <v>606</v>
      </c>
      <c r="C12" s="82"/>
      <c r="D12" s="82"/>
      <c r="E12" s="85"/>
      <c r="F12" s="82"/>
      <c r="G12" s="89"/>
      <c r="H12" s="89"/>
      <c r="I12" s="89"/>
      <c r="J12" s="89"/>
      <c r="K12" s="89"/>
      <c r="L12" s="89"/>
      <c r="M12" s="105"/>
      <c r="N12" s="109"/>
      <c r="O12" s="105"/>
      <c r="P12" s="109"/>
    </row>
    <row r="13" spans="1:17" ht="66" x14ac:dyDescent="0.35">
      <c r="A13" s="5" t="str">
        <f>_xlfn.XLOOKUP(B13,'Paso 3 Redacción RA '!I$3:I$11,'Paso 3 Redacción RA '!C$3:C$11,,0,1)</f>
        <v>Saberser</v>
      </c>
      <c r="B13" s="5" t="s">
        <v>607</v>
      </c>
      <c r="C13" s="82"/>
      <c r="D13" s="82"/>
      <c r="E13" s="85"/>
      <c r="F13" s="82"/>
      <c r="G13" s="89"/>
      <c r="H13" s="89"/>
      <c r="I13" s="89"/>
      <c r="J13" s="89"/>
      <c r="K13" s="89"/>
      <c r="L13" s="89"/>
      <c r="M13" s="105"/>
      <c r="N13" s="109"/>
      <c r="O13" s="105"/>
      <c r="P13" s="109"/>
    </row>
    <row r="14" spans="1:17" ht="82.5" x14ac:dyDescent="0.35">
      <c r="A14" s="5" t="str">
        <f>_xlfn.XLOOKUP(B14,'Paso 3 Redacción RA '!I$3:I$11,'Paso 3 Redacción RA '!C$3:C$11,,0,1)</f>
        <v>Saber</v>
      </c>
      <c r="B14" s="5" t="s">
        <v>609</v>
      </c>
      <c r="C14" s="82"/>
      <c r="D14" s="82"/>
      <c r="E14" s="85"/>
      <c r="F14" s="82"/>
      <c r="G14" s="89"/>
      <c r="H14" s="89"/>
      <c r="I14" s="89"/>
      <c r="J14" s="89"/>
      <c r="K14" s="89"/>
      <c r="L14" s="89"/>
      <c r="M14" s="105"/>
      <c r="N14" s="109"/>
      <c r="O14" s="105"/>
      <c r="P14" s="109"/>
    </row>
    <row r="15" spans="1:17" ht="99" x14ac:dyDescent="0.35">
      <c r="A15" s="5" t="str">
        <f>_xlfn.XLOOKUP(B15,'Paso 3 Redacción RA '!I$3:I$11,'Paso 3 Redacción RA '!C$3:C$11,,0,1)</f>
        <v>Saberhacer</v>
      </c>
      <c r="B15" s="5" t="s">
        <v>608</v>
      </c>
      <c r="C15" s="82"/>
      <c r="D15" s="82"/>
      <c r="E15" s="85"/>
      <c r="F15" s="82"/>
      <c r="G15" s="89"/>
      <c r="H15" s="89"/>
      <c r="I15" s="89"/>
      <c r="J15" s="89"/>
      <c r="K15" s="89"/>
      <c r="L15" s="89"/>
      <c r="M15" s="105"/>
      <c r="N15" s="109"/>
      <c r="O15" s="105"/>
      <c r="P15" s="109"/>
    </row>
    <row r="16" spans="1:17" ht="66.5" thickBot="1" x14ac:dyDescent="0.4">
      <c r="A16" s="35" t="str">
        <f>_xlfn.XLOOKUP(B16,'Paso 3 Redacción RA '!I$3:I$11,'Paso 3 Redacción RA '!C$3:C$11,,0,1)</f>
        <v>Saberhacer</v>
      </c>
      <c r="B16" s="35" t="s">
        <v>610</v>
      </c>
      <c r="C16" s="97"/>
      <c r="D16" s="97"/>
      <c r="E16" s="99"/>
      <c r="F16" s="97"/>
      <c r="G16" s="92"/>
      <c r="H16" s="92"/>
      <c r="I16" s="92"/>
      <c r="J16" s="92"/>
      <c r="K16" s="92"/>
      <c r="L16" s="92"/>
      <c r="M16" s="106"/>
      <c r="N16" s="110"/>
      <c r="O16" s="106"/>
      <c r="P16" s="110"/>
    </row>
    <row r="17" spans="1:17" ht="82.5" x14ac:dyDescent="0.35">
      <c r="A17" s="5" t="str">
        <f>_xlfn.XLOOKUP(B17,'Paso 3 Redacción RA '!I$3:I$11,'Paso 3 Redacción RA '!C$3:C$11,,0,1)</f>
        <v>Saber</v>
      </c>
      <c r="B17" s="36" t="s">
        <v>605</v>
      </c>
      <c r="C17" s="96">
        <v>1</v>
      </c>
      <c r="D17" s="96" t="s">
        <v>625</v>
      </c>
      <c r="E17" s="98" t="s">
        <v>638</v>
      </c>
      <c r="F17" s="96" t="s">
        <v>627</v>
      </c>
      <c r="G17" s="96" t="s">
        <v>632</v>
      </c>
      <c r="H17" s="96"/>
      <c r="I17" s="100">
        <v>2</v>
      </c>
      <c r="J17" s="100">
        <f>I17*12</f>
        <v>24</v>
      </c>
      <c r="K17" s="100">
        <f>I17*32</f>
        <v>64</v>
      </c>
      <c r="L17" s="100">
        <f>SUM(J17:K17)</f>
        <v>88</v>
      </c>
      <c r="M17" s="98" t="s">
        <v>639</v>
      </c>
      <c r="N17" s="98" t="s">
        <v>671</v>
      </c>
      <c r="O17" s="104" t="s">
        <v>672</v>
      </c>
      <c r="P17" s="108" t="s">
        <v>99</v>
      </c>
    </row>
    <row r="18" spans="1:17" ht="66" x14ac:dyDescent="0.35">
      <c r="A18" s="5" t="str">
        <f>_xlfn.XLOOKUP(B18,'Paso 3 Redacción RA '!I$3:I$11,'Paso 3 Redacción RA '!C$3:C$11,,0,1)</f>
        <v>Saberhacer</v>
      </c>
      <c r="B18" s="5" t="s">
        <v>606</v>
      </c>
      <c r="C18" s="82"/>
      <c r="D18" s="82"/>
      <c r="E18" s="85"/>
      <c r="F18" s="82"/>
      <c r="G18" s="82"/>
      <c r="H18" s="82"/>
      <c r="I18" s="89"/>
      <c r="J18" s="89"/>
      <c r="K18" s="89"/>
      <c r="L18" s="89"/>
      <c r="M18" s="85"/>
      <c r="N18" s="85"/>
      <c r="O18" s="105"/>
      <c r="P18" s="109"/>
    </row>
    <row r="19" spans="1:17" ht="66" x14ac:dyDescent="0.35">
      <c r="A19" s="5" t="str">
        <f>_xlfn.XLOOKUP(B19,'Paso 3 Redacción RA '!I$3:I$11,'Paso 3 Redacción RA '!C$3:C$11,,0,1)</f>
        <v>Saberhacer</v>
      </c>
      <c r="B19" s="5" t="s">
        <v>610</v>
      </c>
      <c r="C19" s="82"/>
      <c r="D19" s="82"/>
      <c r="E19" s="85"/>
      <c r="F19" s="82"/>
      <c r="G19" s="82"/>
      <c r="H19" s="82"/>
      <c r="I19" s="89"/>
      <c r="J19" s="89"/>
      <c r="K19" s="89"/>
      <c r="L19" s="89"/>
      <c r="M19" s="85"/>
      <c r="N19" s="85"/>
      <c r="O19" s="105"/>
      <c r="P19" s="109"/>
    </row>
    <row r="20" spans="1:17" ht="66.5" thickBot="1" x14ac:dyDescent="0.4">
      <c r="A20" s="35" t="str">
        <f>_xlfn.XLOOKUP(B20,'Paso 3 Redacción RA '!I$3:I$11,'Paso 3 Redacción RA '!C$3:C$11,,0,1)</f>
        <v>Saberser</v>
      </c>
      <c r="B20" s="35" t="s">
        <v>607</v>
      </c>
      <c r="C20" s="97"/>
      <c r="D20" s="97"/>
      <c r="E20" s="99"/>
      <c r="F20" s="97"/>
      <c r="G20" s="97"/>
      <c r="H20" s="97"/>
      <c r="I20" s="92"/>
      <c r="J20" s="92"/>
      <c r="K20" s="92"/>
      <c r="L20" s="92"/>
      <c r="M20" s="99"/>
      <c r="N20" s="99"/>
      <c r="O20" s="106"/>
      <c r="P20" s="110"/>
    </row>
    <row r="21" spans="1:17" ht="66" x14ac:dyDescent="0.35">
      <c r="A21" s="36" t="str">
        <f>_xlfn.XLOOKUP(B21,'Paso 3 Redacción RA '!I$3:I$11,'Paso 3 Redacción RA '!C$3:C$11,,0,1)</f>
        <v>Saberhacer</v>
      </c>
      <c r="B21" s="38" t="s">
        <v>606</v>
      </c>
      <c r="C21" s="96">
        <v>1</v>
      </c>
      <c r="D21" s="96" t="s">
        <v>631</v>
      </c>
      <c r="E21" s="98" t="s">
        <v>640</v>
      </c>
      <c r="F21" s="96" t="s">
        <v>627</v>
      </c>
      <c r="G21" s="96" t="s">
        <v>632</v>
      </c>
      <c r="H21" s="100"/>
      <c r="I21" s="101">
        <v>3</v>
      </c>
      <c r="J21" s="100">
        <f>12*I21</f>
        <v>36</v>
      </c>
      <c r="K21" s="100">
        <f>36*I21</f>
        <v>108</v>
      </c>
      <c r="L21" s="100">
        <f>SUM(J21:K23)</f>
        <v>144</v>
      </c>
      <c r="M21" s="107" t="s">
        <v>661</v>
      </c>
      <c r="N21" s="98" t="s">
        <v>671</v>
      </c>
      <c r="O21" s="104" t="s">
        <v>672</v>
      </c>
      <c r="P21" s="108" t="s">
        <v>673</v>
      </c>
    </row>
    <row r="22" spans="1:17" ht="99" x14ac:dyDescent="0.35">
      <c r="A22" s="5" t="str">
        <f>_xlfn.XLOOKUP(B22,'Paso 3 Redacción RA '!I$3:I$11,'Paso 3 Redacción RA '!C$3:C$11,,0,1)</f>
        <v>Saberhacer</v>
      </c>
      <c r="B22" s="5" t="s">
        <v>608</v>
      </c>
      <c r="C22" s="82"/>
      <c r="D22" s="82"/>
      <c r="E22" s="85"/>
      <c r="F22" s="82"/>
      <c r="G22" s="82"/>
      <c r="H22" s="89"/>
      <c r="I22" s="102"/>
      <c r="J22" s="89"/>
      <c r="K22" s="89"/>
      <c r="L22" s="89"/>
      <c r="M22" s="91"/>
      <c r="N22" s="85"/>
      <c r="O22" s="105"/>
      <c r="P22" s="85"/>
    </row>
    <row r="23" spans="1:17" ht="66.5" thickBot="1" x14ac:dyDescent="0.4">
      <c r="A23" s="35" t="str">
        <f>_xlfn.XLOOKUP(B23,'Paso 3 Redacción RA '!I$3:I$11,'Paso 3 Redacción RA '!C$3:C$11,,0,1)</f>
        <v>Saberhacer</v>
      </c>
      <c r="B23" s="35" t="s">
        <v>610</v>
      </c>
      <c r="C23" s="97"/>
      <c r="D23" s="97"/>
      <c r="E23" s="99"/>
      <c r="F23" s="97"/>
      <c r="G23" s="97"/>
      <c r="H23" s="92"/>
      <c r="I23" s="103"/>
      <c r="J23" s="92"/>
      <c r="K23" s="92"/>
      <c r="L23" s="92"/>
      <c r="M23" s="93"/>
      <c r="N23" s="99"/>
      <c r="O23" s="106"/>
      <c r="P23" s="99"/>
      <c r="Q23" s="5">
        <f>SUM(I3:I23)</f>
        <v>14</v>
      </c>
    </row>
    <row r="24" spans="1:17" ht="66" x14ac:dyDescent="0.35">
      <c r="A24" s="5" t="str">
        <f>_xlfn.XLOOKUP(B24,'Paso 3 Redacción RA '!I$3:I$11,'Paso 3 Redacción RA '!C$3:C$11,,0,1)</f>
        <v>Saberhacer</v>
      </c>
      <c r="B24" s="36" t="s">
        <v>606</v>
      </c>
      <c r="C24" s="96">
        <v>2</v>
      </c>
      <c r="D24" s="96" t="s">
        <v>641</v>
      </c>
      <c r="E24" s="98" t="s">
        <v>646</v>
      </c>
      <c r="F24" s="96" t="s">
        <v>627</v>
      </c>
      <c r="G24" s="96"/>
      <c r="H24" s="96" t="s">
        <v>632</v>
      </c>
      <c r="I24" s="96">
        <v>3</v>
      </c>
      <c r="J24" s="96">
        <f>12*I24</f>
        <v>36</v>
      </c>
      <c r="K24" s="96">
        <f>36*I24</f>
        <v>108</v>
      </c>
      <c r="L24" s="96">
        <f>SUM(J24:K26)</f>
        <v>144</v>
      </c>
      <c r="M24" s="98" t="s">
        <v>648</v>
      </c>
      <c r="N24" s="98" t="s">
        <v>671</v>
      </c>
      <c r="O24" s="104" t="s">
        <v>674</v>
      </c>
      <c r="P24" s="98" t="s">
        <v>99</v>
      </c>
    </row>
    <row r="25" spans="1:17" ht="99" x14ac:dyDescent="0.35">
      <c r="A25" s="5" t="str">
        <f>_xlfn.XLOOKUP(B25,'Paso 3 Redacción RA '!I$3:I$11,'Paso 3 Redacción RA '!C$3:C$11,,0,1)</f>
        <v>Saberhacer</v>
      </c>
      <c r="B25" s="5" t="s">
        <v>608</v>
      </c>
      <c r="C25" s="82"/>
      <c r="D25" s="82"/>
      <c r="E25" s="85"/>
      <c r="F25" s="82"/>
      <c r="G25" s="82"/>
      <c r="H25" s="82"/>
      <c r="I25" s="82"/>
      <c r="J25" s="82"/>
      <c r="K25" s="82"/>
      <c r="L25" s="82"/>
      <c r="M25" s="85"/>
      <c r="N25" s="85"/>
      <c r="O25" s="105"/>
      <c r="P25" s="85"/>
    </row>
    <row r="26" spans="1:17" ht="66.5" thickBot="1" x14ac:dyDescent="0.4">
      <c r="A26" s="35" t="str">
        <f>_xlfn.XLOOKUP(B26,'Paso 3 Redacción RA '!I$3:I$11,'Paso 3 Redacción RA '!C$3:C$11,,0,1)</f>
        <v>Saberhacer</v>
      </c>
      <c r="B26" s="35" t="s">
        <v>610</v>
      </c>
      <c r="C26" s="97"/>
      <c r="D26" s="97"/>
      <c r="E26" s="99"/>
      <c r="F26" s="97"/>
      <c r="G26" s="97"/>
      <c r="H26" s="97"/>
      <c r="I26" s="97"/>
      <c r="J26" s="97"/>
      <c r="K26" s="97"/>
      <c r="L26" s="97"/>
      <c r="M26" s="99"/>
      <c r="N26" s="99"/>
      <c r="O26" s="106"/>
      <c r="P26" s="99"/>
    </row>
    <row r="27" spans="1:17" ht="66" x14ac:dyDescent="0.35">
      <c r="A27" s="36" t="str">
        <f>_xlfn.XLOOKUP(B27,'Paso 3 Redacción RA '!I$3:I$11,'Paso 3 Redacción RA '!C$3:C$11,,0,1)</f>
        <v>Saberhacer</v>
      </c>
      <c r="B27" s="36" t="s">
        <v>606</v>
      </c>
      <c r="C27" s="96">
        <v>2</v>
      </c>
      <c r="D27" s="96" t="s">
        <v>642</v>
      </c>
      <c r="E27" s="98" t="s">
        <v>647</v>
      </c>
      <c r="F27" s="96" t="s">
        <v>627</v>
      </c>
      <c r="G27" s="96" t="s">
        <v>632</v>
      </c>
      <c r="H27" s="96"/>
      <c r="I27" s="100">
        <v>3</v>
      </c>
      <c r="J27" s="100">
        <f>I27*12</f>
        <v>36</v>
      </c>
      <c r="K27" s="100">
        <f>I27*36</f>
        <v>108</v>
      </c>
      <c r="L27" s="100">
        <f>SUM(J27:K30)</f>
        <v>144</v>
      </c>
      <c r="M27" s="98" t="s">
        <v>649</v>
      </c>
      <c r="N27" s="98" t="s">
        <v>671</v>
      </c>
      <c r="O27" s="104" t="s">
        <v>674</v>
      </c>
      <c r="P27" s="98" t="s">
        <v>99</v>
      </c>
    </row>
    <row r="28" spans="1:17" ht="99" x14ac:dyDescent="0.35">
      <c r="A28" s="5" t="str">
        <f>_xlfn.XLOOKUP(B28,'Paso 3 Redacción RA '!I$3:I$11,'Paso 3 Redacción RA '!C$3:C$11,,0,1)</f>
        <v>Saberhacer</v>
      </c>
      <c r="B28" s="5" t="s">
        <v>608</v>
      </c>
      <c r="C28" s="82"/>
      <c r="D28" s="82"/>
      <c r="E28" s="85"/>
      <c r="F28" s="82"/>
      <c r="G28" s="82"/>
      <c r="H28" s="82"/>
      <c r="I28" s="89"/>
      <c r="J28" s="89"/>
      <c r="K28" s="89"/>
      <c r="L28" s="89"/>
      <c r="M28" s="85"/>
      <c r="N28" s="85"/>
      <c r="O28" s="105"/>
      <c r="P28" s="85"/>
    </row>
    <row r="29" spans="1:17" ht="66" x14ac:dyDescent="0.35">
      <c r="A29" s="5" t="str">
        <f>_xlfn.XLOOKUP(B29,'Paso 3 Redacción RA '!I$3:I$11,'Paso 3 Redacción RA '!C$3:C$11,,0,1)</f>
        <v>Saberhacer</v>
      </c>
      <c r="B29" s="5" t="s">
        <v>610</v>
      </c>
      <c r="C29" s="82"/>
      <c r="D29" s="82"/>
      <c r="E29" s="85"/>
      <c r="F29" s="82"/>
      <c r="G29" s="82"/>
      <c r="H29" s="82"/>
      <c r="I29" s="89"/>
      <c r="J29" s="89"/>
      <c r="K29" s="89"/>
      <c r="L29" s="89"/>
      <c r="M29" s="85"/>
      <c r="N29" s="85"/>
      <c r="O29" s="105"/>
      <c r="P29" s="85"/>
    </row>
    <row r="30" spans="1:17" ht="66.5" thickBot="1" x14ac:dyDescent="0.4">
      <c r="A30" s="35" t="str">
        <f>_xlfn.XLOOKUP(B30,'Paso 3 Redacción RA '!I$3:I$11,'Paso 3 Redacción RA '!C$3:C$11,,0,1)</f>
        <v>Saberser</v>
      </c>
      <c r="B30" s="35" t="s">
        <v>607</v>
      </c>
      <c r="C30" s="97"/>
      <c r="D30" s="97"/>
      <c r="E30" s="99"/>
      <c r="F30" s="97"/>
      <c r="G30" s="97"/>
      <c r="H30" s="97"/>
      <c r="I30" s="92"/>
      <c r="J30" s="92"/>
      <c r="K30" s="92"/>
      <c r="L30" s="92"/>
      <c r="M30" s="99"/>
      <c r="N30" s="99"/>
      <c r="O30" s="106"/>
      <c r="P30" s="99"/>
    </row>
    <row r="31" spans="1:17" ht="231.5" thickBot="1" x14ac:dyDescent="0.4">
      <c r="A31" s="5" t="str">
        <f>_xlfn.XLOOKUP(B31,'Paso 3 Redacción RA '!I$3:I$11,'Paso 3 Redacción RA '!C$3:C$11,,0,1)</f>
        <v>Saberhacer</v>
      </c>
      <c r="B31" s="36" t="s">
        <v>608</v>
      </c>
      <c r="C31" s="80">
        <v>2</v>
      </c>
      <c r="D31" s="80" t="s">
        <v>643</v>
      </c>
      <c r="E31" s="21" t="s">
        <v>650</v>
      </c>
      <c r="F31" s="80" t="s">
        <v>627</v>
      </c>
      <c r="G31" s="80" t="s">
        <v>632</v>
      </c>
      <c r="H31" s="80"/>
      <c r="I31" s="79">
        <v>2</v>
      </c>
      <c r="J31" s="79">
        <f>I31*12</f>
        <v>24</v>
      </c>
      <c r="K31" s="79">
        <f>I31*36</f>
        <v>72</v>
      </c>
      <c r="L31" s="79">
        <f>SUM(J31:K31)</f>
        <v>96</v>
      </c>
      <c r="M31" s="21" t="s">
        <v>651</v>
      </c>
      <c r="N31" s="21" t="s">
        <v>671</v>
      </c>
      <c r="O31" s="38" t="s">
        <v>674</v>
      </c>
      <c r="P31" s="21" t="s">
        <v>99</v>
      </c>
    </row>
    <row r="32" spans="1:17" ht="82.5" x14ac:dyDescent="0.35">
      <c r="A32" s="36" t="str">
        <f>_xlfn.XLOOKUP(B32,'Paso 3 Redacción RA '!I$3:I$11,'Paso 3 Redacción RA '!C$3:C$11,,0,1)</f>
        <v>Saber</v>
      </c>
      <c r="B32" s="36" t="s">
        <v>605</v>
      </c>
      <c r="C32" s="96">
        <v>2</v>
      </c>
      <c r="D32" s="96" t="s">
        <v>644</v>
      </c>
      <c r="E32" s="98" t="s">
        <v>652</v>
      </c>
      <c r="F32" s="96" t="s">
        <v>627</v>
      </c>
      <c r="G32" s="96"/>
      <c r="H32" s="96" t="s">
        <v>632</v>
      </c>
      <c r="I32" s="100">
        <v>3</v>
      </c>
      <c r="J32" s="100">
        <f>I32*12</f>
        <v>36</v>
      </c>
      <c r="K32" s="100">
        <f>I32*36</f>
        <v>108</v>
      </c>
      <c r="L32" s="100">
        <f>SUM(J32:K32)</f>
        <v>144</v>
      </c>
      <c r="M32" s="98" t="s">
        <v>653</v>
      </c>
      <c r="N32" s="98" t="s">
        <v>671</v>
      </c>
      <c r="O32" s="104" t="s">
        <v>674</v>
      </c>
      <c r="P32" s="98" t="s">
        <v>99</v>
      </c>
    </row>
    <row r="33" spans="1:17" ht="66" x14ac:dyDescent="0.35">
      <c r="A33" s="5" t="str">
        <f>_xlfn.XLOOKUP(B33,'Paso 3 Redacción RA '!I$3:I$11,'Paso 3 Redacción RA '!C$3:C$11,,0,1)</f>
        <v>Saberhacer</v>
      </c>
      <c r="B33" s="5" t="s">
        <v>606</v>
      </c>
      <c r="C33" s="82"/>
      <c r="D33" s="82"/>
      <c r="E33" s="85"/>
      <c r="F33" s="82"/>
      <c r="G33" s="82"/>
      <c r="H33" s="82"/>
      <c r="I33" s="89"/>
      <c r="J33" s="89"/>
      <c r="K33" s="89"/>
      <c r="L33" s="89"/>
      <c r="M33" s="85"/>
      <c r="N33" s="85"/>
      <c r="O33" s="105"/>
      <c r="P33" s="85"/>
    </row>
    <row r="34" spans="1:17" ht="82.5" x14ac:dyDescent="0.35">
      <c r="A34" s="5" t="str">
        <f>_xlfn.XLOOKUP(B34,'Paso 3 Redacción RA '!I$3:I$11,'Paso 3 Redacción RA '!C$3:C$11,,0,1)</f>
        <v>Saber</v>
      </c>
      <c r="B34" s="5" t="s">
        <v>609</v>
      </c>
      <c r="C34" s="82"/>
      <c r="D34" s="82"/>
      <c r="E34" s="85"/>
      <c r="F34" s="82"/>
      <c r="G34" s="82"/>
      <c r="H34" s="82"/>
      <c r="I34" s="89"/>
      <c r="J34" s="89"/>
      <c r="K34" s="89"/>
      <c r="L34" s="89"/>
      <c r="M34" s="85"/>
      <c r="N34" s="85"/>
      <c r="O34" s="105"/>
      <c r="P34" s="85"/>
    </row>
    <row r="35" spans="1:17" ht="99" x14ac:dyDescent="0.35">
      <c r="A35" s="5" t="str">
        <f>_xlfn.XLOOKUP(B35,'Paso 3 Redacción RA '!I$3:I$11,'Paso 3 Redacción RA '!C$3:C$11,,0,1)</f>
        <v>Saberhacer</v>
      </c>
      <c r="B35" s="5" t="s">
        <v>608</v>
      </c>
      <c r="C35" s="82"/>
      <c r="D35" s="82"/>
      <c r="E35" s="85"/>
      <c r="F35" s="82"/>
      <c r="G35" s="82"/>
      <c r="H35" s="82"/>
      <c r="I35" s="89"/>
      <c r="J35" s="89"/>
      <c r="K35" s="89"/>
      <c r="L35" s="89"/>
      <c r="M35" s="85"/>
      <c r="N35" s="85"/>
      <c r="O35" s="105"/>
      <c r="P35" s="85"/>
    </row>
    <row r="36" spans="1:17" ht="66.5" thickBot="1" x14ac:dyDescent="0.4">
      <c r="A36" s="35" t="str">
        <f>_xlfn.XLOOKUP(B36,'Paso 3 Redacción RA '!I$3:I$11,'Paso 3 Redacción RA '!C$3:C$11,,0,1)</f>
        <v>Saberser</v>
      </c>
      <c r="B36" s="35" t="s">
        <v>607</v>
      </c>
      <c r="C36" s="97"/>
      <c r="D36" s="97"/>
      <c r="E36" s="99"/>
      <c r="F36" s="97"/>
      <c r="G36" s="97"/>
      <c r="H36" s="97"/>
      <c r="I36" s="92"/>
      <c r="J36" s="92"/>
      <c r="K36" s="92"/>
      <c r="L36" s="92"/>
      <c r="M36" s="99"/>
      <c r="N36" s="99"/>
      <c r="O36" s="106"/>
      <c r="P36" s="99"/>
    </row>
    <row r="37" spans="1:17" ht="82.5" x14ac:dyDescent="0.35">
      <c r="A37" s="36" t="str">
        <f>_xlfn.XLOOKUP(B37,'Paso 3 Redacción RA '!I$3:I$11,'Paso 3 Redacción RA '!C$3:C$11,,0,1)</f>
        <v>Saber</v>
      </c>
      <c r="B37" s="5" t="s">
        <v>605</v>
      </c>
      <c r="C37" s="96">
        <v>2</v>
      </c>
      <c r="D37" s="96" t="s">
        <v>645</v>
      </c>
      <c r="E37" s="98" t="s">
        <v>654</v>
      </c>
      <c r="F37" s="96" t="s">
        <v>627</v>
      </c>
      <c r="G37" s="96" t="s">
        <v>632</v>
      </c>
      <c r="H37" s="96"/>
      <c r="I37" s="100">
        <v>3</v>
      </c>
      <c r="J37" s="100">
        <f>I37*12</f>
        <v>36</v>
      </c>
      <c r="K37" s="100">
        <f>I37*36</f>
        <v>108</v>
      </c>
      <c r="L37" s="100">
        <f>SUM(J37:K37)</f>
        <v>144</v>
      </c>
      <c r="M37" s="98" t="s">
        <v>655</v>
      </c>
      <c r="N37" s="98" t="s">
        <v>671</v>
      </c>
      <c r="O37" s="104" t="s">
        <v>674</v>
      </c>
      <c r="P37" s="98" t="s">
        <v>99</v>
      </c>
    </row>
    <row r="38" spans="1:17" ht="66" x14ac:dyDescent="0.35">
      <c r="A38" s="5" t="str">
        <f>_xlfn.XLOOKUP(B38,'Paso 3 Redacción RA '!I$3:I$11,'Paso 3 Redacción RA '!C$3:C$11,,0,1)</f>
        <v>Saberhacer</v>
      </c>
      <c r="B38" s="5" t="s">
        <v>606</v>
      </c>
      <c r="C38" s="82"/>
      <c r="D38" s="82"/>
      <c r="E38" s="85"/>
      <c r="F38" s="82"/>
      <c r="G38" s="82"/>
      <c r="H38" s="82"/>
      <c r="I38" s="89"/>
      <c r="J38" s="89"/>
      <c r="K38" s="89"/>
      <c r="L38" s="89"/>
      <c r="M38" s="85"/>
      <c r="N38" s="85"/>
      <c r="O38" s="105"/>
      <c r="P38" s="85"/>
    </row>
    <row r="39" spans="1:17" ht="99" x14ac:dyDescent="0.35">
      <c r="A39" s="5" t="str">
        <f>_xlfn.XLOOKUP(B39,'Paso 3 Redacción RA '!I$3:I$11,'Paso 3 Redacción RA '!C$3:C$11,,0,1)</f>
        <v>Saberhacer</v>
      </c>
      <c r="B39" s="5" t="s">
        <v>608</v>
      </c>
      <c r="C39" s="82"/>
      <c r="D39" s="82"/>
      <c r="E39" s="85"/>
      <c r="F39" s="82"/>
      <c r="G39" s="82"/>
      <c r="H39" s="82"/>
      <c r="I39" s="89"/>
      <c r="J39" s="89"/>
      <c r="K39" s="89"/>
      <c r="L39" s="89"/>
      <c r="M39" s="85"/>
      <c r="N39" s="85"/>
      <c r="O39" s="105"/>
      <c r="P39" s="85"/>
    </row>
    <row r="40" spans="1:17" ht="66" x14ac:dyDescent="0.35">
      <c r="A40" s="5" t="str">
        <f>_xlfn.XLOOKUP(B40,'Paso 3 Redacción RA '!I$3:I$11,'Paso 3 Redacción RA '!C$3:C$11,,0,1)</f>
        <v>Saberhacer</v>
      </c>
      <c r="B40" s="5" t="s">
        <v>610</v>
      </c>
      <c r="C40" s="82"/>
      <c r="D40" s="82"/>
      <c r="E40" s="85"/>
      <c r="F40" s="82"/>
      <c r="G40" s="82"/>
      <c r="H40" s="82"/>
      <c r="I40" s="89"/>
      <c r="J40" s="89"/>
      <c r="K40" s="89"/>
      <c r="L40" s="89"/>
      <c r="M40" s="85"/>
      <c r="N40" s="85"/>
      <c r="O40" s="105"/>
      <c r="P40" s="85"/>
    </row>
    <row r="41" spans="1:17" ht="82.5" x14ac:dyDescent="0.35">
      <c r="A41" s="5" t="str">
        <f>_xlfn.XLOOKUP(B41,'Paso 3 Redacción RA '!I$3:I$11,'Paso 3 Redacción RA '!C$3:C$11,,0,1)</f>
        <v>Saber</v>
      </c>
      <c r="B41" s="5" t="s">
        <v>609</v>
      </c>
      <c r="C41" s="82"/>
      <c r="D41" s="82"/>
      <c r="E41" s="85"/>
      <c r="F41" s="82"/>
      <c r="G41" s="82"/>
      <c r="H41" s="82"/>
      <c r="I41" s="89"/>
      <c r="J41" s="89"/>
      <c r="K41" s="89"/>
      <c r="L41" s="89"/>
      <c r="M41" s="85"/>
      <c r="N41" s="85"/>
      <c r="O41" s="105"/>
      <c r="P41" s="85"/>
    </row>
    <row r="42" spans="1:17" ht="66.5" thickBot="1" x14ac:dyDescent="0.4">
      <c r="A42" s="35" t="str">
        <f>_xlfn.XLOOKUP(B42,'Paso 3 Redacción RA '!I$3:I$11,'Paso 3 Redacción RA '!C$3:C$11,,0,1)</f>
        <v>Saberser</v>
      </c>
      <c r="B42" s="35" t="s">
        <v>607</v>
      </c>
      <c r="C42" s="97" t="s">
        <v>102</v>
      </c>
      <c r="D42" s="97"/>
      <c r="E42" s="99"/>
      <c r="F42" s="97"/>
      <c r="G42" s="97"/>
      <c r="H42" s="97"/>
      <c r="I42" s="92"/>
      <c r="J42" s="92"/>
      <c r="K42" s="92"/>
      <c r="L42" s="92"/>
      <c r="M42" s="99"/>
      <c r="N42" s="99"/>
      <c r="O42" s="106"/>
      <c r="P42" s="99"/>
      <c r="Q42" s="5">
        <f>SUM(I24:I42)</f>
        <v>14</v>
      </c>
    </row>
    <row r="43" spans="1:17" ht="99" x14ac:dyDescent="0.35">
      <c r="A43" s="5" t="str">
        <f>_xlfn.XLOOKUP(B43,'Paso 3 Redacción RA '!I$3:I$11,'Paso 3 Redacción RA '!C$3:C$11,,0,1)</f>
        <v>Saberhacer</v>
      </c>
      <c r="B43" s="36" t="s">
        <v>608</v>
      </c>
      <c r="C43" s="96">
        <v>3</v>
      </c>
      <c r="D43" s="96" t="s">
        <v>656</v>
      </c>
      <c r="E43" s="98" t="s">
        <v>662</v>
      </c>
      <c r="F43" s="96" t="s">
        <v>627</v>
      </c>
      <c r="G43" s="96"/>
      <c r="H43" s="96" t="s">
        <v>632</v>
      </c>
      <c r="I43" s="96">
        <v>3</v>
      </c>
      <c r="J43" s="96">
        <f>12*I43</f>
        <v>36</v>
      </c>
      <c r="K43" s="96">
        <f>36*I43</f>
        <v>108</v>
      </c>
      <c r="L43" s="96">
        <f>SUM(J43:K45)</f>
        <v>144</v>
      </c>
      <c r="M43" s="98" t="s">
        <v>663</v>
      </c>
      <c r="N43" s="98" t="s">
        <v>671</v>
      </c>
      <c r="O43" s="104" t="s">
        <v>674</v>
      </c>
      <c r="P43" s="98" t="s">
        <v>99</v>
      </c>
    </row>
    <row r="44" spans="1:17" ht="66" x14ac:dyDescent="0.35">
      <c r="A44" s="5" t="str">
        <f>_xlfn.XLOOKUP(B44,'Paso 3 Redacción RA '!I$3:I$11,'Paso 3 Redacción RA '!C$3:C$11,,0,1)</f>
        <v>Saberhacer</v>
      </c>
      <c r="B44" s="5" t="s">
        <v>610</v>
      </c>
      <c r="C44" s="82"/>
      <c r="D44" s="82"/>
      <c r="E44" s="85"/>
      <c r="F44" s="82"/>
      <c r="G44" s="82"/>
      <c r="H44" s="82"/>
      <c r="I44" s="82"/>
      <c r="J44" s="82"/>
      <c r="K44" s="82"/>
      <c r="L44" s="82"/>
      <c r="M44" s="85"/>
      <c r="N44" s="85"/>
      <c r="O44" s="105"/>
      <c r="P44" s="85"/>
    </row>
    <row r="45" spans="1:17" ht="66.5" thickBot="1" x14ac:dyDescent="0.4">
      <c r="A45" s="35" t="str">
        <f>_xlfn.XLOOKUP(B45,'Paso 3 Redacción RA '!I$3:I$11,'Paso 3 Redacción RA '!C$3:C$11,,0,1)</f>
        <v>Saberser</v>
      </c>
      <c r="B45" s="35" t="s">
        <v>607</v>
      </c>
      <c r="C45" s="97"/>
      <c r="D45" s="97"/>
      <c r="E45" s="99"/>
      <c r="F45" s="97"/>
      <c r="G45" s="97"/>
      <c r="H45" s="97"/>
      <c r="I45" s="97"/>
      <c r="J45" s="97"/>
      <c r="K45" s="97"/>
      <c r="L45" s="97"/>
      <c r="M45" s="99"/>
      <c r="N45" s="99"/>
      <c r="O45" s="106"/>
      <c r="P45" s="99"/>
    </row>
    <row r="46" spans="1:17" ht="66" x14ac:dyDescent="0.35">
      <c r="A46" s="36" t="str">
        <f>_xlfn.XLOOKUP(B46,'Paso 3 Redacción RA '!I$3:I$11,'Paso 3 Redacción RA '!C$3:C$11,,0,1)</f>
        <v>Saberhacer</v>
      </c>
      <c r="B46" s="36" t="s">
        <v>606</v>
      </c>
      <c r="C46" s="96">
        <v>3</v>
      </c>
      <c r="D46" s="96" t="s">
        <v>657</v>
      </c>
      <c r="E46" s="98" t="s">
        <v>664</v>
      </c>
      <c r="F46" s="96" t="s">
        <v>627</v>
      </c>
      <c r="G46" s="96"/>
      <c r="H46" s="96" t="s">
        <v>632</v>
      </c>
      <c r="I46" s="100">
        <v>3</v>
      </c>
      <c r="J46" s="100">
        <f>I46*12</f>
        <v>36</v>
      </c>
      <c r="K46" s="100">
        <f>I46*36</f>
        <v>108</v>
      </c>
      <c r="L46" s="100">
        <f>SUM(J46:K48)</f>
        <v>144</v>
      </c>
      <c r="M46" s="98" t="s">
        <v>665</v>
      </c>
      <c r="N46" s="98" t="s">
        <v>671</v>
      </c>
      <c r="O46" s="104" t="s">
        <v>674</v>
      </c>
      <c r="P46" s="98" t="s">
        <v>99</v>
      </c>
    </row>
    <row r="47" spans="1:17" ht="99" x14ac:dyDescent="0.35">
      <c r="A47" s="5" t="str">
        <f>_xlfn.XLOOKUP(B47,'Paso 3 Redacción RA '!I$3:I$11,'Paso 3 Redacción RA '!C$3:C$11,,0,1)</f>
        <v>Saberhacer</v>
      </c>
      <c r="B47" s="5" t="s">
        <v>608</v>
      </c>
      <c r="C47" s="82"/>
      <c r="D47" s="82"/>
      <c r="E47" s="85"/>
      <c r="F47" s="82"/>
      <c r="G47" s="82"/>
      <c r="H47" s="82"/>
      <c r="I47" s="89"/>
      <c r="J47" s="89"/>
      <c r="K47" s="89"/>
      <c r="L47" s="89"/>
      <c r="M47" s="85"/>
      <c r="N47" s="85"/>
      <c r="O47" s="105"/>
      <c r="P47" s="85"/>
    </row>
    <row r="48" spans="1:17" ht="66.5" thickBot="1" x14ac:dyDescent="0.4">
      <c r="A48" s="35" t="str">
        <f>_xlfn.XLOOKUP(B48,'Paso 3 Redacción RA '!I$3:I$11,'Paso 3 Redacción RA '!C$3:C$11,,0,1)</f>
        <v>Saberhacer</v>
      </c>
      <c r="B48" s="35" t="s">
        <v>610</v>
      </c>
      <c r="C48" s="97"/>
      <c r="D48" s="97"/>
      <c r="E48" s="99"/>
      <c r="F48" s="97"/>
      <c r="G48" s="97"/>
      <c r="H48" s="97"/>
      <c r="I48" s="92"/>
      <c r="J48" s="92"/>
      <c r="K48" s="92"/>
      <c r="L48" s="92"/>
      <c r="M48" s="99"/>
      <c r="N48" s="99"/>
      <c r="O48" s="106"/>
      <c r="P48" s="99"/>
    </row>
    <row r="49" spans="1:17" ht="17" thickBot="1" x14ac:dyDescent="0.4">
      <c r="A49" s="74"/>
      <c r="B49" s="74"/>
      <c r="C49" s="75">
        <v>3</v>
      </c>
      <c r="D49" s="75" t="s">
        <v>658</v>
      </c>
      <c r="E49" s="76"/>
      <c r="F49" s="75"/>
      <c r="G49" s="75"/>
      <c r="H49" s="75" t="s">
        <v>632</v>
      </c>
      <c r="I49" s="77">
        <v>2</v>
      </c>
      <c r="J49" s="77">
        <f>I49*12</f>
        <v>24</v>
      </c>
      <c r="K49" s="77">
        <f>I49*36</f>
        <v>72</v>
      </c>
      <c r="L49" s="77">
        <f>SUM(J49:K49)</f>
        <v>96</v>
      </c>
      <c r="M49" s="76"/>
      <c r="N49" s="76"/>
      <c r="O49" s="78"/>
      <c r="P49" s="76"/>
    </row>
    <row r="50" spans="1:17" ht="82.5" x14ac:dyDescent="0.35">
      <c r="A50" s="36" t="str">
        <f>_xlfn.XLOOKUP(B50,'Paso 3 Redacción RA '!I$3:I$11,'Paso 3 Redacción RA '!C$3:C$11,,0,1)</f>
        <v>Saber</v>
      </c>
      <c r="B50" s="36" t="s">
        <v>609</v>
      </c>
      <c r="C50" s="96">
        <v>3</v>
      </c>
      <c r="D50" s="96" t="s">
        <v>659</v>
      </c>
      <c r="E50" s="98" t="s">
        <v>666</v>
      </c>
      <c r="F50" s="96" t="s">
        <v>627</v>
      </c>
      <c r="G50" s="96"/>
      <c r="H50" s="96" t="s">
        <v>632</v>
      </c>
      <c r="I50" s="100">
        <v>3</v>
      </c>
      <c r="J50" s="100">
        <f>I50*12</f>
        <v>36</v>
      </c>
      <c r="K50" s="100">
        <f>I50*36</f>
        <v>108</v>
      </c>
      <c r="L50" s="100">
        <f>SUM(J50:K50)</f>
        <v>144</v>
      </c>
      <c r="M50" s="98" t="s">
        <v>669</v>
      </c>
      <c r="N50" s="98" t="s">
        <v>671</v>
      </c>
      <c r="O50" s="104" t="s">
        <v>674</v>
      </c>
      <c r="P50" s="98" t="s">
        <v>99</v>
      </c>
    </row>
    <row r="51" spans="1:17" ht="99" x14ac:dyDescent="0.35">
      <c r="A51" s="5" t="str">
        <f>_xlfn.XLOOKUP(B51,'Paso 3 Redacción RA '!I$3:I$11,'Paso 3 Redacción RA '!C$3:C$11,,0,1)</f>
        <v>Saberhacer</v>
      </c>
      <c r="B51" s="5" t="s">
        <v>608</v>
      </c>
      <c r="C51" s="82"/>
      <c r="D51" s="82"/>
      <c r="E51" s="85"/>
      <c r="F51" s="82"/>
      <c r="G51" s="82"/>
      <c r="H51" s="82"/>
      <c r="I51" s="89"/>
      <c r="J51" s="89"/>
      <c r="K51" s="89"/>
      <c r="L51" s="89"/>
      <c r="M51" s="85"/>
      <c r="N51" s="85"/>
      <c r="O51" s="105"/>
      <c r="P51" s="85"/>
    </row>
    <row r="52" spans="1:17" ht="66.5" thickBot="1" x14ac:dyDescent="0.4">
      <c r="A52" s="35" t="str">
        <f>_xlfn.XLOOKUP(B52,'Paso 3 Redacción RA '!I$3:I$11,'Paso 3 Redacción RA '!C$3:C$11,,0,1)</f>
        <v>Saberhacer</v>
      </c>
      <c r="B52" s="35" t="s">
        <v>610</v>
      </c>
      <c r="C52" s="97"/>
      <c r="D52" s="97"/>
      <c r="E52" s="99"/>
      <c r="F52" s="97"/>
      <c r="G52" s="97"/>
      <c r="H52" s="97"/>
      <c r="I52" s="92"/>
      <c r="J52" s="92"/>
      <c r="K52" s="92"/>
      <c r="L52" s="92"/>
      <c r="M52" s="99"/>
      <c r="N52" s="99"/>
      <c r="O52" s="106"/>
      <c r="P52" s="99"/>
    </row>
    <row r="53" spans="1:17" ht="99" x14ac:dyDescent="0.35">
      <c r="A53" s="36" t="str">
        <f>_xlfn.XLOOKUP(B53,'Paso 3 Redacción RA '!I$3:I$11,'Paso 3 Redacción RA '!C$3:C$11,,0,1)</f>
        <v>Saberhacer</v>
      </c>
      <c r="B53" s="5" t="s">
        <v>608</v>
      </c>
      <c r="C53" s="96">
        <v>3</v>
      </c>
      <c r="D53" s="96" t="s">
        <v>660</v>
      </c>
      <c r="E53" s="98" t="s">
        <v>667</v>
      </c>
      <c r="F53" s="96" t="s">
        <v>668</v>
      </c>
      <c r="G53" s="96"/>
      <c r="H53" s="96" t="s">
        <v>632</v>
      </c>
      <c r="I53" s="100">
        <v>3</v>
      </c>
      <c r="J53" s="100">
        <f>I53*12</f>
        <v>36</v>
      </c>
      <c r="K53" s="100">
        <f>I53*36</f>
        <v>108</v>
      </c>
      <c r="L53" s="100">
        <f>SUM(J53:K53)</f>
        <v>144</v>
      </c>
      <c r="M53" s="98" t="s">
        <v>670</v>
      </c>
      <c r="N53" s="98" t="s">
        <v>671</v>
      </c>
      <c r="O53" s="104" t="s">
        <v>675</v>
      </c>
      <c r="P53" s="98" t="s">
        <v>99</v>
      </c>
    </row>
    <row r="54" spans="1:17" ht="66" x14ac:dyDescent="0.35">
      <c r="A54" s="5" t="str">
        <f>_xlfn.XLOOKUP(B54,'Paso 3 Redacción RA '!I$3:I$11,'Paso 3 Redacción RA '!C$3:C$11,,0,1)</f>
        <v>Saberhacer</v>
      </c>
      <c r="B54" s="5" t="s">
        <v>610</v>
      </c>
      <c r="C54" s="82"/>
      <c r="D54" s="82"/>
      <c r="E54" s="85"/>
      <c r="F54" s="82"/>
      <c r="G54" s="82"/>
      <c r="H54" s="82"/>
      <c r="I54" s="89"/>
      <c r="J54" s="89"/>
      <c r="K54" s="89"/>
      <c r="L54" s="89"/>
      <c r="M54" s="85"/>
      <c r="N54" s="85"/>
      <c r="O54" s="105"/>
      <c r="P54" s="85"/>
    </row>
    <row r="55" spans="1:17" ht="66.5" thickBot="1" x14ac:dyDescent="0.4">
      <c r="A55" s="35" t="str">
        <f>_xlfn.XLOOKUP(B55,'Paso 3 Redacción RA '!I$3:I$11,'Paso 3 Redacción RA '!C$3:C$11,,0,1)</f>
        <v>Saberser</v>
      </c>
      <c r="B55" s="35" t="s">
        <v>607</v>
      </c>
      <c r="C55" s="97" t="s">
        <v>102</v>
      </c>
      <c r="D55" s="97"/>
      <c r="E55" s="99"/>
      <c r="F55" s="97"/>
      <c r="G55" s="97"/>
      <c r="H55" s="97"/>
      <c r="I55" s="92"/>
      <c r="J55" s="92"/>
      <c r="K55" s="92"/>
      <c r="L55" s="92"/>
      <c r="M55" s="99"/>
      <c r="N55" s="99"/>
      <c r="O55" s="106"/>
      <c r="P55" s="99"/>
      <c r="Q55" s="5">
        <f>SUM(I43:I55)</f>
        <v>14</v>
      </c>
    </row>
    <row r="56" spans="1:17" ht="33" x14ac:dyDescent="0.35">
      <c r="C56" s="40" t="s">
        <v>103</v>
      </c>
      <c r="D56" s="7">
        <f>COUNTA(D3:D55)</f>
        <v>15</v>
      </c>
      <c r="H56" s="40" t="s">
        <v>104</v>
      </c>
      <c r="I56" s="7">
        <f>SUM(I3:I55)</f>
        <v>42</v>
      </c>
      <c r="Q56" s="5">
        <f>SUM(Q3:Q55)</f>
        <v>42</v>
      </c>
    </row>
    <row r="57" spans="1:17" ht="33" x14ac:dyDescent="0.35">
      <c r="H57" s="34" t="s">
        <v>105</v>
      </c>
      <c r="I57" s="7">
        <f>SUM(I37,I31,I27,I21,I17,I11)</f>
        <v>15</v>
      </c>
    </row>
    <row r="58" spans="1:17" ht="33" x14ac:dyDescent="0.35">
      <c r="H58" s="34" t="s">
        <v>106</v>
      </c>
      <c r="I58" s="7">
        <f>SUM(I53,I50,I49,I46,I43,I32,I24,I6,I3)</f>
        <v>27</v>
      </c>
    </row>
  </sheetData>
  <mergeCells count="183">
    <mergeCell ref="L53:L55"/>
    <mergeCell ref="M53:M55"/>
    <mergeCell ref="N53:N55"/>
    <mergeCell ref="O53:O55"/>
    <mergeCell ref="P53:P55"/>
    <mergeCell ref="C50:C52"/>
    <mergeCell ref="D50:D52"/>
    <mergeCell ref="E50:E52"/>
    <mergeCell ref="F50:F52"/>
    <mergeCell ref="G50:G52"/>
    <mergeCell ref="C53:C55"/>
    <mergeCell ref="D53:D55"/>
    <mergeCell ref="E53:E55"/>
    <mergeCell ref="F53:F55"/>
    <mergeCell ref="G53:G55"/>
    <mergeCell ref="H53:H55"/>
    <mergeCell ref="I53:I55"/>
    <mergeCell ref="J53:J55"/>
    <mergeCell ref="K53:K55"/>
    <mergeCell ref="H50:H52"/>
    <mergeCell ref="I50:I52"/>
    <mergeCell ref="J50:J52"/>
    <mergeCell ref="K50:K52"/>
    <mergeCell ref="L50:L52"/>
    <mergeCell ref="M50:M52"/>
    <mergeCell ref="N50:N52"/>
    <mergeCell ref="O50:O52"/>
    <mergeCell ref="P50:P52"/>
    <mergeCell ref="L46:L48"/>
    <mergeCell ref="M46:M48"/>
    <mergeCell ref="N46:N48"/>
    <mergeCell ref="O46:O48"/>
    <mergeCell ref="P46:P48"/>
    <mergeCell ref="C46:C48"/>
    <mergeCell ref="D46:D48"/>
    <mergeCell ref="E46:E48"/>
    <mergeCell ref="F46:F48"/>
    <mergeCell ref="G46:G48"/>
    <mergeCell ref="H46:H48"/>
    <mergeCell ref="I46:I48"/>
    <mergeCell ref="J46:J48"/>
    <mergeCell ref="K46:K48"/>
    <mergeCell ref="L43:L45"/>
    <mergeCell ref="M43:M45"/>
    <mergeCell ref="N43:N45"/>
    <mergeCell ref="O43:O45"/>
    <mergeCell ref="P43:P45"/>
    <mergeCell ref="C37:C42"/>
    <mergeCell ref="D37:D42"/>
    <mergeCell ref="E37:E42"/>
    <mergeCell ref="F37:F42"/>
    <mergeCell ref="G37:G42"/>
    <mergeCell ref="C43:C45"/>
    <mergeCell ref="D43:D45"/>
    <mergeCell ref="E43:E45"/>
    <mergeCell ref="F43:F45"/>
    <mergeCell ref="G43:G45"/>
    <mergeCell ref="H43:H45"/>
    <mergeCell ref="I43:I45"/>
    <mergeCell ref="J43:J45"/>
    <mergeCell ref="K43:K45"/>
    <mergeCell ref="H37:H42"/>
    <mergeCell ref="I37:I42"/>
    <mergeCell ref="J37:J42"/>
    <mergeCell ref="K37:K42"/>
    <mergeCell ref="O21:O23"/>
    <mergeCell ref="P21:P23"/>
    <mergeCell ref="N21:N23"/>
    <mergeCell ref="O27:O30"/>
    <mergeCell ref="P27:P30"/>
    <mergeCell ref="L37:L42"/>
    <mergeCell ref="M37:M42"/>
    <mergeCell ref="N37:N42"/>
    <mergeCell ref="O37:O42"/>
    <mergeCell ref="P37:P42"/>
    <mergeCell ref="P17:P20"/>
    <mergeCell ref="O11:O16"/>
    <mergeCell ref="P11:P16"/>
    <mergeCell ref="P6:P10"/>
    <mergeCell ref="P3:P5"/>
    <mergeCell ref="N6:N10"/>
    <mergeCell ref="M6:M10"/>
    <mergeCell ref="O6:O10"/>
    <mergeCell ref="O3:O5"/>
    <mergeCell ref="C3:C5"/>
    <mergeCell ref="D3:D5"/>
    <mergeCell ref="E3:E5"/>
    <mergeCell ref="G3:G5"/>
    <mergeCell ref="H3:H5"/>
    <mergeCell ref="I3:I5"/>
    <mergeCell ref="N3:N5"/>
    <mergeCell ref="M3:M5"/>
    <mergeCell ref="L11:L16"/>
    <mergeCell ref="M11:M16"/>
    <mergeCell ref="J3:J5"/>
    <mergeCell ref="K3:K5"/>
    <mergeCell ref="L3:L5"/>
    <mergeCell ref="J6:J10"/>
    <mergeCell ref="K6:K10"/>
    <mergeCell ref="F6:F10"/>
    <mergeCell ref="F11:F16"/>
    <mergeCell ref="C17:C20"/>
    <mergeCell ref="D17:D20"/>
    <mergeCell ref="E17:E20"/>
    <mergeCell ref="G17:G20"/>
    <mergeCell ref="N11:N16"/>
    <mergeCell ref="N17:N20"/>
    <mergeCell ref="F3:F5"/>
    <mergeCell ref="G1:H1"/>
    <mergeCell ref="O17:O20"/>
    <mergeCell ref="L6:L10"/>
    <mergeCell ref="C6:C10"/>
    <mergeCell ref="D6:D10"/>
    <mergeCell ref="E6:E10"/>
    <mergeCell ref="G6:G10"/>
    <mergeCell ref="C11:C16"/>
    <mergeCell ref="D11:D16"/>
    <mergeCell ref="E11:E16"/>
    <mergeCell ref="G11:G16"/>
    <mergeCell ref="H11:H16"/>
    <mergeCell ref="I11:I16"/>
    <mergeCell ref="J11:J16"/>
    <mergeCell ref="K11:K16"/>
    <mergeCell ref="H6:H10"/>
    <mergeCell ref="I6:I10"/>
    <mergeCell ref="F17:F20"/>
    <mergeCell ref="F32:F36"/>
    <mergeCell ref="L32:L36"/>
    <mergeCell ref="K32:K36"/>
    <mergeCell ref="J32:J36"/>
    <mergeCell ref="G27:G30"/>
    <mergeCell ref="H27:H30"/>
    <mergeCell ref="I27:I30"/>
    <mergeCell ref="J27:J30"/>
    <mergeCell ref="M17:M20"/>
    <mergeCell ref="L17:L20"/>
    <mergeCell ref="K17:K20"/>
    <mergeCell ref="J17:J20"/>
    <mergeCell ref="I17:I20"/>
    <mergeCell ref="H17:H20"/>
    <mergeCell ref="L21:L23"/>
    <mergeCell ref="M21:M23"/>
    <mergeCell ref="K27:K30"/>
    <mergeCell ref="L27:L30"/>
    <mergeCell ref="M27:M30"/>
    <mergeCell ref="D32:D36"/>
    <mergeCell ref="I32:I36"/>
    <mergeCell ref="P32:P36"/>
    <mergeCell ref="O32:O36"/>
    <mergeCell ref="N32:N36"/>
    <mergeCell ref="C24:C26"/>
    <mergeCell ref="D24:D26"/>
    <mergeCell ref="E24:E26"/>
    <mergeCell ref="G24:G26"/>
    <mergeCell ref="H24:H26"/>
    <mergeCell ref="I24:I26"/>
    <mergeCell ref="J24:J26"/>
    <mergeCell ref="K24:K26"/>
    <mergeCell ref="L24:L26"/>
    <mergeCell ref="M24:M26"/>
    <mergeCell ref="N24:N26"/>
    <mergeCell ref="C32:C36"/>
    <mergeCell ref="N27:N30"/>
    <mergeCell ref="G32:G36"/>
    <mergeCell ref="H32:H36"/>
    <mergeCell ref="M32:M36"/>
    <mergeCell ref="E32:E36"/>
    <mergeCell ref="O24:O26"/>
    <mergeCell ref="P24:P26"/>
    <mergeCell ref="C21:C23"/>
    <mergeCell ref="D21:D23"/>
    <mergeCell ref="E21:E23"/>
    <mergeCell ref="G21:G23"/>
    <mergeCell ref="H21:H23"/>
    <mergeCell ref="I21:I23"/>
    <mergeCell ref="J21:J23"/>
    <mergeCell ref="K21:K23"/>
    <mergeCell ref="C27:C30"/>
    <mergeCell ref="D27:D30"/>
    <mergeCell ref="E27:E30"/>
    <mergeCell ref="F21:F23"/>
    <mergeCell ref="F24:F26"/>
    <mergeCell ref="F27:F30"/>
  </mergeCells>
  <dataValidations count="1">
    <dataValidation type="list" allowBlank="1" showInputMessage="1" showErrorMessage="1" sqref="B3:B69"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8"/>
  <sheetViews>
    <sheetView workbookViewId="0">
      <selection activeCell="B39" sqref="B39"/>
    </sheetView>
  </sheetViews>
  <sheetFormatPr baseColWidth="10" defaultColWidth="11.453125" defaultRowHeight="14.5" x14ac:dyDescent="0.35"/>
  <cols>
    <col min="2" max="2" width="27.1796875" customWidth="1"/>
    <col min="4" max="4" width="99.26953125" customWidth="1"/>
  </cols>
  <sheetData>
    <row r="1" spans="2:4" ht="30.5" x14ac:dyDescent="0.5">
      <c r="B1" s="1" t="s">
        <v>107</v>
      </c>
      <c r="D1" s="27" t="s">
        <v>108</v>
      </c>
    </row>
    <row r="2" spans="2:4" ht="16.5" x14ac:dyDescent="0.5">
      <c r="B2" s="1" t="s">
        <v>109</v>
      </c>
    </row>
    <row r="3" spans="2:4" ht="16.5" x14ac:dyDescent="0.5">
      <c r="B3" s="1" t="s">
        <v>110</v>
      </c>
    </row>
    <row r="4" spans="2:4" ht="16.5" x14ac:dyDescent="0.5">
      <c r="B4" s="1" t="s">
        <v>111</v>
      </c>
    </row>
    <row r="5" spans="2:4" ht="16.5" x14ac:dyDescent="0.5">
      <c r="B5" s="1" t="s">
        <v>112</v>
      </c>
    </row>
    <row r="6" spans="2:4" ht="16.5" x14ac:dyDescent="0.5">
      <c r="B6" s="1" t="s">
        <v>113</v>
      </c>
    </row>
    <row r="7" spans="2:4" ht="16.5" x14ac:dyDescent="0.5">
      <c r="B7" s="1" t="s">
        <v>114</v>
      </c>
    </row>
    <row r="8" spans="2:4" ht="16.5" x14ac:dyDescent="0.5">
      <c r="B8" s="1" t="s">
        <v>115</v>
      </c>
    </row>
    <row r="9" spans="2:4" ht="16.5" x14ac:dyDescent="0.5">
      <c r="B9" s="1" t="s">
        <v>116</v>
      </c>
    </row>
    <row r="10" spans="2:4" ht="16.5" x14ac:dyDescent="0.5">
      <c r="B10" s="1" t="s">
        <v>117</v>
      </c>
    </row>
    <row r="11" spans="2:4" ht="16.5" x14ac:dyDescent="0.5">
      <c r="B11" s="1" t="s">
        <v>118</v>
      </c>
    </row>
    <row r="12" spans="2:4" ht="16.5" x14ac:dyDescent="0.5">
      <c r="B12" s="1" t="s">
        <v>119</v>
      </c>
    </row>
    <row r="13" spans="2:4" ht="16.5" x14ac:dyDescent="0.5">
      <c r="B13" s="1" t="s">
        <v>120</v>
      </c>
    </row>
    <row r="14" spans="2:4" ht="16.5" x14ac:dyDescent="0.5">
      <c r="B14" s="1" t="s">
        <v>121</v>
      </c>
    </row>
    <row r="15" spans="2:4" ht="16.5" x14ac:dyDescent="0.5">
      <c r="B15" s="1" t="s">
        <v>122</v>
      </c>
    </row>
    <row r="16" spans="2:4" ht="16.5" x14ac:dyDescent="0.5">
      <c r="B16" s="1" t="s">
        <v>123</v>
      </c>
    </row>
    <row r="17" spans="2:2" ht="16.5" x14ac:dyDescent="0.5">
      <c r="B17" s="1" t="s">
        <v>124</v>
      </c>
    </row>
    <row r="18" spans="2:2" ht="16.5" x14ac:dyDescent="0.5">
      <c r="B18" s="1" t="s">
        <v>125</v>
      </c>
    </row>
    <row r="19" spans="2:2" ht="16.5" x14ac:dyDescent="0.5">
      <c r="B19" s="1" t="s">
        <v>126</v>
      </c>
    </row>
    <row r="20" spans="2:2" ht="16.5" x14ac:dyDescent="0.5">
      <c r="B20" s="1" t="s">
        <v>127</v>
      </c>
    </row>
    <row r="21" spans="2:2" ht="16.5" x14ac:dyDescent="0.5">
      <c r="B21" s="1" t="s">
        <v>128</v>
      </c>
    </row>
    <row r="22" spans="2:2" ht="16.5" x14ac:dyDescent="0.5">
      <c r="B22" s="1" t="s">
        <v>129</v>
      </c>
    </row>
    <row r="23" spans="2:2" ht="16.5" x14ac:dyDescent="0.5">
      <c r="B23" s="1" t="s">
        <v>130</v>
      </c>
    </row>
    <row r="24" spans="2:2" ht="16.5" x14ac:dyDescent="0.5">
      <c r="B24" s="1" t="s">
        <v>131</v>
      </c>
    </row>
    <row r="25" spans="2:2" ht="16.5" x14ac:dyDescent="0.5">
      <c r="B25" s="1" t="s">
        <v>132</v>
      </c>
    </row>
    <row r="26" spans="2:2" ht="16.5" x14ac:dyDescent="0.5">
      <c r="B26" s="1" t="s">
        <v>133</v>
      </c>
    </row>
    <row r="27" spans="2:2" ht="16.5" x14ac:dyDescent="0.5">
      <c r="B27" s="1" t="s">
        <v>134</v>
      </c>
    </row>
    <row r="28" spans="2:2" ht="16.5" x14ac:dyDescent="0.5">
      <c r="B28" s="1" t="s">
        <v>135</v>
      </c>
    </row>
    <row r="29" spans="2:2" ht="16.5" x14ac:dyDescent="0.5">
      <c r="B29" s="1" t="s">
        <v>136</v>
      </c>
    </row>
    <row r="30" spans="2:2" ht="16.5" x14ac:dyDescent="0.5">
      <c r="B30" s="1" t="s">
        <v>137</v>
      </c>
    </row>
    <row r="31" spans="2:2" ht="16.5" x14ac:dyDescent="0.5">
      <c r="B31" s="1" t="s">
        <v>138</v>
      </c>
    </row>
    <row r="32" spans="2:2" ht="16.5" x14ac:dyDescent="0.5">
      <c r="B32" s="1" t="s">
        <v>139</v>
      </c>
    </row>
    <row r="33" spans="2:2" ht="16.5" x14ac:dyDescent="0.5">
      <c r="B33" s="1" t="s">
        <v>140</v>
      </c>
    </row>
    <row r="34" spans="2:2" ht="16.5" x14ac:dyDescent="0.5">
      <c r="B34" s="1" t="s">
        <v>141</v>
      </c>
    </row>
    <row r="35" spans="2:2" ht="16.5" x14ac:dyDescent="0.5">
      <c r="B35" s="1" t="s">
        <v>142</v>
      </c>
    </row>
    <row r="36" spans="2:2" ht="16.5" x14ac:dyDescent="0.5">
      <c r="B36" s="1" t="s">
        <v>143</v>
      </c>
    </row>
    <row r="37" spans="2:2" ht="16.5" x14ac:dyDescent="0.5">
      <c r="B37" s="1" t="s">
        <v>144</v>
      </c>
    </row>
    <row r="38" spans="2:2" ht="16.5" x14ac:dyDescent="0.5">
      <c r="B38" s="1" t="s">
        <v>218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V47" zoomScale="66" workbookViewId="0">
      <selection activeCell="AB71" sqref="AB71"/>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2.81640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33" width="17.453125" style="1" customWidth="1"/>
    <col min="34" max="36" width="13.1796875" style="1" customWidth="1"/>
    <col min="37" max="37" width="14.54296875" style="1" customWidth="1"/>
    <col min="38" max="38" width="23.1796875" style="1" bestFit="1" customWidth="1"/>
    <col min="39" max="39" width="18" style="1" customWidth="1"/>
    <col min="40" max="40" width="20.453125" style="1" bestFit="1" customWidth="1"/>
    <col min="41" max="41" width="21.81640625" style="1" bestFit="1" customWidth="1"/>
    <col min="42" max="42" width="17.453125" style="1" bestFit="1" customWidth="1"/>
    <col min="43" max="43" width="18.54296875" style="1" bestFit="1" customWidth="1"/>
    <col min="44" max="44" width="16.7265625" style="1" customWidth="1"/>
    <col min="45" max="45" width="26.54296875" style="1" bestFit="1" customWidth="1"/>
    <col min="46" max="46" width="21.5429687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26953125" style="1" bestFit="1" customWidth="1"/>
    <col min="52" max="52" width="32.1796875" style="1" bestFit="1" customWidth="1"/>
    <col min="53" max="53" width="13.26953125" style="1" customWidth="1"/>
    <col min="54" max="54" width="23.81640625" style="1" customWidth="1"/>
    <col min="55" max="55" width="22.54296875" style="1" customWidth="1"/>
    <col min="56" max="56" width="21.453125" style="1" customWidth="1"/>
    <col min="57" max="57" width="25" style="1" customWidth="1"/>
    <col min="58" max="58" width="24.7265625" style="1" customWidth="1"/>
    <col min="59" max="59" width="22.7265625" style="1" customWidth="1"/>
    <col min="60" max="63" width="13.26953125" style="1" customWidth="1"/>
    <col min="64" max="16384" width="11.453125" style="1"/>
  </cols>
  <sheetData>
    <row r="1" spans="1:63" x14ac:dyDescent="0.5">
      <c r="S1" s="119" t="s">
        <v>145</v>
      </c>
      <c r="T1" s="119"/>
      <c r="U1" s="119"/>
      <c r="V1" s="119"/>
      <c r="W1" s="119"/>
      <c r="X1" s="119"/>
      <c r="Y1" s="119"/>
      <c r="Z1" s="119"/>
      <c r="AA1" s="119"/>
      <c r="AB1" s="119"/>
      <c r="AC1" s="119"/>
      <c r="AD1" s="119"/>
      <c r="AE1" s="119"/>
      <c r="AF1" s="119"/>
      <c r="AG1" s="119"/>
      <c r="AH1" s="9"/>
      <c r="AI1" s="9"/>
      <c r="AJ1" s="9"/>
      <c r="AL1" s="119" t="s">
        <v>146</v>
      </c>
      <c r="AM1" s="119"/>
      <c r="AN1" s="119"/>
      <c r="AO1" s="119"/>
      <c r="AP1" s="119"/>
      <c r="AQ1" s="119"/>
      <c r="AR1" s="119"/>
      <c r="AS1" s="119"/>
      <c r="AT1" s="119"/>
      <c r="AU1" s="119"/>
      <c r="AV1" s="119"/>
      <c r="AW1" s="119"/>
      <c r="AX1" s="119"/>
      <c r="AY1" s="119"/>
      <c r="AZ1" s="119"/>
      <c r="BA1" s="9"/>
      <c r="BB1" s="119" t="s">
        <v>147</v>
      </c>
      <c r="BC1" s="119"/>
      <c r="BD1" s="119"/>
      <c r="BE1" s="119"/>
      <c r="BF1" s="119"/>
      <c r="BG1" s="119"/>
      <c r="BH1" s="9"/>
      <c r="BK1" s="9"/>
    </row>
    <row r="2" spans="1:63" x14ac:dyDescent="0.5">
      <c r="L2" s="119" t="s">
        <v>148</v>
      </c>
      <c r="M2" s="119"/>
      <c r="N2" s="119"/>
      <c r="O2" s="119"/>
      <c r="P2" s="119"/>
      <c r="Q2" s="119"/>
      <c r="S2" s="120" t="s">
        <v>149</v>
      </c>
      <c r="T2" s="120"/>
      <c r="U2" s="120"/>
      <c r="V2" s="120"/>
      <c r="W2" s="120"/>
      <c r="X2" s="120"/>
      <c r="Y2" s="120" t="s">
        <v>150</v>
      </c>
      <c r="Z2" s="120"/>
      <c r="AA2" s="120"/>
      <c r="AB2" s="120"/>
      <c r="AC2" s="120" t="s">
        <v>151</v>
      </c>
      <c r="AD2" s="120"/>
      <c r="AE2" s="120"/>
      <c r="AF2" s="120"/>
      <c r="AG2" s="120"/>
      <c r="AH2" s="9"/>
      <c r="AI2" s="9"/>
      <c r="AJ2" s="9"/>
      <c r="AL2" s="119"/>
      <c r="AM2" s="119"/>
      <c r="AN2" s="119"/>
      <c r="AO2" s="119"/>
      <c r="AP2" s="119"/>
      <c r="AQ2" s="119"/>
      <c r="AR2" s="9"/>
      <c r="AS2" s="9"/>
      <c r="AT2" s="9"/>
      <c r="AU2" s="9"/>
      <c r="AV2" s="9"/>
      <c r="AW2" s="9"/>
      <c r="AX2" s="9"/>
      <c r="AY2" s="9"/>
      <c r="AZ2" s="9"/>
      <c r="BA2" s="9"/>
      <c r="BB2" s="9"/>
      <c r="BC2" s="9"/>
      <c r="BD2" s="9"/>
      <c r="BE2" s="9"/>
      <c r="BF2" s="9"/>
      <c r="BG2" s="9"/>
      <c r="BH2" s="9"/>
      <c r="BK2" s="9"/>
    </row>
    <row r="3" spans="1:63" x14ac:dyDescent="0.5">
      <c r="A3" s="1" t="s">
        <v>152</v>
      </c>
      <c r="C3" s="1" t="s">
        <v>153</v>
      </c>
      <c r="D3" s="1" t="s">
        <v>154</v>
      </c>
      <c r="E3" s="1" t="s">
        <v>155</v>
      </c>
      <c r="G3" s="1" t="s">
        <v>156</v>
      </c>
      <c r="H3" s="1" t="s">
        <v>157</v>
      </c>
      <c r="I3" s="1" t="s">
        <v>158</v>
      </c>
      <c r="L3" s="1" t="s">
        <v>159</v>
      </c>
      <c r="M3" s="1" t="s">
        <v>160</v>
      </c>
      <c r="N3" s="1" t="s">
        <v>161</v>
      </c>
      <c r="O3" s="1" t="s">
        <v>162</v>
      </c>
      <c r="P3" s="1" t="s">
        <v>163</v>
      </c>
      <c r="Q3" s="1" t="s">
        <v>164</v>
      </c>
      <c r="S3" s="1" t="s">
        <v>165</v>
      </c>
      <c r="T3" s="1" t="s">
        <v>166</v>
      </c>
      <c r="U3" s="1" t="s">
        <v>167</v>
      </c>
      <c r="V3" s="1" t="s">
        <v>168</v>
      </c>
      <c r="W3" s="1" t="s">
        <v>169</v>
      </c>
      <c r="X3" s="1" t="s">
        <v>170</v>
      </c>
      <c r="Y3" s="1" t="s">
        <v>171</v>
      </c>
      <c r="Z3" s="1" t="s">
        <v>172</v>
      </c>
      <c r="AA3" s="1" t="s">
        <v>173</v>
      </c>
      <c r="AB3" s="1" t="s">
        <v>174</v>
      </c>
      <c r="AC3" s="1" t="s">
        <v>175</v>
      </c>
      <c r="AD3" s="1" t="s">
        <v>176</v>
      </c>
      <c r="AE3" s="1" t="s">
        <v>177</v>
      </c>
      <c r="AF3" s="1" t="s">
        <v>178</v>
      </c>
      <c r="AG3" s="1" t="s">
        <v>179</v>
      </c>
      <c r="AL3" s="116" t="s">
        <v>180</v>
      </c>
      <c r="AM3" s="117"/>
      <c r="AN3" s="117"/>
      <c r="AO3" s="116" t="s">
        <v>181</v>
      </c>
      <c r="AP3" s="117"/>
      <c r="AQ3" s="117"/>
      <c r="AR3" s="116" t="s">
        <v>182</v>
      </c>
      <c r="AS3" s="117"/>
      <c r="AT3" s="117"/>
      <c r="AU3" s="118"/>
      <c r="AV3" s="116" t="s">
        <v>183</v>
      </c>
      <c r="AW3" s="117"/>
      <c r="AX3" s="117"/>
      <c r="AY3" s="117"/>
      <c r="AZ3" s="118"/>
      <c r="BA3" s="10"/>
      <c r="BB3" s="10"/>
      <c r="BC3" s="10"/>
      <c r="BD3" s="10"/>
      <c r="BE3" s="10"/>
      <c r="BF3" s="10"/>
      <c r="BG3" s="10"/>
      <c r="BH3" s="10"/>
      <c r="BK3" s="10"/>
    </row>
    <row r="4" spans="1:63" x14ac:dyDescent="0.5">
      <c r="A4" s="1" t="s">
        <v>184</v>
      </c>
      <c r="C4" s="1" t="s">
        <v>185</v>
      </c>
      <c r="D4" s="1" t="s">
        <v>186</v>
      </c>
      <c r="E4" s="1" t="s">
        <v>187</v>
      </c>
      <c r="G4" s="1" t="s">
        <v>159</v>
      </c>
      <c r="H4" s="1" t="s">
        <v>159</v>
      </c>
      <c r="I4" s="1" t="s">
        <v>159</v>
      </c>
      <c r="L4" s="1" t="s">
        <v>188</v>
      </c>
      <c r="M4" s="1" t="s">
        <v>114</v>
      </c>
      <c r="N4" s="1" t="s">
        <v>111</v>
      </c>
      <c r="O4" s="1" t="s">
        <v>189</v>
      </c>
      <c r="P4" s="1" t="s">
        <v>190</v>
      </c>
      <c r="Q4" s="1" t="s">
        <v>191</v>
      </c>
      <c r="S4" s="1" t="s">
        <v>188</v>
      </c>
      <c r="T4" s="1" t="s">
        <v>114</v>
      </c>
      <c r="U4" s="1" t="s">
        <v>111</v>
      </c>
      <c r="V4" s="1" t="s">
        <v>189</v>
      </c>
      <c r="W4" s="1" t="s">
        <v>190</v>
      </c>
      <c r="X4" s="1" t="s">
        <v>191</v>
      </c>
      <c r="Y4" s="1" t="s">
        <v>192</v>
      </c>
      <c r="Z4" s="1" t="s">
        <v>193</v>
      </c>
      <c r="AA4" s="1" t="s">
        <v>194</v>
      </c>
      <c r="AB4" s="1" t="s">
        <v>195</v>
      </c>
      <c r="AC4" s="1" t="s">
        <v>130</v>
      </c>
      <c r="AD4" s="1" t="s">
        <v>196</v>
      </c>
      <c r="AE4" s="1" t="s">
        <v>197</v>
      </c>
      <c r="AF4" s="1" t="s">
        <v>198</v>
      </c>
      <c r="AG4" s="1" t="s">
        <v>199</v>
      </c>
      <c r="AL4" s="11" t="s">
        <v>200</v>
      </c>
      <c r="AM4" s="11" t="s">
        <v>201</v>
      </c>
      <c r="AN4" s="11" t="s">
        <v>202</v>
      </c>
      <c r="AO4" s="11" t="s">
        <v>203</v>
      </c>
      <c r="AP4" s="12" t="s">
        <v>204</v>
      </c>
      <c r="AQ4" s="11" t="s">
        <v>205</v>
      </c>
      <c r="AR4" s="1" t="s">
        <v>171</v>
      </c>
      <c r="AS4" s="1" t="s">
        <v>172</v>
      </c>
      <c r="AT4" s="1" t="s">
        <v>173</v>
      </c>
      <c r="AU4" s="1" t="s">
        <v>174</v>
      </c>
      <c r="AV4" s="1" t="s">
        <v>175</v>
      </c>
      <c r="AW4" s="1" t="s">
        <v>176</v>
      </c>
      <c r="AX4" s="1" t="s">
        <v>177</v>
      </c>
      <c r="AY4" s="1" t="s">
        <v>178</v>
      </c>
      <c r="AZ4" s="1" t="s">
        <v>179</v>
      </c>
      <c r="BA4" s="10"/>
      <c r="BB4" s="1" t="s">
        <v>206</v>
      </c>
      <c r="BC4" s="1" t="s">
        <v>207</v>
      </c>
      <c r="BD4" s="1" t="s">
        <v>208</v>
      </c>
      <c r="BE4" s="1" t="s">
        <v>209</v>
      </c>
      <c r="BF4" s="1" t="s">
        <v>210</v>
      </c>
      <c r="BG4" s="1" t="s">
        <v>211</v>
      </c>
      <c r="BH4" s="10"/>
      <c r="BK4" s="10"/>
    </row>
    <row r="5" spans="1:63" x14ac:dyDescent="0.5">
      <c r="A5" s="1" t="s">
        <v>153</v>
      </c>
      <c r="C5" s="1" t="s">
        <v>212</v>
      </c>
      <c r="D5" s="1" t="s">
        <v>213</v>
      </c>
      <c r="E5" s="1" t="s">
        <v>214</v>
      </c>
      <c r="G5" s="1" t="s">
        <v>160</v>
      </c>
      <c r="H5" s="1" t="s">
        <v>160</v>
      </c>
      <c r="I5" s="1" t="s">
        <v>160</v>
      </c>
      <c r="L5" s="1" t="s">
        <v>215</v>
      </c>
      <c r="M5" s="1" t="s">
        <v>216</v>
      </c>
      <c r="N5" s="1" t="s">
        <v>217</v>
      </c>
      <c r="O5" s="1" t="s">
        <v>218</v>
      </c>
      <c r="P5" s="1" t="s">
        <v>110</v>
      </c>
      <c r="Q5" s="1" t="s">
        <v>219</v>
      </c>
      <c r="S5" s="1" t="s">
        <v>215</v>
      </c>
      <c r="T5" s="1" t="s">
        <v>216</v>
      </c>
      <c r="U5" s="1" t="s">
        <v>217</v>
      </c>
      <c r="V5" s="1" t="s">
        <v>218</v>
      </c>
      <c r="W5" s="1" t="s">
        <v>110</v>
      </c>
      <c r="X5" s="1" t="s">
        <v>219</v>
      </c>
      <c r="Y5" s="1" t="s">
        <v>190</v>
      </c>
      <c r="Z5" s="1" t="s">
        <v>220</v>
      </c>
      <c r="AA5" s="1" t="s">
        <v>135</v>
      </c>
      <c r="AB5" s="1" t="s">
        <v>221</v>
      </c>
      <c r="AC5" s="1" t="s">
        <v>116</v>
      </c>
      <c r="AD5" s="1" t="s">
        <v>222</v>
      </c>
      <c r="AE5" s="1" t="s">
        <v>196</v>
      </c>
      <c r="AF5" s="1" t="s">
        <v>223</v>
      </c>
      <c r="AG5" s="1" t="s">
        <v>224</v>
      </c>
      <c r="AL5" s="2" t="s">
        <v>225</v>
      </c>
      <c r="AM5" s="2" t="s">
        <v>226</v>
      </c>
      <c r="AN5" s="2" t="s">
        <v>227</v>
      </c>
      <c r="AO5" s="2" t="s">
        <v>228</v>
      </c>
      <c r="AP5" s="2" t="s">
        <v>190</v>
      </c>
      <c r="AQ5" s="2" t="s">
        <v>120</v>
      </c>
      <c r="AR5" s="1" t="s">
        <v>192</v>
      </c>
      <c r="AS5" s="1" t="s">
        <v>193</v>
      </c>
      <c r="AT5" s="1" t="s">
        <v>194</v>
      </c>
      <c r="AU5" s="1" t="s">
        <v>195</v>
      </c>
      <c r="AV5" s="1" t="s">
        <v>130</v>
      </c>
      <c r="AW5" s="1" t="s">
        <v>196</v>
      </c>
      <c r="AX5" s="1" t="s">
        <v>197</v>
      </c>
      <c r="AY5" s="1" t="s">
        <v>198</v>
      </c>
      <c r="AZ5" s="1" t="s">
        <v>199</v>
      </c>
      <c r="BA5" s="2"/>
      <c r="BB5" s="13" t="s">
        <v>225</v>
      </c>
      <c r="BC5" s="15" t="s">
        <v>114</v>
      </c>
      <c r="BD5" s="13" t="s">
        <v>228</v>
      </c>
      <c r="BE5" s="13" t="s">
        <v>227</v>
      </c>
      <c r="BF5" s="15" t="s">
        <v>229</v>
      </c>
      <c r="BG5" s="15" t="s">
        <v>229</v>
      </c>
      <c r="BH5" s="2"/>
      <c r="BK5" s="2"/>
    </row>
    <row r="6" spans="1:63" x14ac:dyDescent="0.5">
      <c r="A6" s="1" t="s">
        <v>154</v>
      </c>
      <c r="C6" s="1" t="s">
        <v>230</v>
      </c>
      <c r="D6" s="1" t="s">
        <v>231</v>
      </c>
      <c r="E6" s="1" t="s">
        <v>232</v>
      </c>
      <c r="G6" s="1" t="s">
        <v>161</v>
      </c>
      <c r="H6" s="1" t="s">
        <v>161</v>
      </c>
      <c r="I6" s="1" t="s">
        <v>161</v>
      </c>
      <c r="L6" s="1" t="s">
        <v>233</v>
      </c>
      <c r="M6" s="1" t="s">
        <v>234</v>
      </c>
      <c r="N6" s="1" t="s">
        <v>235</v>
      </c>
      <c r="O6" s="1" t="s">
        <v>236</v>
      </c>
      <c r="P6" s="1" t="s">
        <v>237</v>
      </c>
      <c r="Q6" s="1" t="s">
        <v>238</v>
      </c>
      <c r="S6" s="1" t="s">
        <v>233</v>
      </c>
      <c r="T6" s="1" t="s">
        <v>234</v>
      </c>
      <c r="U6" s="1" t="s">
        <v>235</v>
      </c>
      <c r="V6" s="1" t="s">
        <v>236</v>
      </c>
      <c r="W6" s="1" t="s">
        <v>237</v>
      </c>
      <c r="X6" s="1" t="s">
        <v>238</v>
      </c>
      <c r="Y6" s="1" t="s">
        <v>239</v>
      </c>
      <c r="Z6" s="1" t="s">
        <v>240</v>
      </c>
      <c r="AA6" s="1" t="s">
        <v>241</v>
      </c>
      <c r="AB6" s="1" t="s">
        <v>242</v>
      </c>
      <c r="AC6" s="1" t="s">
        <v>121</v>
      </c>
      <c r="AD6" s="1" t="s">
        <v>243</v>
      </c>
      <c r="AE6" s="1" t="s">
        <v>229</v>
      </c>
      <c r="AF6" s="1" t="s">
        <v>244</v>
      </c>
      <c r="AG6" s="1" t="s">
        <v>116</v>
      </c>
      <c r="AL6" s="2" t="s">
        <v>233</v>
      </c>
      <c r="AM6" s="2" t="s">
        <v>245</v>
      </c>
      <c r="AN6" s="2" t="s">
        <v>228</v>
      </c>
      <c r="AO6" s="2" t="s">
        <v>189</v>
      </c>
      <c r="AP6" s="2" t="s">
        <v>246</v>
      </c>
      <c r="AQ6" s="2" t="s">
        <v>247</v>
      </c>
      <c r="AR6" s="1" t="s">
        <v>190</v>
      </c>
      <c r="AS6" s="1" t="s">
        <v>220</v>
      </c>
      <c r="AT6" s="1" t="s">
        <v>135</v>
      </c>
      <c r="AU6" s="1" t="s">
        <v>221</v>
      </c>
      <c r="AV6" s="1" t="s">
        <v>116</v>
      </c>
      <c r="AW6" s="1" t="s">
        <v>222</v>
      </c>
      <c r="AX6" s="1" t="s">
        <v>196</v>
      </c>
      <c r="AY6" s="1" t="s">
        <v>223</v>
      </c>
      <c r="AZ6" s="1" t="s">
        <v>224</v>
      </c>
      <c r="BA6" s="2"/>
      <c r="BB6" s="14" t="s">
        <v>233</v>
      </c>
      <c r="BC6" s="16" t="s">
        <v>216</v>
      </c>
      <c r="BD6" s="15" t="s">
        <v>189</v>
      </c>
      <c r="BE6" s="14" t="s">
        <v>228</v>
      </c>
      <c r="BF6" s="16" t="s">
        <v>248</v>
      </c>
      <c r="BG6" s="15" t="s">
        <v>197</v>
      </c>
      <c r="BH6" s="2"/>
      <c r="BK6" s="2"/>
    </row>
    <row r="7" spans="1:63" x14ac:dyDescent="0.5">
      <c r="A7" s="1" t="s">
        <v>155</v>
      </c>
      <c r="D7" s="1" t="s">
        <v>249</v>
      </c>
      <c r="G7" s="1" t="s">
        <v>162</v>
      </c>
      <c r="H7" s="1" t="s">
        <v>162</v>
      </c>
      <c r="I7" s="1" t="s">
        <v>162</v>
      </c>
      <c r="L7" s="1" t="s">
        <v>250</v>
      </c>
      <c r="M7" s="1" t="s">
        <v>115</v>
      </c>
      <c r="N7" s="1" t="s">
        <v>251</v>
      </c>
      <c r="O7" s="1" t="s">
        <v>252</v>
      </c>
      <c r="P7" s="1" t="s">
        <v>237</v>
      </c>
      <c r="Q7" s="1" t="s">
        <v>253</v>
      </c>
      <c r="S7" s="1" t="s">
        <v>250</v>
      </c>
      <c r="T7" s="1" t="s">
        <v>115</v>
      </c>
      <c r="U7" s="1" t="s">
        <v>251</v>
      </c>
      <c r="V7" s="1" t="s">
        <v>252</v>
      </c>
      <c r="W7" s="1" t="s">
        <v>237</v>
      </c>
      <c r="X7" s="1" t="s">
        <v>253</v>
      </c>
      <c r="Y7" s="1" t="s">
        <v>254</v>
      </c>
      <c r="Z7" s="1" t="s">
        <v>255</v>
      </c>
      <c r="AA7" s="1" t="s">
        <v>256</v>
      </c>
      <c r="AB7" s="1" t="s">
        <v>257</v>
      </c>
      <c r="AC7" s="1" t="s">
        <v>193</v>
      </c>
      <c r="AD7" s="1" t="s">
        <v>225</v>
      </c>
      <c r="AE7" s="1" t="s">
        <v>225</v>
      </c>
      <c r="AF7" s="1" t="s">
        <v>248</v>
      </c>
      <c r="AG7" s="1" t="s">
        <v>258</v>
      </c>
      <c r="AL7" s="2" t="s">
        <v>259</v>
      </c>
      <c r="AM7" s="2" t="s">
        <v>260</v>
      </c>
      <c r="AN7" s="2" t="s">
        <v>236</v>
      </c>
      <c r="AO7" s="2" t="s">
        <v>261</v>
      </c>
      <c r="AP7" s="2" t="s">
        <v>262</v>
      </c>
      <c r="AQ7" s="2" t="s">
        <v>263</v>
      </c>
      <c r="AR7" s="1" t="s">
        <v>239</v>
      </c>
      <c r="AS7" s="1" t="s">
        <v>240</v>
      </c>
      <c r="AT7" s="1" t="s">
        <v>241</v>
      </c>
      <c r="AU7" s="1" t="s">
        <v>242</v>
      </c>
      <c r="AV7" s="1" t="s">
        <v>121</v>
      </c>
      <c r="AW7" s="1" t="s">
        <v>243</v>
      </c>
      <c r="AX7" s="1" t="s">
        <v>229</v>
      </c>
      <c r="AY7" s="1" t="s">
        <v>244</v>
      </c>
      <c r="AZ7" s="1" t="s">
        <v>116</v>
      </c>
      <c r="BA7" s="2"/>
      <c r="BB7" s="13" t="s">
        <v>259</v>
      </c>
      <c r="BC7" s="1" t="s">
        <v>226</v>
      </c>
      <c r="BD7" s="16" t="s">
        <v>218</v>
      </c>
      <c r="BE7" s="15" t="s">
        <v>111</v>
      </c>
      <c r="BF7" s="15" t="s">
        <v>197</v>
      </c>
      <c r="BG7" s="15" t="s">
        <v>264</v>
      </c>
      <c r="BH7" s="2"/>
      <c r="BK7" s="2"/>
    </row>
    <row r="8" spans="1:63" x14ac:dyDescent="0.5">
      <c r="G8" s="1" t="s">
        <v>163</v>
      </c>
      <c r="H8" s="1" t="s">
        <v>163</v>
      </c>
      <c r="I8" s="1" t="s">
        <v>163</v>
      </c>
      <c r="L8" s="1" t="s">
        <v>265</v>
      </c>
      <c r="M8" s="1" t="s">
        <v>266</v>
      </c>
      <c r="N8" s="1" t="s">
        <v>116</v>
      </c>
      <c r="O8" s="1" t="s">
        <v>245</v>
      </c>
      <c r="P8" s="1" t="s">
        <v>267</v>
      </c>
      <c r="Q8" s="1" t="s">
        <v>268</v>
      </c>
      <c r="S8" s="1" t="s">
        <v>265</v>
      </c>
      <c r="T8" s="1" t="s">
        <v>266</v>
      </c>
      <c r="U8" s="1" t="s">
        <v>116</v>
      </c>
      <c r="V8" s="1" t="s">
        <v>245</v>
      </c>
      <c r="W8" s="1" t="s">
        <v>267</v>
      </c>
      <c r="X8" s="1" t="s">
        <v>268</v>
      </c>
      <c r="Y8" s="1" t="s">
        <v>112</v>
      </c>
      <c r="Z8" s="1" t="s">
        <v>269</v>
      </c>
      <c r="AA8" s="1" t="s">
        <v>270</v>
      </c>
      <c r="AB8" s="1" t="s">
        <v>271</v>
      </c>
      <c r="AC8" s="1" t="s">
        <v>111</v>
      </c>
      <c r="AD8" s="1" t="s">
        <v>112</v>
      </c>
      <c r="AE8" s="1" t="s">
        <v>272</v>
      </c>
      <c r="AF8" s="1" t="s">
        <v>273</v>
      </c>
      <c r="AG8" s="1" t="s">
        <v>274</v>
      </c>
      <c r="AL8" s="2" t="s">
        <v>265</v>
      </c>
      <c r="AM8" s="2" t="s">
        <v>243</v>
      </c>
      <c r="AN8" s="2" t="s">
        <v>252</v>
      </c>
      <c r="AO8" s="2" t="s">
        <v>275</v>
      </c>
      <c r="AP8" s="2" t="s">
        <v>276</v>
      </c>
      <c r="AQ8" s="2" t="s">
        <v>277</v>
      </c>
      <c r="AR8" s="1" t="s">
        <v>254</v>
      </c>
      <c r="AS8" s="1" t="s">
        <v>255</v>
      </c>
      <c r="AT8" s="1" t="s">
        <v>256</v>
      </c>
      <c r="AU8" s="1" t="s">
        <v>257</v>
      </c>
      <c r="AV8" s="1" t="s">
        <v>193</v>
      </c>
      <c r="AW8" s="1" t="s">
        <v>225</v>
      </c>
      <c r="AX8" s="1" t="s">
        <v>225</v>
      </c>
      <c r="AY8" s="1" t="s">
        <v>248</v>
      </c>
      <c r="AZ8" s="1" t="s">
        <v>258</v>
      </c>
      <c r="BA8" s="2"/>
      <c r="BB8" s="14" t="s">
        <v>265</v>
      </c>
      <c r="BC8" s="15" t="s">
        <v>234</v>
      </c>
      <c r="BD8" s="15" t="s">
        <v>111</v>
      </c>
      <c r="BE8" s="13" t="s">
        <v>236</v>
      </c>
      <c r="BF8" s="16" t="s">
        <v>264</v>
      </c>
      <c r="BG8" s="15" t="s">
        <v>278</v>
      </c>
      <c r="BH8" s="2"/>
      <c r="BK8" s="2"/>
    </row>
    <row r="9" spans="1:63" x14ac:dyDescent="0.5">
      <c r="G9" s="1" t="s">
        <v>164</v>
      </c>
      <c r="H9" s="1" t="s">
        <v>164</v>
      </c>
      <c r="I9" s="1" t="s">
        <v>164</v>
      </c>
      <c r="L9" s="1" t="s">
        <v>119</v>
      </c>
      <c r="M9" s="1" t="s">
        <v>279</v>
      </c>
      <c r="N9" s="1" t="s">
        <v>280</v>
      </c>
      <c r="O9" s="1" t="s">
        <v>281</v>
      </c>
      <c r="P9" s="1" t="s">
        <v>282</v>
      </c>
      <c r="Q9" s="1" t="s">
        <v>112</v>
      </c>
      <c r="S9" s="1" t="s">
        <v>119</v>
      </c>
      <c r="T9" s="1" t="s">
        <v>279</v>
      </c>
      <c r="U9" s="1" t="s">
        <v>280</v>
      </c>
      <c r="V9" s="1" t="s">
        <v>281</v>
      </c>
      <c r="W9" s="1" t="s">
        <v>282</v>
      </c>
      <c r="X9" s="1" t="s">
        <v>112</v>
      </c>
      <c r="Y9" s="1" t="s">
        <v>253</v>
      </c>
      <c r="Z9" s="1" t="s">
        <v>283</v>
      </c>
      <c r="AA9" s="1" t="s">
        <v>284</v>
      </c>
      <c r="AB9" s="1" t="s">
        <v>285</v>
      </c>
      <c r="AC9" s="1" t="s">
        <v>286</v>
      </c>
      <c r="AD9" s="1" t="s">
        <v>130</v>
      </c>
      <c r="AE9" s="1" t="s">
        <v>287</v>
      </c>
      <c r="AF9" s="1" t="s">
        <v>288</v>
      </c>
      <c r="AG9" s="1" t="s">
        <v>264</v>
      </c>
      <c r="AL9" s="2" t="s">
        <v>119</v>
      </c>
      <c r="AM9" s="2" t="s">
        <v>289</v>
      </c>
      <c r="AN9" s="2" t="s">
        <v>290</v>
      </c>
      <c r="AO9" s="2" t="s">
        <v>252</v>
      </c>
      <c r="AP9" s="2" t="s">
        <v>291</v>
      </c>
      <c r="AQ9" s="2" t="s">
        <v>292</v>
      </c>
      <c r="AR9" s="1" t="s">
        <v>112</v>
      </c>
      <c r="AS9" s="1" t="s">
        <v>269</v>
      </c>
      <c r="AT9" s="1" t="s">
        <v>270</v>
      </c>
      <c r="AU9" s="1" t="s">
        <v>271</v>
      </c>
      <c r="AV9" s="1" t="s">
        <v>111</v>
      </c>
      <c r="AW9" s="1" t="s">
        <v>112</v>
      </c>
      <c r="AX9" s="1" t="s">
        <v>272</v>
      </c>
      <c r="AY9" s="1" t="s">
        <v>273</v>
      </c>
      <c r="AZ9" s="1" t="s">
        <v>274</v>
      </c>
      <c r="BA9" s="2"/>
      <c r="BB9" s="13" t="s">
        <v>119</v>
      </c>
      <c r="BC9" s="14" t="s">
        <v>245</v>
      </c>
      <c r="BD9" s="15" t="s">
        <v>261</v>
      </c>
      <c r="BE9" s="16" t="s">
        <v>217</v>
      </c>
      <c r="BF9" s="16" t="s">
        <v>225</v>
      </c>
      <c r="BG9" s="16" t="s">
        <v>293</v>
      </c>
      <c r="BH9" s="2"/>
      <c r="BK9" s="2"/>
    </row>
    <row r="10" spans="1:63" x14ac:dyDescent="0.5">
      <c r="L10" s="1" t="s">
        <v>294</v>
      </c>
      <c r="M10" s="1" t="s">
        <v>295</v>
      </c>
      <c r="N10" s="1" t="s">
        <v>243</v>
      </c>
      <c r="O10" s="1" t="s">
        <v>260</v>
      </c>
      <c r="P10" s="1" t="s">
        <v>236</v>
      </c>
      <c r="Q10" s="1" t="s">
        <v>113</v>
      </c>
      <c r="S10" s="1" t="s">
        <v>294</v>
      </c>
      <c r="T10" s="1" t="s">
        <v>295</v>
      </c>
      <c r="U10" s="1" t="s">
        <v>243</v>
      </c>
      <c r="V10" s="1" t="s">
        <v>260</v>
      </c>
      <c r="W10" s="1" t="s">
        <v>236</v>
      </c>
      <c r="X10" s="1" t="s">
        <v>113</v>
      </c>
      <c r="Y10" s="1" t="s">
        <v>218</v>
      </c>
      <c r="Z10" s="1" t="s">
        <v>130</v>
      </c>
      <c r="AA10" s="1" t="s">
        <v>296</v>
      </c>
      <c r="AB10" s="1" t="s">
        <v>297</v>
      </c>
      <c r="AC10" s="1" t="s">
        <v>298</v>
      </c>
      <c r="AD10" s="1" t="s">
        <v>115</v>
      </c>
      <c r="AE10" s="1" t="s">
        <v>299</v>
      </c>
      <c r="AF10" s="1" t="s">
        <v>300</v>
      </c>
      <c r="AG10" s="1" t="s">
        <v>301</v>
      </c>
      <c r="AL10" s="2" t="s">
        <v>294</v>
      </c>
      <c r="AM10" s="2" t="s">
        <v>302</v>
      </c>
      <c r="AN10" s="2" t="s">
        <v>303</v>
      </c>
      <c r="AO10" s="2" t="s">
        <v>304</v>
      </c>
      <c r="AP10" s="2" t="s">
        <v>235</v>
      </c>
      <c r="AQ10" s="2" t="s">
        <v>133</v>
      </c>
      <c r="AR10" s="1" t="s">
        <v>253</v>
      </c>
      <c r="AS10" s="1" t="s">
        <v>283</v>
      </c>
      <c r="AT10" s="1" t="s">
        <v>284</v>
      </c>
      <c r="AU10" s="1" t="s">
        <v>285</v>
      </c>
      <c r="AV10" s="1" t="s">
        <v>286</v>
      </c>
      <c r="AW10" s="1" t="s">
        <v>130</v>
      </c>
      <c r="AX10" s="1" t="s">
        <v>287</v>
      </c>
      <c r="AY10" s="1" t="s">
        <v>288</v>
      </c>
      <c r="AZ10" s="1" t="s">
        <v>264</v>
      </c>
      <c r="BA10" s="2"/>
      <c r="BB10" s="14" t="s">
        <v>294</v>
      </c>
      <c r="BC10" s="16" t="s">
        <v>115</v>
      </c>
      <c r="BD10" s="16" t="s">
        <v>275</v>
      </c>
      <c r="BE10" s="14" t="s">
        <v>252</v>
      </c>
      <c r="BF10" s="16" t="s">
        <v>278</v>
      </c>
      <c r="BG10" s="15" t="s">
        <v>305</v>
      </c>
      <c r="BH10" s="2"/>
      <c r="BK10" s="2"/>
    </row>
    <row r="11" spans="1:63" x14ac:dyDescent="0.5">
      <c r="G11" s="1" t="s">
        <v>306</v>
      </c>
      <c r="H11" s="1" t="s">
        <v>213</v>
      </c>
      <c r="I11" s="1" t="s">
        <v>307</v>
      </c>
      <c r="J11" s="1" t="s">
        <v>249</v>
      </c>
      <c r="L11" s="1" t="s">
        <v>243</v>
      </c>
      <c r="M11" s="1" t="s">
        <v>308</v>
      </c>
      <c r="N11" s="1" t="s">
        <v>309</v>
      </c>
      <c r="O11" s="1" t="s">
        <v>279</v>
      </c>
      <c r="P11" s="1" t="s">
        <v>251</v>
      </c>
      <c r="Q11" s="1" t="s">
        <v>310</v>
      </c>
      <c r="S11" s="1" t="s">
        <v>243</v>
      </c>
      <c r="T11" s="1" t="s">
        <v>308</v>
      </c>
      <c r="U11" s="1" t="s">
        <v>309</v>
      </c>
      <c r="V11" s="1" t="s">
        <v>279</v>
      </c>
      <c r="W11" s="1" t="s">
        <v>251</v>
      </c>
      <c r="X11" s="1" t="s">
        <v>310</v>
      </c>
      <c r="Y11" s="1" t="s">
        <v>111</v>
      </c>
      <c r="Z11" s="1" t="s">
        <v>198</v>
      </c>
      <c r="AA11" s="1" t="s">
        <v>311</v>
      </c>
      <c r="AB11" s="1" t="s">
        <v>130</v>
      </c>
      <c r="AC11" s="1" t="s">
        <v>312</v>
      </c>
      <c r="AD11" s="1" t="s">
        <v>313</v>
      </c>
      <c r="AE11" s="1" t="s">
        <v>278</v>
      </c>
      <c r="AF11" s="1" t="s">
        <v>314</v>
      </c>
      <c r="AG11" s="1" t="s">
        <v>315</v>
      </c>
      <c r="AL11" s="2" t="s">
        <v>316</v>
      </c>
      <c r="AM11" s="2" t="s">
        <v>317</v>
      </c>
      <c r="AN11" s="2" t="s">
        <v>243</v>
      </c>
      <c r="AO11" s="2" t="s">
        <v>245</v>
      </c>
      <c r="AP11" s="2" t="s">
        <v>245</v>
      </c>
      <c r="AQ11" s="2" t="s">
        <v>318</v>
      </c>
      <c r="AR11" s="1" t="s">
        <v>218</v>
      </c>
      <c r="AS11" s="1" t="s">
        <v>130</v>
      </c>
      <c r="AT11" s="1" t="s">
        <v>296</v>
      </c>
      <c r="AU11" s="1" t="s">
        <v>297</v>
      </c>
      <c r="AV11" s="1" t="s">
        <v>298</v>
      </c>
      <c r="AW11" s="1" t="s">
        <v>115</v>
      </c>
      <c r="AX11" s="1" t="s">
        <v>299</v>
      </c>
      <c r="AY11" s="1" t="s">
        <v>300</v>
      </c>
      <c r="AZ11" s="1" t="s">
        <v>301</v>
      </c>
      <c r="BA11" s="2"/>
      <c r="BB11" s="13" t="s">
        <v>316</v>
      </c>
      <c r="BC11" s="13" t="s">
        <v>260</v>
      </c>
      <c r="BD11" s="15" t="s">
        <v>236</v>
      </c>
      <c r="BE11" s="15" t="s">
        <v>235</v>
      </c>
      <c r="BF11" s="16" t="s">
        <v>293</v>
      </c>
      <c r="BG11" s="15" t="s">
        <v>288</v>
      </c>
      <c r="BH11" s="2"/>
      <c r="BK11" s="2"/>
    </row>
    <row r="12" spans="1:63" x14ac:dyDescent="0.5">
      <c r="G12" s="1" t="s">
        <v>319</v>
      </c>
      <c r="H12" s="1" t="s">
        <v>319</v>
      </c>
      <c r="I12" s="1" t="s">
        <v>319</v>
      </c>
      <c r="J12" s="1" t="s">
        <v>319</v>
      </c>
      <c r="L12" s="1" t="s">
        <v>320</v>
      </c>
      <c r="M12" s="1" t="s">
        <v>320</v>
      </c>
      <c r="N12" s="1" t="s">
        <v>269</v>
      </c>
      <c r="O12" s="1" t="s">
        <v>321</v>
      </c>
      <c r="P12" s="1" t="s">
        <v>322</v>
      </c>
      <c r="Q12" s="1" t="s">
        <v>236</v>
      </c>
      <c r="S12" s="1" t="s">
        <v>320</v>
      </c>
      <c r="T12" s="1" t="s">
        <v>320</v>
      </c>
      <c r="U12" s="1" t="s">
        <v>269</v>
      </c>
      <c r="V12" s="1" t="s">
        <v>321</v>
      </c>
      <c r="W12" s="1" t="s">
        <v>322</v>
      </c>
      <c r="X12" s="1" t="s">
        <v>236</v>
      </c>
      <c r="Y12" s="1" t="s">
        <v>237</v>
      </c>
      <c r="Z12" s="1" t="s">
        <v>323</v>
      </c>
      <c r="AA12" s="1" t="s">
        <v>324</v>
      </c>
      <c r="AB12" s="1" t="s">
        <v>325</v>
      </c>
      <c r="AC12" s="1" t="s">
        <v>326</v>
      </c>
      <c r="AD12" s="1" t="s">
        <v>289</v>
      </c>
      <c r="AE12" s="1" t="s">
        <v>327</v>
      </c>
      <c r="AF12" s="1" t="s">
        <v>328</v>
      </c>
      <c r="AG12" s="1" t="s">
        <v>329</v>
      </c>
      <c r="AL12" s="2" t="s">
        <v>330</v>
      </c>
      <c r="AM12" s="2" t="s">
        <v>331</v>
      </c>
      <c r="AN12" s="2" t="s">
        <v>120</v>
      </c>
      <c r="AO12" s="2" t="s">
        <v>332</v>
      </c>
      <c r="AP12" s="2" t="s">
        <v>333</v>
      </c>
      <c r="AQ12" s="2" t="s">
        <v>334</v>
      </c>
      <c r="AR12" s="1" t="s">
        <v>111</v>
      </c>
      <c r="AS12" s="1" t="s">
        <v>198</v>
      </c>
      <c r="AT12" s="1" t="s">
        <v>311</v>
      </c>
      <c r="AU12" s="1" t="s">
        <v>130</v>
      </c>
      <c r="AV12" s="1" t="s">
        <v>312</v>
      </c>
      <c r="AW12" s="1" t="s">
        <v>313</v>
      </c>
      <c r="AX12" s="1" t="s">
        <v>278</v>
      </c>
      <c r="AY12" s="1" t="s">
        <v>314</v>
      </c>
      <c r="AZ12" s="1" t="s">
        <v>315</v>
      </c>
      <c r="BA12" s="2"/>
      <c r="BB12" s="14" t="s">
        <v>330</v>
      </c>
      <c r="BC12" s="15" t="s">
        <v>266</v>
      </c>
      <c r="BD12" s="16" t="s">
        <v>226</v>
      </c>
      <c r="BE12" s="16" t="s">
        <v>251</v>
      </c>
      <c r="BF12" s="15" t="s">
        <v>305</v>
      </c>
      <c r="BG12" s="16" t="s">
        <v>287</v>
      </c>
      <c r="BH12" s="2"/>
      <c r="BK12" s="2"/>
    </row>
    <row r="13" spans="1:63" x14ac:dyDescent="0.5">
      <c r="G13" s="1" t="s">
        <v>335</v>
      </c>
      <c r="H13" s="1" t="s">
        <v>335</v>
      </c>
      <c r="I13" s="1" t="s">
        <v>335</v>
      </c>
      <c r="J13" s="1" t="s">
        <v>336</v>
      </c>
      <c r="L13" s="1" t="s">
        <v>330</v>
      </c>
      <c r="M13" s="1" t="s">
        <v>337</v>
      </c>
      <c r="N13" s="1" t="s">
        <v>338</v>
      </c>
      <c r="O13" s="1" t="s">
        <v>308</v>
      </c>
      <c r="P13" s="1" t="s">
        <v>339</v>
      </c>
      <c r="Q13" s="1" t="s">
        <v>340</v>
      </c>
      <c r="S13" s="1" t="s">
        <v>330</v>
      </c>
      <c r="T13" s="1" t="s">
        <v>337</v>
      </c>
      <c r="U13" s="1" t="s">
        <v>338</v>
      </c>
      <c r="V13" s="1" t="s">
        <v>308</v>
      </c>
      <c r="W13" s="1" t="s">
        <v>339</v>
      </c>
      <c r="X13" s="1" t="s">
        <v>340</v>
      </c>
      <c r="Y13" s="1" t="s">
        <v>341</v>
      </c>
      <c r="Z13" s="1" t="s">
        <v>342</v>
      </c>
      <c r="AA13" s="1" t="s">
        <v>124</v>
      </c>
      <c r="AB13" s="1" t="s">
        <v>343</v>
      </c>
      <c r="AC13" s="1" t="s">
        <v>229</v>
      </c>
      <c r="AD13" s="1" t="s">
        <v>344</v>
      </c>
      <c r="AE13" s="1" t="s">
        <v>345</v>
      </c>
      <c r="AF13" s="1" t="s">
        <v>119</v>
      </c>
      <c r="AG13" s="1" t="s">
        <v>344</v>
      </c>
      <c r="AL13" s="2" t="s">
        <v>346</v>
      </c>
      <c r="AM13" s="2" t="s">
        <v>347</v>
      </c>
      <c r="AN13" s="2" t="s">
        <v>240</v>
      </c>
      <c r="AO13" s="2" t="s">
        <v>348</v>
      </c>
      <c r="AP13" s="2" t="s">
        <v>251</v>
      </c>
      <c r="AQ13" s="2" t="s">
        <v>300</v>
      </c>
      <c r="AR13" s="1" t="s">
        <v>237</v>
      </c>
      <c r="AS13" s="1" t="s">
        <v>323</v>
      </c>
      <c r="AT13" s="1" t="s">
        <v>324</v>
      </c>
      <c r="AU13" s="1" t="s">
        <v>325</v>
      </c>
      <c r="AV13" s="1" t="s">
        <v>326</v>
      </c>
      <c r="AW13" s="1" t="s">
        <v>289</v>
      </c>
      <c r="AX13" s="1" t="s">
        <v>327</v>
      </c>
      <c r="AY13" s="1" t="s">
        <v>328</v>
      </c>
      <c r="AZ13" s="1" t="s">
        <v>329</v>
      </c>
      <c r="BA13" s="2"/>
      <c r="BB13" s="13" t="s">
        <v>346</v>
      </c>
      <c r="BC13" s="16" t="s">
        <v>279</v>
      </c>
      <c r="BD13" s="16" t="s">
        <v>252</v>
      </c>
      <c r="BE13" s="15" t="s">
        <v>116</v>
      </c>
      <c r="BF13" s="16" t="s">
        <v>288</v>
      </c>
      <c r="BG13" s="15" t="s">
        <v>196</v>
      </c>
      <c r="BH13" s="2"/>
      <c r="BK13" s="2"/>
    </row>
    <row r="14" spans="1:63" x14ac:dyDescent="0.5">
      <c r="G14" s="1" t="s">
        <v>349</v>
      </c>
      <c r="H14" s="1" t="s">
        <v>349</v>
      </c>
      <c r="I14" s="1" t="s">
        <v>349</v>
      </c>
      <c r="J14" s="1" t="s">
        <v>349</v>
      </c>
      <c r="L14" s="1" t="s">
        <v>350</v>
      </c>
      <c r="M14" s="1" t="s">
        <v>269</v>
      </c>
      <c r="N14" s="1" t="s">
        <v>122</v>
      </c>
      <c r="O14" s="1" t="s">
        <v>351</v>
      </c>
      <c r="P14" s="1" t="s">
        <v>290</v>
      </c>
      <c r="Q14" s="1" t="s">
        <v>352</v>
      </c>
      <c r="S14" s="1" t="s">
        <v>350</v>
      </c>
      <c r="T14" s="1" t="s">
        <v>269</v>
      </c>
      <c r="U14" s="1" t="s">
        <v>122</v>
      </c>
      <c r="V14" s="1" t="s">
        <v>351</v>
      </c>
      <c r="W14" s="1" t="s">
        <v>290</v>
      </c>
      <c r="X14" s="1" t="s">
        <v>352</v>
      </c>
      <c r="Y14" s="1" t="s">
        <v>353</v>
      </c>
      <c r="Z14" s="1" t="s">
        <v>350</v>
      </c>
      <c r="AA14" s="1" t="s">
        <v>354</v>
      </c>
      <c r="AB14" s="1" t="s">
        <v>355</v>
      </c>
      <c r="AC14" s="1" t="s">
        <v>356</v>
      </c>
      <c r="AD14" s="1" t="s">
        <v>357</v>
      </c>
      <c r="AE14" s="1" t="s">
        <v>358</v>
      </c>
      <c r="AF14" s="1" t="s">
        <v>309</v>
      </c>
      <c r="AG14" s="1" t="s">
        <v>357</v>
      </c>
      <c r="AL14" s="2" t="s">
        <v>359</v>
      </c>
      <c r="AM14" s="2" t="s">
        <v>360</v>
      </c>
      <c r="AN14" s="2" t="s">
        <v>330</v>
      </c>
      <c r="AO14" s="2" t="s">
        <v>361</v>
      </c>
      <c r="AP14" s="2" t="s">
        <v>280</v>
      </c>
      <c r="AQ14" s="2" t="s">
        <v>362</v>
      </c>
      <c r="AR14" s="1" t="s">
        <v>341</v>
      </c>
      <c r="AS14" s="1" t="s">
        <v>342</v>
      </c>
      <c r="AT14" s="1" t="s">
        <v>124</v>
      </c>
      <c r="AU14" s="1" t="s">
        <v>343</v>
      </c>
      <c r="AV14" s="1" t="s">
        <v>229</v>
      </c>
      <c r="AW14" s="1" t="s">
        <v>344</v>
      </c>
      <c r="AX14" s="1" t="s">
        <v>345</v>
      </c>
      <c r="AY14" s="1" t="s">
        <v>119</v>
      </c>
      <c r="AZ14" s="1" t="s">
        <v>344</v>
      </c>
      <c r="BA14" s="2"/>
      <c r="BB14" s="14" t="s">
        <v>359</v>
      </c>
      <c r="BC14" s="15" t="s">
        <v>295</v>
      </c>
      <c r="BD14" s="14" t="s">
        <v>304</v>
      </c>
      <c r="BE14" s="13" t="s">
        <v>290</v>
      </c>
      <c r="BF14" s="16" t="s">
        <v>262</v>
      </c>
      <c r="BG14" s="15" t="s">
        <v>363</v>
      </c>
      <c r="BH14" s="2"/>
      <c r="BK14" s="2"/>
    </row>
    <row r="15" spans="1:63" x14ac:dyDescent="0.5">
      <c r="G15" s="1" t="s">
        <v>364</v>
      </c>
      <c r="H15" s="1" t="s">
        <v>364</v>
      </c>
      <c r="I15" s="1" t="s">
        <v>364</v>
      </c>
      <c r="J15" s="1" t="s">
        <v>364</v>
      </c>
      <c r="L15" s="1" t="s">
        <v>346</v>
      </c>
      <c r="M15" s="1" t="s">
        <v>289</v>
      </c>
      <c r="N15" s="1" t="s">
        <v>240</v>
      </c>
      <c r="O15" s="1" t="s">
        <v>120</v>
      </c>
      <c r="P15" s="1" t="s">
        <v>280</v>
      </c>
      <c r="Q15" s="1" t="s">
        <v>226</v>
      </c>
      <c r="S15" s="1" t="s">
        <v>346</v>
      </c>
      <c r="T15" s="1" t="s">
        <v>289</v>
      </c>
      <c r="U15" s="1" t="s">
        <v>240</v>
      </c>
      <c r="V15" s="1" t="s">
        <v>120</v>
      </c>
      <c r="W15" s="1" t="s">
        <v>280</v>
      </c>
      <c r="X15" s="1" t="s">
        <v>226</v>
      </c>
      <c r="Y15" s="1" t="s">
        <v>194</v>
      </c>
      <c r="Z15" s="1" t="s">
        <v>116</v>
      </c>
      <c r="AA15" s="1" t="s">
        <v>365</v>
      </c>
      <c r="AB15" s="1" t="s">
        <v>116</v>
      </c>
      <c r="AC15" s="1" t="s">
        <v>125</v>
      </c>
      <c r="AD15" s="1" t="s">
        <v>366</v>
      </c>
      <c r="AE15" s="1" t="s">
        <v>293</v>
      </c>
      <c r="AF15" s="1" t="s">
        <v>281</v>
      </c>
      <c r="AG15" s="1" t="s">
        <v>338</v>
      </c>
      <c r="AL15" s="2" t="s">
        <v>367</v>
      </c>
      <c r="AM15" s="2" t="s">
        <v>368</v>
      </c>
      <c r="AN15" s="2" t="s">
        <v>326</v>
      </c>
      <c r="AO15" s="2" t="s">
        <v>369</v>
      </c>
      <c r="AP15" s="2" t="s">
        <v>370</v>
      </c>
      <c r="AQ15" s="2" t="s">
        <v>371</v>
      </c>
      <c r="AR15" s="1" t="s">
        <v>353</v>
      </c>
      <c r="AS15" s="1" t="s">
        <v>350</v>
      </c>
      <c r="AT15" s="1" t="s">
        <v>354</v>
      </c>
      <c r="AU15" s="1" t="s">
        <v>355</v>
      </c>
      <c r="AV15" s="1" t="s">
        <v>356</v>
      </c>
      <c r="AW15" s="1" t="s">
        <v>357</v>
      </c>
      <c r="AX15" s="1" t="s">
        <v>358</v>
      </c>
      <c r="AY15" s="1" t="s">
        <v>309</v>
      </c>
      <c r="AZ15" s="1" t="s">
        <v>357</v>
      </c>
      <c r="BA15" s="2"/>
      <c r="BB15" s="13" t="s">
        <v>367</v>
      </c>
      <c r="BC15" s="16" t="s">
        <v>308</v>
      </c>
      <c r="BD15" s="15" t="s">
        <v>235</v>
      </c>
      <c r="BE15" s="16" t="s">
        <v>280</v>
      </c>
      <c r="BF15" s="16" t="s">
        <v>287</v>
      </c>
      <c r="BG15" s="15" t="s">
        <v>358</v>
      </c>
      <c r="BH15" s="2"/>
      <c r="BK15" s="2"/>
    </row>
    <row r="16" spans="1:63" x14ac:dyDescent="0.5">
      <c r="G16" s="1" t="s">
        <v>372</v>
      </c>
      <c r="H16" s="1" t="s">
        <v>372</v>
      </c>
      <c r="I16" s="1" t="s">
        <v>372</v>
      </c>
      <c r="J16" s="1" t="s">
        <v>372</v>
      </c>
      <c r="L16" s="1" t="s">
        <v>124</v>
      </c>
      <c r="M16" s="1" t="s">
        <v>122</v>
      </c>
      <c r="N16" s="1" t="s">
        <v>373</v>
      </c>
      <c r="O16" s="1" t="s">
        <v>374</v>
      </c>
      <c r="P16" s="1" t="s">
        <v>375</v>
      </c>
      <c r="Q16" s="1" t="s">
        <v>322</v>
      </c>
      <c r="S16" s="1" t="s">
        <v>124</v>
      </c>
      <c r="T16" s="1" t="s">
        <v>122</v>
      </c>
      <c r="U16" s="1" t="s">
        <v>373</v>
      </c>
      <c r="V16" s="1" t="s">
        <v>374</v>
      </c>
      <c r="W16" s="1" t="s">
        <v>375</v>
      </c>
      <c r="X16" s="1" t="s">
        <v>322</v>
      </c>
      <c r="Y16" s="1" t="s">
        <v>376</v>
      </c>
      <c r="Z16" s="1" t="s">
        <v>121</v>
      </c>
      <c r="AA16" s="1" t="s">
        <v>377</v>
      </c>
      <c r="AB16" s="1" t="s">
        <v>193</v>
      </c>
      <c r="AC16" s="1" t="s">
        <v>143</v>
      </c>
      <c r="AD16" s="1" t="s">
        <v>378</v>
      </c>
      <c r="AE16" s="1" t="s">
        <v>305</v>
      </c>
      <c r="AF16" s="1" t="s">
        <v>379</v>
      </c>
      <c r="AG16" s="1" t="s">
        <v>369</v>
      </c>
      <c r="AL16" s="2" t="s">
        <v>284</v>
      </c>
      <c r="AM16" s="2" t="s">
        <v>380</v>
      </c>
      <c r="AN16" s="2" t="s">
        <v>350</v>
      </c>
      <c r="AO16" s="2" t="s">
        <v>381</v>
      </c>
      <c r="AP16" s="2" t="s">
        <v>375</v>
      </c>
      <c r="AQ16" s="2" t="s">
        <v>382</v>
      </c>
      <c r="AR16" s="1" t="s">
        <v>194</v>
      </c>
      <c r="AS16" s="1" t="s">
        <v>116</v>
      </c>
      <c r="AT16" s="1" t="s">
        <v>365</v>
      </c>
      <c r="AU16" s="1" t="s">
        <v>116</v>
      </c>
      <c r="AV16" s="1" t="s">
        <v>125</v>
      </c>
      <c r="AW16" s="1" t="s">
        <v>366</v>
      </c>
      <c r="AX16" s="1" t="s">
        <v>293</v>
      </c>
      <c r="AY16" s="1" t="s">
        <v>281</v>
      </c>
      <c r="AZ16" s="1" t="s">
        <v>338</v>
      </c>
      <c r="BA16" s="2"/>
      <c r="BB16" s="14" t="s">
        <v>284</v>
      </c>
      <c r="BC16" s="14" t="s">
        <v>243</v>
      </c>
      <c r="BD16" s="15" t="s">
        <v>245</v>
      </c>
      <c r="BE16" s="13" t="s">
        <v>243</v>
      </c>
      <c r="BF16" s="16" t="s">
        <v>196</v>
      </c>
      <c r="BG16" s="15" t="s">
        <v>383</v>
      </c>
      <c r="BH16" s="2"/>
      <c r="BK16" s="2"/>
    </row>
    <row r="17" spans="7:63" x14ac:dyDescent="0.5">
      <c r="G17" s="1" t="s">
        <v>384</v>
      </c>
      <c r="H17" s="1" t="s">
        <v>384</v>
      </c>
      <c r="I17" s="1" t="s">
        <v>384</v>
      </c>
      <c r="J17" s="1" t="s">
        <v>384</v>
      </c>
      <c r="L17" s="1" t="s">
        <v>385</v>
      </c>
      <c r="M17" s="1" t="s">
        <v>124</v>
      </c>
      <c r="N17" s="1" t="s">
        <v>330</v>
      </c>
      <c r="O17" s="1" t="s">
        <v>386</v>
      </c>
      <c r="P17" s="1" t="s">
        <v>387</v>
      </c>
      <c r="Q17" s="1" t="s">
        <v>339</v>
      </c>
      <c r="S17" s="1" t="s">
        <v>385</v>
      </c>
      <c r="T17" s="1" t="s">
        <v>124</v>
      </c>
      <c r="U17" s="1" t="s">
        <v>330</v>
      </c>
      <c r="V17" s="1" t="s">
        <v>386</v>
      </c>
      <c r="W17" s="1" t="s">
        <v>387</v>
      </c>
      <c r="X17" s="1" t="s">
        <v>339</v>
      </c>
      <c r="Y17" s="1" t="s">
        <v>129</v>
      </c>
      <c r="Z17" s="1" t="s">
        <v>286</v>
      </c>
      <c r="AA17" s="1" t="s">
        <v>388</v>
      </c>
      <c r="AB17" s="1" t="s">
        <v>389</v>
      </c>
      <c r="AC17" s="1" t="s">
        <v>287</v>
      </c>
      <c r="AD17" s="1" t="s">
        <v>390</v>
      </c>
      <c r="AE17" s="1" t="s">
        <v>391</v>
      </c>
      <c r="AF17" s="1" t="s">
        <v>392</v>
      </c>
      <c r="AG17" s="1" t="s">
        <v>252</v>
      </c>
      <c r="AL17" s="2" t="s">
        <v>393</v>
      </c>
      <c r="AM17" s="2" t="s">
        <v>394</v>
      </c>
      <c r="AN17" s="2" t="s">
        <v>395</v>
      </c>
      <c r="AO17" s="2" t="s">
        <v>330</v>
      </c>
      <c r="AP17" s="2" t="s">
        <v>279</v>
      </c>
      <c r="AQ17" s="2" t="s">
        <v>396</v>
      </c>
      <c r="AR17" s="1" t="s">
        <v>376</v>
      </c>
      <c r="AS17" s="1" t="s">
        <v>121</v>
      </c>
      <c r="AT17" s="1" t="s">
        <v>377</v>
      </c>
      <c r="AU17" s="1" t="s">
        <v>193</v>
      </c>
      <c r="AV17" s="1" t="s">
        <v>143</v>
      </c>
      <c r="AW17" s="1" t="s">
        <v>378</v>
      </c>
      <c r="AX17" s="1" t="s">
        <v>305</v>
      </c>
      <c r="AY17" s="1" t="s">
        <v>379</v>
      </c>
      <c r="AZ17" s="1" t="s">
        <v>369</v>
      </c>
      <c r="BA17" s="2"/>
      <c r="BB17" s="13" t="s">
        <v>393</v>
      </c>
      <c r="BC17" s="15" t="s">
        <v>320</v>
      </c>
      <c r="BD17" s="16" t="s">
        <v>251</v>
      </c>
      <c r="BE17" s="14" t="s">
        <v>120</v>
      </c>
      <c r="BF17" s="16" t="s">
        <v>237</v>
      </c>
      <c r="BG17" s="15" t="s">
        <v>252</v>
      </c>
      <c r="BH17" s="2"/>
      <c r="BK17" s="2"/>
    </row>
    <row r="18" spans="7:63" x14ac:dyDescent="0.5">
      <c r="L18" s="1" t="s">
        <v>397</v>
      </c>
      <c r="M18" s="1" t="s">
        <v>397</v>
      </c>
      <c r="N18" s="1" t="s">
        <v>398</v>
      </c>
      <c r="O18" s="1" t="s">
        <v>361</v>
      </c>
      <c r="P18" s="1" t="s">
        <v>351</v>
      </c>
      <c r="Q18" s="1" t="s">
        <v>399</v>
      </c>
      <c r="S18" s="1" t="s">
        <v>397</v>
      </c>
      <c r="T18" s="1" t="s">
        <v>397</v>
      </c>
      <c r="U18" s="1" t="s">
        <v>398</v>
      </c>
      <c r="V18" s="1" t="s">
        <v>361</v>
      </c>
      <c r="W18" s="1" t="s">
        <v>351</v>
      </c>
      <c r="X18" s="1" t="s">
        <v>399</v>
      </c>
      <c r="Y18" s="1" t="s">
        <v>400</v>
      </c>
      <c r="Z18" s="1" t="s">
        <v>298</v>
      </c>
      <c r="AA18" s="1" t="s">
        <v>286</v>
      </c>
      <c r="AB18" s="1" t="s">
        <v>251</v>
      </c>
      <c r="AC18" s="1" t="s">
        <v>345</v>
      </c>
      <c r="AD18" s="1" t="s">
        <v>265</v>
      </c>
      <c r="AE18" s="1" t="s">
        <v>401</v>
      </c>
      <c r="AF18" s="1" t="s">
        <v>402</v>
      </c>
      <c r="AG18" s="1" t="s">
        <v>403</v>
      </c>
      <c r="AL18" s="2" t="s">
        <v>404</v>
      </c>
      <c r="AM18" s="2" t="s">
        <v>405</v>
      </c>
      <c r="AN18" s="2" t="s">
        <v>406</v>
      </c>
      <c r="AO18" s="2" t="s">
        <v>311</v>
      </c>
      <c r="AP18" s="2" t="s">
        <v>308</v>
      </c>
      <c r="AQ18" s="2" t="s">
        <v>407</v>
      </c>
      <c r="AR18" s="1" t="s">
        <v>129</v>
      </c>
      <c r="AS18" s="1" t="s">
        <v>286</v>
      </c>
      <c r="AT18" s="1" t="s">
        <v>388</v>
      </c>
      <c r="AU18" s="1" t="s">
        <v>389</v>
      </c>
      <c r="AV18" s="1" t="s">
        <v>287</v>
      </c>
      <c r="AW18" s="1" t="s">
        <v>390</v>
      </c>
      <c r="AX18" s="1" t="s">
        <v>391</v>
      </c>
      <c r="AY18" s="1" t="s">
        <v>392</v>
      </c>
      <c r="AZ18" s="1" t="s">
        <v>252</v>
      </c>
      <c r="BA18" s="2"/>
      <c r="BB18" s="14" t="s">
        <v>404</v>
      </c>
      <c r="BC18" s="16" t="s">
        <v>337</v>
      </c>
      <c r="BD18" s="15" t="s">
        <v>116</v>
      </c>
      <c r="BE18" s="13" t="s">
        <v>309</v>
      </c>
      <c r="BF18" s="16" t="s">
        <v>363</v>
      </c>
      <c r="BG18" s="15" t="s">
        <v>226</v>
      </c>
      <c r="BH18" s="2"/>
      <c r="BK18" s="2"/>
    </row>
    <row r="19" spans="7:63" x14ac:dyDescent="0.5">
      <c r="G19" s="1" t="s">
        <v>187</v>
      </c>
      <c r="H19" s="1" t="s">
        <v>214</v>
      </c>
      <c r="I19" s="1" t="s">
        <v>232</v>
      </c>
      <c r="L19" s="1" t="s">
        <v>397</v>
      </c>
      <c r="M19" s="1" t="s">
        <v>331</v>
      </c>
      <c r="N19" s="1" t="s">
        <v>326</v>
      </c>
      <c r="O19" s="1" t="s">
        <v>379</v>
      </c>
      <c r="P19" s="1" t="s">
        <v>408</v>
      </c>
      <c r="Q19" s="1" t="s">
        <v>409</v>
      </c>
      <c r="S19" s="1" t="s">
        <v>397</v>
      </c>
      <c r="T19" s="1" t="s">
        <v>331</v>
      </c>
      <c r="U19" s="1" t="s">
        <v>326</v>
      </c>
      <c r="V19" s="1" t="s">
        <v>379</v>
      </c>
      <c r="W19" s="1" t="s">
        <v>408</v>
      </c>
      <c r="X19" s="1" t="s">
        <v>409</v>
      </c>
      <c r="Y19" s="1" t="s">
        <v>410</v>
      </c>
      <c r="Z19" s="1" t="s">
        <v>397</v>
      </c>
      <c r="AA19" s="1" t="s">
        <v>411</v>
      </c>
      <c r="AB19" s="1" t="s">
        <v>412</v>
      </c>
      <c r="AC19" s="1" t="s">
        <v>327</v>
      </c>
      <c r="AD19" s="1" t="s">
        <v>413</v>
      </c>
      <c r="AE19" s="1" t="s">
        <v>414</v>
      </c>
      <c r="AF19" s="1" t="s">
        <v>415</v>
      </c>
      <c r="AG19" s="1" t="s">
        <v>134</v>
      </c>
      <c r="AL19" s="2" t="s">
        <v>416</v>
      </c>
      <c r="AM19" s="2" t="s">
        <v>404</v>
      </c>
      <c r="AN19" s="2" t="s">
        <v>402</v>
      </c>
      <c r="AO19" s="2" t="s">
        <v>417</v>
      </c>
      <c r="AP19" s="2" t="s">
        <v>387</v>
      </c>
      <c r="AQ19" s="2" t="s">
        <v>418</v>
      </c>
      <c r="AR19" s="1" t="s">
        <v>400</v>
      </c>
      <c r="AS19" s="1" t="s">
        <v>298</v>
      </c>
      <c r="AT19" s="1" t="s">
        <v>286</v>
      </c>
      <c r="AU19" s="1" t="s">
        <v>251</v>
      </c>
      <c r="AV19" s="1" t="s">
        <v>345</v>
      </c>
      <c r="AW19" s="1" t="s">
        <v>265</v>
      </c>
      <c r="AX19" s="1" t="s">
        <v>401</v>
      </c>
      <c r="AY19" s="1" t="s">
        <v>402</v>
      </c>
      <c r="AZ19" s="1" t="s">
        <v>403</v>
      </c>
      <c r="BA19" s="2"/>
      <c r="BB19" s="13" t="s">
        <v>416</v>
      </c>
      <c r="BC19" s="15" t="s">
        <v>269</v>
      </c>
      <c r="BD19" s="16" t="s">
        <v>281</v>
      </c>
      <c r="BE19" s="13" t="s">
        <v>269</v>
      </c>
      <c r="BF19" s="15" t="s">
        <v>358</v>
      </c>
      <c r="BG19" s="15" t="s">
        <v>274</v>
      </c>
      <c r="BH19" s="2"/>
      <c r="BK19" s="2"/>
    </row>
    <row r="20" spans="7:63" x14ac:dyDescent="0.5">
      <c r="G20" s="1" t="s">
        <v>206</v>
      </c>
      <c r="H20" s="1" t="s">
        <v>206</v>
      </c>
      <c r="I20" s="1" t="s">
        <v>206</v>
      </c>
      <c r="L20" s="1" t="s">
        <v>419</v>
      </c>
      <c r="M20" s="1" t="s">
        <v>420</v>
      </c>
      <c r="N20" s="1" t="s">
        <v>317</v>
      </c>
      <c r="O20" s="1" t="s">
        <v>338</v>
      </c>
      <c r="P20" s="1" t="s">
        <v>120</v>
      </c>
      <c r="Q20" s="1" t="s">
        <v>421</v>
      </c>
      <c r="S20" s="1" t="s">
        <v>419</v>
      </c>
      <c r="T20" s="1" t="s">
        <v>420</v>
      </c>
      <c r="U20" s="1" t="s">
        <v>317</v>
      </c>
      <c r="V20" s="1" t="s">
        <v>338</v>
      </c>
      <c r="W20" s="1" t="s">
        <v>120</v>
      </c>
      <c r="X20" s="1" t="s">
        <v>421</v>
      </c>
      <c r="Y20" s="1" t="s">
        <v>422</v>
      </c>
      <c r="Z20" s="1" t="s">
        <v>423</v>
      </c>
      <c r="AA20" s="1" t="s">
        <v>424</v>
      </c>
      <c r="AB20" s="1" t="s">
        <v>396</v>
      </c>
      <c r="AC20" s="1" t="s">
        <v>425</v>
      </c>
      <c r="AD20" s="1" t="s">
        <v>426</v>
      </c>
      <c r="AE20" s="1" t="s">
        <v>383</v>
      </c>
      <c r="AF20" s="1" t="s">
        <v>127</v>
      </c>
      <c r="AG20" s="1" t="s">
        <v>383</v>
      </c>
      <c r="AL20" s="2" t="s">
        <v>427</v>
      </c>
      <c r="AM20" s="2" t="s">
        <v>427</v>
      </c>
      <c r="AN20" s="2" t="s">
        <v>405</v>
      </c>
      <c r="AO20" s="2" t="s">
        <v>124</v>
      </c>
      <c r="AP20" s="2" t="s">
        <v>351</v>
      </c>
      <c r="AQ20" s="2" t="s">
        <v>141</v>
      </c>
      <c r="AR20" s="1" t="s">
        <v>410</v>
      </c>
      <c r="AS20" s="1" t="s">
        <v>397</v>
      </c>
      <c r="AT20" s="1" t="s">
        <v>411</v>
      </c>
      <c r="AU20" s="1" t="s">
        <v>412</v>
      </c>
      <c r="AV20" s="1" t="s">
        <v>327</v>
      </c>
      <c r="AW20" s="1" t="s">
        <v>413</v>
      </c>
      <c r="AX20" s="1" t="s">
        <v>414</v>
      </c>
      <c r="AY20" s="1" t="s">
        <v>415</v>
      </c>
      <c r="AZ20" s="1" t="s">
        <v>134</v>
      </c>
      <c r="BA20" s="2"/>
      <c r="BB20" s="14" t="s">
        <v>427</v>
      </c>
      <c r="BC20" s="13" t="s">
        <v>289</v>
      </c>
      <c r="BD20" s="16" t="s">
        <v>280</v>
      </c>
      <c r="BE20" s="13" t="s">
        <v>338</v>
      </c>
      <c r="BF20" s="15" t="s">
        <v>383</v>
      </c>
      <c r="BG20" s="15" t="s">
        <v>299</v>
      </c>
      <c r="BH20" s="2"/>
      <c r="BK20" s="2"/>
    </row>
    <row r="21" spans="7:63" x14ac:dyDescent="0.5">
      <c r="G21" s="1" t="s">
        <v>207</v>
      </c>
      <c r="H21" s="1" t="s">
        <v>207</v>
      </c>
      <c r="I21" s="1" t="s">
        <v>207</v>
      </c>
      <c r="L21" s="1" t="s">
        <v>130</v>
      </c>
      <c r="M21" s="1" t="s">
        <v>347</v>
      </c>
      <c r="N21" s="1" t="s">
        <v>327</v>
      </c>
      <c r="O21" s="1" t="s">
        <v>369</v>
      </c>
      <c r="P21" s="1" t="s">
        <v>320</v>
      </c>
      <c r="Q21" s="1" t="s">
        <v>428</v>
      </c>
      <c r="S21" s="1" t="s">
        <v>130</v>
      </c>
      <c r="T21" s="1" t="s">
        <v>347</v>
      </c>
      <c r="U21" s="1" t="s">
        <v>327</v>
      </c>
      <c r="V21" s="1" t="s">
        <v>369</v>
      </c>
      <c r="W21" s="1" t="s">
        <v>320</v>
      </c>
      <c r="X21" s="1" t="s">
        <v>428</v>
      </c>
      <c r="Y21" s="1" t="s">
        <v>280</v>
      </c>
      <c r="Z21" s="1" t="s">
        <v>429</v>
      </c>
      <c r="AA21" s="1" t="s">
        <v>430</v>
      </c>
      <c r="AB21" s="1" t="s">
        <v>431</v>
      </c>
      <c r="AC21" s="1" t="s">
        <v>432</v>
      </c>
      <c r="AD21" s="1" t="s">
        <v>433</v>
      </c>
      <c r="AE21" s="1" t="s">
        <v>363</v>
      </c>
      <c r="AF21" s="1" t="s">
        <v>237</v>
      </c>
      <c r="AG21" s="1" t="s">
        <v>434</v>
      </c>
      <c r="AL21" s="2" t="s">
        <v>435</v>
      </c>
      <c r="AM21" s="2" t="s">
        <v>436</v>
      </c>
      <c r="AN21" s="2" t="s">
        <v>388</v>
      </c>
      <c r="AO21" s="2" t="s">
        <v>397</v>
      </c>
      <c r="AP21" s="2" t="s">
        <v>314</v>
      </c>
      <c r="AQ21" s="2" t="s">
        <v>437</v>
      </c>
      <c r="AR21" s="1" t="s">
        <v>422</v>
      </c>
      <c r="AS21" s="1" t="s">
        <v>423</v>
      </c>
      <c r="AT21" s="1" t="s">
        <v>424</v>
      </c>
      <c r="AU21" s="1" t="s">
        <v>396</v>
      </c>
      <c r="AV21" s="1" t="s">
        <v>425</v>
      </c>
      <c r="AW21" s="1" t="s">
        <v>426</v>
      </c>
      <c r="AX21" s="1" t="s">
        <v>383</v>
      </c>
      <c r="AY21" s="1" t="s">
        <v>127</v>
      </c>
      <c r="AZ21" s="1" t="s">
        <v>383</v>
      </c>
      <c r="BA21" s="2"/>
      <c r="BB21" s="13" t="s">
        <v>435</v>
      </c>
      <c r="BC21" s="15" t="s">
        <v>122</v>
      </c>
      <c r="BD21" s="15" t="s">
        <v>260</v>
      </c>
      <c r="BE21" s="13" t="s">
        <v>122</v>
      </c>
      <c r="BF21" s="16" t="s">
        <v>438</v>
      </c>
      <c r="BG21" s="15" t="s">
        <v>116</v>
      </c>
      <c r="BH21" s="2"/>
      <c r="BK21" s="2"/>
    </row>
    <row r="22" spans="7:63" x14ac:dyDescent="0.5">
      <c r="G22" s="1" t="s">
        <v>208</v>
      </c>
      <c r="H22" s="1" t="s">
        <v>208</v>
      </c>
      <c r="I22" s="1" t="s">
        <v>208</v>
      </c>
      <c r="L22" s="1" t="s">
        <v>402</v>
      </c>
      <c r="M22" s="1" t="s">
        <v>198</v>
      </c>
      <c r="N22" s="1" t="s">
        <v>439</v>
      </c>
      <c r="O22" s="1" t="s">
        <v>439</v>
      </c>
      <c r="P22" s="1" t="s">
        <v>440</v>
      </c>
      <c r="Q22" s="1" t="s">
        <v>441</v>
      </c>
      <c r="S22" s="1" t="s">
        <v>402</v>
      </c>
      <c r="T22" s="1" t="s">
        <v>198</v>
      </c>
      <c r="U22" s="1" t="s">
        <v>439</v>
      </c>
      <c r="V22" s="1" t="s">
        <v>439</v>
      </c>
      <c r="W22" s="1" t="s">
        <v>440</v>
      </c>
      <c r="X22" s="1" t="s">
        <v>441</v>
      </c>
      <c r="Y22" s="1" t="s">
        <v>442</v>
      </c>
      <c r="Z22" s="1" t="s">
        <v>347</v>
      </c>
      <c r="AA22" s="1" t="s">
        <v>381</v>
      </c>
      <c r="AB22" s="1" t="s">
        <v>324</v>
      </c>
      <c r="AC22" s="1" t="s">
        <v>443</v>
      </c>
      <c r="AD22" s="1" t="s">
        <v>138</v>
      </c>
      <c r="AE22" s="1" t="s">
        <v>444</v>
      </c>
      <c r="AF22" s="1" t="s">
        <v>425</v>
      </c>
      <c r="AG22" s="1" t="s">
        <v>445</v>
      </c>
      <c r="AL22" s="2" t="s">
        <v>446</v>
      </c>
      <c r="AM22" s="2" t="s">
        <v>447</v>
      </c>
      <c r="AN22" s="2" t="s">
        <v>341</v>
      </c>
      <c r="AO22" s="2" t="s">
        <v>380</v>
      </c>
      <c r="AP22" s="2" t="s">
        <v>243</v>
      </c>
      <c r="AR22" s="1" t="s">
        <v>280</v>
      </c>
      <c r="AS22" s="1" t="s">
        <v>429</v>
      </c>
      <c r="AT22" s="1" t="s">
        <v>430</v>
      </c>
      <c r="AU22" s="1" t="s">
        <v>431</v>
      </c>
      <c r="AV22" s="1" t="s">
        <v>432</v>
      </c>
      <c r="AW22" s="1" t="s">
        <v>433</v>
      </c>
      <c r="AX22" s="1" t="s">
        <v>363</v>
      </c>
      <c r="AY22" s="1" t="s">
        <v>237</v>
      </c>
      <c r="AZ22" s="1" t="s">
        <v>434</v>
      </c>
      <c r="BB22" s="13" t="s">
        <v>436</v>
      </c>
      <c r="BC22" s="15" t="s">
        <v>302</v>
      </c>
      <c r="BD22" s="16" t="s">
        <v>332</v>
      </c>
      <c r="BE22" s="13" t="s">
        <v>240</v>
      </c>
      <c r="BF22" s="16" t="s">
        <v>252</v>
      </c>
      <c r="BG22" s="15" t="s">
        <v>290</v>
      </c>
    </row>
    <row r="23" spans="7:63" x14ac:dyDescent="0.5">
      <c r="G23" s="1" t="s">
        <v>209</v>
      </c>
      <c r="H23" s="1" t="s">
        <v>209</v>
      </c>
      <c r="I23" s="1" t="s">
        <v>209</v>
      </c>
      <c r="L23" s="1" t="s">
        <v>368</v>
      </c>
      <c r="M23" s="1" t="s">
        <v>360</v>
      </c>
      <c r="N23" s="1" t="s">
        <v>439</v>
      </c>
      <c r="O23" s="1" t="s">
        <v>397</v>
      </c>
      <c r="P23" s="1" t="s">
        <v>121</v>
      </c>
      <c r="Q23" s="1" t="s">
        <v>279</v>
      </c>
      <c r="S23" s="1" t="s">
        <v>368</v>
      </c>
      <c r="T23" s="1" t="s">
        <v>360</v>
      </c>
      <c r="U23" s="1" t="s">
        <v>439</v>
      </c>
      <c r="V23" s="1" t="s">
        <v>397</v>
      </c>
      <c r="W23" s="1" t="s">
        <v>121</v>
      </c>
      <c r="X23" s="1" t="s">
        <v>279</v>
      </c>
      <c r="Y23" s="1" t="s">
        <v>130</v>
      </c>
      <c r="Z23" s="1" t="s">
        <v>448</v>
      </c>
      <c r="AA23" s="1" t="s">
        <v>449</v>
      </c>
      <c r="AB23" s="1" t="s">
        <v>296</v>
      </c>
      <c r="AC23" s="1" t="s">
        <v>450</v>
      </c>
      <c r="AD23" s="1" t="s">
        <v>376</v>
      </c>
      <c r="AE23" s="1" t="s">
        <v>330</v>
      </c>
      <c r="AF23" s="1" t="s">
        <v>321</v>
      </c>
      <c r="AG23" s="1" t="s">
        <v>451</v>
      </c>
      <c r="AL23" s="2" t="s">
        <v>390</v>
      </c>
      <c r="AM23" s="2" t="s">
        <v>425</v>
      </c>
      <c r="AN23" s="2" t="s">
        <v>135</v>
      </c>
      <c r="AO23" s="2" t="s">
        <v>452</v>
      </c>
      <c r="AP23" s="2" t="s">
        <v>453</v>
      </c>
      <c r="AR23" s="1" t="s">
        <v>442</v>
      </c>
      <c r="AS23" s="1" t="s">
        <v>347</v>
      </c>
      <c r="AT23" s="1" t="s">
        <v>381</v>
      </c>
      <c r="AU23" s="1" t="s">
        <v>324</v>
      </c>
      <c r="AV23" s="1" t="s">
        <v>443</v>
      </c>
      <c r="AW23" s="1" t="s">
        <v>138</v>
      </c>
      <c r="AX23" s="1" t="s">
        <v>444</v>
      </c>
      <c r="AY23" s="1" t="s">
        <v>425</v>
      </c>
      <c r="AZ23" s="1" t="s">
        <v>445</v>
      </c>
      <c r="BB23" s="14" t="s">
        <v>446</v>
      </c>
      <c r="BC23" s="15" t="s">
        <v>317</v>
      </c>
      <c r="BD23" s="16" t="s">
        <v>279</v>
      </c>
      <c r="BE23" s="15" t="s">
        <v>373</v>
      </c>
      <c r="BF23" s="15" t="s">
        <v>226</v>
      </c>
      <c r="BG23" s="15" t="s">
        <v>281</v>
      </c>
    </row>
    <row r="24" spans="7:63" x14ac:dyDescent="0.5">
      <c r="G24" s="1" t="s">
        <v>210</v>
      </c>
      <c r="H24" s="1" t="s">
        <v>210</v>
      </c>
      <c r="I24" s="1" t="s">
        <v>210</v>
      </c>
      <c r="L24" s="1" t="s">
        <v>367</v>
      </c>
      <c r="M24" s="1" t="s">
        <v>130</v>
      </c>
      <c r="N24" s="1" t="s">
        <v>125</v>
      </c>
      <c r="O24" s="1" t="s">
        <v>454</v>
      </c>
      <c r="P24" s="1" t="s">
        <v>122</v>
      </c>
      <c r="Q24" s="1" t="s">
        <v>321</v>
      </c>
      <c r="S24" s="1" t="s">
        <v>367</v>
      </c>
      <c r="T24" s="1" t="s">
        <v>130</v>
      </c>
      <c r="U24" s="1" t="s">
        <v>125</v>
      </c>
      <c r="V24" s="1" t="s">
        <v>454</v>
      </c>
      <c r="W24" s="1" t="s">
        <v>122</v>
      </c>
      <c r="X24" s="1" t="s">
        <v>321</v>
      </c>
      <c r="Y24" s="1" t="s">
        <v>283</v>
      </c>
      <c r="Z24" s="1" t="s">
        <v>192</v>
      </c>
      <c r="AA24" s="1" t="s">
        <v>455</v>
      </c>
      <c r="AB24" s="1" t="s">
        <v>423</v>
      </c>
      <c r="AC24" s="1" t="s">
        <v>383</v>
      </c>
      <c r="AD24" s="1" t="s">
        <v>456</v>
      </c>
      <c r="AE24" s="1" t="s">
        <v>456</v>
      </c>
      <c r="AF24" s="1" t="s">
        <v>457</v>
      </c>
      <c r="AG24" s="1" t="s">
        <v>355</v>
      </c>
      <c r="AL24" s="2" t="s">
        <v>415</v>
      </c>
      <c r="AM24" s="2" t="s">
        <v>457</v>
      </c>
      <c r="AN24" s="2" t="s">
        <v>458</v>
      </c>
      <c r="AO24" s="2" t="s">
        <v>459</v>
      </c>
      <c r="AP24" s="2" t="s">
        <v>122</v>
      </c>
      <c r="AR24" s="1" t="s">
        <v>130</v>
      </c>
      <c r="AS24" s="1" t="s">
        <v>448</v>
      </c>
      <c r="AT24" s="1" t="s">
        <v>449</v>
      </c>
      <c r="AU24" s="1" t="s">
        <v>296</v>
      </c>
      <c r="AV24" s="1" t="s">
        <v>450</v>
      </c>
      <c r="AW24" s="1" t="s">
        <v>376</v>
      </c>
      <c r="AX24" s="1" t="s">
        <v>330</v>
      </c>
      <c r="AY24" s="1" t="s">
        <v>321</v>
      </c>
      <c r="AZ24" s="1" t="s">
        <v>451</v>
      </c>
      <c r="BB24" s="13" t="s">
        <v>390</v>
      </c>
      <c r="BC24" s="15" t="s">
        <v>124</v>
      </c>
      <c r="BD24" s="15" t="s">
        <v>321</v>
      </c>
      <c r="BE24" s="14" t="s">
        <v>330</v>
      </c>
      <c r="BF24" s="15" t="s">
        <v>357</v>
      </c>
      <c r="BG24" s="15" t="s">
        <v>460</v>
      </c>
    </row>
    <row r="25" spans="7:63" x14ac:dyDescent="0.5">
      <c r="G25" s="1" t="s">
        <v>211</v>
      </c>
      <c r="H25" s="1" t="s">
        <v>211</v>
      </c>
      <c r="I25" s="1" t="s">
        <v>211</v>
      </c>
      <c r="L25" s="1" t="s">
        <v>461</v>
      </c>
      <c r="M25" s="1" t="s">
        <v>402</v>
      </c>
      <c r="N25" s="1" t="s">
        <v>454</v>
      </c>
      <c r="O25" s="1" t="s">
        <v>452</v>
      </c>
      <c r="P25" s="1" t="s">
        <v>451</v>
      </c>
      <c r="Q25" s="1" t="s">
        <v>462</v>
      </c>
      <c r="S25" s="1" t="s">
        <v>461</v>
      </c>
      <c r="T25" s="1" t="s">
        <v>402</v>
      </c>
      <c r="U25" s="1" t="s">
        <v>454</v>
      </c>
      <c r="V25" s="1" t="s">
        <v>452</v>
      </c>
      <c r="W25" s="1" t="s">
        <v>451</v>
      </c>
      <c r="X25" s="1" t="s">
        <v>462</v>
      </c>
      <c r="Y25" s="1" t="s">
        <v>463</v>
      </c>
      <c r="Z25" s="1" t="s">
        <v>464</v>
      </c>
      <c r="AA25" s="1" t="s">
        <v>465</v>
      </c>
      <c r="AB25" s="1" t="s">
        <v>466</v>
      </c>
      <c r="AC25" s="1" t="s">
        <v>434</v>
      </c>
      <c r="AD25" s="1" t="s">
        <v>330</v>
      </c>
      <c r="AE25" s="1" t="s">
        <v>467</v>
      </c>
      <c r="AF25" s="1" t="s">
        <v>290</v>
      </c>
      <c r="AG25" s="1" t="s">
        <v>262</v>
      </c>
      <c r="AL25" s="2" t="s">
        <v>457</v>
      </c>
      <c r="AM25" s="2" t="s">
        <v>223</v>
      </c>
      <c r="AN25" s="2" t="s">
        <v>138</v>
      </c>
      <c r="AO25" s="2" t="s">
        <v>468</v>
      </c>
      <c r="AP25" s="2" t="s">
        <v>327</v>
      </c>
      <c r="AR25" s="1" t="s">
        <v>283</v>
      </c>
      <c r="AS25" s="1" t="s">
        <v>192</v>
      </c>
      <c r="AT25" s="1" t="s">
        <v>455</v>
      </c>
      <c r="AU25" s="1" t="s">
        <v>423</v>
      </c>
      <c r="AV25" s="1" t="s">
        <v>383</v>
      </c>
      <c r="AW25" s="1" t="s">
        <v>456</v>
      </c>
      <c r="AX25" s="1" t="s">
        <v>456</v>
      </c>
      <c r="AY25" s="1" t="s">
        <v>457</v>
      </c>
      <c r="AZ25" s="1" t="s">
        <v>355</v>
      </c>
      <c r="BB25" s="14" t="s">
        <v>415</v>
      </c>
      <c r="BC25" s="15" t="s">
        <v>397</v>
      </c>
      <c r="BD25" s="16" t="s">
        <v>308</v>
      </c>
      <c r="BE25" s="15" t="s">
        <v>398</v>
      </c>
      <c r="BF25" s="15" t="s">
        <v>469</v>
      </c>
      <c r="BG25" s="15" t="s">
        <v>329</v>
      </c>
    </row>
    <row r="26" spans="7:63" x14ac:dyDescent="0.5">
      <c r="L26" s="1" t="s">
        <v>416</v>
      </c>
      <c r="M26" s="1" t="s">
        <v>470</v>
      </c>
      <c r="N26" s="1" t="s">
        <v>368</v>
      </c>
      <c r="O26" s="1" t="s">
        <v>471</v>
      </c>
      <c r="P26" s="1" t="s">
        <v>410</v>
      </c>
      <c r="Q26" s="1" t="s">
        <v>308</v>
      </c>
      <c r="S26" s="1" t="s">
        <v>416</v>
      </c>
      <c r="T26" s="1" t="s">
        <v>470</v>
      </c>
      <c r="U26" s="1" t="s">
        <v>368</v>
      </c>
      <c r="V26" s="1" t="s">
        <v>471</v>
      </c>
      <c r="W26" s="1" t="s">
        <v>410</v>
      </c>
      <c r="X26" s="1" t="s">
        <v>308</v>
      </c>
      <c r="Y26" s="1" t="s">
        <v>291</v>
      </c>
      <c r="Z26" s="1" t="s">
        <v>237</v>
      </c>
      <c r="AA26" s="1" t="s">
        <v>239</v>
      </c>
      <c r="AB26" s="1" t="s">
        <v>472</v>
      </c>
      <c r="AC26" s="1" t="s">
        <v>473</v>
      </c>
      <c r="AD26" s="1" t="s">
        <v>467</v>
      </c>
      <c r="AE26" s="1" t="s">
        <v>226</v>
      </c>
      <c r="AF26" s="1" t="s">
        <v>474</v>
      </c>
      <c r="AG26" s="1" t="s">
        <v>475</v>
      </c>
      <c r="AL26" s="2" t="s">
        <v>457</v>
      </c>
      <c r="AM26" s="2" t="s">
        <v>476</v>
      </c>
      <c r="AN26" s="2" t="s">
        <v>223</v>
      </c>
      <c r="AO26" s="2" t="s">
        <v>427</v>
      </c>
      <c r="AP26" s="2" t="s">
        <v>125</v>
      </c>
      <c r="AR26" s="1" t="s">
        <v>463</v>
      </c>
      <c r="AS26" s="1" t="s">
        <v>464</v>
      </c>
      <c r="AT26" s="1" t="s">
        <v>465</v>
      </c>
      <c r="AU26" s="1" t="s">
        <v>466</v>
      </c>
      <c r="AV26" s="1" t="s">
        <v>434</v>
      </c>
      <c r="AW26" s="1" t="s">
        <v>330</v>
      </c>
      <c r="AX26" s="1" t="s">
        <v>467</v>
      </c>
      <c r="AY26" s="1" t="s">
        <v>290</v>
      </c>
      <c r="AZ26" s="1" t="s">
        <v>262</v>
      </c>
      <c r="BB26" s="13" t="s">
        <v>457</v>
      </c>
      <c r="BC26" s="15" t="s">
        <v>331</v>
      </c>
      <c r="BD26" s="15" t="s">
        <v>351</v>
      </c>
      <c r="BE26" s="16" t="s">
        <v>326</v>
      </c>
      <c r="BF26" s="15" t="s">
        <v>274</v>
      </c>
      <c r="BG26" s="15" t="s">
        <v>321</v>
      </c>
    </row>
    <row r="27" spans="7:63" x14ac:dyDescent="0.5">
      <c r="L27" s="1" t="s">
        <v>477</v>
      </c>
      <c r="M27" s="1" t="s">
        <v>380</v>
      </c>
      <c r="N27" s="1" t="s">
        <v>470</v>
      </c>
      <c r="O27" s="1" t="s">
        <v>459</v>
      </c>
      <c r="P27" s="1" t="s">
        <v>346</v>
      </c>
      <c r="Q27" s="1" t="s">
        <v>387</v>
      </c>
      <c r="S27" s="1" t="s">
        <v>477</v>
      </c>
      <c r="T27" s="1" t="s">
        <v>380</v>
      </c>
      <c r="U27" s="1" t="s">
        <v>470</v>
      </c>
      <c r="V27" s="1" t="s">
        <v>459</v>
      </c>
      <c r="W27" s="1" t="s">
        <v>346</v>
      </c>
      <c r="X27" s="1" t="s">
        <v>387</v>
      </c>
      <c r="Y27" s="1" t="s">
        <v>239</v>
      </c>
      <c r="Z27" s="1" t="s">
        <v>277</v>
      </c>
      <c r="AA27" s="1" t="s">
        <v>192</v>
      </c>
      <c r="AB27" s="1" t="s">
        <v>286</v>
      </c>
      <c r="AC27" s="1" t="s">
        <v>330</v>
      </c>
      <c r="AD27" s="1" t="s">
        <v>226</v>
      </c>
      <c r="AE27" s="1" t="s">
        <v>478</v>
      </c>
      <c r="AF27" s="1" t="s">
        <v>479</v>
      </c>
      <c r="AG27" s="1" t="s">
        <v>144</v>
      </c>
      <c r="AL27" s="2" t="s">
        <v>480</v>
      </c>
      <c r="AM27" s="2" t="s">
        <v>343</v>
      </c>
      <c r="AN27" s="2" t="s">
        <v>456</v>
      </c>
      <c r="AO27" s="2" t="s">
        <v>353</v>
      </c>
      <c r="AP27" s="2" t="s">
        <v>454</v>
      </c>
      <c r="AR27" s="1" t="s">
        <v>291</v>
      </c>
      <c r="AS27" s="1" t="s">
        <v>237</v>
      </c>
      <c r="AT27" s="1" t="s">
        <v>239</v>
      </c>
      <c r="AU27" s="1" t="s">
        <v>472</v>
      </c>
      <c r="AV27" s="1" t="s">
        <v>473</v>
      </c>
      <c r="AW27" s="1" t="s">
        <v>467</v>
      </c>
      <c r="AX27" s="1" t="s">
        <v>226</v>
      </c>
      <c r="AY27" s="1" t="s">
        <v>474</v>
      </c>
      <c r="AZ27" s="1" t="s">
        <v>475</v>
      </c>
      <c r="BB27" s="18" t="s">
        <v>480</v>
      </c>
      <c r="BC27" s="15" t="s">
        <v>420</v>
      </c>
      <c r="BD27" s="15" t="s">
        <v>243</v>
      </c>
      <c r="BE27" s="14" t="s">
        <v>350</v>
      </c>
      <c r="BF27" s="16" t="s">
        <v>258</v>
      </c>
      <c r="BG27" s="15" t="s">
        <v>414</v>
      </c>
    </row>
    <row r="28" spans="7:63" x14ac:dyDescent="0.5">
      <c r="L28" s="1" t="s">
        <v>427</v>
      </c>
      <c r="M28" s="1" t="s">
        <v>405</v>
      </c>
      <c r="N28" s="1" t="s">
        <v>405</v>
      </c>
      <c r="O28" s="1" t="s">
        <v>367</v>
      </c>
      <c r="P28" s="1" t="s">
        <v>124</v>
      </c>
      <c r="Q28" s="1" t="s">
        <v>351</v>
      </c>
      <c r="S28" s="1" t="s">
        <v>427</v>
      </c>
      <c r="T28" s="1" t="s">
        <v>405</v>
      </c>
      <c r="U28" s="1" t="s">
        <v>405</v>
      </c>
      <c r="V28" s="1" t="s">
        <v>367</v>
      </c>
      <c r="W28" s="1" t="s">
        <v>124</v>
      </c>
      <c r="X28" s="1" t="s">
        <v>351</v>
      </c>
      <c r="Y28" s="1" t="s">
        <v>141</v>
      </c>
      <c r="Z28" s="1" t="s">
        <v>388</v>
      </c>
      <c r="AA28" s="1" t="s">
        <v>481</v>
      </c>
      <c r="AB28" s="1" t="s">
        <v>482</v>
      </c>
      <c r="AC28" s="1" t="s">
        <v>467</v>
      </c>
      <c r="AD28" s="1" t="s">
        <v>483</v>
      </c>
      <c r="AE28" s="1" t="s">
        <v>484</v>
      </c>
      <c r="AF28" s="1" t="s">
        <v>485</v>
      </c>
      <c r="AG28" s="1" t="s">
        <v>460</v>
      </c>
      <c r="AL28" s="2"/>
      <c r="AM28" s="2"/>
      <c r="AN28" s="2" t="s">
        <v>486</v>
      </c>
      <c r="AO28" s="2" t="s">
        <v>425</v>
      </c>
      <c r="AP28" s="2" t="s">
        <v>331</v>
      </c>
      <c r="AR28" s="1" t="s">
        <v>239</v>
      </c>
      <c r="AS28" s="1" t="s">
        <v>277</v>
      </c>
      <c r="AT28" s="1" t="s">
        <v>192</v>
      </c>
      <c r="AU28" s="1" t="s">
        <v>286</v>
      </c>
      <c r="AV28" s="1" t="s">
        <v>330</v>
      </c>
      <c r="AW28" s="1" t="s">
        <v>226</v>
      </c>
      <c r="AX28" s="1" t="s">
        <v>478</v>
      </c>
      <c r="AY28" s="1" t="s">
        <v>479</v>
      </c>
      <c r="AZ28" s="1" t="s">
        <v>144</v>
      </c>
      <c r="BB28" s="18"/>
      <c r="BC28" s="15" t="s">
        <v>347</v>
      </c>
      <c r="BD28" s="16" t="s">
        <v>120</v>
      </c>
      <c r="BE28" s="13" t="s">
        <v>395</v>
      </c>
      <c r="BF28" s="15" t="s">
        <v>299</v>
      </c>
      <c r="BG28" s="15" t="s">
        <v>445</v>
      </c>
    </row>
    <row r="29" spans="7:63" x14ac:dyDescent="0.5">
      <c r="L29" s="1" t="s">
        <v>487</v>
      </c>
      <c r="M29" s="1" t="s">
        <v>471</v>
      </c>
      <c r="N29" s="1" t="s">
        <v>459</v>
      </c>
      <c r="O29" s="1" t="s">
        <v>411</v>
      </c>
      <c r="P29" s="1" t="s">
        <v>488</v>
      </c>
      <c r="Q29" s="1" t="s">
        <v>314</v>
      </c>
      <c r="S29" s="1" t="s">
        <v>487</v>
      </c>
      <c r="T29" s="1" t="s">
        <v>471</v>
      </c>
      <c r="U29" s="1" t="s">
        <v>459</v>
      </c>
      <c r="V29" s="1" t="s">
        <v>411</v>
      </c>
      <c r="W29" s="1" t="s">
        <v>488</v>
      </c>
      <c r="X29" s="1" t="s">
        <v>314</v>
      </c>
      <c r="Y29" s="1" t="s">
        <v>489</v>
      </c>
      <c r="Z29" s="1" t="s">
        <v>490</v>
      </c>
      <c r="AA29" s="1" t="s">
        <v>490</v>
      </c>
      <c r="AB29" s="1" t="s">
        <v>491</v>
      </c>
      <c r="AC29" s="1" t="s">
        <v>456</v>
      </c>
      <c r="AD29" s="1" t="s">
        <v>492</v>
      </c>
      <c r="AE29" s="1" t="s">
        <v>410</v>
      </c>
      <c r="AF29" s="1" t="s">
        <v>337</v>
      </c>
      <c r="AG29" s="1" t="s">
        <v>428</v>
      </c>
      <c r="AL29" s="2"/>
      <c r="AN29" s="2" t="s">
        <v>493</v>
      </c>
      <c r="AO29" s="2" t="s">
        <v>494</v>
      </c>
      <c r="AP29" s="2" t="s">
        <v>495</v>
      </c>
      <c r="AR29" s="1" t="s">
        <v>141</v>
      </c>
      <c r="AS29" s="1" t="s">
        <v>388</v>
      </c>
      <c r="AT29" s="1" t="s">
        <v>481</v>
      </c>
      <c r="AU29" s="1" t="s">
        <v>482</v>
      </c>
      <c r="AV29" s="1" t="s">
        <v>467</v>
      </c>
      <c r="AW29" s="1" t="s">
        <v>483</v>
      </c>
      <c r="AX29" s="1" t="s">
        <v>484</v>
      </c>
      <c r="AY29" s="1" t="s">
        <v>485</v>
      </c>
      <c r="AZ29" s="1" t="s">
        <v>460</v>
      </c>
      <c r="BC29" s="15" t="s">
        <v>198</v>
      </c>
      <c r="BD29" s="15" t="s">
        <v>348</v>
      </c>
      <c r="BE29" s="15" t="s">
        <v>317</v>
      </c>
      <c r="BF29" s="15" t="s">
        <v>116</v>
      </c>
      <c r="BG29" s="15" t="s">
        <v>314</v>
      </c>
    </row>
    <row r="30" spans="7:63" x14ac:dyDescent="0.5">
      <c r="L30" s="1" t="s">
        <v>353</v>
      </c>
      <c r="M30" s="1" t="s">
        <v>284</v>
      </c>
      <c r="N30" s="1" t="s">
        <v>367</v>
      </c>
      <c r="O30" s="1" t="s">
        <v>135</v>
      </c>
      <c r="P30" s="1" t="s">
        <v>496</v>
      </c>
      <c r="Q30" s="1" t="s">
        <v>314</v>
      </c>
      <c r="S30" s="1" t="s">
        <v>353</v>
      </c>
      <c r="T30" s="1" t="s">
        <v>284</v>
      </c>
      <c r="U30" s="1" t="s">
        <v>367</v>
      </c>
      <c r="V30" s="1" t="s">
        <v>135</v>
      </c>
      <c r="W30" s="1" t="s">
        <v>496</v>
      </c>
      <c r="X30" s="1" t="s">
        <v>314</v>
      </c>
      <c r="Y30" s="1" t="s">
        <v>144</v>
      </c>
      <c r="Z30" s="1" t="s">
        <v>402</v>
      </c>
      <c r="AA30" s="1" t="s">
        <v>129</v>
      </c>
      <c r="AB30" s="1" t="s">
        <v>131</v>
      </c>
      <c r="AC30" s="1" t="s">
        <v>497</v>
      </c>
      <c r="AD30" s="1" t="s">
        <v>470</v>
      </c>
      <c r="AE30" s="1" t="s">
        <v>134</v>
      </c>
      <c r="AG30" s="1" t="s">
        <v>125</v>
      </c>
      <c r="AL30" s="2"/>
      <c r="AN30" s="2" t="s">
        <v>484</v>
      </c>
      <c r="AO30" s="2" t="s">
        <v>498</v>
      </c>
      <c r="AP30" s="2" t="s">
        <v>127</v>
      </c>
      <c r="AR30" s="1" t="s">
        <v>489</v>
      </c>
      <c r="AS30" s="1" t="s">
        <v>490</v>
      </c>
      <c r="AT30" s="1" t="s">
        <v>490</v>
      </c>
      <c r="AU30" s="1" t="s">
        <v>491</v>
      </c>
      <c r="AV30" s="1" t="s">
        <v>456</v>
      </c>
      <c r="AW30" s="1" t="s">
        <v>492</v>
      </c>
      <c r="AX30" s="1" t="s">
        <v>410</v>
      </c>
      <c r="AY30" s="1" t="s">
        <v>337</v>
      </c>
      <c r="AZ30" s="1" t="s">
        <v>428</v>
      </c>
      <c r="BC30" s="15" t="s">
        <v>360</v>
      </c>
      <c r="BD30" s="15" t="s">
        <v>374</v>
      </c>
      <c r="BE30" s="16" t="s">
        <v>327</v>
      </c>
      <c r="BF30" s="16" t="s">
        <v>290</v>
      </c>
      <c r="BG30" s="15" t="s">
        <v>309</v>
      </c>
    </row>
    <row r="31" spans="7:63" x14ac:dyDescent="0.5">
      <c r="L31" s="1" t="s">
        <v>341</v>
      </c>
      <c r="M31" s="1" t="s">
        <v>426</v>
      </c>
      <c r="N31" s="1" t="s">
        <v>388</v>
      </c>
      <c r="O31" s="1" t="s">
        <v>425</v>
      </c>
      <c r="P31" s="1" t="s">
        <v>127</v>
      </c>
      <c r="Q31" s="1" t="s">
        <v>309</v>
      </c>
      <c r="S31" s="1" t="s">
        <v>341</v>
      </c>
      <c r="T31" s="1" t="s">
        <v>426</v>
      </c>
      <c r="U31" s="1" t="s">
        <v>388</v>
      </c>
      <c r="V31" s="1" t="s">
        <v>425</v>
      </c>
      <c r="W31" s="1" t="s">
        <v>127</v>
      </c>
      <c r="X31" s="1" t="s">
        <v>309</v>
      </c>
      <c r="Y31" s="1" t="s">
        <v>428</v>
      </c>
      <c r="Z31" s="1" t="s">
        <v>452</v>
      </c>
      <c r="AA31" s="1" t="s">
        <v>199</v>
      </c>
      <c r="AB31" s="1" t="s">
        <v>499</v>
      </c>
      <c r="AC31" s="1" t="s">
        <v>500</v>
      </c>
      <c r="AD31" s="1" t="s">
        <v>369</v>
      </c>
      <c r="AE31" s="1" t="s">
        <v>438</v>
      </c>
      <c r="AL31" s="2"/>
      <c r="AN31" s="2" t="s">
        <v>501</v>
      </c>
      <c r="AO31" s="2" t="s">
        <v>502</v>
      </c>
      <c r="AP31" s="2" t="s">
        <v>503</v>
      </c>
      <c r="AR31" s="1" t="s">
        <v>144</v>
      </c>
      <c r="AS31" s="1" t="s">
        <v>402</v>
      </c>
      <c r="AT31" s="1" t="s">
        <v>129</v>
      </c>
      <c r="AU31" s="1" t="s">
        <v>131</v>
      </c>
      <c r="AV31" s="1" t="s">
        <v>497</v>
      </c>
      <c r="AW31" s="1" t="s">
        <v>470</v>
      </c>
      <c r="AX31" s="1" t="s">
        <v>134</v>
      </c>
      <c r="BC31" s="15" t="s">
        <v>130</v>
      </c>
      <c r="BD31" s="16" t="s">
        <v>309</v>
      </c>
      <c r="BE31" s="15" t="s">
        <v>439</v>
      </c>
      <c r="BF31" s="16" t="s">
        <v>281</v>
      </c>
      <c r="BG31" s="15" t="s">
        <v>379</v>
      </c>
    </row>
    <row r="32" spans="7:63" x14ac:dyDescent="0.5">
      <c r="L32" s="1" t="s">
        <v>425</v>
      </c>
      <c r="M32" s="1" t="s">
        <v>436</v>
      </c>
      <c r="N32" s="1" t="s">
        <v>133</v>
      </c>
      <c r="O32" s="1" t="s">
        <v>498</v>
      </c>
      <c r="P32" s="1" t="s">
        <v>128</v>
      </c>
      <c r="Q32" s="1" t="s">
        <v>289</v>
      </c>
      <c r="S32" s="1" t="s">
        <v>425</v>
      </c>
      <c r="T32" s="1" t="s">
        <v>436</v>
      </c>
      <c r="U32" s="1" t="s">
        <v>133</v>
      </c>
      <c r="V32" s="1" t="s">
        <v>498</v>
      </c>
      <c r="W32" s="1" t="s">
        <v>128</v>
      </c>
      <c r="X32" s="1" t="s">
        <v>289</v>
      </c>
      <c r="Y32" s="1" t="s">
        <v>260</v>
      </c>
      <c r="Z32" s="1" t="s">
        <v>476</v>
      </c>
      <c r="AA32" s="1" t="s">
        <v>504</v>
      </c>
      <c r="AB32" s="1" t="s">
        <v>505</v>
      </c>
      <c r="AC32" s="1" t="s">
        <v>427</v>
      </c>
      <c r="AD32" s="1" t="s">
        <v>474</v>
      </c>
      <c r="AE32" s="1" t="s">
        <v>506</v>
      </c>
      <c r="AL32" s="2"/>
      <c r="AO32" s="2" t="s">
        <v>507</v>
      </c>
      <c r="AP32" s="2" t="s">
        <v>508</v>
      </c>
      <c r="AR32" s="1" t="s">
        <v>428</v>
      </c>
      <c r="AS32" s="1" t="s">
        <v>452</v>
      </c>
      <c r="AT32" s="1" t="s">
        <v>199</v>
      </c>
      <c r="AU32" s="1" t="s">
        <v>499</v>
      </c>
      <c r="AV32" s="1" t="s">
        <v>500</v>
      </c>
      <c r="AW32" s="1" t="s">
        <v>369</v>
      </c>
      <c r="AX32" s="1" t="s">
        <v>438</v>
      </c>
      <c r="BC32" s="15" t="s">
        <v>402</v>
      </c>
      <c r="BD32" s="16" t="s">
        <v>386</v>
      </c>
      <c r="BE32" s="15" t="s">
        <v>125</v>
      </c>
      <c r="BF32" s="15" t="s">
        <v>460</v>
      </c>
      <c r="BG32" s="15" t="s">
        <v>338</v>
      </c>
    </row>
    <row r="33" spans="12:59" x14ac:dyDescent="0.5">
      <c r="L33" s="1" t="s">
        <v>509</v>
      </c>
      <c r="M33" s="1" t="s">
        <v>509</v>
      </c>
      <c r="N33" s="1" t="s">
        <v>510</v>
      </c>
      <c r="O33" s="1" t="s">
        <v>415</v>
      </c>
      <c r="P33" s="1" t="s">
        <v>129</v>
      </c>
      <c r="Q33" s="1" t="s">
        <v>330</v>
      </c>
      <c r="S33" s="1" t="s">
        <v>509</v>
      </c>
      <c r="T33" s="1" t="s">
        <v>509</v>
      </c>
      <c r="U33" s="1" t="s">
        <v>510</v>
      </c>
      <c r="V33" s="1" t="s">
        <v>415</v>
      </c>
      <c r="W33" s="1" t="s">
        <v>129</v>
      </c>
      <c r="X33" s="1" t="s">
        <v>330</v>
      </c>
      <c r="Y33" s="1" t="s">
        <v>483</v>
      </c>
      <c r="Z33" s="1" t="s">
        <v>511</v>
      </c>
      <c r="AA33" s="1" t="s">
        <v>512</v>
      </c>
      <c r="AB33" s="1" t="s">
        <v>434</v>
      </c>
      <c r="AC33" s="1" t="s">
        <v>445</v>
      </c>
      <c r="AD33" s="1" t="s">
        <v>117</v>
      </c>
      <c r="AE33" s="1" t="s">
        <v>270</v>
      </c>
      <c r="AO33" s="2" t="s">
        <v>513</v>
      </c>
      <c r="AP33" s="2" t="s">
        <v>514</v>
      </c>
      <c r="AR33" s="1" t="s">
        <v>260</v>
      </c>
      <c r="AS33" s="1" t="s">
        <v>476</v>
      </c>
      <c r="AT33" s="1" t="s">
        <v>504</v>
      </c>
      <c r="AU33" s="1" t="s">
        <v>505</v>
      </c>
      <c r="AV33" s="1" t="s">
        <v>427</v>
      </c>
      <c r="AW33" s="1" t="s">
        <v>474</v>
      </c>
      <c r="AX33" s="1" t="s">
        <v>506</v>
      </c>
      <c r="BC33" s="15" t="s">
        <v>368</v>
      </c>
      <c r="BD33" s="15" t="s">
        <v>269</v>
      </c>
      <c r="BE33" s="16" t="s">
        <v>454</v>
      </c>
      <c r="BF33" s="15" t="s">
        <v>329</v>
      </c>
      <c r="BG33" s="15" t="s">
        <v>369</v>
      </c>
    </row>
    <row r="34" spans="12:59" x14ac:dyDescent="0.5">
      <c r="L34" s="1" t="s">
        <v>498</v>
      </c>
      <c r="M34" s="1" t="s">
        <v>474</v>
      </c>
      <c r="N34" s="1" t="s">
        <v>341</v>
      </c>
      <c r="O34" s="1" t="s">
        <v>457</v>
      </c>
      <c r="P34" s="1" t="s">
        <v>130</v>
      </c>
      <c r="Q34" s="1" t="s">
        <v>410</v>
      </c>
      <c r="S34" s="1" t="s">
        <v>498</v>
      </c>
      <c r="T34" s="1" t="s">
        <v>474</v>
      </c>
      <c r="U34" s="1" t="s">
        <v>341</v>
      </c>
      <c r="V34" s="1" t="s">
        <v>457</v>
      </c>
      <c r="W34" s="1" t="s">
        <v>130</v>
      </c>
      <c r="X34" s="1" t="s">
        <v>410</v>
      </c>
      <c r="Y34" s="1" t="s">
        <v>515</v>
      </c>
      <c r="Z34" s="1" t="s">
        <v>415</v>
      </c>
      <c r="AA34" s="1" t="s">
        <v>516</v>
      </c>
      <c r="AB34" s="1" t="s">
        <v>517</v>
      </c>
      <c r="AC34" s="1" t="s">
        <v>397</v>
      </c>
      <c r="AE34" s="1" t="s">
        <v>518</v>
      </c>
      <c r="AO34" s="2" t="s">
        <v>519</v>
      </c>
      <c r="AP34" s="2" t="s">
        <v>520</v>
      </c>
      <c r="AR34" s="1" t="s">
        <v>483</v>
      </c>
      <c r="AS34" s="1" t="s">
        <v>511</v>
      </c>
      <c r="AT34" s="1" t="s">
        <v>512</v>
      </c>
      <c r="AU34" s="1" t="s">
        <v>434</v>
      </c>
      <c r="AV34" s="1" t="s">
        <v>445</v>
      </c>
      <c r="AW34" s="1" t="s">
        <v>117</v>
      </c>
      <c r="AX34" s="1" t="s">
        <v>270</v>
      </c>
      <c r="BC34" s="15" t="s">
        <v>470</v>
      </c>
      <c r="BD34" s="15" t="s">
        <v>361</v>
      </c>
      <c r="BE34" s="14" t="s">
        <v>406</v>
      </c>
      <c r="BF34" s="15" t="s">
        <v>518</v>
      </c>
      <c r="BG34" s="15" t="s">
        <v>451</v>
      </c>
    </row>
    <row r="35" spans="12:59" x14ac:dyDescent="0.5">
      <c r="L35" s="1" t="s">
        <v>312</v>
      </c>
      <c r="M35" s="1" t="s">
        <v>521</v>
      </c>
      <c r="N35" s="1" t="s">
        <v>522</v>
      </c>
      <c r="O35" s="1" t="s">
        <v>519</v>
      </c>
      <c r="P35" s="1" t="s">
        <v>380</v>
      </c>
      <c r="Q35" s="1" t="s">
        <v>467</v>
      </c>
      <c r="S35" s="1" t="s">
        <v>312</v>
      </c>
      <c r="T35" s="1" t="s">
        <v>521</v>
      </c>
      <c r="U35" s="1" t="s">
        <v>522</v>
      </c>
      <c r="V35" s="1" t="s">
        <v>519</v>
      </c>
      <c r="W35" s="1" t="s">
        <v>380</v>
      </c>
      <c r="X35" s="1" t="s">
        <v>467</v>
      </c>
      <c r="Y35" s="1" t="s">
        <v>523</v>
      </c>
      <c r="Z35" s="1" t="s">
        <v>524</v>
      </c>
      <c r="AA35" s="1" t="s">
        <v>525</v>
      </c>
      <c r="AB35" s="1" t="s">
        <v>526</v>
      </c>
      <c r="AC35" s="1" t="s">
        <v>501</v>
      </c>
      <c r="AE35" s="1" t="s">
        <v>527</v>
      </c>
      <c r="AO35" s="2" t="s">
        <v>371</v>
      </c>
      <c r="AP35" s="2" t="s">
        <v>403</v>
      </c>
      <c r="AR35" s="1" t="s">
        <v>515</v>
      </c>
      <c r="AS35" s="1" t="s">
        <v>415</v>
      </c>
      <c r="AT35" s="1" t="s">
        <v>516</v>
      </c>
      <c r="AU35" s="1" t="s">
        <v>517</v>
      </c>
      <c r="AV35" s="1" t="s">
        <v>397</v>
      </c>
      <c r="AX35" s="1" t="s">
        <v>518</v>
      </c>
      <c r="BC35" s="15" t="s">
        <v>380</v>
      </c>
      <c r="BD35" s="16" t="s">
        <v>379</v>
      </c>
      <c r="BE35" s="13" t="s">
        <v>402</v>
      </c>
      <c r="BF35" s="16" t="s">
        <v>428</v>
      </c>
      <c r="BG35" s="15" t="s">
        <v>330</v>
      </c>
    </row>
    <row r="36" spans="12:59" x14ac:dyDescent="0.5">
      <c r="L36" s="1" t="s">
        <v>415</v>
      </c>
      <c r="M36" s="1" t="s">
        <v>223</v>
      </c>
      <c r="N36" s="1" t="s">
        <v>458</v>
      </c>
      <c r="O36" s="1" t="s">
        <v>528</v>
      </c>
      <c r="P36" s="1" t="s">
        <v>524</v>
      </c>
      <c r="Q36" s="1" t="s">
        <v>124</v>
      </c>
      <c r="S36" s="1" t="s">
        <v>415</v>
      </c>
      <c r="T36" s="1" t="s">
        <v>223</v>
      </c>
      <c r="U36" s="1" t="s">
        <v>458</v>
      </c>
      <c r="V36" s="1" t="s">
        <v>528</v>
      </c>
      <c r="W36" s="1" t="s">
        <v>524</v>
      </c>
      <c r="X36" s="1" t="s">
        <v>124</v>
      </c>
      <c r="Y36" s="1" t="s">
        <v>467</v>
      </c>
      <c r="Z36" s="1" t="s">
        <v>529</v>
      </c>
      <c r="AA36" s="1" t="s">
        <v>510</v>
      </c>
      <c r="AB36" s="1" t="s">
        <v>226</v>
      </c>
      <c r="AC36" s="1" t="s">
        <v>265</v>
      </c>
      <c r="AE36" s="1" t="s">
        <v>469</v>
      </c>
      <c r="AP36" s="2" t="s">
        <v>411</v>
      </c>
      <c r="AR36" s="1" t="s">
        <v>523</v>
      </c>
      <c r="AS36" s="1" t="s">
        <v>524</v>
      </c>
      <c r="AT36" s="1" t="s">
        <v>525</v>
      </c>
      <c r="AU36" s="1" t="s">
        <v>526</v>
      </c>
      <c r="AV36" s="1" t="s">
        <v>501</v>
      </c>
      <c r="AX36" s="1" t="s">
        <v>527</v>
      </c>
      <c r="BC36" s="15" t="s">
        <v>394</v>
      </c>
      <c r="BD36" s="15" t="s">
        <v>338</v>
      </c>
      <c r="BE36" s="15" t="s">
        <v>368</v>
      </c>
      <c r="BF36" s="16" t="s">
        <v>478</v>
      </c>
      <c r="BG36" s="15" t="s">
        <v>467</v>
      </c>
    </row>
    <row r="37" spans="12:59" x14ac:dyDescent="0.5">
      <c r="L37" s="1" t="s">
        <v>530</v>
      </c>
      <c r="M37" s="1" t="s">
        <v>476</v>
      </c>
      <c r="N37" s="1" t="s">
        <v>531</v>
      </c>
      <c r="P37" s="1" t="s">
        <v>405</v>
      </c>
      <c r="Q37" s="1" t="s">
        <v>327</v>
      </c>
      <c r="S37" s="1" t="s">
        <v>530</v>
      </c>
      <c r="T37" s="1" t="s">
        <v>476</v>
      </c>
      <c r="U37" s="1" t="s">
        <v>531</v>
      </c>
      <c r="W37" s="1" t="s">
        <v>405</v>
      </c>
      <c r="X37" s="1" t="s">
        <v>327</v>
      </c>
      <c r="Y37" s="1" t="s">
        <v>531</v>
      </c>
      <c r="Z37" s="1" t="s">
        <v>324</v>
      </c>
      <c r="AA37" s="1" t="s">
        <v>121</v>
      </c>
      <c r="AB37" s="1" t="s">
        <v>353</v>
      </c>
      <c r="AC37" s="1" t="s">
        <v>287</v>
      </c>
      <c r="AE37" s="1" t="s">
        <v>262</v>
      </c>
      <c r="AP37" s="2" t="s">
        <v>532</v>
      </c>
      <c r="AR37" s="1" t="s">
        <v>467</v>
      </c>
      <c r="AS37" s="1" t="s">
        <v>529</v>
      </c>
      <c r="AT37" s="1" t="s">
        <v>510</v>
      </c>
      <c r="AU37" s="1" t="s">
        <v>226</v>
      </c>
      <c r="AV37" s="1" t="s">
        <v>265</v>
      </c>
      <c r="AX37" s="1" t="s">
        <v>469</v>
      </c>
      <c r="BC37" s="15" t="s">
        <v>405</v>
      </c>
      <c r="BD37" s="15" t="s">
        <v>122</v>
      </c>
      <c r="BE37" s="16" t="s">
        <v>470</v>
      </c>
      <c r="BF37" s="16" t="s">
        <v>344</v>
      </c>
      <c r="BG37" s="15" t="s">
        <v>327</v>
      </c>
    </row>
    <row r="38" spans="12:59" x14ac:dyDescent="0.5">
      <c r="L38" s="1" t="s">
        <v>511</v>
      </c>
      <c r="M38" s="1" t="s">
        <v>456</v>
      </c>
      <c r="N38" s="1" t="s">
        <v>457</v>
      </c>
      <c r="P38" s="1" t="s">
        <v>533</v>
      </c>
      <c r="Q38" s="1" t="s">
        <v>125</v>
      </c>
      <c r="S38" s="1" t="s">
        <v>511</v>
      </c>
      <c r="T38" s="1" t="s">
        <v>456</v>
      </c>
      <c r="U38" s="1" t="s">
        <v>457</v>
      </c>
      <c r="W38" s="1" t="s">
        <v>533</v>
      </c>
      <c r="X38" s="1" t="s">
        <v>125</v>
      </c>
      <c r="Y38" s="1" t="s">
        <v>534</v>
      </c>
      <c r="Z38" s="1" t="s">
        <v>471</v>
      </c>
      <c r="AA38" s="1" t="s">
        <v>535</v>
      </c>
      <c r="AB38" s="1" t="s">
        <v>237</v>
      </c>
      <c r="AC38" s="1" t="s">
        <v>369</v>
      </c>
      <c r="AE38" s="1" t="s">
        <v>475</v>
      </c>
      <c r="AP38" s="2" t="s">
        <v>536</v>
      </c>
      <c r="AR38" s="1" t="s">
        <v>531</v>
      </c>
      <c r="AS38" s="1" t="s">
        <v>324</v>
      </c>
      <c r="AT38" s="1" t="s">
        <v>121</v>
      </c>
      <c r="AU38" s="1" t="s">
        <v>353</v>
      </c>
      <c r="AV38" s="1" t="s">
        <v>287</v>
      </c>
      <c r="AX38" s="1" t="s">
        <v>262</v>
      </c>
      <c r="BC38" s="15" t="s">
        <v>471</v>
      </c>
      <c r="BD38" s="13" t="s">
        <v>369</v>
      </c>
      <c r="BE38" s="13" t="s">
        <v>405</v>
      </c>
      <c r="BF38" s="16" t="s">
        <v>391</v>
      </c>
      <c r="BG38" s="15" t="s">
        <v>270</v>
      </c>
    </row>
    <row r="39" spans="12:59" x14ac:dyDescent="0.5">
      <c r="L39" s="1" t="s">
        <v>457</v>
      </c>
      <c r="M39" s="1" t="s">
        <v>519</v>
      </c>
      <c r="N39" s="1" t="s">
        <v>521</v>
      </c>
      <c r="P39" s="1" t="s">
        <v>537</v>
      </c>
      <c r="Q39" s="1" t="s">
        <v>125</v>
      </c>
      <c r="S39" s="1" t="s">
        <v>457</v>
      </c>
      <c r="T39" s="1" t="s">
        <v>519</v>
      </c>
      <c r="U39" s="1" t="s">
        <v>521</v>
      </c>
      <c r="W39" s="1" t="s">
        <v>537</v>
      </c>
      <c r="X39" s="1" t="s">
        <v>125</v>
      </c>
      <c r="Y39" s="1" t="s">
        <v>538</v>
      </c>
      <c r="Z39" s="1" t="s">
        <v>189</v>
      </c>
      <c r="AA39" s="1" t="s">
        <v>341</v>
      </c>
      <c r="AB39" s="1" t="s">
        <v>495</v>
      </c>
      <c r="AC39" s="1" t="s">
        <v>374</v>
      </c>
      <c r="AP39" s="2" t="s">
        <v>392</v>
      </c>
      <c r="AR39" s="1" t="s">
        <v>534</v>
      </c>
      <c r="AS39" s="1" t="s">
        <v>471</v>
      </c>
      <c r="AT39" s="1" t="s">
        <v>535</v>
      </c>
      <c r="AU39" s="1" t="s">
        <v>237</v>
      </c>
      <c r="AV39" s="1" t="s">
        <v>369</v>
      </c>
      <c r="AX39" s="1" t="s">
        <v>475</v>
      </c>
      <c r="BC39" s="15" t="s">
        <v>284</v>
      </c>
      <c r="BD39" s="14" t="s">
        <v>381</v>
      </c>
      <c r="BE39" s="16" t="s">
        <v>459</v>
      </c>
      <c r="BF39" s="16" t="s">
        <v>321</v>
      </c>
      <c r="BG39" s="15" t="s">
        <v>485</v>
      </c>
    </row>
    <row r="40" spans="12:59" x14ac:dyDescent="0.5">
      <c r="L40" s="1" t="s">
        <v>474</v>
      </c>
      <c r="M40" s="1" t="s">
        <v>343</v>
      </c>
      <c r="N40" s="1" t="s">
        <v>138</v>
      </c>
      <c r="P40" s="1" t="s">
        <v>538</v>
      </c>
      <c r="Q40" s="1" t="s">
        <v>539</v>
      </c>
      <c r="S40" s="1" t="s">
        <v>474</v>
      </c>
      <c r="T40" s="1" t="s">
        <v>343</v>
      </c>
      <c r="U40" s="1" t="s">
        <v>138</v>
      </c>
      <c r="W40" s="1" t="s">
        <v>538</v>
      </c>
      <c r="X40" s="1" t="s">
        <v>539</v>
      </c>
      <c r="Y40" s="1" t="s">
        <v>245</v>
      </c>
      <c r="Z40" s="1" t="s">
        <v>540</v>
      </c>
      <c r="AA40" s="1" t="s">
        <v>353</v>
      </c>
      <c r="AB40" s="1" t="s">
        <v>541</v>
      </c>
      <c r="AC40" s="1" t="s">
        <v>226</v>
      </c>
      <c r="AP40" s="2" t="s">
        <v>542</v>
      </c>
      <c r="AR40" s="1" t="s">
        <v>538</v>
      </c>
      <c r="AS40" s="1" t="s">
        <v>189</v>
      </c>
      <c r="AT40" s="1" t="s">
        <v>341</v>
      </c>
      <c r="AU40" s="1" t="s">
        <v>495</v>
      </c>
      <c r="AV40" s="1" t="s">
        <v>374</v>
      </c>
      <c r="BC40" s="15" t="s">
        <v>404</v>
      </c>
      <c r="BD40" s="16" t="s">
        <v>240</v>
      </c>
      <c r="BE40" s="15" t="s">
        <v>367</v>
      </c>
      <c r="BF40" s="16" t="s">
        <v>414</v>
      </c>
      <c r="BG40" s="15" t="s">
        <v>198</v>
      </c>
    </row>
    <row r="41" spans="12:59" x14ac:dyDescent="0.5">
      <c r="L41" s="1" t="s">
        <v>325</v>
      </c>
      <c r="M41" s="1" t="s">
        <v>141</v>
      </c>
      <c r="N41" s="1" t="s">
        <v>493</v>
      </c>
      <c r="P41" s="1" t="s">
        <v>388</v>
      </c>
      <c r="Q41" s="1" t="s">
        <v>543</v>
      </c>
      <c r="S41" s="1" t="s">
        <v>325</v>
      </c>
      <c r="T41" s="1" t="s">
        <v>141</v>
      </c>
      <c r="U41" s="1" t="s">
        <v>493</v>
      </c>
      <c r="W41" s="1" t="s">
        <v>388</v>
      </c>
      <c r="X41" s="1" t="s">
        <v>543</v>
      </c>
      <c r="Y41" s="1" t="s">
        <v>544</v>
      </c>
      <c r="AA41" s="1" t="s">
        <v>476</v>
      </c>
      <c r="AB41" s="1" t="s">
        <v>425</v>
      </c>
      <c r="AP41" s="2" t="s">
        <v>545</v>
      </c>
      <c r="AR41" s="1" t="s">
        <v>245</v>
      </c>
      <c r="AS41" s="1" t="s">
        <v>540</v>
      </c>
      <c r="AT41" s="1" t="s">
        <v>353</v>
      </c>
      <c r="AU41" s="1" t="s">
        <v>541</v>
      </c>
      <c r="AV41" s="1" t="s">
        <v>226</v>
      </c>
      <c r="BC41" s="15" t="s">
        <v>426</v>
      </c>
      <c r="BD41" s="15" t="s">
        <v>373</v>
      </c>
      <c r="BE41" s="16" t="s">
        <v>388</v>
      </c>
      <c r="BF41" s="15" t="s">
        <v>445</v>
      </c>
      <c r="BG41" s="15" t="s">
        <v>127</v>
      </c>
    </row>
    <row r="42" spans="12:59" x14ac:dyDescent="0.5">
      <c r="L42" s="1" t="s">
        <v>476</v>
      </c>
      <c r="M42" s="1" t="s">
        <v>296</v>
      </c>
      <c r="N42" s="1" t="s">
        <v>501</v>
      </c>
      <c r="P42" s="1" t="s">
        <v>277</v>
      </c>
      <c r="Q42" s="1" t="s">
        <v>520</v>
      </c>
      <c r="S42" s="1" t="s">
        <v>476</v>
      </c>
      <c r="T42" s="1" t="s">
        <v>296</v>
      </c>
      <c r="U42" s="1" t="s">
        <v>501</v>
      </c>
      <c r="W42" s="1" t="s">
        <v>277</v>
      </c>
      <c r="X42" s="1" t="s">
        <v>520</v>
      </c>
      <c r="Y42" s="1" t="s">
        <v>116</v>
      </c>
      <c r="AA42" s="1" t="s">
        <v>546</v>
      </c>
      <c r="AB42" s="1" t="s">
        <v>481</v>
      </c>
      <c r="AP42" s="2" t="s">
        <v>498</v>
      </c>
      <c r="AR42" s="1" t="s">
        <v>544</v>
      </c>
      <c r="AT42" s="1" t="s">
        <v>476</v>
      </c>
      <c r="AU42" s="1" t="s">
        <v>425</v>
      </c>
      <c r="BC42" s="15" t="s">
        <v>427</v>
      </c>
      <c r="BD42" s="13" t="s">
        <v>330</v>
      </c>
      <c r="BE42" s="15" t="s">
        <v>133</v>
      </c>
      <c r="BF42" s="16" t="s">
        <v>314</v>
      </c>
      <c r="BG42" s="15" t="s">
        <v>402</v>
      </c>
    </row>
    <row r="43" spans="12:59" x14ac:dyDescent="0.5">
      <c r="L43" s="1" t="s">
        <v>547</v>
      </c>
      <c r="N43" s="1" t="s">
        <v>143</v>
      </c>
      <c r="P43" s="1" t="s">
        <v>239</v>
      </c>
      <c r="Q43" s="1" t="s">
        <v>403</v>
      </c>
      <c r="S43" s="1" t="s">
        <v>547</v>
      </c>
      <c r="U43" s="1" t="s">
        <v>143</v>
      </c>
      <c r="W43" s="1" t="s">
        <v>239</v>
      </c>
      <c r="X43" s="1" t="s">
        <v>403</v>
      </c>
      <c r="Y43" s="1" t="s">
        <v>193</v>
      </c>
      <c r="AA43" s="1" t="s">
        <v>548</v>
      </c>
      <c r="AB43" s="1" t="s">
        <v>549</v>
      </c>
      <c r="AP43" s="2" t="s">
        <v>550</v>
      </c>
      <c r="AR43" s="1" t="s">
        <v>116</v>
      </c>
      <c r="AT43" s="1" t="s">
        <v>546</v>
      </c>
      <c r="AU43" s="1" t="s">
        <v>481</v>
      </c>
      <c r="BC43" s="15" t="s">
        <v>447</v>
      </c>
      <c r="BD43" s="15" t="s">
        <v>398</v>
      </c>
      <c r="BE43" s="16" t="s">
        <v>510</v>
      </c>
      <c r="BF43" s="16" t="s">
        <v>119</v>
      </c>
      <c r="BG43" s="15" t="s">
        <v>403</v>
      </c>
    </row>
    <row r="44" spans="12:59" x14ac:dyDescent="0.5">
      <c r="L44" s="1" t="s">
        <v>456</v>
      </c>
      <c r="P44" s="1" t="s">
        <v>477</v>
      </c>
      <c r="Q44" s="1" t="s">
        <v>551</v>
      </c>
      <c r="S44" s="1" t="s">
        <v>456</v>
      </c>
      <c r="W44" s="1" t="s">
        <v>477</v>
      </c>
      <c r="X44" s="1" t="s">
        <v>551</v>
      </c>
      <c r="Y44" s="1" t="s">
        <v>452</v>
      </c>
      <c r="AA44" s="1" t="s">
        <v>552</v>
      </c>
      <c r="AB44" s="1" t="s">
        <v>415</v>
      </c>
      <c r="AP44" s="2" t="s">
        <v>456</v>
      </c>
      <c r="AR44" s="1" t="s">
        <v>193</v>
      </c>
      <c r="AT44" s="1" t="s">
        <v>548</v>
      </c>
      <c r="AU44" s="1" t="s">
        <v>549</v>
      </c>
      <c r="BC44" s="15" t="s">
        <v>425</v>
      </c>
      <c r="BD44" s="16" t="s">
        <v>326</v>
      </c>
      <c r="BE44" s="15" t="s">
        <v>341</v>
      </c>
      <c r="BF44" s="16" t="s">
        <v>337</v>
      </c>
      <c r="BG44" s="15" t="s">
        <v>199</v>
      </c>
    </row>
    <row r="45" spans="12:59" x14ac:dyDescent="0.5">
      <c r="L45" s="1" t="s">
        <v>553</v>
      </c>
      <c r="P45" s="1" t="s">
        <v>487</v>
      </c>
      <c r="Q45" s="1" t="s">
        <v>551</v>
      </c>
      <c r="S45" s="1" t="s">
        <v>553</v>
      </c>
      <c r="W45" s="1" t="s">
        <v>487</v>
      </c>
      <c r="X45" s="1" t="s">
        <v>551</v>
      </c>
      <c r="Y45" s="1" t="s">
        <v>118</v>
      </c>
      <c r="AA45" s="1" t="s">
        <v>554</v>
      </c>
      <c r="AB45" s="1" t="s">
        <v>452</v>
      </c>
      <c r="AP45" s="2" t="s">
        <v>418</v>
      </c>
      <c r="AR45" s="1" t="s">
        <v>452</v>
      </c>
      <c r="AT45" s="1" t="s">
        <v>552</v>
      </c>
      <c r="AU45" s="1" t="s">
        <v>415</v>
      </c>
      <c r="BC45" s="15" t="s">
        <v>509</v>
      </c>
      <c r="BD45" s="14" t="s">
        <v>311</v>
      </c>
      <c r="BE45" s="16" t="s">
        <v>522</v>
      </c>
      <c r="BF45" s="15" t="s">
        <v>309</v>
      </c>
      <c r="BG45" s="15" t="s">
        <v>224</v>
      </c>
    </row>
    <row r="46" spans="12:59" x14ac:dyDescent="0.5">
      <c r="P46" s="1" t="s">
        <v>353</v>
      </c>
      <c r="Q46" s="1" t="s">
        <v>411</v>
      </c>
      <c r="W46" s="1" t="s">
        <v>353</v>
      </c>
      <c r="X46" s="1" t="s">
        <v>411</v>
      </c>
      <c r="Y46" s="1" t="s">
        <v>555</v>
      </c>
      <c r="AA46" s="1" t="s">
        <v>312</v>
      </c>
      <c r="AB46" s="1" t="s">
        <v>122</v>
      </c>
      <c r="AP46" s="2" t="s">
        <v>143</v>
      </c>
      <c r="AR46" s="1" t="s">
        <v>118</v>
      </c>
      <c r="AT46" s="1" t="s">
        <v>554</v>
      </c>
      <c r="AU46" s="1" t="s">
        <v>452</v>
      </c>
      <c r="BC46" s="15" t="s">
        <v>457</v>
      </c>
      <c r="BD46" s="13" t="s">
        <v>417</v>
      </c>
      <c r="BE46" s="13" t="s">
        <v>135</v>
      </c>
      <c r="BF46" s="15" t="s">
        <v>379</v>
      </c>
      <c r="BG46" s="15" t="s">
        <v>134</v>
      </c>
    </row>
    <row r="47" spans="12:59" x14ac:dyDescent="0.5">
      <c r="P47" s="1" t="s">
        <v>341</v>
      </c>
      <c r="Q47" s="1" t="s">
        <v>239</v>
      </c>
      <c r="W47" s="1" t="s">
        <v>341</v>
      </c>
      <c r="X47" s="1" t="s">
        <v>239</v>
      </c>
      <c r="Y47" s="1" t="s">
        <v>556</v>
      </c>
      <c r="AA47" s="1" t="s">
        <v>130</v>
      </c>
      <c r="AB47" s="1" t="s">
        <v>557</v>
      </c>
      <c r="AP47" s="2"/>
      <c r="AR47" s="1" t="s">
        <v>555</v>
      </c>
      <c r="AT47" s="1" t="s">
        <v>312</v>
      </c>
      <c r="AU47" s="1" t="s">
        <v>122</v>
      </c>
      <c r="BC47" s="15" t="s">
        <v>474</v>
      </c>
      <c r="BD47" s="15" t="s">
        <v>317</v>
      </c>
      <c r="BE47" s="15" t="s">
        <v>458</v>
      </c>
      <c r="BF47" s="16" t="s">
        <v>338</v>
      </c>
      <c r="BG47" s="15" t="s">
        <v>392</v>
      </c>
    </row>
    <row r="48" spans="12:59" x14ac:dyDescent="0.5">
      <c r="P48" s="1" t="s">
        <v>341</v>
      </c>
      <c r="Q48" s="1" t="s">
        <v>477</v>
      </c>
      <c r="W48" s="1" t="s">
        <v>341</v>
      </c>
      <c r="X48" s="1" t="s">
        <v>477</v>
      </c>
      <c r="Y48" s="1" t="s">
        <v>558</v>
      </c>
      <c r="AA48" s="1" t="s">
        <v>423</v>
      </c>
      <c r="AB48" s="1" t="s">
        <v>144</v>
      </c>
      <c r="AR48" s="1" t="s">
        <v>556</v>
      </c>
      <c r="AT48" s="1" t="s">
        <v>130</v>
      </c>
      <c r="AU48" s="1" t="s">
        <v>557</v>
      </c>
      <c r="BC48" s="15" t="s">
        <v>521</v>
      </c>
      <c r="BD48" s="14" t="s">
        <v>124</v>
      </c>
      <c r="BE48" s="16" t="s">
        <v>531</v>
      </c>
      <c r="BF48" s="15" t="s">
        <v>369</v>
      </c>
      <c r="BG48" s="15" t="s">
        <v>425</v>
      </c>
    </row>
    <row r="49" spans="16:59" x14ac:dyDescent="0.5">
      <c r="P49" s="1" t="s">
        <v>559</v>
      </c>
      <c r="Q49" s="1" t="s">
        <v>560</v>
      </c>
      <c r="W49" s="1" t="s">
        <v>559</v>
      </c>
      <c r="X49" s="1" t="s">
        <v>560</v>
      </c>
      <c r="Y49" s="1" t="s">
        <v>243</v>
      </c>
      <c r="AA49" s="1" t="s">
        <v>445</v>
      </c>
      <c r="AB49" s="1" t="s">
        <v>142</v>
      </c>
      <c r="AR49" s="1" t="s">
        <v>558</v>
      </c>
      <c r="AT49" s="1" t="s">
        <v>423</v>
      </c>
      <c r="AU49" s="1" t="s">
        <v>144</v>
      </c>
      <c r="BC49" s="15" t="s">
        <v>223</v>
      </c>
      <c r="BD49" s="16" t="s">
        <v>327</v>
      </c>
      <c r="BE49" s="15" t="s">
        <v>457</v>
      </c>
      <c r="BF49" s="16" t="s">
        <v>451</v>
      </c>
      <c r="BG49" s="15" t="s">
        <v>244</v>
      </c>
    </row>
    <row r="50" spans="16:59" x14ac:dyDescent="0.5">
      <c r="P50" s="1" t="s">
        <v>135</v>
      </c>
      <c r="Q50" s="1" t="s">
        <v>447</v>
      </c>
      <c r="W50" s="1" t="s">
        <v>135</v>
      </c>
      <c r="X50" s="1" t="s">
        <v>447</v>
      </c>
      <c r="Y50" s="1" t="s">
        <v>374</v>
      </c>
      <c r="AA50" s="1" t="s">
        <v>227</v>
      </c>
      <c r="AB50" s="1" t="s">
        <v>476</v>
      </c>
      <c r="AR50" s="1" t="s">
        <v>243</v>
      </c>
      <c r="AT50" s="1" t="s">
        <v>445</v>
      </c>
      <c r="AU50" s="1" t="s">
        <v>142</v>
      </c>
      <c r="BC50" s="15" t="s">
        <v>476</v>
      </c>
      <c r="BD50" s="15" t="s">
        <v>439</v>
      </c>
      <c r="BE50" s="16" t="s">
        <v>521</v>
      </c>
      <c r="BF50" s="16" t="s">
        <v>330</v>
      </c>
      <c r="BG50" s="15" t="s">
        <v>300</v>
      </c>
    </row>
    <row r="51" spans="16:59" x14ac:dyDescent="0.5">
      <c r="P51" s="1" t="s">
        <v>561</v>
      </c>
      <c r="Q51" s="1" t="s">
        <v>562</v>
      </c>
      <c r="W51" s="1" t="s">
        <v>561</v>
      </c>
      <c r="X51" s="1" t="s">
        <v>562</v>
      </c>
      <c r="Y51" s="1" t="s">
        <v>563</v>
      </c>
      <c r="AA51" s="1" t="s">
        <v>451</v>
      </c>
      <c r="AB51" s="1" t="s">
        <v>498</v>
      </c>
      <c r="AR51" s="1" t="s">
        <v>374</v>
      </c>
      <c r="AT51" s="1" t="s">
        <v>227</v>
      </c>
      <c r="AU51" s="1" t="s">
        <v>476</v>
      </c>
      <c r="BC51" s="15" t="s">
        <v>456</v>
      </c>
      <c r="BD51" s="15" t="s">
        <v>125</v>
      </c>
      <c r="BE51" s="15" t="s">
        <v>138</v>
      </c>
      <c r="BF51" s="16" t="s">
        <v>410</v>
      </c>
      <c r="BG51" s="15" t="s">
        <v>506</v>
      </c>
    </row>
    <row r="52" spans="16:59" x14ac:dyDescent="0.5">
      <c r="P52" s="1" t="s">
        <v>529</v>
      </c>
      <c r="Q52" s="1" t="s">
        <v>550</v>
      </c>
      <c r="W52" s="1" t="s">
        <v>529</v>
      </c>
      <c r="X52" s="1" t="s">
        <v>550</v>
      </c>
      <c r="Y52" s="1" t="s">
        <v>498</v>
      </c>
      <c r="AA52" s="1" t="s">
        <v>405</v>
      </c>
      <c r="AB52" s="1" t="s">
        <v>564</v>
      </c>
      <c r="AR52" s="1" t="s">
        <v>563</v>
      </c>
      <c r="AT52" s="1" t="s">
        <v>247</v>
      </c>
      <c r="AU52" s="1" t="s">
        <v>498</v>
      </c>
      <c r="BC52" s="15" t="s">
        <v>519</v>
      </c>
      <c r="BD52" s="13" t="s">
        <v>397</v>
      </c>
      <c r="BE52" s="14" t="s">
        <v>223</v>
      </c>
      <c r="BF52" s="15" t="s">
        <v>355</v>
      </c>
      <c r="BG52" s="15" t="s">
        <v>527</v>
      </c>
    </row>
    <row r="53" spans="16:59" x14ac:dyDescent="0.5">
      <c r="P53" s="1" t="s">
        <v>447</v>
      </c>
      <c r="Q53" s="1" t="s">
        <v>449</v>
      </c>
      <c r="W53" s="1" t="s">
        <v>447</v>
      </c>
      <c r="X53" s="1" t="s">
        <v>449</v>
      </c>
      <c r="AA53" s="1" t="s">
        <v>565</v>
      </c>
      <c r="AB53" s="1" t="s">
        <v>566</v>
      </c>
      <c r="AR53" s="1" t="s">
        <v>498</v>
      </c>
      <c r="AT53" s="1" t="s">
        <v>405</v>
      </c>
      <c r="AU53" s="1" t="s">
        <v>564</v>
      </c>
      <c r="BC53" s="15" t="s">
        <v>343</v>
      </c>
      <c r="BD53" s="15" t="s">
        <v>454</v>
      </c>
      <c r="BE53" s="13" t="s">
        <v>456</v>
      </c>
      <c r="BF53" s="16" t="s">
        <v>467</v>
      </c>
      <c r="BG53" s="15" t="s">
        <v>415</v>
      </c>
    </row>
    <row r="54" spans="16:59" x14ac:dyDescent="0.5">
      <c r="P54" s="1" t="s">
        <v>463</v>
      </c>
      <c r="Q54" s="1" t="s">
        <v>138</v>
      </c>
      <c r="W54" s="1" t="s">
        <v>463</v>
      </c>
      <c r="X54" s="1" t="s">
        <v>138</v>
      </c>
      <c r="AA54" s="1" t="s">
        <v>567</v>
      </c>
      <c r="AB54" s="1" t="s">
        <v>138</v>
      </c>
      <c r="AT54" s="1" t="s">
        <v>565</v>
      </c>
      <c r="AU54" s="1" t="s">
        <v>566</v>
      </c>
      <c r="BC54" s="15" t="s">
        <v>141</v>
      </c>
      <c r="BD54" s="15" t="s">
        <v>368</v>
      </c>
      <c r="BE54" s="14" t="s">
        <v>486</v>
      </c>
      <c r="BF54" s="15" t="s">
        <v>327</v>
      </c>
      <c r="BG54" s="15" t="s">
        <v>457</v>
      </c>
    </row>
    <row r="55" spans="16:59" x14ac:dyDescent="0.5">
      <c r="P55" s="1" t="s">
        <v>137</v>
      </c>
      <c r="Q55" s="1" t="s">
        <v>422</v>
      </c>
      <c r="W55" s="1" t="s">
        <v>137</v>
      </c>
      <c r="X55" s="1" t="s">
        <v>422</v>
      </c>
      <c r="AA55" s="1" t="s">
        <v>458</v>
      </c>
      <c r="AB55" s="1" t="s">
        <v>568</v>
      </c>
      <c r="AT55" s="1" t="s">
        <v>567</v>
      </c>
      <c r="AU55" s="1" t="s">
        <v>138</v>
      </c>
      <c r="BC55" s="15" t="s">
        <v>296</v>
      </c>
      <c r="BD55" s="16" t="s">
        <v>470</v>
      </c>
      <c r="BE55" s="16" t="s">
        <v>493</v>
      </c>
      <c r="BF55" s="16" t="s">
        <v>270</v>
      </c>
      <c r="BG55" s="15" t="s">
        <v>223</v>
      </c>
    </row>
    <row r="56" spans="16:59" x14ac:dyDescent="0.5">
      <c r="P56" s="1" t="s">
        <v>300</v>
      </c>
      <c r="Q56" s="1" t="s">
        <v>476</v>
      </c>
      <c r="W56" s="1" t="s">
        <v>300</v>
      </c>
      <c r="X56" s="1" t="s">
        <v>476</v>
      </c>
      <c r="AA56" s="1" t="s">
        <v>569</v>
      </c>
      <c r="AB56" s="1" t="s">
        <v>501</v>
      </c>
      <c r="AT56" s="1" t="s">
        <v>458</v>
      </c>
      <c r="AU56" s="1" t="s">
        <v>568</v>
      </c>
      <c r="BC56" s="17"/>
      <c r="BD56" s="14" t="s">
        <v>380</v>
      </c>
      <c r="BE56" s="14" t="s">
        <v>484</v>
      </c>
      <c r="BF56" s="15" t="s">
        <v>485</v>
      </c>
      <c r="BG56" s="15" t="s">
        <v>456</v>
      </c>
    </row>
    <row r="57" spans="16:59" x14ac:dyDescent="0.5">
      <c r="P57" s="1" t="s">
        <v>570</v>
      </c>
      <c r="Q57" s="1" t="s">
        <v>456</v>
      </c>
      <c r="W57" s="1" t="s">
        <v>570</v>
      </c>
      <c r="X57" s="1" t="s">
        <v>456</v>
      </c>
      <c r="AA57" s="1" t="s">
        <v>419</v>
      </c>
      <c r="AB57" s="1" t="s">
        <v>326</v>
      </c>
      <c r="AT57" s="1" t="s">
        <v>569</v>
      </c>
      <c r="AU57" s="1" t="s">
        <v>501</v>
      </c>
      <c r="BD57" s="16" t="s">
        <v>452</v>
      </c>
      <c r="BE57" s="15" t="s">
        <v>501</v>
      </c>
      <c r="BF57" s="15" t="s">
        <v>198</v>
      </c>
      <c r="BG57" s="15" t="s">
        <v>401</v>
      </c>
    </row>
    <row r="58" spans="16:59" x14ac:dyDescent="0.5">
      <c r="P58" s="1" t="s">
        <v>138</v>
      </c>
      <c r="Q58" s="1" t="s">
        <v>139</v>
      </c>
      <c r="W58" s="1" t="s">
        <v>138</v>
      </c>
      <c r="X58" s="1" t="s">
        <v>139</v>
      </c>
      <c r="AA58" s="1" t="s">
        <v>571</v>
      </c>
      <c r="AB58" s="1" t="s">
        <v>572</v>
      </c>
      <c r="AT58" s="1" t="s">
        <v>419</v>
      </c>
      <c r="AU58" s="1" t="s">
        <v>326</v>
      </c>
      <c r="BD58" s="15" t="s">
        <v>405</v>
      </c>
      <c r="BE58" s="13"/>
      <c r="BF58" s="15" t="s">
        <v>273</v>
      </c>
      <c r="BG58" s="15" t="s">
        <v>484</v>
      </c>
    </row>
    <row r="59" spans="16:59" x14ac:dyDescent="0.5">
      <c r="P59" s="1" t="s">
        <v>422</v>
      </c>
      <c r="Q59" s="1" t="s">
        <v>573</v>
      </c>
      <c r="W59" s="1" t="s">
        <v>422</v>
      </c>
      <c r="X59" s="1" t="s">
        <v>573</v>
      </c>
      <c r="AA59" s="1" t="s">
        <v>574</v>
      </c>
      <c r="AB59" s="1" t="s">
        <v>575</v>
      </c>
      <c r="AT59" s="1" t="s">
        <v>571</v>
      </c>
      <c r="AU59" s="1" t="s">
        <v>572</v>
      </c>
      <c r="BC59" s="2"/>
      <c r="BD59" s="15" t="s">
        <v>471</v>
      </c>
      <c r="BE59" s="13"/>
      <c r="BF59" s="15" t="s">
        <v>127</v>
      </c>
      <c r="BG59" s="15" t="s">
        <v>143</v>
      </c>
    </row>
    <row r="60" spans="16:59" x14ac:dyDescent="0.5">
      <c r="P60" s="1" t="s">
        <v>563</v>
      </c>
      <c r="Q60" s="1" t="s">
        <v>345</v>
      </c>
      <c r="W60" s="1" t="s">
        <v>563</v>
      </c>
      <c r="X60" s="1" t="s">
        <v>345</v>
      </c>
      <c r="AA60" s="1" t="s">
        <v>576</v>
      </c>
      <c r="AB60" s="1" t="s">
        <v>577</v>
      </c>
      <c r="AT60" s="1" t="s">
        <v>574</v>
      </c>
      <c r="AU60" s="1" t="s">
        <v>575</v>
      </c>
      <c r="BD60" s="16" t="s">
        <v>459</v>
      </c>
      <c r="BE60" s="13"/>
      <c r="BF60" s="15" t="s">
        <v>402</v>
      </c>
      <c r="BG60" s="15"/>
    </row>
    <row r="61" spans="16:59" x14ac:dyDescent="0.5">
      <c r="P61" s="1" t="s">
        <v>371</v>
      </c>
      <c r="Q61" s="1" t="s">
        <v>315</v>
      </c>
      <c r="W61" s="1" t="s">
        <v>371</v>
      </c>
      <c r="X61" s="1" t="s">
        <v>315</v>
      </c>
      <c r="AA61" s="1" t="s">
        <v>198</v>
      </c>
      <c r="AB61" s="1" t="s">
        <v>578</v>
      </c>
      <c r="AT61" s="1" t="s">
        <v>576</v>
      </c>
      <c r="AU61" s="1" t="s">
        <v>577</v>
      </c>
      <c r="BD61" s="15" t="s">
        <v>367</v>
      </c>
      <c r="BE61" s="13"/>
      <c r="BF61" s="15" t="s">
        <v>403</v>
      </c>
      <c r="BG61" s="15"/>
    </row>
    <row r="62" spans="16:59" x14ac:dyDescent="0.5">
      <c r="P62" s="1" t="s">
        <v>528</v>
      </c>
      <c r="Q62" s="1" t="s">
        <v>484</v>
      </c>
      <c r="W62" s="1" t="s">
        <v>528</v>
      </c>
      <c r="X62" s="1" t="s">
        <v>484</v>
      </c>
      <c r="AA62" s="1" t="s">
        <v>137</v>
      </c>
      <c r="AB62" s="1" t="s">
        <v>579</v>
      </c>
      <c r="AT62" s="1" t="s">
        <v>198</v>
      </c>
      <c r="AU62" s="1" t="s">
        <v>578</v>
      </c>
      <c r="BD62" s="16" t="s">
        <v>388</v>
      </c>
      <c r="BE62" s="13"/>
      <c r="BF62" s="15" t="s">
        <v>199</v>
      </c>
      <c r="BG62" s="15"/>
    </row>
    <row r="63" spans="16:59" x14ac:dyDescent="0.5">
      <c r="P63" s="1" t="s">
        <v>382</v>
      </c>
      <c r="Q63" s="1" t="s">
        <v>142</v>
      </c>
      <c r="W63" s="1" t="s">
        <v>382</v>
      </c>
      <c r="X63" s="1" t="s">
        <v>142</v>
      </c>
      <c r="AA63" s="1" t="s">
        <v>580</v>
      </c>
      <c r="AB63" s="1" t="s">
        <v>120</v>
      </c>
      <c r="AT63" s="1" t="s">
        <v>137</v>
      </c>
      <c r="AU63" s="1" t="s">
        <v>579</v>
      </c>
      <c r="BC63" s="2"/>
      <c r="BD63" s="16" t="s">
        <v>411</v>
      </c>
      <c r="BE63" s="13"/>
      <c r="BF63" s="16" t="s">
        <v>224</v>
      </c>
      <c r="BG63" s="15"/>
    </row>
    <row r="64" spans="16:59" x14ac:dyDescent="0.5">
      <c r="Q64" s="1" t="s">
        <v>143</v>
      </c>
      <c r="X64" s="1" t="s">
        <v>143</v>
      </c>
      <c r="AA64" s="1" t="s">
        <v>509</v>
      </c>
      <c r="AT64" s="1" t="s">
        <v>580</v>
      </c>
      <c r="BD64" s="15" t="s">
        <v>133</v>
      </c>
      <c r="BE64" s="13"/>
      <c r="BF64" s="15" t="s">
        <v>134</v>
      </c>
      <c r="BG64" s="15"/>
    </row>
    <row r="65" spans="17:59" x14ac:dyDescent="0.5">
      <c r="Q65" s="1" t="s">
        <v>144</v>
      </c>
      <c r="X65" s="1" t="s">
        <v>144</v>
      </c>
      <c r="AA65" s="1" t="s">
        <v>555</v>
      </c>
      <c r="AT65" s="1" t="s">
        <v>509</v>
      </c>
      <c r="BD65" s="13" t="s">
        <v>468</v>
      </c>
      <c r="BE65" s="13"/>
      <c r="BF65" s="16" t="s">
        <v>392</v>
      </c>
      <c r="BG65" s="15"/>
    </row>
    <row r="66" spans="17:59" x14ac:dyDescent="0.5">
      <c r="Q66" s="1" t="s">
        <v>581</v>
      </c>
      <c r="X66" s="1" t="s">
        <v>581</v>
      </c>
      <c r="AA66" s="1" t="s">
        <v>582</v>
      </c>
      <c r="AT66" s="1" t="s">
        <v>555</v>
      </c>
      <c r="BD66" s="14" t="s">
        <v>427</v>
      </c>
      <c r="BE66" s="13"/>
      <c r="BF66" s="15" t="s">
        <v>425</v>
      </c>
      <c r="BG66" s="15"/>
    </row>
    <row r="67" spans="17:59" x14ac:dyDescent="0.5">
      <c r="X67" s="1" t="s">
        <v>611</v>
      </c>
      <c r="AA67" s="1" t="s">
        <v>583</v>
      </c>
      <c r="AT67" s="1" t="s">
        <v>582</v>
      </c>
      <c r="BD67" s="16" t="s">
        <v>510</v>
      </c>
      <c r="BE67" s="13"/>
      <c r="BF67" s="15" t="s">
        <v>444</v>
      </c>
      <c r="BG67" s="15"/>
    </row>
    <row r="68" spans="17:59" x14ac:dyDescent="0.5">
      <c r="AA68" s="1" t="s">
        <v>504</v>
      </c>
      <c r="AT68" s="1" t="s">
        <v>583</v>
      </c>
      <c r="BD68" s="13" t="s">
        <v>353</v>
      </c>
      <c r="BE68" s="13"/>
      <c r="BF68" s="15" t="s">
        <v>244</v>
      </c>
      <c r="BG68" s="15"/>
    </row>
    <row r="69" spans="17:59" x14ac:dyDescent="0.5">
      <c r="AA69" s="1" t="s">
        <v>247</v>
      </c>
      <c r="AT69" s="1" t="s">
        <v>504</v>
      </c>
      <c r="BD69" s="15" t="s">
        <v>341</v>
      </c>
      <c r="BE69" s="13"/>
      <c r="BF69" s="15" t="s">
        <v>300</v>
      </c>
      <c r="BG69" s="15"/>
    </row>
    <row r="70" spans="17:59" x14ac:dyDescent="0.5">
      <c r="AT70" s="1" t="s">
        <v>247</v>
      </c>
      <c r="BD70" s="16" t="s">
        <v>522</v>
      </c>
      <c r="BE70" s="18"/>
      <c r="BF70" s="15" t="s">
        <v>506</v>
      </c>
      <c r="BG70" s="15"/>
    </row>
    <row r="71" spans="17:59" x14ac:dyDescent="0.5">
      <c r="BD71" s="15" t="s">
        <v>135</v>
      </c>
      <c r="BF71" s="15" t="s">
        <v>328</v>
      </c>
      <c r="BG71" s="15"/>
    </row>
    <row r="72" spans="17:59" x14ac:dyDescent="0.5">
      <c r="BD72" s="15" t="s">
        <v>458</v>
      </c>
      <c r="BF72" s="16" t="s">
        <v>527</v>
      </c>
      <c r="BG72" s="15"/>
    </row>
    <row r="73" spans="17:59" x14ac:dyDescent="0.5">
      <c r="BD73" s="16" t="s">
        <v>425</v>
      </c>
      <c r="BF73" s="15" t="s">
        <v>272</v>
      </c>
      <c r="BG73" s="15"/>
    </row>
    <row r="74" spans="17:59" x14ac:dyDescent="0.5">
      <c r="BD74" s="13" t="s">
        <v>494</v>
      </c>
      <c r="BF74" s="16" t="s">
        <v>415</v>
      </c>
      <c r="BG74" s="15"/>
    </row>
    <row r="75" spans="17:59" x14ac:dyDescent="0.5">
      <c r="BD75" s="14" t="s">
        <v>498</v>
      </c>
      <c r="BF75" s="15" t="s">
        <v>457</v>
      </c>
      <c r="BG75" s="15"/>
    </row>
    <row r="76" spans="17:59" x14ac:dyDescent="0.5">
      <c r="BD76" s="13" t="s">
        <v>502</v>
      </c>
      <c r="BF76" s="15" t="s">
        <v>474</v>
      </c>
      <c r="BG76" s="15"/>
    </row>
    <row r="77" spans="17:59" x14ac:dyDescent="0.5">
      <c r="BD77" s="16" t="s">
        <v>531</v>
      </c>
      <c r="BF77" s="16" t="s">
        <v>223</v>
      </c>
      <c r="BG77" s="15"/>
    </row>
    <row r="78" spans="17:59" x14ac:dyDescent="0.5">
      <c r="BD78" s="16" t="s">
        <v>415</v>
      </c>
      <c r="BF78" s="16" t="s">
        <v>479</v>
      </c>
      <c r="BG78" s="15"/>
    </row>
    <row r="79" spans="17:59" x14ac:dyDescent="0.5">
      <c r="BD79" s="15" t="s">
        <v>457</v>
      </c>
      <c r="BF79" s="15" t="s">
        <v>456</v>
      </c>
      <c r="BG79" s="15"/>
    </row>
    <row r="80" spans="17:59" x14ac:dyDescent="0.5">
      <c r="BD80" s="14" t="s">
        <v>507</v>
      </c>
      <c r="BF80" s="15" t="s">
        <v>401</v>
      </c>
      <c r="BG80" s="15"/>
    </row>
    <row r="81" spans="56:59" x14ac:dyDescent="0.5">
      <c r="BD81" s="16" t="s">
        <v>521</v>
      </c>
      <c r="BF81" s="16" t="s">
        <v>434</v>
      </c>
      <c r="BG81" s="16"/>
    </row>
    <row r="82" spans="56:59" x14ac:dyDescent="0.5">
      <c r="BD82" s="13" t="s">
        <v>513</v>
      </c>
      <c r="BF82" s="15" t="s">
        <v>475</v>
      </c>
      <c r="BG82" s="15"/>
    </row>
    <row r="83" spans="56:59" x14ac:dyDescent="0.5">
      <c r="BD83" s="15" t="s">
        <v>138</v>
      </c>
      <c r="BF83" s="16" t="s">
        <v>345</v>
      </c>
      <c r="BG83" s="16"/>
    </row>
    <row r="84" spans="56:59" x14ac:dyDescent="0.5">
      <c r="BD84" s="16" t="s">
        <v>519</v>
      </c>
      <c r="BF84" s="16" t="s">
        <v>315</v>
      </c>
      <c r="BG84" s="15"/>
    </row>
    <row r="85" spans="56:59" x14ac:dyDescent="0.5">
      <c r="BD85" s="13" t="s">
        <v>371</v>
      </c>
      <c r="BF85" s="15" t="s">
        <v>484</v>
      </c>
      <c r="BG85" s="15"/>
    </row>
    <row r="86" spans="56:59" x14ac:dyDescent="0.5">
      <c r="BD86" s="15" t="s">
        <v>528</v>
      </c>
      <c r="BF86" s="19" t="s">
        <v>143</v>
      </c>
      <c r="BG86" s="15"/>
    </row>
    <row r="87" spans="56:59" x14ac:dyDescent="0.5">
      <c r="BD87" s="16" t="s">
        <v>493</v>
      </c>
      <c r="BF87" s="16" t="s">
        <v>144</v>
      </c>
      <c r="BG87" s="19"/>
    </row>
    <row r="88" spans="56:59" x14ac:dyDescent="0.5">
      <c r="BD88" s="15" t="s">
        <v>501</v>
      </c>
      <c r="BF88" s="16" t="s">
        <v>124</v>
      </c>
    </row>
    <row r="89" spans="56:59" x14ac:dyDescent="0.5">
      <c r="BD89" s="16"/>
      <c r="BF89" s="16" t="s">
        <v>405</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S1:AG1"/>
    <mergeCell ref="L2:Q2"/>
    <mergeCell ref="S2:X2"/>
    <mergeCell ref="Y2:AB2"/>
    <mergeCell ref="AC2:AG2"/>
    <mergeCell ref="AV3:AZ3"/>
    <mergeCell ref="AR3:AU3"/>
    <mergeCell ref="AL3:AN3"/>
    <mergeCell ref="AO3:AQ3"/>
    <mergeCell ref="BB1:BG1"/>
    <mergeCell ref="AL2:AQ2"/>
    <mergeCell ref="AL1:AZ1"/>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61</vt:i4>
      </vt:variant>
    </vt:vector>
  </HeadingPairs>
  <TitlesOfParts>
    <vt:vector size="68"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2026-04-21T20:17:56Z</dcterms:modified>
  <cp:category/>
  <cp:contentStatus/>
</cp:coreProperties>
</file>