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updateLinks="always" defaultThemeVersion="166925"/>
  <mc:AlternateContent xmlns:mc="http://schemas.openxmlformats.org/markup-compatibility/2006">
    <mc:Choice Requires="x15">
      <x15ac:absPath xmlns:x15ac="http://schemas.microsoft.com/office/spreadsheetml/2010/11/ac" url="https://poligran-my.sharepoint.com/personal/micortes_poligran_edu_co/Documents/Escritorio/01_FormatosRA_ReformaCurricular/"/>
    </mc:Choice>
  </mc:AlternateContent>
  <xr:revisionPtr revIDLastSave="811" documentId="13_ncr:1_{523E9347-1CEE-415F-A1AF-C055F087266F}" xr6:coauthVersionLast="47" xr6:coauthVersionMax="47" xr10:uidLastSave="{16D569AA-008E-46DB-873F-490E10C77C09}"/>
  <bookViews>
    <workbookView xWindow="-110" yWindow="-110" windowWidth="19420" windowHeight="10300" firstSheet="4"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10" r:id="rId5"/>
    <sheet name="Taxonomia para Competencias" sheetId="11" r:id="rId6"/>
    <sheet name="Taxonomias para RA" sheetId="9" r:id="rId7"/>
  </sheets>
  <externalReferences>
    <externalReference r:id="rId8"/>
  </externalReferences>
  <definedNames>
    <definedName name="_xlnm._FilterDatabase" localSheetId="2" hidden="1">'Paso 3 Redacción RA '!$A$2:$I$12</definedName>
    <definedName name="_xlnm._FilterDatabase" localSheetId="3" hidden="1">'Paso 4 Estrategias mesocurricu'!$A$2:$E$16</definedName>
    <definedName name="_xlnm._FilterDatabase" localSheetId="4" hidden="1">'Paso 5 Estrategias micro'!$A$1:$Q$108</definedName>
    <definedName name="actitudinalB" localSheetId="4">Tabla5785[ActitudinalB]</definedName>
    <definedName name="actitudinalB">Tabla5785[ActitudinalB]</definedName>
    <definedName name="ActitudinalBAK">'Taxonomias para RA'!$AC$3:$AG$3</definedName>
    <definedName name="AK" localSheetId="4">Tabla6088[AK]</definedName>
    <definedName name="AK">Tabla6088[AK]</definedName>
    <definedName name="AnálisisAK" localSheetId="4">Tabla99[AnálisisAK]</definedName>
    <definedName name="AnálisisAK">Tabla99[AnálisisAK]</definedName>
    <definedName name="AnálisisB" localSheetId="4">Tabla385280[AnálisisB]</definedName>
    <definedName name="AnálisisB">Tabla385280[AnálisisB]</definedName>
    <definedName name="AnálisisBAK" localSheetId="4">Tabla3865[AnálisisBAK]</definedName>
    <definedName name="AnálisisBAK">Tabla3865[AnálisisBAK]</definedName>
    <definedName name="AnalizarLK" localSheetId="4">Tabla2129[AnalizarLK]</definedName>
    <definedName name="AnalizarLK">Tabla2129[AnalizarLK]</definedName>
    <definedName name="AplicaciónB" localSheetId="4">Tabla375179[AplicaciónB]</definedName>
    <definedName name="AplicaciónB">Tabla375179[AplicaciónB]</definedName>
    <definedName name="AplicaciónBAK" localSheetId="4">Tabla3764[AplicaciónBAK]</definedName>
    <definedName name="AplicaciónBAK">Tabla3764[AplicaciónBAK]</definedName>
    <definedName name="AplicarLK" localSheetId="4">Tabla2028[AplicarLK]</definedName>
    <definedName name="AplicarLK">Tabla2028[AplicarLK]</definedName>
    <definedName name="áreasprofesionales" localSheetId="4">'Paso1 Analisis perfil egreso'!$H$3:$H$13</definedName>
    <definedName name="áreasprofesionales">'Paso1 Analisis perfil egreso'!$H$3:$H$13</definedName>
    <definedName name="BAK" localSheetId="4">Tabla5886[BAK]</definedName>
    <definedName name="BAK">Tabla5886[BAK]</definedName>
    <definedName name="Bloom">'Taxonomias para RA'!$G$3:$I$3</definedName>
    <definedName name="CaracterizarBAK" localSheetId="4">Tabla4776[CaracterizarBAK]</definedName>
    <definedName name="CaracterizarBAK">Tabla4776[CaracterizarBAK]</definedName>
    <definedName name="Cognitivo" localSheetId="4">'Paso1 Analisis perfil egreso'!$E$3:$E$14</definedName>
    <definedName name="Cognitivo">'Paso1 Analisis perfil egreso'!$E$3:$E$14</definedName>
    <definedName name="cognitivoB" localSheetId="4">Tabla5583[CognitivoB]</definedName>
    <definedName name="cognitivoB">Tabla5583[CognitivoB]</definedName>
    <definedName name="CognitivoBAK">'Taxonomias para RA'!$S$3:$X$3</definedName>
    <definedName name="competencias">'Paso 2 Redacción competen'!$F$4:$F$12</definedName>
    <definedName name="ComponentesCompetencias">'[1]Paso1 Analisis perfil egreso'!$E$2:$G$2</definedName>
    <definedName name="ComprenderLK">'Taxonomias para RA'!$AM$5:$AM$27</definedName>
    <definedName name="ComprensiónAK" localSheetId="4">Tabla98[ComprensiónAK]</definedName>
    <definedName name="ComprensiónAK">Tabla98[ComprensiónAK]</definedName>
    <definedName name="ComprensionB" localSheetId="4">Tabla365078[ComprensiónB]</definedName>
    <definedName name="ComprensionB">Tabla365078[ComprensiónB]</definedName>
    <definedName name="ComprensiónBAK" localSheetId="4">Tabla3663[ComprensiónBAK]</definedName>
    <definedName name="ComprensiónBAK">Tabla3663[ComprensiónBAK]</definedName>
    <definedName name="ConceptosLK" localSheetId="4">Tabla91[ConceptosLK]</definedName>
    <definedName name="ConceptosLK">Tabla91[ConceptosLK]</definedName>
    <definedName name="ConocimientoB" localSheetId="4">Tabla354977[ConocimientoB]</definedName>
    <definedName name="ConocimientoB">Tabla354977[ConocimientoB]</definedName>
    <definedName name="ConocimientoBAK" localSheetId="4">Tabla3555[ConocimientoBAK]</definedName>
    <definedName name="ConocimientoBAK">Tabla3555[ConocimientoBAK]</definedName>
    <definedName name="Conocimientos" localSheetId="4">'Paso1 Analisis perfil egreso'!$E$3:$E$14</definedName>
    <definedName name="Conocimientos">'Paso1 Analisis perfil egreso'!$E$3:$E$14</definedName>
    <definedName name="ControlBAK" localSheetId="4">Tabla4271[ControlBAK]</definedName>
    <definedName name="ControlBAK">Tabla4271[ControlBAK]</definedName>
    <definedName name="CrearLK" localSheetId="4">Tabla2333[CrearLK]</definedName>
    <definedName name="CrearLK">Tabla2333[CrearLK]</definedName>
    <definedName name="dominios">'Paso1 Analisis perfil egreso'!$E$2:$G$2</definedName>
    <definedName name="EvaluaciónB" localSheetId="4">Tabla405482[EvaluaciónB]</definedName>
    <definedName name="EvaluaciónB">Tabla405482[EvaluaciónB]</definedName>
    <definedName name="EvaluaciónBAK" localSheetId="4">Tabla4067[EvaluaciónBAK]</definedName>
    <definedName name="EvaluaciónBAK">Tabla4067[EvaluaciónBAK]</definedName>
    <definedName name="EvaluarLK">'Taxonomias para RA'!$AP$5:$AP$46</definedName>
    <definedName name="HechosLK" localSheetId="4">Tabla90[HechosLK]</definedName>
    <definedName name="HechosLK">Tabla90[HechosLK]</definedName>
    <definedName name="ImitaciónBAK" localSheetId="4">Tabla1168[ImitaciónBAK]</definedName>
    <definedName name="ImitaciónBAK">Tabla1168[ImitaciónBAK]</definedName>
    <definedName name="InformaciónAK" localSheetId="4">Tabla94[InformaciónAK]</definedName>
    <definedName name="InformaciónAK">Tabla94[InformaciónAK]</definedName>
    <definedName name="LK" localSheetId="4">Tabla5987[LK]</definedName>
    <definedName name="LK">Tabla5987[LK]</definedName>
    <definedName name="ManipulaciónBAK" localSheetId="4">Tabla3069[ManipulaciónBAK]</definedName>
    <definedName name="ManipulaciónBAK">Tabla3069[ManipulaciónBAK]</definedName>
    <definedName name="MetacogniciónAK" localSheetId="4">Tabla101[MetacogniciónAK]</definedName>
    <definedName name="MetacogniciónAK">Tabla101[MetacogniciónAK]</definedName>
    <definedName name="MetacogniciónLK" localSheetId="4">Tabla93[MetacogniciónLK]</definedName>
    <definedName name="MetacogniciónLK">Tabla93[MetacogniciónLK]</definedName>
    <definedName name="MetocogniciónAK" localSheetId="4">Tabla101[MetacogniciónAK]</definedName>
    <definedName name="MetocogniciónAK">Tabla101[MetacogniciónAK]</definedName>
    <definedName name="ocupacional">'Paso1 Analisis perfil egreso'!$H$2:$J$2</definedName>
    <definedName name="OrganizarBAK" localSheetId="4">Tabla4675[OrganizarBAK]</definedName>
    <definedName name="OrganizarBAK">Tabla4675[OrganizarBAK]</definedName>
    <definedName name="PercepciónBAK">'Taxonomias para RA'!$AC$4:$AC$40</definedName>
    <definedName name="poblacionactuacion" localSheetId="4">'Paso1 Analisis perfil egreso'!$J$3:$J$7</definedName>
    <definedName name="poblacionactuacion">'Paso1 Analisis perfil egreso'!$J$3:$J$7</definedName>
    <definedName name="poblaciones" localSheetId="4">'Paso1 Analisis perfil egreso'!$J$3:$J$7</definedName>
    <definedName name="poblaciones">'Paso1 Analisis perfil egreso'!$J$3:$J$7</definedName>
    <definedName name="poblacionesactuación" localSheetId="4">'Paso1 Analisis perfil egreso'!$J$3:$J$7</definedName>
    <definedName name="poblacionesactuación">'Paso1 Analisis perfil egreso'!$J$3:$J$7</definedName>
    <definedName name="PrecisiónBAK" localSheetId="4">Tabla4170[PrecisiónBAK]</definedName>
    <definedName name="PrecisiónBAK">Tabla4170[PrecisiónBAK]</definedName>
    <definedName name="procedimentalB" localSheetId="4">Tabla5684[ProcedimentalB]</definedName>
    <definedName name="procedimentalB">Tabla5684[ProcedimentalB]</definedName>
    <definedName name="ProcedimentalBAK">'Taxonomias para RA'!$Y$3:$AB$3</definedName>
    <definedName name="ProcedimientosLK" localSheetId="4">Tabla92[ProcedimientosLK]</definedName>
    <definedName name="ProcedimientosLK">Tabla92[ProcedimientosLK]</definedName>
    <definedName name="ProcesosAK" localSheetId="4">Tabla95[ProcesosAK]</definedName>
    <definedName name="ProcesosAK">Tabla95[ProcesosAK]</definedName>
    <definedName name="PsicomotorAK" localSheetId="4">Tabla96[PsicomotorAK]</definedName>
    <definedName name="PsicomotorAK">Tabla96[PsicomotorAK]</definedName>
    <definedName name="RecordarLK">'Taxonomias para RA'!$AL$5:$AL$27</definedName>
    <definedName name="RecuperaciónAK">'Taxonomias para RA'!$AT$4:$AT$27</definedName>
    <definedName name="ResponderBAK" localSheetId="4">Tabla4473[ResponderBAK]</definedName>
    <definedName name="ResponderBAK">Tabla4473[ResponderBAK]</definedName>
    <definedName name="resultadoaprendizaje">'Paso 3 Redacción RA '!$I$3:$I$13</definedName>
    <definedName name="Saber">'Paso1 Analisis perfil egreso'!$E$3:$E$6</definedName>
    <definedName name="Saberhacer" localSheetId="4">'Paso1 Analisis perfil egreso'!$F$3:$F$14</definedName>
    <definedName name="Saberhacer">'Paso1 Analisis perfil egreso'!$F$3:$F$14</definedName>
    <definedName name="saberser" localSheetId="4">'Paso1 Analisis perfil egreso'!$G$3:$G$14</definedName>
    <definedName name="saberser">'Paso1 Analisis perfil egreso'!$G$3:$G$14</definedName>
    <definedName name="SíntesisB" localSheetId="4">Tabla395381[SíntesisB]</definedName>
    <definedName name="SíntesisB">Tabla395381[SíntesisB]</definedName>
    <definedName name="SíntesisBAK" localSheetId="4">Tabla3966[SíntesisBAK]</definedName>
    <definedName name="SíntesisBAK">Tabla3966[SíntesisBAK]</definedName>
    <definedName name="tareas" localSheetId="4">'Paso1 Analisis perfil egreso'!$I$3:$I$13</definedName>
    <definedName name="tareas">'Paso1 Analisis perfil egreso'!$I$3:$I$13</definedName>
    <definedName name="tareasprofesionales" localSheetId="4">'Paso1 Analisis perfil egreso'!$I$3:$I$13</definedName>
    <definedName name="tareasprofesionales">'Paso1 Analisis perfil egreso'!$I$3:$I$13</definedName>
    <definedName name="taxonomiasra" localSheetId="4">Tabla1715[Taxonomías]</definedName>
    <definedName name="taxonomiasra">Tabla1715[Taxonomías]</definedName>
    <definedName name="UsoConocimientoAK">'Taxonomias para RA'!$AW$4:$AW$70</definedName>
    <definedName name="Valoragregado" localSheetId="4">'Paso1 Analisis perfil egreso'!$K$3:$K$7</definedName>
    <definedName name="Valoragregado">'Paso1 Analisis perfil egreso'!$K$3:$K$7</definedName>
    <definedName name="ValorarBAK" localSheetId="4">Tabla4574[ValorarBAK]</definedName>
    <definedName name="ValorarBAK">Tabla4574[ValorarBAK]</definedName>
    <definedName name="VerbosCompetencias">'Taxonomia para Competencias'!$B:$B</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08" i="10" l="1"/>
  <c r="S105" i="10"/>
  <c r="S104" i="10"/>
  <c r="S78" i="10"/>
  <c r="S55" i="10"/>
  <c r="S37" i="10"/>
  <c r="S26" i="10"/>
  <c r="S13" i="10"/>
  <c r="J105" i="10"/>
  <c r="D105" i="10"/>
  <c r="R104" i="10"/>
  <c r="R78" i="10"/>
  <c r="R55" i="10"/>
  <c r="R37" i="10"/>
  <c r="R26" i="10"/>
  <c r="R13" i="10"/>
  <c r="K105" i="10"/>
  <c r="J107" i="10"/>
  <c r="K107" i="10" s="1"/>
  <c r="L99" i="10"/>
  <c r="K99" i="10"/>
  <c r="L94" i="10"/>
  <c r="K94" i="10"/>
  <c r="L89" i="10"/>
  <c r="K89" i="10"/>
  <c r="L84" i="10"/>
  <c r="K84" i="10"/>
  <c r="L79" i="10"/>
  <c r="K79" i="10"/>
  <c r="L71" i="10"/>
  <c r="K71" i="10"/>
  <c r="L66" i="10"/>
  <c r="K66" i="10"/>
  <c r="L61" i="10"/>
  <c r="K61" i="10"/>
  <c r="L56" i="10"/>
  <c r="K56" i="10"/>
  <c r="L51" i="10"/>
  <c r="K51" i="10"/>
  <c r="L46" i="10"/>
  <c r="K46" i="10"/>
  <c r="K42" i="10"/>
  <c r="L42" i="10"/>
  <c r="L76" i="10"/>
  <c r="K76" i="10"/>
  <c r="L39" i="10"/>
  <c r="K39" i="10"/>
  <c r="L35" i="10"/>
  <c r="K35" i="10"/>
  <c r="L32" i="10"/>
  <c r="K32" i="10"/>
  <c r="L29" i="10"/>
  <c r="K29" i="10"/>
  <c r="L24" i="10"/>
  <c r="K24" i="10"/>
  <c r="L21" i="10"/>
  <c r="K21" i="10"/>
  <c r="L18" i="10"/>
  <c r="K18" i="10"/>
  <c r="L15" i="10"/>
  <c r="K15" i="10"/>
  <c r="L11" i="10"/>
  <c r="K11" i="10"/>
  <c r="L8" i="10"/>
  <c r="K8" i="10"/>
  <c r="L5" i="10"/>
  <c r="K5" i="10"/>
  <c r="L38" i="10"/>
  <c r="K38" i="10"/>
  <c r="L28" i="10"/>
  <c r="K28" i="10"/>
  <c r="L27" i="10"/>
  <c r="K27" i="10"/>
  <c r="L14" i="10"/>
  <c r="K14" i="10"/>
  <c r="L4" i="10"/>
  <c r="K4" i="10"/>
  <c r="L3" i="10"/>
  <c r="K3" i="10"/>
  <c r="J106" i="10"/>
  <c r="K106" i="10" s="1"/>
  <c r="A103" i="10"/>
  <c r="A20" i="10"/>
  <c r="M38" i="10" l="1"/>
  <c r="R105" i="10"/>
  <c r="A38" i="10"/>
  <c r="A27" i="10"/>
  <c r="A28" i="10"/>
  <c r="A14" i="10"/>
  <c r="A4" i="10"/>
  <c r="A3" i="10"/>
  <c r="A104" i="10"/>
  <c r="A102" i="10"/>
  <c r="A101" i="10"/>
  <c r="A100" i="10"/>
  <c r="A99" i="10"/>
  <c r="A98" i="10"/>
  <c r="A97" i="10"/>
  <c r="A96" i="10"/>
  <c r="A95" i="10"/>
  <c r="A94" i="10"/>
  <c r="A93" i="10"/>
  <c r="A92" i="10"/>
  <c r="A91" i="10"/>
  <c r="A90" i="10"/>
  <c r="A89" i="10"/>
  <c r="A88" i="10"/>
  <c r="A87" i="10"/>
  <c r="A86" i="10"/>
  <c r="A85" i="10"/>
  <c r="A84" i="10"/>
  <c r="A83" i="10"/>
  <c r="A82" i="10"/>
  <c r="A81" i="10"/>
  <c r="A80" i="10"/>
  <c r="A79" i="10"/>
  <c r="A78" i="10"/>
  <c r="A77" i="10"/>
  <c r="A76" i="10"/>
  <c r="A75" i="10"/>
  <c r="A74" i="10"/>
  <c r="A73" i="10"/>
  <c r="A72" i="10"/>
  <c r="A71" i="10"/>
  <c r="A70" i="10"/>
  <c r="A69" i="10"/>
  <c r="A68" i="10"/>
  <c r="A67" i="10"/>
  <c r="A66" i="10"/>
  <c r="A65" i="10"/>
  <c r="A64" i="10"/>
  <c r="A63" i="10"/>
  <c r="A62" i="10"/>
  <c r="A61" i="10"/>
  <c r="A60" i="10"/>
  <c r="A59" i="10"/>
  <c r="A58" i="10"/>
  <c r="A57" i="10"/>
  <c r="A56" i="10"/>
  <c r="A55" i="10"/>
  <c r="A54" i="10"/>
  <c r="A53" i="10"/>
  <c r="A52" i="10"/>
  <c r="A51" i="10"/>
  <c r="A50" i="10"/>
  <c r="A49" i="10"/>
  <c r="A48" i="10"/>
  <c r="A47" i="10"/>
  <c r="A46" i="10"/>
  <c r="A45" i="10"/>
  <c r="A44" i="10"/>
  <c r="A43" i="10"/>
  <c r="A42" i="10"/>
  <c r="A41" i="10"/>
  <c r="A40" i="10"/>
  <c r="A39" i="10"/>
  <c r="A37" i="10"/>
  <c r="A36" i="10"/>
  <c r="A35" i="10"/>
  <c r="A34" i="10"/>
  <c r="A33" i="10"/>
  <c r="A32" i="10"/>
  <c r="A31" i="10"/>
  <c r="A30" i="10"/>
  <c r="A29" i="10"/>
  <c r="A26" i="10"/>
  <c r="A25" i="10"/>
  <c r="A24" i="10"/>
  <c r="A23" i="10"/>
  <c r="A22" i="10"/>
  <c r="A21" i="10"/>
  <c r="A19" i="10"/>
  <c r="A18" i="10"/>
  <c r="A17" i="10"/>
  <c r="A16" i="10"/>
  <c r="A15" i="10"/>
  <c r="A13" i="10"/>
  <c r="A12" i="10"/>
  <c r="A11" i="10"/>
  <c r="A9" i="10"/>
  <c r="A10" i="10"/>
  <c r="A8" i="10"/>
  <c r="A6" i="10"/>
  <c r="A7" i="10"/>
  <c r="A5" i="10"/>
  <c r="M11" i="10" l="1"/>
  <c r="M21" i="10"/>
  <c r="M42" i="10"/>
  <c r="M71" i="10"/>
  <c r="M79" i="10"/>
  <c r="M89" i="10"/>
  <c r="M94" i="10"/>
  <c r="M99" i="10"/>
  <c r="M24" i="10"/>
  <c r="M5" i="10"/>
  <c r="M15" i="10"/>
  <c r="M8" i="10"/>
  <c r="M18" i="10"/>
  <c r="M29" i="10"/>
  <c r="M39" i="10"/>
  <c r="M51" i="10"/>
  <c r="M66" i="10"/>
  <c r="M46" i="10"/>
  <c r="M61" i="10"/>
  <c r="M32" i="10"/>
  <c r="M35" i="10"/>
  <c r="M84" i="10"/>
  <c r="M56" i="10"/>
  <c r="M76" i="10"/>
  <c r="M28" i="10" l="1"/>
  <c r="M27" i="10"/>
  <c r="M14" i="10"/>
  <c r="M4" i="10"/>
  <c r="M3" i="10"/>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E338DED5-79E3-45EA-817F-66D8D3C549D2}">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12792177-0D62-47E7-9BFF-318A4AB271E4}">
      <text>
        <r>
          <rPr>
            <b/>
            <sz val="9"/>
            <color indexed="81"/>
            <rFont val="Tahoma"/>
            <family val="2"/>
          </rPr>
          <t>Dir. Currículo:</t>
        </r>
        <r>
          <rPr>
            <sz val="9"/>
            <color indexed="81"/>
            <rFont val="Tahoma"/>
            <family val="2"/>
          </rPr>
          <t xml:space="preserve">
Son los conocimientos generales que caracterizan el saber del egresado.</t>
        </r>
      </text>
    </comment>
    <comment ref="F2" authorId="0" shapeId="0" xr:uid="{F061F63A-3635-4989-89F1-6CCF984D96A3}">
      <text>
        <r>
          <rPr>
            <b/>
            <sz val="9"/>
            <color indexed="81"/>
            <rFont val="Tahoma"/>
            <family val="2"/>
          </rPr>
          <t>Dir. Currículo:</t>
        </r>
        <r>
          <rPr>
            <sz val="9"/>
            <color indexed="81"/>
            <rFont val="Tahoma"/>
            <family val="2"/>
          </rPr>
          <t xml:space="preserve">
Es el conocimiento referente a la ejecución de estrategias, técnicas, habilidades, métodos y procedimientos; implican fuerza, rapidez y precisión; hacen referencia a saber cómo hacer y saber hacer.</t>
        </r>
      </text>
    </comment>
    <comment ref="G2" authorId="0" shapeId="0" xr:uid="{389D3840-7D6C-4F77-AE2B-C83F9926A6C6}">
      <text>
        <r>
          <rPr>
            <b/>
            <sz val="9"/>
            <color indexed="81"/>
            <rFont val="Tahoma"/>
            <family val="2"/>
          </rPr>
          <t>Dir. Currículo:</t>
        </r>
        <r>
          <rPr>
            <sz val="9"/>
            <color indexed="81"/>
            <rFont val="Tahoma"/>
            <family val="2"/>
          </rPr>
          <t xml:space="preserve">
Se refiere a cómo debe ser el egresado en el contexto profesional, abarca los principios, normas, condiciones de contexto y reglas, entre otros.</t>
        </r>
      </text>
    </comment>
    <comment ref="H2" authorId="0" shapeId="0" xr:uid="{91F787E4-9F42-4666-B6D1-66DE9D88CA79}">
      <text>
        <r>
          <rPr>
            <b/>
            <sz val="9"/>
            <color indexed="81"/>
            <rFont val="Tahoma"/>
            <family val="2"/>
          </rPr>
          <t>Dir. Currículo:</t>
        </r>
        <r>
          <rPr>
            <sz val="9"/>
            <color indexed="81"/>
            <rFont val="Tahoma"/>
            <family val="2"/>
          </rPr>
          <t xml:space="preserve">
Áreas en las que podrá laborar el profesional.</t>
        </r>
      </text>
    </comment>
    <comment ref="I2" authorId="0" shapeId="0" xr:uid="{4990A9C5-31E1-4BCB-81EB-7C14549AB462}">
      <text>
        <r>
          <rPr>
            <b/>
            <sz val="9"/>
            <color indexed="81"/>
            <rFont val="Tahoma"/>
            <family val="2"/>
          </rPr>
          <t>Dir. Currículo:</t>
        </r>
        <r>
          <rPr>
            <sz val="9"/>
            <color indexed="81"/>
            <rFont val="Tahoma"/>
            <family val="2"/>
          </rPr>
          <t xml:space="preserve">
Tareas potenciales que hará el profesional.</t>
        </r>
      </text>
    </comment>
    <comment ref="J2" authorId="0" shapeId="0" xr:uid="{7BF9192D-7FC7-43E0-A6DE-5F1A0C0CB845}">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1CF5AD7F-64EB-4A95-94F5-CEFC52E18578}">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3" authorId="0" shapeId="0" xr:uid="{53EF9953-5C1D-409D-ADCD-293F780FDCB1}">
      <text>
        <r>
          <rPr>
            <b/>
            <sz val="9"/>
            <color indexed="81"/>
            <rFont val="Tahoma"/>
            <family val="2"/>
          </rPr>
          <t>Dir. Currículo:</t>
        </r>
        <r>
          <rPr>
            <sz val="9"/>
            <color indexed="81"/>
            <rFont val="Tahoma"/>
            <family val="2"/>
          </rPr>
          <t xml:space="preserve">
Respecto al número de competencias a redactar no hay una restricción ni número limitante, solo se debe tener en cuenta que el programa deberá garantizar y demostrar su desarrollo a través del proceso de aprendizaje que lleve a cabo el estudiante y que se desglosarán y declararán por medio de los resultados de aprendizaje.</t>
        </r>
      </text>
    </comment>
    <comment ref="B3" authorId="0" shapeId="0" xr:uid="{89B1F064-85DD-446C-A9DE-35C70EC4764C}">
      <text>
        <r>
          <rPr>
            <b/>
            <sz val="9"/>
            <color indexed="81"/>
            <rFont val="Tahoma"/>
            <family val="2"/>
          </rPr>
          <t xml:space="preserve">Dir. de Currículo:
</t>
        </r>
        <r>
          <rPr>
            <sz val="9"/>
            <color indexed="81"/>
            <rFont val="Tahoma"/>
            <family val="2"/>
          </rPr>
          <t>Si desea incluir un verbo puede hacerlo en la hoja Taxonomía para competencias, solo procure usar verbos que pueda desagregarse en verbos medibles</t>
        </r>
        <r>
          <rPr>
            <b/>
            <sz val="9"/>
            <color indexed="81"/>
            <rFont val="Tahoma"/>
            <family val="2"/>
          </rPr>
          <t xml:space="preserve">. </t>
        </r>
        <r>
          <rPr>
            <sz val="9"/>
            <color indexed="81"/>
            <rFont val="Tahoma"/>
            <family val="2"/>
          </rPr>
          <t xml:space="preserve">Después de incluirlo podrá elegirlo en la celda que lo requiera.
</t>
        </r>
      </text>
    </comment>
    <comment ref="C3" authorId="0" shapeId="0" xr:uid="{845B80FF-0F7D-4D93-B3F5-84DCA285350F}">
      <text>
        <r>
          <rPr>
            <b/>
            <sz val="9"/>
            <color indexed="81"/>
            <rFont val="Tahoma"/>
            <family val="2"/>
          </rPr>
          <t>Dir. Currículo:</t>
        </r>
        <r>
          <rPr>
            <sz val="9"/>
            <color indexed="81"/>
            <rFont val="Tahoma"/>
            <family val="2"/>
          </rPr>
          <t xml:space="preserve">
Recuerde que el objeto conceptual hace referencia a qué debe saber (conocimientos, hechos, teorías) el egresado cuando termine su formación profesional.</t>
        </r>
      </text>
    </comment>
    <comment ref="D3" authorId="0" shapeId="0" xr:uid="{DA64038A-6099-4D22-9EF8-C8D9FC3F33E7}">
      <text>
        <r>
          <rPr>
            <b/>
            <sz val="9"/>
            <color indexed="81"/>
            <rFont val="Tahoma"/>
            <family val="2"/>
          </rPr>
          <t>Dir. Currículo:</t>
        </r>
        <r>
          <rPr>
            <sz val="9"/>
            <color indexed="81"/>
            <rFont val="Tahoma"/>
            <family val="2"/>
          </rPr>
          <t xml:space="preserve">
La finalidad se refiere al para qué, se centra en qué es lo que el egresado sabrá hacer (procedimientos, procesos, metodologías, entre otros) con el saber enunciado como objeto conceptual.
El saber hacer o los elementos del componente ocupacional pueden ayudar a declarar la finalidad. Se listaron en la hoja Paso 1.</t>
        </r>
      </text>
    </comment>
    <comment ref="E3" authorId="0" shapeId="0" xr:uid="{7AD9CEF8-C620-4D74-A493-6111E862964C}">
      <text>
        <r>
          <rPr>
            <b/>
            <sz val="9"/>
            <color indexed="81"/>
            <rFont val="Tahoma"/>
            <family val="2"/>
          </rPr>
          <t>Dir. Currículo:</t>
        </r>
        <r>
          <rPr>
            <sz val="9"/>
            <color indexed="81"/>
            <rFont val="Tahoma"/>
            <family val="2"/>
          </rPr>
          <t xml:space="preserve">
Describe los referentes y parámetros, requerimientos o retos que se necesitan para alcanzar las características del perfil en el contexto donde el egresado se desenvolverá. 
Una pregunta orientadora para diligenciar esta componente es: ¿Qué condición se requiere para que lograr lo estableció en el perfil, en el contexto donde se desenvolverá el egresado? </t>
        </r>
      </text>
    </comment>
    <comment ref="F3" authorId="0" shapeId="0" xr:uid="{1DDC73BF-6D66-45D6-8CC2-D2CCBDED89EA}">
      <text>
        <r>
          <rPr>
            <b/>
            <sz val="9"/>
            <color indexed="81"/>
            <rFont val="Tahoma"/>
            <family val="2"/>
          </rPr>
          <t>Dir. Currículo:</t>
        </r>
        <r>
          <rPr>
            <sz val="9"/>
            <color indexed="81"/>
            <rFont val="Tahoma"/>
            <family val="2"/>
          </rPr>
          <t xml:space="preserve">
Tenga en cuenta que la competencia indica qué acción hará el egresado con un saber determinado, con un fin asociado a lo que debe saber hacer con el saber y unas condiciones de contexto o referencia, que enmarcan su comportamiento en el ámbito profesional.</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D3F143C3-D231-4875-B93F-43DD53FE5195}">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B1FB04BB-65D6-44B8-8F8C-4AC9B8A95942}">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958DBB57-68B3-466F-A186-1D6CED4E13CE}">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179B26A7-FC6E-4158-A82B-747AD08A87C0}">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DC2391F0-23C2-4858-A4CC-DE1159046B6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BA81069A-F375-4BBA-B338-1D6EDE5CE274}">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314680C8-A08A-49DA-998F-2218755A6E23}">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C91CCBA1-C27D-4136-A997-8392C8F3ED69}">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3F53F5B1-B1E3-4596-A9B1-55041ACD33EB}">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C011BE17-7130-44E8-AB43-A7ABB726547F}">
      <text>
        <r>
          <rPr>
            <b/>
            <sz val="9"/>
            <color indexed="81"/>
            <rFont val="Tahoma"/>
            <family val="2"/>
          </rPr>
          <t>Dir. Currículo:</t>
        </r>
        <r>
          <rPr>
            <sz val="9"/>
            <color indexed="81"/>
            <rFont val="Tahoma"/>
            <family val="2"/>
          </rPr>
          <t xml:space="preserve">
Escriba las estrategias que el programa emplea para evaluar los resultados de aprendizaje.</t>
        </r>
      </text>
    </comment>
    <comment ref="D2" authorId="0" shapeId="0" xr:uid="{866CD5F0-AA71-406A-BF4F-2F8088056BD6}">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70784CBA-9D53-4A90-B97A-05E3615D36F9}">
      <text>
        <r>
          <rPr>
            <b/>
            <sz val="9"/>
            <color indexed="81"/>
            <rFont val="Tahoma"/>
            <family val="2"/>
          </rPr>
          <t>Dir. Currículo:</t>
        </r>
        <r>
          <rPr>
            <sz val="9"/>
            <color indexed="81"/>
            <rFont val="Tahoma"/>
            <family val="2"/>
          </rPr>
          <t xml:space="preserve">
Los indicadores de logro, indican cómo cada asignatura o módulo contribuye al resultado de aprendizaje y serán aquellos a los que los docentes deberán apuntar para que con sus estrategias sean alcanzados por los estudiantes.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Y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<sst xmlns="http://schemas.openxmlformats.org/spreadsheetml/2006/main" count="2273" uniqueCount="734">
  <si>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</si>
  <si>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</si>
  <si>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</si>
  <si>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</si>
  <si>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</si>
  <si>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</si>
  <si>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</si>
  <si>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</si>
  <si>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</si>
  <si>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</si>
  <si>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</si>
  <si>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</si>
  <si>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</si>
  <si>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</si>
  <si>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</si>
  <si>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</si>
  <si>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</si>
  <si>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</si>
  <si>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Tecnología en Logística</t>
  </si>
  <si>
    <t>Virtual</t>
  </si>
  <si>
    <t>El graduado del programa de Tecnología en Logística del Politécnico Grancolombiano se caracteriza por su capacidad para implementar proyectos de desarrollo tecnológico que soportan actividades de aprovisionamiento, almacenaje, transporte y distribución en la cadena de abastecimiento. Aplica y adapta conocimientos técnicos asociados con los procesos de toma de decisiones, gestión y control de sistemas logísticos, respondiendo a las características propias de organizaciones industriales, comerciales y de servicios del país.</t>
  </si>
  <si>
    <t>El egresado del programa Tecnología en Logística del Politécnico Grancolombiano estará en capacidad para coordinar y analizar operaciones en áreas de suministro y abastecimiento, efectuando labores de manejo y control de los niveles de inventario, generación de órdenes de compra y costos de almacén, y en los procesos de distribución de bienes, utilizando eficientemente los modos y medios de transporte. Asiste la planeación, organización y definición de métodos, así como el control de calidad, analizando y proyectando el uso de recursos físicos, humanos y económicos en las cadenas de abastecimiento, apoyando la gestión de procesos entorno a tiempos, volúmenes, formas de papelería y recursos, y controlando los procesos de análisis estadístico de calidad en empresas de tipo industrial y de estandarización para la obtención de certificados de calidad.</t>
  </si>
  <si>
    <t>Aspectos críticos, las debilidades y fortalezas de un sistema logístico</t>
  </si>
  <si>
    <t>proponer estrategias de optimización</t>
  </si>
  <si>
    <t xml:space="preserve">con base en las técnicas y herramientas propias de la tecnología en logística. </t>
  </si>
  <si>
    <t>Almacenamiento y Gestión de Inventarios/Distribución y Transporte/Costos y Presupuestos Logísticos/Recursos Humanos Operaciones Logísticas/Análisis y Optimización de Procesos/Control de Calidad</t>
  </si>
  <si>
    <t>Manejo de inventarios, generación de órdenes de compra y costos de almacén/Control de niveles de inventarios y suministro de materias primas/Procesos de distribución de bienes, utilizando modos y medios de transporte/Análisis y proyección de utilización de recursos físicos, humanos y económicos en una cadena de abastecimiento/Gestión de procesos desde tiempos, volúmenes, formas de papelería y recursos/Control de procesos de análisis estadístico de calidad y estandarización para certificación de procesos/Implementación de procesos logísticos, productivos y organizacionales/Coordinación de áreas organizacionales y de recursos/Coordinación y gestión de procesos productivos, logísticos y organizacionales/Apoyo en la gestión, optimización de inventarios y compras; en la gestión de la seguridad y salud en el trabajo; en la gestión y administración de la calidad; y en la administración y de los sistemas de información organizacionales.</t>
  </si>
  <si>
    <t>Operadores logísticos/Empresas transportadoras o de abastecimiento/Entidades sin ánimo de lucro/Entidades gubernamentales/Empresas del sector industrial, comercial, de servicios, de soluciones logísticas y consultoras.</t>
  </si>
  <si>
    <t>El programa promueve el uso de software especializado empleado en la industria para desarrollar habilidades prácticas en la gestión de la cadena de suministro e incluye en su formación la gestión de compras, transporte, distribución y control de inventarios.</t>
  </si>
  <si>
    <t>Alternativas de solución innovadoras en situaciones problema de almacenamiento, transporte y distribución</t>
  </si>
  <si>
    <t>adaptarlas a las necesidades cambiantes en la gestión y control de las redes de abastecimiento</t>
  </si>
  <si>
    <t>teniendo en cuenta los impactos económicos, ambientales, éticos y de responsabilidad social e implementando mecanismos estratégicos acordes con los requerimientos de los clientes, los proveedores, la capacidad de producción y la legislación vigente.</t>
  </si>
  <si>
    <t>Modelos, principios, técnicas, herramientas y metodologías cuantitativas</t>
  </si>
  <si>
    <t xml:space="preserve">analizar información y contribuir a la toma de decisiones en la red logística </t>
  </si>
  <si>
    <t>mediante el diagnóstico y la evaluación de las limitaciones asociados a los problemas de la cadena de suministro.</t>
  </si>
  <si>
    <t>Fenómenos contemporáneos</t>
  </si>
  <si>
    <t>reconocer sus afectaciones o contribuciones en el marco de las ciudadanías globales y de una sociedad responsable y sostenible</t>
  </si>
  <si>
    <t>desde una perspectiva glocal, soportada en datos, con una mirada ética y crítica.</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</si>
  <si>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</si>
  <si>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</si>
  <si>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</si>
  <si>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</si>
  <si>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</si>
  <si>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</si>
  <si>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</si>
  <si>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</si>
  <si>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</si>
  <si>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</si>
  <si>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</si>
  <si>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</si>
  <si>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</si>
  <si>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</si>
  <si>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</si>
  <si>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Conocer</t>
  </si>
  <si>
    <t xml:space="preserve">Conocer los aspectos críticos, las debilidades y fortalezas de un sistema logístico, para proponer estrategias de optimización, con base en las técnicas y herramientas propias de la tecnología en logística. </t>
  </si>
  <si>
    <t>Específica</t>
  </si>
  <si>
    <t>Desarrollar</t>
  </si>
  <si>
    <t>Desarrollar alternativas de solución innovadoras en situaciones problema de almacenamiento, transporte y distribución para adaptarlas a las necesidades cambiantes en la gestión y control de las redes de abastecimiento, teniendo en cuenta los impactos económicos, ambientales, éticos y de responsabilidad social e implementando mecanismos estratégicos acordes con los requerimientos de los clientes, los proveedores, la capacidad de producción y la legislación vigente.</t>
  </si>
  <si>
    <t>Usar</t>
  </si>
  <si>
    <t>Usar modelos, principios, técnicas, herramientas y metodologías cuantitativas para analizar información y contribuir a la toma de decisiones en la red logística, mediante el diagnóstico y la evaluación de las limitaciones asociadas a los problemas de la cadena de suministros.</t>
  </si>
  <si>
    <t>Analizar</t>
  </si>
  <si>
    <t>reconocer sus afectaciones o contribuciones en el marco de las ciudadanías globales y de una sociedad responsable y sostenible.</t>
  </si>
  <si>
    <t>desde una perspectiva glocal, soportada en datos, con una mirada ética y crítica</t>
  </si>
  <si>
    <t>Analizar los fenómenos contemporáneos desde una perspectiva glocal, soportada en datos, con una mirada ética y crítica, para reconocer sus afectaciones o contribuciones en el marco de las ciudadanías globales y de una sociedad responsable y sostenible.</t>
  </si>
  <si>
    <t>Genérica</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</si>
  <si>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</si>
  <si>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</si>
  <si>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</si>
  <si>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</si>
  <si>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</si>
  <si>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</si>
  <si>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</si>
  <si>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</si>
  <si>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</si>
  <si>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</si>
  <si>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</si>
  <si>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</si>
  <si>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</si>
  <si>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</si>
  <si>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</si>
  <si>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</si>
  <si>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</si>
  <si>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</si>
  <si>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BAK</t>
  </si>
  <si>
    <t>CognitivoBAK</t>
  </si>
  <si>
    <t>ComprensiónBAK</t>
  </si>
  <si>
    <t>Relacionar</t>
  </si>
  <si>
    <t>Relaciona los componentes de la cadena logística con los diferentes entornos productivos para identificar debilidades y fortalezas desde las técnicas y herramientas de la tecnología en logística.</t>
  </si>
  <si>
    <t>ProcedimentalBAK</t>
  </si>
  <si>
    <t>ManipulaciónBAK</t>
  </si>
  <si>
    <t>Aplicar</t>
  </si>
  <si>
    <t>Aplica métodos exactos o aproximaciones numéricas con el uso de software especializado para resolver problemas de optimización en el contexto de la cadena de abastecimiento.</t>
  </si>
  <si>
    <t>ActitudinalBAK</t>
  </si>
  <si>
    <t>ValorarBAK</t>
  </si>
  <si>
    <t>Identificar</t>
  </si>
  <si>
    <t>Identifica necesidades logísticas en contextos organizacionales, considerando requerimientos de clientes, proveedores, capacidades de producción y el cumplimiento de la legislación vigente, para determinar, con criterios de evaluación pertinentes, las técnicas y herramientas operativas que permiten generar soluciones innovadoras.</t>
  </si>
  <si>
    <t>PrecisiónBAK</t>
  </si>
  <si>
    <t>Plantear</t>
  </si>
  <si>
    <t>Plantea alternativas factibles de solución a las necesidades en la gestión y el control de las redes de abastecimiento, transporte y distribución, para generar análisis operativos y técnicos que permitan identificar aquellas que minimizan impactos económicos y ambientales en escenarios simulados.</t>
  </si>
  <si>
    <t>ResponderBAK</t>
  </si>
  <si>
    <t>Tomar decisiones</t>
  </si>
  <si>
    <t>Toma decisiones de nivel técnico u operativo asociadas a los procesos y la gestión de operaciones, para proponer soluciones que consideren los impactos económicos, ambientales, éticos y de responsabilidad social en contextos organizacionales.</t>
  </si>
  <si>
    <t>Describir</t>
  </si>
  <si>
    <t>Describe los principales supuestos y limitaciones de los modelos, principios, técnicas, herramientas y metodologías cuantitativas que se utilizan en los problemas logísticos para hacer diagnósticos en contextos organizacionales.</t>
  </si>
  <si>
    <t>Bloom</t>
  </si>
  <si>
    <t>CognitivoB</t>
  </si>
  <si>
    <t>ComprensiónB</t>
  </si>
  <si>
    <t>Identifica fenómenos contemporáneos y su relación con la profesión, para determinar sus impactos e influencia en la sociedad, de forma responsable y crítica.</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</si>
  <si>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</si>
  <si>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</si>
  <si>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</si>
  <si>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</si>
  <si>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</si>
  <si>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</si>
  <si>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</si>
  <si>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</si>
  <si>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</si>
  <si>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</si>
  <si>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</si>
  <si>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</si>
  <si>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Congreso Internacional de Logística</t>
  </si>
  <si>
    <t>Evento internacional generado desde la Escuela OPINA que se desarrolla en una modalidad híbrida (presencial y virtual) con ponentes internacionales, la participación de semilleros y ponentes nacionales. Su objetivo es mostrar las investigaciones, aplicaciones, desarrollos y nuevas líneas de investigación, en torno a la administración eficiente de la cadena de suministros en los diferentes sectores económicos.  Se realiza la publicación de memorias.</t>
  </si>
  <si>
    <t>Valoración de la estrategia respecto al nivel de aporte a los resultados de aprendizaje del programa.</t>
  </si>
  <si>
    <t>Informar y formar sobre temas en tendencia asociados al campo profesional.</t>
  </si>
  <si>
    <t>Encuesta de valoración para los estudiantes</t>
  </si>
  <si>
    <t xml:space="preserve">Número de estudiantes que participan en la estrategia. </t>
  </si>
  <si>
    <t>Listados de participación de los estudiantes</t>
  </si>
  <si>
    <t>Número de veces que se lleva a cabo la estrategia en el periodo de tiempo establecido por el programa.</t>
  </si>
  <si>
    <t>Informe o Reporte</t>
  </si>
  <si>
    <t>Congreso internacional en BI</t>
  </si>
  <si>
    <t>Evento internacional generado desde la Escuela OPINA que se desarrolla en una modalidad híbrida (presencial y virtual) con ponentes internacionales y ponentes nacionales. Su objetivo es mostrar las investigaciones, aplicaciones, desarrollos y nuevas líneas de investigación, en torno al ámbito de la inteligencia de negocios en diferentes sectores económicos, incluyendo la gestión de la cadena de suministros.  Se realiza la publicación de memorias.</t>
  </si>
  <si>
    <t>Clases Espejo</t>
  </si>
  <si>
    <t xml:space="preserve">Estrategia pedagógica en la que profesores y estudiantes, tanto de la institución como de otras universidades internacionales, desarrollan sesiones sincrónicas y/o asincrónicas por medio de una plataforma digital compartida. Esta actividad académica permite la divulgación de resultados parciales de proyectos de investigación, el fomento de las líneas de investigación en jóvenes investigadores y la implementación de trabajos colaborativos con un componente intercultural.  </t>
  </si>
  <si>
    <t>Formar a los estudiantes sobre temas de la profesión y su manejo en contextos nacionales e internacionales.</t>
  </si>
  <si>
    <t>Participación en Eventos Internacionales (Congresos, conferencias, concursos de estudiantes de ingeniería)</t>
  </si>
  <si>
    <t>Fomentar la participación de los estudiantes del programa virtual en actividades estudiantiles de divulgación, investigación y trabajo colaborativo. Se financia la participación de los estudiantes del programa virtual en eventos con proyección internacional directamente relacionados con el programa. Cada una de estas actividades deberá ser acompañada por un docente o tutor, lo que requiere también una descarga de horas.</t>
  </si>
  <si>
    <t>Formar a los estudiantes sobre temas disciplinares y su manejo en contextos procedimentales.</t>
  </si>
  <si>
    <t>Proyectos de Investigación Formativa</t>
  </si>
  <si>
    <t>La investigación formativa como apoyo a los procesos de autoaprendizaje en el estudiante y pedagógico en el docente. El docente y el estudiante generan proyectos para el desarrollo de competencias investigativas y disciplinares de forma transversal. Para el docente es también una estrategia pedagógica que supone el uso real y efectivo del proceso de investigación en la planeación, desarrollo y evaluación de los contenidos curriculares.</t>
  </si>
  <si>
    <t>Informar y formar haciendo apropiación social del conocimiento sobre los documentos y el saber generado por los estudiantes del programa.</t>
  </si>
  <si>
    <t>Participación en Semilleros de Investigación</t>
  </si>
  <si>
    <t>Se establece a los semilleros de investigación como espacios para que los estudiantes consoliden sus competencias investigativas al pertenecer a un proyecto dirigido por un docente investigador. Estos espacios hacen parte de los procesos de iniciación científica en los que pueden participar los estudiantes y son una estrategia de investigación científica colaborativa de los estudiantes, que desarrollan para fortalecer las habilidades investigativas adquiridas en los PIF.</t>
  </si>
  <si>
    <t>Informar y formar haciendo apropiación social del conocimiento sobre los documentos y el saber generado por los estudiantes.</t>
  </si>
  <si>
    <t>Número de proyectos en los que participan los estudiantes.</t>
  </si>
  <si>
    <t>Participación en Eventos organizados por Redes de Semilleros</t>
  </si>
  <si>
    <t>Fomentar la participación de los estudiantes del programa virtual en actividades estudiantiles de divulgación, investigación y trabajo colaborativo en el marco de los encuentros de semilleros nacionales e internacionales. Se financia la participación de los estudiantes este tipo de eventos. Cada una de estas actividades deberá ser acompañada por un docente o tutor que haga parte del semillero.</t>
  </si>
  <si>
    <t>Número de eventos en los que participan los estudiantes.</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</si>
  <si>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</si>
  <si>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</si>
  <si>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</si>
  <si>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</si>
  <si>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</si>
  <si>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</si>
  <si>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</si>
  <si>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</si>
  <si>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</si>
  <si>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</si>
  <si>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</si>
  <si>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</si>
  <si>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</si>
  <si>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</si>
  <si>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</si>
  <si>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</si>
  <si>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</si>
  <si>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</si>
  <si>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</si>
  <si>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</si>
  <si>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B.Institucional</t>
  </si>
  <si>
    <t>B.Disciplinar</t>
  </si>
  <si>
    <t>B.Electivo</t>
  </si>
  <si>
    <t>Créditos</t>
  </si>
  <si>
    <t>Número de horas trabajo directo</t>
  </si>
  <si>
    <t>Número de horas trabajo independiente</t>
  </si>
  <si>
    <t>Total de horas</t>
  </si>
  <si>
    <t>Núcleos temáticos</t>
  </si>
  <si>
    <t>Actividades de aprendizaje</t>
  </si>
  <si>
    <t>Actividades de evaluación</t>
  </si>
  <si>
    <t>Acciones de retroalimentación</t>
  </si>
  <si>
    <t>Cultura, Política y Sociedad</t>
  </si>
  <si>
    <t>Reconoce las problemáticas, escenarios y mecanismos de participación ciudadana en el marco de sociedades de información y digitales para abordarlas desde iniciativas investigativas. 
Identifica los objetivos de desarrollo sostenible para la comprensión de problemáticas sociales, ambientales y culturales. 
Reflexiona los impactos de avances tecnológicos en su contexto profesional y ciudadano para el análisis de contextos situados.</t>
  </si>
  <si>
    <t>TP</t>
  </si>
  <si>
    <t>X</t>
  </si>
  <si>
    <t>1. ODS, problemas locales: una mirada a Colombia, territorio en búsqueda de la consolidación de la Paz.   
2. Ciudadanía y su lugar: relaciones, dinámicas, construcción, expresión y mecanismos de participación.  
3. Ecosistemas digitales: relaciones, dinámicas, construcción, expresión e impactos en el contexto profesional.  
4. Narrativas y contenidos digitales: análisis de contextos situados.</t>
  </si>
  <si>
    <t>Trabajo directo:
Encuentros sincrónicos
Mensajería interna
Anuncios
Trabajo independiente:
Lecturas fundamentales y complementarias
Material de trabajo
Participación en foros</t>
  </si>
  <si>
    <t>Evaluación diagnóstica (semana 1- Cuestionario inicial de, mínimo, cinco preguntas, que recopila información sobre el conocimiento previo y las habilidades del estudiante.)
Actividad formativa (semana 2 - Foro individual o grupal, creado para que el estudiante participe activamente en la construcción de su conocimiento y desarrollo de habilidades. Varía entre una actividad entregable y la participación en un foro.)
Actividades de entrega I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Actividad formativa (semana 5 - Foro individual o grupal, creado para que el estudiante participe activamente en la construcción de su conocimiento y desarrollo de habilidades. Varía entre una actividad entregable y la participación en un foro.)
Actividades de entrega 2 (semana 6 - Actividad individual o grupal, diseñada para evaluar de manera integral el nivel de conocimiento, comprensión y el desempeño de los indicadores de logro. Varía entre entregas independientes o secuenciales. Al ser un módulo teórico, ésta es la única actividad de entrega.)
Autoevaluación (semana 8 - Cuestionario final de, mínimo, cinco preguntas, en el cual el estudiante reflexiona sobre su propio desempeño, habilidades y resultados en un contexto específico.)</t>
  </si>
  <si>
    <t>Las acciones de retroalimentación giran en torno a las siguientes.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t>
  </si>
  <si>
    <t>Razonamiento Cuantitativo</t>
  </si>
  <si>
    <t>Analiza datos numéricos presentados en tablas, gráficos o textos para proponer soluciones informadas a situaciones problema del contexto.</t>
  </si>
  <si>
    <t>1.	Pensamiento numérico. Interpretación y representación de información numérica
2.	Pensamiento algebraico. Desde la representación de regularidades y patrones
3.	Pensamiento algebraico. Desde las relaciones de comparación entre cantidades o expresiones numéricas
4.	Pensamiento geométrico. Propiedades, formas y relaciones espaciales</t>
  </si>
  <si>
    <t>Evaluación diagnóstica (semana 1- Cuestionario inicial de, mínimo, cinco preguntas, que recopila información sobre el conocimiento previo y las habilidades del estudiante. )
Actividad formativa (semana 2 - Foro individual o grupal, creado para que el estudiante participe activamente en la construcción de su conocimiento y desarrollo de habilidades. Varía entre una actividad entregable y la participación en un foro.)
Actividades de entrega (semana 4 - Actividad individual o grupal, diseñada para evaluar de manera integral el nivel de conocimiento, comprensión y el desempeño de los indicadores de logro. Varía entre entregas independientes o secuenciales. Al ser un módulo teórico, ésta es la única actividad de entrega. )
Actividad formativa (semana 5 - Foro individual o grupal, creado para que el estudiante participe activamente en la construcción de su conocimiento y desarrollo de habilidades. Varía entre una actividad entregable y la participación en un foro.)
Actividad evaluativa (semana 6 - Cuestionario de, mínimo, cinco preguntas, que da cuenta del desarrollo total o parcial de los indicadores de logro y el desarrollo de los temas vistos hasta la unidad 3. )
Examen final (semana 8 - Cuestionario de, mínimo, quince preguntas, que da cuenta del desarrollo total o parcial de los indicadores de logro y el desarrollo de los temas vistos en el módulo. )
Autoevaluación (semana 8 - Cuestionario final de, mínimo, cinco preguntas, en el cual el estudiante reflexiona sobre su propio desempeño, habilidades y resultados en un contexto específico. )</t>
  </si>
  <si>
    <t>Introducción a la Logística</t>
  </si>
  <si>
    <t>Desarrolla los procedimientos requeridos por los métodos de ubicación de plantas e incorpora criterios de decisión financieros para establecer la localización de centros de distribución de manera estratégica. 
Incorpora información financiera en modelos de inventarios que permiten establecer políticas económicas de pedido, para comparar alternativas de costos operacionales que le permiten tomar decisiones. 
Consolida un análisis de viabilidad operacional, incluyendo análisis del mercado, y compara resultados financieros que le permiten concluir frente a la puesta en marcha de un producto sugerido, con el fin de generar propuestas logísticas a un modelo de negocio. </t>
  </si>
  <si>
    <t>1. Estrategia de la cadena de suministro
2. Diseño de redes de distribución
3. Gestión de inventarios y transporte en cadenas de suministro
4. Decisiones de compras y abastecimiento en logística</t>
  </si>
  <si>
    <t>Actividad de puntos evaluables (semana 2 – Cuestionario de 5 preguntas)
Entrega previa I (semana 3 - Laboratorio, taller, ejercicios, resolución de casos o de problemas, desarrollo de procesos o ejecución de propuestas. Entrega de forma individual o grupal, según indicaciones del profesor)
Parcial (semana 4 - Cuestionarios de entre 15 y 20 preguntas)
Entrega previa 2 (semana 5 - Laboratorio, taller, ejercicios, resolución de casos o de problemas, desarrollo de procesos o ejecución de propuestas. Entrega de forma individual o grupal, según indicaciones dadas por el profesor)
Entrega final (semana 7 - Laboratorio, taller, ejercicios, resolución de casos o de problemas, desarrollo de procesos o ejecución de propuestas. Entrega de forma individual o grupal, según indicaciones dadas por el profesor)
Evaluación final (semana 8 - Cuestionario de entre 15 y 20 preguntas)</t>
  </si>
  <si>
    <t>Pensamiento Algorítmico</t>
  </si>
  <si>
    <t>Identifica variables relevantes, su naturaleza y la forma en que se relacionan para modelar un problema computacional básico.
Implementa expresiones matemáticas y estructuras básicas de programación para desarrollar soluciones a problemas computacionales básicos.</t>
  </si>
  <si>
    <t>T</t>
  </si>
  <si>
    <t xml:space="preserve">1. Fundamentos de pensamiento algorítmico 
2. Modelado y especificación de problemas 
3. Estructuras básicas de un algoritmo 
4. Relaciones de recurrencias
</t>
  </si>
  <si>
    <t>Trabajo directo: 
Encuentros sincrónicos 
Mensajería interna 
Anuncios  
Chat de atención (si corresponde)
Trabajo independiente: 
Lecturas fundamentales y complementarias 
Recursos de apoyo
Trabajo Colaborativo   
Foros de discusión grupal</t>
  </si>
  <si>
    <t xml:space="preserve">Quiz (semana 2 - Cuestionario de 5 preguntas). 
Entrega inicial (semana 3 – Ensayo, artículo, cuadro comparativo, revisión documental, entre otros). 
Foro analítico o argumentativo (semanas 5 y 6 – Participación en el espacio correspondiente del aula). 
Entrega final (semana 7 – Ensayo, artículo, cuadro comparativo, revisión documental, entre otros). 
Evaluación final (semana 8 – Cuestionario de entre 15 y 20 preguntas). </t>
  </si>
  <si>
    <t>Dibujo Técnico</t>
  </si>
  <si>
    <t xml:space="preserve">Reconoce las normas del dibujo técnico en torno a las diferentes disciplinas para dibujar planos claros, completos y normalizados. 
Usa las herramientas software CAD, en torno al dibujo técnico para desarrollar piezas, ensamble y planos según las especificaciones establecidas. </t>
  </si>
  <si>
    <t xml:space="preserve">1. Elementos básicos del dibujo y Relaciones geométricas 
2. Modelado bidimensional, Planos técnicos acotado, ajustes y tolerancias 
3. Modelado 3D por adicción y por sustracción 
4. Operaciones de modelado 3D  </t>
  </si>
  <si>
    <t>Análisis y Visualización de Datos</t>
  </si>
  <si>
    <t>Identifica conceptos básicos relacionados con el análisis y visualización de datos con el propósito de comunicar información relevante de manera efectiva en diversos contextos. 
Utiliza herramientas para realizar análisis y transformación de datos que garanticen una visualización sencilla y eficiente. 
Utiliza asistentes virtuales para realizar tareas prácticas y resolver problemas en su campo de estudio. 
Evalúa la presencia de sesgos y cuestiones éticas en el análisis y tratamiento de dato para garantizar que su uso esté desprovisto de efectos negativos en el entorno.</t>
  </si>
  <si>
    <t xml:space="preserve">1. Contextualización 
2. Análisis de Datos y Visualización 
3. Usos de la Inteligencia Artificial 
4. Casos de Estudio </t>
  </si>
  <si>
    <t>Álgebra Lineal</t>
  </si>
  <si>
    <t>Establece conexiones entre los objetos, conceptos y procesos del álgebra lineal para resolver diferentes situaciones en contextos reales o teóricos.</t>
  </si>
  <si>
    <t>1. Álgebra matricial, determinantes y sistemas de ecuaciones lineales. 
2. Vectores, geometría en ℝⁿ y operaciones vectoriales. 
3. Espacios vectoriales y estructura algebraica. 
4. Transformaciones lineales y operadores.</t>
  </si>
  <si>
    <t>Trabajo directo: 
Encuentros sincrónicos 
Mensajería interna 
Anuncios
Trabajo independiente: 
Lecturas fundamentales y complementarias 
Recursos de apoyo
Trabajo Colaborativo   
Foros de discusión grupal</t>
  </si>
  <si>
    <t>Cálculo Diferencial</t>
  </si>
  <si>
    <t>Aplica representaciones y razonamientos matemáticos, para analizar situaciones de variación y cambio a partir de la interpretación de resultados en contextos teóricos y aplicados.</t>
  </si>
  <si>
    <t>1. Funciones de valor real
2. Límites
3. La derivada
4. Aplicaciones de la derivada</t>
  </si>
  <si>
    <t>Programación de Computadores</t>
  </si>
  <si>
    <t>Describe objetos del mundo real y cómo se relacionan entre ellos para proponer soluciones a problemas computacionales por medio de datos y expresiones matemáticas.
Aplica estructuras de control en la construcción de programas para resolver problemas computacionales.</t>
  </si>
  <si>
    <t>1. Fundamentos de programación de computadores
2. Estructuras de control
3. Estructuras de datos básicas
4. Recursividad</t>
  </si>
  <si>
    <t>Sistemas de Información en Gestión Logística</t>
  </si>
  <si>
    <t>Identifica las necesidades operacionales de inventarios, transporte y producción en la cadena de suministro, para analizar cómo los sistemas de información apoyan su gestión.
Relaciona los sistemas de información con decisiones operativas en la cadena de suministro, para evaluar su impacto en los flujos de materiales en contextos organizacionales o situaciones de aprendizaje.</t>
  </si>
  <si>
    <t>1. Generación de valor con tecnologías de información 
2. Sistemas CRM y SCM 
3. Sistema ERP 
4. Hilos conductores y su apoyo por medio de los sistemas de información</t>
  </si>
  <si>
    <t>Pensamiento Crítico y Ciudadanías Activas</t>
  </si>
  <si>
    <t xml:space="preserve">Identifica los Derechos y Deberes consignados en la Constitución 1991 en relación con la ciudadanía de manera local y global para la comprensión de inmersiones sociales éticas. 
Reflexiona los impactos de la investigación- acción sin daño en los espacios académicos y los territorios para el abordaje desde proyectos de investigación formativa. 
Elabora el diseño de planes detallados desde abordajes investigativos e inmersiones creativas para divulgar hallazgos en el ámbito académico. </t>
  </si>
  <si>
    <t>1. Pacto social colombiano y marco de referencias de DDHH internacionales
2. Planes detallados e inmersiones sociales desde procesos participativos, acciones sociales e iniciativas ciudadanas como respuesta a problemas glocales
3. Perspectivas para la participación ciudadana en los territorios
4. Los avances tecnológicos y su impacto en lo social, cultural y ambiental en el marco de las sociedades de información</t>
  </si>
  <si>
    <t>Oportunidades para Emprender</t>
  </si>
  <si>
    <t>Propone soluciones a los problemas, frustraciones y expectativas de un grupo de personas en su comunidad para idear productos o servicios con valor agregado dentro de su campo de acción profesional.
Diseña una idea de negocio que represente una oportunidad de mercado teniendo en cuenta sus habilidades para emprender y el análisis del entorno.</t>
  </si>
  <si>
    <t>1. Empatía y Comprensión del Usuario   
2. Co-creación con los Usuarios   
3. Enfoque en la Experiencia del Usuario   
4. Diseño del modelo de negocio</t>
  </si>
  <si>
    <r>
      <t>Seguridad y Salud en el Trabajo</t>
    </r>
    <r>
      <rPr>
        <sz val="11"/>
        <rFont val="Gill Sans MT"/>
        <family val="2"/>
      </rPr>
      <t xml:space="preserve"> IND</t>
    </r>
  </si>
  <si>
    <t>Aplica los conocimientos propios del Sistema de Gestión de Seguridad y Salud en el Trabajo (SG-SST) para diseñar propuestas de mejora en situaciones simuladas o casos prácticos.
Identifica los elementos de control de riesgos para evaluar la probabilidad de materialización de riesgos y peligros en situaciones simuladas o casos prácticos.</t>
  </si>
  <si>
    <t xml:space="preserve">1. Historia y evolución de la seguridad, salud e higiene industrial. 
2. Definiciones generales que componen el Sistema de Gestión de Seguridad y Salud en el Trabajo (SGSST). 
3. Factores que afectan la seguridad. 
4. Primeros auxilios y ergonomía </t>
  </si>
  <si>
    <t>Análisis Descriptivo de Datos</t>
  </si>
  <si>
    <t>Aplica herramientas tecnológicas y modelos probabilísticos, para representar procesos, aleatorios y determinar valores de probabilidad en diferentes escenarios.
Aplica conceptos de probabilidad elemental y distribuciones como la normal y la binomial, para apoyar la toma de decisiones en diversos contextos.</t>
  </si>
  <si>
    <t>1. Estadística descriptiva
2. Teoría de la probabilidad y variables aleatorias
3. Distribuciones de probabilidad de variable discreta
4. Distribuciones de probabilidad de variable continua</t>
  </si>
  <si>
    <t>Trabajo directo: 
Encuentros sincrónicos 
Mensajería interna 
Anuncios  
Trabajo independiente: 
Lecturas fundamentales y complementarias 
Recursos de apoyo
Trabajo Colaborativo   
Foros de discusión grupal</t>
  </si>
  <si>
    <t>Física Mecánica</t>
  </si>
  <si>
    <t>Identifica las cantidades, leyes y principios fundamentales del movimiento de los cuerpos en la mecánica clásica para analizar contextos reales y situaciones de aprendizaje.
Aplica las leyes y principios fundamentales de la física mecánica para desarrollarlas en los procesos de solución de situaciones prácticas.</t>
  </si>
  <si>
    <t>1. El Movimiento. Cinemática unidimensional y Bidimensional de una partícula
2. Fuerza. Dinámica, leyes de Newton y aplicaciones
3. Análisis de energía. Trabajo, energía mecánica, sistema de partículas y cantidad de movimiento
4. Cinemática y dinámica de cuerpo rígido. Torques, momento de inercia, rodadura y momento angular</t>
  </si>
  <si>
    <t>Desarrollo Sostenible</t>
  </si>
  <si>
    <t>Identifica ejemplos de problemas ambientales, sociales y económicos en la sociedad contemporánea para analizar sus causas y efectos desde el enfoque del desarrollo sostenible a escala local y global. 
Compara enfoques y aproximaciones tanto privados como público/colectivos desde la sostenibilidad y otras visiones alternativas para proponer ideas de solución que respondan a los desafíos contemporáneos.</t>
  </si>
  <si>
    <t xml:space="preserve">1. Análisis de la Era del Antropoceno 
2. Otras Alternativas al Desarrollo Sostenible 
3. Ciudadanía y Políticas Públicas para el Desarrollo Sostenible 
4. El aporte de Negocios para la Búsqueda del Desarrollo Sostenible </t>
  </si>
  <si>
    <t>Estadística Predictiva</t>
  </si>
  <si>
    <t>Aplica conceptos de distribuciones muestrales, intervalos de confianza, pruebas de hipótesis y modelos de regresión lineal para estimar parámetros poblacionales orientados a la predicción del comportamiento de una variable en diferentes escenarios.</t>
  </si>
  <si>
    <t>1. Muestreo y distribuciones muestrales
2. Teoría de la estimación Estimación de parámetros
3. Pruebas de hipótesis
4. Regresión Lineal Simple</t>
  </si>
  <si>
    <t>Trabajo directo: 
Encuentros sincrónicos 
Mensajería interna 
Anuncios 
Trabajo independiente: 
Lecturas fundamentales y complementarias 
Recursos de apoyo
Trabajo Colaborativo   
Foros de discusión grupal</t>
  </si>
  <si>
    <t>Gestión de Inventarios y Almacenamiento</t>
  </si>
  <si>
    <t>Clasifica los SKUs de un contexto organizacional según criterios de volumen, rotación y contribución económica, para organizar la información necesaria en la ejecución de procesos logísticos.
Aplica conceptos básicos de gestión de inventarios y almacenamiento, para identificar oportunidades de mejora en los procesos logísticos.</t>
  </si>
  <si>
    <t>1. Regresión Lineal Simple y múltiple
2. La gestión de la calidad y su evolución 
3. Control estadístico de procesos
4. Muestreo de aceptación de lotes por atributos y variable</t>
  </si>
  <si>
    <t>Cálculo Integral</t>
  </si>
  <si>
    <t>Aplica los principios del cálculo integral para resolver problemas que involucren procesos de integración y acumulación desde la anti-derivación, el análisis de áreas y comportamientos infinitos con la interpretación de resultados en contextos matemáticos y aplicados.</t>
  </si>
  <si>
    <t>1. Funciones trascendentes    
2. Integral definida e indefinida
3. Técnicas de integración e integral impropia
4. Aplicaciones de la integral – Sucesiones y series</t>
  </si>
  <si>
    <t>Contabilidad General</t>
  </si>
  <si>
    <t>Elabora el registro de las operaciones, conforme a la normatividad vigente y la técnica contable a partir del objeto social de una organización, teniendo en cuenta el marco conceptual de las normas internacionales de información financiera para elaborar los estados financieros.</t>
  </si>
  <si>
    <t>1. Fundamentación teórica y técnica contable
2. Elementos de los Estados Financieros y sus características
3. Transacciones comerciales y operaciones con cuentas de resultado
4. Estructura de los Estados Financieros</t>
  </si>
  <si>
    <t>Compras y Aprovisionamiento</t>
  </si>
  <si>
    <t>Identifica los requerimientos de abastecimiento en una organización, para estructurar las etapas del ciclo de compras.
Evalúa criterios básicos en la selección de proveedores, para relacionarlos con los ciclos de producción y las necesidades operativas.</t>
  </si>
  <si>
    <t>1. Estructura de los Estados Financieros
2. Estrategias de abastecimiento
3. Ciclo de abastecimiento
4. Proceso de compras</t>
  </si>
  <si>
    <t>Gestión de Transporte y Distribución</t>
  </si>
  <si>
    <t>Compara las metodologías utilizadas en la distribución, para identificar su utilidad en decisiones operativas de transporte.
Aplica normas básicas de transporte de mercancías, incluyendo los Incoterms, para explicar su uso en procesos logísticos internacionales y locales.</t>
  </si>
  <si>
    <t>1. Gestión de proveedores
2. Gestión integrada del transporte
3. Gestión de transporte por modos y multimodalidad
4. Modos de transporte</t>
  </si>
  <si>
    <t>Costos y Presupuestos</t>
  </si>
  <si>
    <t>Clasifica los elementos de los costos de producción y la proyección presupuestal para la construcción de información financiera, como el cálculo de los sistemas de acumulación de costos, el Estado de Costos, Estado de Resultados, Estado de Situación Financiera, insumos requeridos en la toma de decisiones estratégicas.</t>
  </si>
  <si>
    <t xml:space="preserve">1. Conceptualización general de los costos 
2. Sistemas de costeo y aplicación de los costos en la toma de decisiones 
3. Presupuesto maestro
4. Estados financieros proyectados
</t>
  </si>
  <si>
    <t>Investigación de Operaciones</t>
  </si>
  <si>
    <t xml:space="preserve">Modela sistemas a partir de los elementos que lo conforman y sus restricciones, con el uso de abstracciones de carácter matemático, para determinar soluciones factibles y la solución óptima que responde a sus características.
Aplica las técnicas básicas y avanzadas de la programación lineal para resolver problemas de optimización relacionados con la asignación de recursos y la eficiencia en el flujo de procesos.  </t>
  </si>
  <si>
    <t>1. Importancia del Talento humano en las organizaciones
2. Análisis, descripción y diseño de cargos dentro de la incorporación de las personas en las organizaciones
3. Desarrollo, formación y retribución de las personas en las organizaciones
4. Impacto en las organizaciones, mediante la generación de valor, a través de la evaluación desempeño y el proceso de Seguridad y Salud en el Trabajo</t>
  </si>
  <si>
    <t>Fluidos y Termodinámica</t>
  </si>
  <si>
    <t>Identifica las cantidades, leyes y principios fundamentales de la termodinámica para analizar contextos reales y situaciones de aprendizaje.
Aplica las leyes y principios fundamentales de la termodinámica para desarrollarlas en los procesos de solución de situaciones prácticas.</t>
  </si>
  <si>
    <t>1. Conceptos básicos de fluidos y termodinámica
2. Formas de Energía y Primera Ley de la Termodinámica
3.Volumen de Control y Sistemas de Flujo Estacionario
4. Segunda ley de la termodinámica y entropía</t>
  </si>
  <si>
    <t>Organización y Métodos</t>
  </si>
  <si>
    <t>Analiza procesos organizacionales y productivos aplicando técnicas del estudio del trabajo, para identificar oportunidades de mejora que respondan a  las necesidades de productividad y calidad.
Utiliza herramientas de planificación y control de proyectos, para organizar procesos y operaciones con criterios de eficiencia, teniendo en cuenta el cumplimiento de plazos y el manejo de recursos.</t>
  </si>
  <si>
    <t xml:space="preserve">1. Productividad y estudio del trabajo 
2. Estudio de métodos y tiempos  
3. Herramientas básicas de calidad para la productividad 
4. Métodos de Ingeniería para la Programación y Control de Procesos  </t>
  </si>
  <si>
    <t>Ingeniería Económica</t>
  </si>
  <si>
    <t>Analiza alternativas de inversión en proyectos de ingeniería, aplicando criterios financieros, para apoyar la toma de decisiones bajo restricciones económicas, técnicas y estratégicas.
Aplica herramientas de gestión financiera en el diseño de soluciones de ingeniería, para estimar el impacto del financiamiento, la inflación y los impuestos en la rentabilidad y sostenibilidad de proyectos propios de la Ingeniería Industrial.</t>
  </si>
  <si>
    <t xml:space="preserve">1. Conceptos fundamentales sobre la Ingeniería Económica 
2. Estimación del dinero en el tiempo y Costo de Capital y depreciación 
3. Valoración y Descuentos de Flujo de Caja 
4. Evaluación de proyectos, análisis de sensibilidad y Mercado de Capital </t>
  </si>
  <si>
    <t>Gestión del Talento Humano</t>
  </si>
  <si>
    <t>Identifica las características y evolución en el tiempo de la gestión del talento humano, para, a partir de casos concretos, proponer soluciones en un contexto organizacional.</t>
  </si>
  <si>
    <t xml:space="preserve">1. Historia y evolución de la seguridad, salud e higiene industrial
2. Definiciones generales que componen el Sistema de Gestión de Seguridad y Salud en el Trabajo (SGSST)
3. Factores que afectan la seguridad. 
4. Primeros auxilios y ergonomía </t>
  </si>
  <si>
    <t>Proyecto Aplicado a Cadena de Suministro</t>
  </si>
  <si>
    <t xml:space="preserve">Emplea principios, metodologías y herramientas de gestión de proyectos en el contexto logístico e industrial, para desarrollar alternativas de solución a problemas logísticos utilizando herramientas cuantitativas y cualitativas que respondan a requerimientos específicos de la cadena de suministro.
Reflexiona sobre el impacto ético, social y ambiental de las soluciones propuestas, para promover la toma de decisiones responsables en el contexto de la cadena de suministro. </t>
  </si>
  <si>
    <t xml:space="preserve">1. Principios de Gestión de Proyectos 
2. Análisis del Contexto en la Cadena de Suministros 
3. Design Thinking y su Aplicación en la Gestión de Proyectos de Ingeniería 
4. Diseño en ingeniería según ABET: requerimientos, restricciones y estándares en la cadena de suministros </t>
  </si>
  <si>
    <t>Taller BI Aplicado a la Gestión de Cadenas de Suministro</t>
  </si>
  <si>
    <t>Aplica herramientas de Business Intelligence (BI) para diseñar estrategias logísticas y de redes de distribución orientados a mejorar la eficiencia operativa en contextos reales o situaciones de aprendizaje.
Utiliza modelos avanzados de optimización, el enfoque de Balance Scorecard y herramientas de BI para hacer análisis de mejora sobre el desempeño logístico en contextos reales o casos planteados en laboratorio.</t>
  </si>
  <si>
    <t xml:space="preserve">1. Planeación Estratégica de Logística, Procesos de Logística y Diseño de Redes de Distribución 
2. Técnicas y Modelos Avanzados de Optimización Aplicados a la Logística 
3. Balance Scorecard 
4. Herramientas de BI y estudios de caso </t>
  </si>
  <si>
    <t>Total módulos del programa</t>
  </si>
  <si>
    <t>Total créditos programa</t>
  </si>
  <si>
    <t>Total créditos bloque institucional</t>
  </si>
  <si>
    <t>Total créditos bloque disciplinar</t>
  </si>
  <si>
    <t>Total créditos bloque electivo</t>
  </si>
  <si>
    <t>Verbos Competencias</t>
  </si>
  <si>
    <t>Actualizar</t>
  </si>
  <si>
    <t>Administrar</t>
  </si>
  <si>
    <t>Asegurar</t>
  </si>
  <si>
    <t>Asesorar</t>
  </si>
  <si>
    <t>Auditar</t>
  </si>
  <si>
    <t>Comunicar</t>
  </si>
  <si>
    <t>Conducir</t>
  </si>
  <si>
    <t>Coordinar</t>
  </si>
  <si>
    <t>Definir</t>
  </si>
  <si>
    <t>Dirigir</t>
  </si>
  <si>
    <t>Diseñar</t>
  </si>
  <si>
    <t>Dominar</t>
  </si>
  <si>
    <t>Establecer</t>
  </si>
  <si>
    <t>Evaluar</t>
  </si>
  <si>
    <t>Fiscalizar</t>
  </si>
  <si>
    <t>Formular</t>
  </si>
  <si>
    <t>Generar</t>
  </si>
  <si>
    <t>Gestionar</t>
  </si>
  <si>
    <t>Hacer</t>
  </si>
  <si>
    <t>Implementar</t>
  </si>
  <si>
    <t>Liderar</t>
  </si>
  <si>
    <t>Modelar</t>
  </si>
  <si>
    <t>Participar</t>
  </si>
  <si>
    <t>Planear</t>
  </si>
  <si>
    <t>Presidir</t>
  </si>
  <si>
    <t>Producir</t>
  </si>
  <si>
    <t>Resolver</t>
  </si>
  <si>
    <t>Sistematizar</t>
  </si>
  <si>
    <t>Supervisar</t>
  </si>
  <si>
    <t>Transformar</t>
  </si>
  <si>
    <t>Validar</t>
  </si>
  <si>
    <t>Verificar</t>
  </si>
  <si>
    <t>Taxonomía de Bloom Adaptada bajo las ideas de Anderson y Krathwohl</t>
  </si>
  <si>
    <t>Taxonomía de Bloom adaptada bajo las ideas de Lorin y Krathwohl (LK)</t>
  </si>
  <si>
    <t>Taxonomía de Bloom adaptada bajo las ideas de Anderson y Kendal (AK)</t>
  </si>
  <si>
    <t>Taxonomía de Bloom</t>
  </si>
  <si>
    <t>Cognitivo(BAK)</t>
  </si>
  <si>
    <t>Procedimental(BAK)</t>
  </si>
  <si>
    <t>Actitudinal(BAK)</t>
  </si>
  <si>
    <t>Taxonomías</t>
  </si>
  <si>
    <t>LK</t>
  </si>
  <si>
    <t>AK</t>
  </si>
  <si>
    <t>ProcedimentalB</t>
  </si>
  <si>
    <t>ActitudinalB</t>
  </si>
  <si>
    <t>ConocimientoB</t>
  </si>
  <si>
    <t>AplicaciónB</t>
  </si>
  <si>
    <t>AnálisisB</t>
  </si>
  <si>
    <t>SíntesisB</t>
  </si>
  <si>
    <t>EvaluaciónB</t>
  </si>
  <si>
    <t>ConocimientoBAK</t>
  </si>
  <si>
    <t>AplicaciónBAK</t>
  </si>
  <si>
    <t>AnálisisBAK</t>
  </si>
  <si>
    <t>SíntesisBAK</t>
  </si>
  <si>
    <t>EvaluaciónBAK</t>
  </si>
  <si>
    <t>ImitaciónBAK</t>
  </si>
  <si>
    <t>ControlBAK</t>
  </si>
  <si>
    <t>PercepciónBAK</t>
  </si>
  <si>
    <t>OrganizarBAK</t>
  </si>
  <si>
    <t>CaracterizarBAK</t>
  </si>
  <si>
    <t>Procesos cognitivos de orden inferior</t>
  </si>
  <si>
    <t>Procesos cognitivos de orden superior</t>
  </si>
  <si>
    <t>HechosLK</t>
  </si>
  <si>
    <t>InformaciónAK</t>
  </si>
  <si>
    <t>Adquirir</t>
  </si>
  <si>
    <t>Aislar</t>
  </si>
  <si>
    <t>Adaptar</t>
  </si>
  <si>
    <t>Aconsejar</t>
  </si>
  <si>
    <t>Acordar</t>
  </si>
  <si>
    <t>Acceder</t>
  </si>
  <si>
    <t>Abrir</t>
  </si>
  <si>
    <t>Remover</t>
  </si>
  <si>
    <t>Aceptar</t>
  </si>
  <si>
    <t>Extraer</t>
  </si>
  <si>
    <t>Negociar</t>
  </si>
  <si>
    <t>RecordarLK</t>
  </si>
  <si>
    <t>ComprenderLK</t>
  </si>
  <si>
    <t>AplicarLK</t>
  </si>
  <si>
    <t>AnalizarLK</t>
  </si>
  <si>
    <t>EvaluarLK</t>
  </si>
  <si>
    <t>CrearLK</t>
  </si>
  <si>
    <t>RecuperaciónAK</t>
  </si>
  <si>
    <t>ComprensiónAK</t>
  </si>
  <si>
    <t>AnálisisAK</t>
  </si>
  <si>
    <t>UsoConocimientoAK</t>
  </si>
  <si>
    <t>MetacogniciónAK</t>
  </si>
  <si>
    <t>SistemadelYoAK</t>
  </si>
  <si>
    <t>ConceptosLK</t>
  </si>
  <si>
    <t>ProcesosMentalesAK</t>
  </si>
  <si>
    <t>Buscar</t>
  </si>
  <si>
    <t>Bosquejar</t>
  </si>
  <si>
    <t>Calisificar</t>
  </si>
  <si>
    <t>Adjuntar</t>
  </si>
  <si>
    <t>Actuar</t>
  </si>
  <si>
    <t>Quitar</t>
  </si>
  <si>
    <t>Admitir</t>
  </si>
  <si>
    <t>Actuar recíprocamente</t>
  </si>
  <si>
    <t>Adoptar</t>
  </si>
  <si>
    <t>Resumir</t>
  </si>
  <si>
    <t>Ofrecer</t>
  </si>
  <si>
    <t>Afirmar</t>
  </si>
  <si>
    <t>Clasificar</t>
  </si>
  <si>
    <t>Agrupar</t>
  </si>
  <si>
    <t>ProcedimientoslLK</t>
  </si>
  <si>
    <t>PsicomotorAK</t>
  </si>
  <si>
    <t>Citar</t>
  </si>
  <si>
    <t>Comentar</t>
  </si>
  <si>
    <t>Combinar</t>
  </si>
  <si>
    <t>Calcular</t>
  </si>
  <si>
    <t>Arreglar</t>
  </si>
  <si>
    <t>Agregar</t>
  </si>
  <si>
    <t>Ajustar</t>
  </si>
  <si>
    <t>Suprimir</t>
  </si>
  <si>
    <t>Anotar</t>
  </si>
  <si>
    <t>Promover</t>
  </si>
  <si>
    <t>Comparar</t>
  </si>
  <si>
    <t>Añadir</t>
  </si>
  <si>
    <t>Elaborar</t>
  </si>
  <si>
    <t>Adelantar</t>
  </si>
  <si>
    <t>MetacogniciónLK</t>
  </si>
  <si>
    <t>Consignar</t>
  </si>
  <si>
    <t>Componer</t>
  </si>
  <si>
    <t>Categorizar</t>
  </si>
  <si>
    <t>Alinear</t>
  </si>
  <si>
    <t>Ampliar</t>
  </si>
  <si>
    <t>Apalancar</t>
  </si>
  <si>
    <t>Eliminar</t>
  </si>
  <si>
    <t>Agradecer</t>
  </si>
  <si>
    <t>Comportarse bajo condiciones</t>
  </si>
  <si>
    <t>Copiar</t>
  </si>
  <si>
    <t>Contrastar</t>
  </si>
  <si>
    <t>Asumir</t>
  </si>
  <si>
    <t>Apoyar</t>
  </si>
  <si>
    <t>Maximizar</t>
  </si>
  <si>
    <t>Afinar</t>
  </si>
  <si>
    <t>Decir</t>
  </si>
  <si>
    <t>Convertir</t>
  </si>
  <si>
    <t>Articular</t>
  </si>
  <si>
    <t>Arbitrar</t>
  </si>
  <si>
    <t>Bajar</t>
  </si>
  <si>
    <t>Retirar</t>
  </si>
  <si>
    <t>Apreciar</t>
  </si>
  <si>
    <t>Aprobar</t>
  </si>
  <si>
    <t>Ambicionar</t>
  </si>
  <si>
    <t>Fomentar</t>
  </si>
  <si>
    <t>Completar</t>
  </si>
  <si>
    <t>Demostrar</t>
  </si>
  <si>
    <t>Buscar similitudes</t>
  </si>
  <si>
    <t>Argumentar</t>
  </si>
  <si>
    <t>Mejorar</t>
  </si>
  <si>
    <t>Criticar</t>
  </si>
  <si>
    <t>Construir</t>
  </si>
  <si>
    <t>Considerar</t>
  </si>
  <si>
    <t>Aumentar</t>
  </si>
  <si>
    <t>Colocar</t>
  </si>
  <si>
    <t>Extirpar</t>
  </si>
  <si>
    <t>Anhelar</t>
  </si>
  <si>
    <t>Anticipar</t>
  </si>
  <si>
    <t>Discutir</t>
  </si>
  <si>
    <t>Conectar</t>
  </si>
  <si>
    <t>Cambiar</t>
  </si>
  <si>
    <t>Minimizar</t>
  </si>
  <si>
    <t>Deletrear</t>
  </si>
  <si>
    <t>Dar ejemplos</t>
  </si>
  <si>
    <t>Armar</t>
  </si>
  <si>
    <t>Comenzar</t>
  </si>
  <si>
    <t>Disipar</t>
  </si>
  <si>
    <t>Asisitir</t>
  </si>
  <si>
    <t>Autorizar</t>
  </si>
  <si>
    <t>Proponer</t>
  </si>
  <si>
    <t>Acabar</t>
  </si>
  <si>
    <t>Ejemplificar</t>
  </si>
  <si>
    <t xml:space="preserve">Construir </t>
  </si>
  <si>
    <t>Centrarse</t>
  </si>
  <si>
    <t>ProcedimientosLK</t>
  </si>
  <si>
    <t>Debatir</t>
  </si>
  <si>
    <t>Determinar</t>
  </si>
  <si>
    <t>Atar</t>
  </si>
  <si>
    <t>Cortar</t>
  </si>
  <si>
    <t>Atender</t>
  </si>
  <si>
    <t>Defender</t>
  </si>
  <si>
    <t>Terminar</t>
  </si>
  <si>
    <t xml:space="preserve">Duplicar </t>
  </si>
  <si>
    <t>Esquematizar</t>
  </si>
  <si>
    <t>Pensar</t>
  </si>
  <si>
    <t>Dibujar</t>
  </si>
  <si>
    <t>Cuestionar</t>
  </si>
  <si>
    <t>Computar</t>
  </si>
  <si>
    <t>Desmontar</t>
  </si>
  <si>
    <t>Cumplir</t>
  </si>
  <si>
    <t>Reproducir</t>
  </si>
  <si>
    <t>Colaborar</t>
  </si>
  <si>
    <t>Proteger</t>
  </si>
  <si>
    <t>Contextualizar</t>
  </si>
  <si>
    <t>Elegir</t>
  </si>
  <si>
    <t>Explicar</t>
  </si>
  <si>
    <t>Correlacionar</t>
  </si>
  <si>
    <t>Compilar</t>
  </si>
  <si>
    <t xml:space="preserve">Planear </t>
  </si>
  <si>
    <t>Desplegar</t>
  </si>
  <si>
    <t>Discriminar</t>
  </si>
  <si>
    <t>Concluir</t>
  </si>
  <si>
    <t>Calificar</t>
  </si>
  <si>
    <t>Bailar</t>
  </si>
  <si>
    <t>Destapar</t>
  </si>
  <si>
    <t>Traducir</t>
  </si>
  <si>
    <t>Asistir</t>
  </si>
  <si>
    <t>Cooperar</t>
  </si>
  <si>
    <t>Escribir</t>
  </si>
  <si>
    <t>Expresar</t>
  </si>
  <si>
    <t>Dramatizar</t>
  </si>
  <si>
    <t>Descomponer</t>
  </si>
  <si>
    <t>Enseñar</t>
  </si>
  <si>
    <t>Deducir</t>
  </si>
  <si>
    <t>Censurar</t>
  </si>
  <si>
    <t>Direccionar</t>
  </si>
  <si>
    <t>Entregar</t>
  </si>
  <si>
    <t>Aspirar</t>
  </si>
  <si>
    <t>Leer</t>
  </si>
  <si>
    <t>Generalizar</t>
  </si>
  <si>
    <t>Diferenciar</t>
  </si>
  <si>
    <t>Reescribir</t>
  </si>
  <si>
    <t>Disponer</t>
  </si>
  <si>
    <t>Contar</t>
  </si>
  <si>
    <t>Listar</t>
  </si>
  <si>
    <t>Ilustrar</t>
  </si>
  <si>
    <t>Emplear</t>
  </si>
  <si>
    <t>Distinguir</t>
  </si>
  <si>
    <t>Convencer</t>
  </si>
  <si>
    <t>Simplificar</t>
  </si>
  <si>
    <t>Duplicar</t>
  </si>
  <si>
    <t>Detectar</t>
  </si>
  <si>
    <t>Crear</t>
  </si>
  <si>
    <t>Comprobar</t>
  </si>
  <si>
    <t>Docificar</t>
  </si>
  <si>
    <t>Dividir</t>
  </si>
  <si>
    <t>Aunar</t>
  </si>
  <si>
    <t>Discernir</t>
  </si>
  <si>
    <t>Localizar</t>
  </si>
  <si>
    <t>Inferir</t>
  </si>
  <si>
    <t>Suponer</t>
  </si>
  <si>
    <t>Etiquetar</t>
  </si>
  <si>
    <t>Diagramar</t>
  </si>
  <si>
    <t>Decidir</t>
  </si>
  <si>
    <t>Concretar</t>
  </si>
  <si>
    <t>Ejecutar</t>
  </si>
  <si>
    <t>Reparar</t>
  </si>
  <si>
    <t>Percibir</t>
  </si>
  <si>
    <t>Memorizar</t>
  </si>
  <si>
    <t xml:space="preserve">Informar </t>
  </si>
  <si>
    <t>Entrevistar</t>
  </si>
  <si>
    <t>Sustituir</t>
  </si>
  <si>
    <t>Examinar</t>
  </si>
  <si>
    <t>Emparejar</t>
  </si>
  <si>
    <t>Conformar</t>
  </si>
  <si>
    <t>Ejercer</t>
  </si>
  <si>
    <t>Compartir</t>
  </si>
  <si>
    <t>Juzgar</t>
  </si>
  <si>
    <t>Mostrar</t>
  </si>
  <si>
    <t>Interpretar</t>
  </si>
  <si>
    <t>Hacer uso</t>
  </si>
  <si>
    <t>Encontrar</t>
  </si>
  <si>
    <t>Teorizar</t>
  </si>
  <si>
    <t>ProcesosAK</t>
  </si>
  <si>
    <t>Derivar</t>
  </si>
  <si>
    <t>Constrastar</t>
  </si>
  <si>
    <t>Ejercitar</t>
  </si>
  <si>
    <t>Emitir</t>
  </si>
  <si>
    <t>Reemplazar</t>
  </si>
  <si>
    <t>Comprender</t>
  </si>
  <si>
    <t>Reconocer</t>
  </si>
  <si>
    <t>Nombrar</t>
  </si>
  <si>
    <t>Encuestar</t>
  </si>
  <si>
    <t>Testar</t>
  </si>
  <si>
    <t>Grabar</t>
  </si>
  <si>
    <t>Exponer</t>
  </si>
  <si>
    <t>Contabilizar</t>
  </si>
  <si>
    <t>Encajar</t>
  </si>
  <si>
    <t>Contribuir</t>
  </si>
  <si>
    <t>Observar</t>
  </si>
  <si>
    <t>Estimar</t>
  </si>
  <si>
    <t>Controlar</t>
  </si>
  <si>
    <t>Empaquetar</t>
  </si>
  <si>
    <t>Reponer</t>
  </si>
  <si>
    <t>Convocar</t>
  </si>
  <si>
    <t>Servir</t>
  </si>
  <si>
    <t>Omitir</t>
  </si>
  <si>
    <t>Parafrasear</t>
  </si>
  <si>
    <t>Manipular</t>
  </si>
  <si>
    <t>Visualizar</t>
  </si>
  <si>
    <t>Estructurar</t>
  </si>
  <si>
    <t>Desempeñar</t>
  </si>
  <si>
    <t>Corregir</t>
  </si>
  <si>
    <t>Escoger</t>
  </si>
  <si>
    <t>Enumerar</t>
  </si>
  <si>
    <t>Creer</t>
  </si>
  <si>
    <t>Preguntar</t>
  </si>
  <si>
    <t>Rastrear</t>
  </si>
  <si>
    <t>Predecir</t>
  </si>
  <si>
    <t>Organizar</t>
  </si>
  <si>
    <t>Explorar</t>
  </si>
  <si>
    <t>Entrenar</t>
  </si>
  <si>
    <t>Ubicar</t>
  </si>
  <si>
    <t>Escuchar</t>
  </si>
  <si>
    <t>Cuidar</t>
  </si>
  <si>
    <t>Recitar</t>
  </si>
  <si>
    <t>Inspeccionar</t>
  </si>
  <si>
    <t>Descubrir</t>
  </si>
  <si>
    <t>Experimentar</t>
  </si>
  <si>
    <t>Envasar</t>
  </si>
  <si>
    <t>Hablar</t>
  </si>
  <si>
    <t>Practicar</t>
  </si>
  <si>
    <t>Investigar</t>
  </si>
  <si>
    <t>Constatar</t>
  </si>
  <si>
    <t>AutoSistemaAK</t>
  </si>
  <si>
    <t>Mostar</t>
  </si>
  <si>
    <t>Culminar</t>
  </si>
  <si>
    <t>Cotejar</t>
  </si>
  <si>
    <t>Correr</t>
  </si>
  <si>
    <t>Ensamblar</t>
  </si>
  <si>
    <t>Motivar</t>
  </si>
  <si>
    <t>Indicar</t>
  </si>
  <si>
    <t>Inventariar</t>
  </si>
  <si>
    <t>Guiar</t>
  </si>
  <si>
    <t>Estampar</t>
  </si>
  <si>
    <t>Llevar</t>
  </si>
  <si>
    <t>Relatar</t>
  </si>
  <si>
    <t>Soportar</t>
  </si>
  <si>
    <t>Revisar</t>
  </si>
  <si>
    <t>Numerar</t>
  </si>
  <si>
    <t>Estimular</t>
  </si>
  <si>
    <t>Manejar</t>
  </si>
  <si>
    <t>Informar</t>
  </si>
  <si>
    <t>Revelar</t>
  </si>
  <si>
    <t>Repetir</t>
  </si>
  <si>
    <t>Seleccionar</t>
  </si>
  <si>
    <t>Ordenar</t>
  </si>
  <si>
    <t>Seguir</t>
  </si>
  <si>
    <t>Narrar</t>
  </si>
  <si>
    <t>Exteriorizar</t>
  </si>
  <si>
    <t>Simular</t>
  </si>
  <si>
    <t>Obtener</t>
  </si>
  <si>
    <t>Medir</t>
  </si>
  <si>
    <t>Estudiar</t>
  </si>
  <si>
    <t>Trasladar</t>
  </si>
  <si>
    <t>Interrogar</t>
  </si>
  <si>
    <t>Obrar recíprocamente</t>
  </si>
  <si>
    <t>Transferir</t>
  </si>
  <si>
    <t>Priorizar</t>
  </si>
  <si>
    <t>Extender</t>
  </si>
  <si>
    <t>Figurar</t>
  </si>
  <si>
    <t>Edificar</t>
  </si>
  <si>
    <t>Instalar</t>
  </si>
  <si>
    <t>Fabricar</t>
  </si>
  <si>
    <t>Preocuparse de o por</t>
  </si>
  <si>
    <t>Unir</t>
  </si>
  <si>
    <t>Probar</t>
  </si>
  <si>
    <t>Esculpir</t>
  </si>
  <si>
    <t>Referir</t>
  </si>
  <si>
    <t>Proporcionar</t>
  </si>
  <si>
    <t>Razonar</t>
  </si>
  <si>
    <t>Hipotetizar</t>
  </si>
  <si>
    <t>Entallar</t>
  </si>
  <si>
    <t>Ocupar</t>
  </si>
  <si>
    <t>Provocar</t>
  </si>
  <si>
    <t>Reorganizar</t>
  </si>
  <si>
    <t>Influir</t>
  </si>
  <si>
    <t>Presentar</t>
  </si>
  <si>
    <t>Operar</t>
  </si>
  <si>
    <t>Filtrar</t>
  </si>
  <si>
    <t>Maniobrar</t>
  </si>
  <si>
    <t>Ratificar</t>
  </si>
  <si>
    <t>Resaltar</t>
  </si>
  <si>
    <t>Innovar</t>
  </si>
  <si>
    <t>Hallar</t>
  </si>
  <si>
    <t>Coser</t>
  </si>
  <si>
    <t>Publicar</t>
  </si>
  <si>
    <t>Separar</t>
  </si>
  <si>
    <t>Justificar</t>
  </si>
  <si>
    <t>Realizar</t>
  </si>
  <si>
    <t>Reportar</t>
  </si>
  <si>
    <t>Patronar</t>
  </si>
  <si>
    <t>Imprimir</t>
  </si>
  <si>
    <t>Soldar</t>
  </si>
  <si>
    <t>Subdividir</t>
  </si>
  <si>
    <t>Perforar</t>
  </si>
  <si>
    <t>Impulsar</t>
  </si>
  <si>
    <t>Ser partidario de</t>
  </si>
  <si>
    <t>Recordar</t>
  </si>
  <si>
    <t>Recoger</t>
  </si>
  <si>
    <t>Juntar</t>
  </si>
  <si>
    <t>Poner</t>
  </si>
  <si>
    <t>Opinar</t>
  </si>
  <si>
    <t>Registrar</t>
  </si>
  <si>
    <t>Introducir</t>
  </si>
  <si>
    <t>Limpiar</t>
  </si>
  <si>
    <t>Levantar</t>
  </si>
  <si>
    <t>Tasar</t>
  </si>
  <si>
    <t>Originar</t>
  </si>
  <si>
    <t>Inventar</t>
  </si>
  <si>
    <t>Modificar</t>
  </si>
  <si>
    <t>Finalizar</t>
  </si>
  <si>
    <t>Ensanchar</t>
  </si>
  <si>
    <t>Valorar</t>
  </si>
  <si>
    <t>Persuadir</t>
  </si>
  <si>
    <t>Formar</t>
  </si>
  <si>
    <t>Trazar</t>
  </si>
  <si>
    <t>Premiar</t>
  </si>
  <si>
    <t>Mover</t>
  </si>
  <si>
    <t>Rotular</t>
  </si>
  <si>
    <t>Preparar</t>
  </si>
  <si>
    <t>Balancear</t>
  </si>
  <si>
    <t>Recomendar</t>
  </si>
  <si>
    <t>Marcar</t>
  </si>
  <si>
    <t>Mezclar</t>
  </si>
  <si>
    <t>Subrayar</t>
  </si>
  <si>
    <t>Recaudar</t>
  </si>
  <si>
    <t>Mitigar</t>
  </si>
  <si>
    <t>Recortar</t>
  </si>
  <si>
    <t>Sincronizar</t>
  </si>
  <si>
    <t>Reunir</t>
  </si>
  <si>
    <t>Perfeccionar</t>
  </si>
  <si>
    <t>Peritar</t>
  </si>
  <si>
    <t>Señalar</t>
  </si>
  <si>
    <t>Planificar</t>
  </si>
  <si>
    <t>Pronosticar</t>
  </si>
  <si>
    <t>Pintar</t>
  </si>
  <si>
    <t>Difundir</t>
  </si>
  <si>
    <t>Repartir</t>
  </si>
  <si>
    <t>Transmitir</t>
  </si>
  <si>
    <t>Porcionar</t>
  </si>
  <si>
    <t>Tapizar</t>
  </si>
  <si>
    <t>Proyectar</t>
  </si>
  <si>
    <t>Utilizar</t>
  </si>
  <si>
    <t>Sugerir</t>
  </si>
  <si>
    <t>Ponderar</t>
  </si>
  <si>
    <t>Racionar</t>
  </si>
  <si>
    <t>Mecanizar</t>
  </si>
  <si>
    <t>Industrializar</t>
  </si>
  <si>
    <t>Reducir</t>
  </si>
  <si>
    <t>Codificar</t>
  </si>
  <si>
    <t>Repasar</t>
  </si>
  <si>
    <t>Representar</t>
  </si>
  <si>
    <t>Vincular</t>
  </si>
  <si>
    <t>Sacar</t>
  </si>
  <si>
    <t>Separer</t>
  </si>
  <si>
    <t>Situar</t>
  </si>
  <si>
    <t>Tocar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</si>
</sst>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5"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11"/>
      <color theme="1"/>
      <name val="Gill Sans MT"/>
      <family val="2"/>
    </font>
    <font>
      <sz val="11"/>
      <name val="Gill Sans MT"/>
      <family val="2"/>
    </font>
    <font>
      <sz val="10"/>
      <color theme="1"/>
      <name val="Gill Sans MT"/>
      <family val="2"/>
    </font>
    <font>
      <sz val="10"/>
      <color rgb="FF000000"/>
      <name val="Gill Sans MT"/>
      <family val="2"/>
    </font>
    <font>
      <sz val="10"/>
      <name val="Gill Sans MT"/>
      <family val="2"/>
    </font>
    <font>
      <sz val="11"/>
      <color rgb="FFFF0000"/>
      <name val="Gill Sans MT"/>
      <family val="2"/>
    </font>
    <font>
      <sz val="8"/>
      <color rgb="FFFFFFFF"/>
      <name val="Gill Sans MT"/>
      <family val="2"/>
    </font>
    <font>
      <b/>
      <sz val="11"/>
      <color rgb="FFFFFFFF"/>
      <name val="Gill Sans MT"/>
      <family val="2"/>
    </font>
    <font>
      <b/>
      <sz val="8"/>
      <color theme="0"/>
      <name val="Gill Sans MT"/>
      <family val="2"/>
    </font>
    <font>
      <sz val="8"/>
      <color theme="0"/>
      <name val="Gill Sans MT"/>
      <family val="2"/>
    </font>
    <font>
      <sz val="8"/>
      <color rgb="FF000000"/>
      <name val="Gill Sans MT"/>
      <family val="2"/>
    </font>
    <font>
      <sz val="8"/>
      <color theme="1"/>
      <name val="Gill Sans MT"/>
      <family val="2"/>
    </font>
    <font>
      <b/>
      <sz val="11"/>
      <color rgb="FF000000"/>
      <name val="Gill Sans MT"/>
      <family val="2"/>
    </font>
    <font>
      <sz val="8"/>
      <name val="Gill Sans MT"/>
      <family val="2"/>
    </font>
    <font>
      <b/>
      <sz val="10"/>
      <color rgb="FFFFFFFF"/>
      <name val="Gill Sans MT"/>
      <family val="2"/>
    </font>
    <font>
      <b/>
      <sz val="10"/>
      <color theme="1"/>
      <name val="Gill Sans MT"/>
      <family val="2"/>
    </font>
    <font>
      <b/>
      <sz val="10"/>
      <color rgb="FF000000"/>
      <name val="Gill Sans MT"/>
      <family val="2"/>
    </font>
  </fonts>
  <fills count="10">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theme="7" tint="0.79998168889431442"/>
        <bgColor indexed="64"/>
      </patternFill>
    </fill>
    <fill>
      <patternFill patternType="solid">
        <fgColor rgb="FFDDEBF7"/>
        <bgColor rgb="FF000000"/>
      </patternFill>
    </fill>
    <fill>
      <patternFill patternType="solid">
        <fgColor rgb="FF1FB2DE"/>
        <bgColor rgb="FF000000"/>
      </patternFill>
    </fill>
  </fills>
  <borders count="15">
    <border>
      <left/>
      <right/>
      <top/>
      <bottom/>
      <diagonal/>
    </border>
    <border>
      <left style="thin">
        <color auto="1"/>
      </left>
      <right style="thin">
        <color auto="1"/>
      </right>
      <top style="thin">
        <color auto="1"/>
      </top>
      <bottom style="thin">
        <color auto="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right/>
      <top style="medium">
        <color indexed="64"/>
      </top>
      <bottom style="medium">
        <color indexed="64"/>
      </bottom>
      <diagonal/>
    </border>
    <border>
      <left/>
      <right/>
      <top style="medium">
        <color indexed="64"/>
      </top>
      <bottom/>
      <diagonal/>
    </border>
    <border>
      <left/>
      <right/>
      <top style="thin">
        <color auto="1"/>
      </top>
      <bottom/>
      <diagonal/>
    </border>
    <border>
      <left/>
      <right/>
      <top/>
      <bottom style="medium">
        <color indexed="64"/>
      </bottom>
      <diagonal/>
    </border>
    <border>
      <left/>
      <right/>
      <top/>
      <bottom style="medium">
        <color rgb="FF000000"/>
      </bottom>
      <diagonal/>
    </border>
    <border>
      <left style="thin">
        <color auto="1"/>
      </left>
      <right style="thin">
        <color auto="1"/>
      </right>
      <top/>
      <bottom style="thin">
        <color auto="1"/>
      </bottom>
      <diagonal/>
    </border>
    <border>
      <left style="thin">
        <color rgb="FF1FB2DE"/>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medium">
        <color rgb="FF000000"/>
      </top>
      <bottom/>
      <diagonal/>
    </border>
  </borders>
  <cellStyleXfs count="1">
    <xf numFmtId="0" fontId="0" fillId="0" borderId="0"/>
  </cellStyleXfs>
  <cellXfs count="160">
    <xf numFmtId="0" fontId="0" fillId="0" borderId="0" xfId="0"/>
    <xf numFmtId="0" fontId="3" fillId="0" borderId="0" xfId="0" applyFont="1"/>
    <xf numFmtId="0" fontId="4" fillId="0" borderId="0" xfId="0" applyFont="1" applyAlignment="1">
      <alignment vertical="center"/>
    </xf>
    <xf numFmtId="0" fontId="6" fillId="0" borderId="0" xfId="0" applyFont="1" applyAlignment="1">
      <alignment horizontal="center" vertical="center"/>
    </xf>
    <xf numFmtId="0" fontId="6" fillId="0" borderId="0" xfId="0" applyFont="1" applyAlignment="1">
      <alignment vertical="center"/>
    </xf>
    <xf numFmtId="0" fontId="4" fillId="5" borderId="2" xfId="0" applyFont="1" applyFill="1" applyBorder="1" applyAlignment="1">
      <alignment vertical="center"/>
    </xf>
    <xf numFmtId="0" fontId="4" fillId="0" borderId="2" xfId="0" applyFont="1" applyBorder="1" applyAlignment="1">
      <alignment vertical="center"/>
    </xf>
    <xf numFmtId="0" fontId="3" fillId="5" borderId="2" xfId="0" applyFont="1" applyFill="1" applyBorder="1"/>
    <xf numFmtId="0" fontId="3" fillId="0" borderId="2" xfId="0" applyFont="1" applyBorder="1"/>
    <xf numFmtId="0" fontId="3" fillId="5" borderId="3" xfId="0" applyFont="1" applyFill="1" applyBorder="1"/>
    <xf numFmtId="0" fontId="4" fillId="5" borderId="3" xfId="0" applyFont="1" applyFill="1" applyBorder="1" applyAlignment="1">
      <alignment vertical="center"/>
    </xf>
    <xf numFmtId="0" fontId="3" fillId="0" borderId="3" xfId="0" applyFont="1" applyBorder="1"/>
    <xf numFmtId="0" fontId="3" fillId="0" borderId="0" xfId="0" applyFont="1" applyAlignment="1">
      <alignment vertical="center"/>
    </xf>
    <xf numFmtId="0" fontId="4" fillId="0" borderId="0" xfId="0" applyFont="1" applyAlignment="1">
      <alignment horizontal="center" vertical="center"/>
    </xf>
    <xf numFmtId="0" fontId="3" fillId="0" borderId="0" xfId="0" applyFont="1" applyAlignment="1">
      <alignment horizontal="center"/>
    </xf>
    <xf numFmtId="0" fontId="14" fillId="6" borderId="1" xfId="0" applyFont="1" applyFill="1" applyBorder="1" applyAlignment="1">
      <alignment horizontal="center" vertical="center" wrapText="1"/>
    </xf>
    <xf numFmtId="0" fontId="3" fillId="0" borderId="0" xfId="0" applyFont="1" applyAlignment="1">
      <alignment horizontal="left" vertical="center" wrapText="1"/>
    </xf>
    <xf numFmtId="0" fontId="3" fillId="0" borderId="6" xfId="0" applyFont="1" applyBorder="1" applyAlignment="1">
      <alignment vertical="center" wrapText="1"/>
    </xf>
    <xf numFmtId="0" fontId="14" fillId="6" borderId="0" xfId="0" applyFont="1" applyFill="1" applyAlignment="1">
      <alignment horizontal="center" vertical="center" wrapText="1"/>
    </xf>
    <xf numFmtId="0" fontId="3" fillId="0" borderId="0" xfId="0" applyFont="1" applyAlignment="1">
      <alignment horizontal="center" vertical="center" wrapText="1"/>
    </xf>
    <xf numFmtId="0" fontId="4"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horizontal="left" vertical="center" wrapText="1"/>
    </xf>
    <xf numFmtId="0" fontId="3" fillId="0" borderId="0" xfId="0" applyFont="1" applyAlignment="1">
      <alignment wrapText="1"/>
    </xf>
    <xf numFmtId="0" fontId="3" fillId="0" borderId="0" xfId="0" applyFont="1" applyAlignment="1">
      <alignment horizontal="left" vertical="center"/>
    </xf>
    <xf numFmtId="0" fontId="13" fillId="0" borderId="0" xfId="0" applyFont="1" applyAlignment="1">
      <alignment horizontal="left" vertical="center" wrapText="1"/>
    </xf>
    <xf numFmtId="0" fontId="3" fillId="0" borderId="7" xfId="0" applyFont="1" applyBorder="1" applyAlignment="1">
      <alignment horizontal="center"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18" fillId="9" borderId="1" xfId="0" applyFont="1" applyFill="1" applyBorder="1" applyAlignment="1">
      <alignment horizontal="center" vertical="center" wrapText="1"/>
    </xf>
    <xf numFmtId="0" fontId="19" fillId="0" borderId="0" xfId="0" applyFont="1" applyAlignment="1">
      <alignment horizontal="center" vertical="center" wrapText="1"/>
    </xf>
    <xf numFmtId="0" fontId="20" fillId="9" borderId="1" xfId="0" applyFont="1" applyFill="1" applyBorder="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vertical="center" wrapText="1"/>
    </xf>
    <xf numFmtId="0" fontId="15" fillId="6" borderId="1" xfId="0" applyFont="1" applyFill="1" applyBorder="1" applyAlignment="1">
      <alignment horizontal="center" vertical="center" wrapText="1"/>
    </xf>
    <xf numFmtId="0" fontId="19" fillId="0" borderId="0" xfId="0" applyFont="1" applyAlignment="1">
      <alignment horizontal="left" vertical="center" wrapText="1"/>
    </xf>
    <xf numFmtId="0" fontId="15" fillId="6" borderId="0" xfId="0" applyFont="1" applyFill="1" applyAlignment="1">
      <alignment horizontal="center" vertical="center" wrapText="1"/>
    </xf>
    <xf numFmtId="0" fontId="8" fillId="0" borderId="0" xfId="0" applyFont="1" applyAlignment="1">
      <alignment horizontal="left" vertical="center" wrapText="1"/>
    </xf>
    <xf numFmtId="0" fontId="4" fillId="0" borderId="0" xfId="0" applyFont="1" applyAlignment="1">
      <alignment horizontal="center" vertical="center" wrapText="1"/>
    </xf>
    <xf numFmtId="0" fontId="0" fillId="0" borderId="0" xfId="0" applyAlignment="1">
      <alignment horizontal="left" vertical="center"/>
    </xf>
    <xf numFmtId="0" fontId="3" fillId="0" borderId="7" xfId="0" applyFont="1" applyBorder="1" applyAlignment="1">
      <alignment vertical="center" wrapText="1"/>
    </xf>
    <xf numFmtId="0" fontId="3" fillId="0" borderId="7" xfId="0" applyFont="1" applyBorder="1" applyAlignment="1">
      <alignment vertical="center"/>
    </xf>
    <xf numFmtId="0" fontId="4" fillId="0" borderId="7" xfId="0" applyFont="1" applyBorder="1" applyAlignment="1">
      <alignment vertical="center" wrapText="1"/>
    </xf>
    <xf numFmtId="0" fontId="4" fillId="0" borderId="7" xfId="0" applyFont="1" applyBorder="1" applyAlignment="1">
      <alignment horizontal="center" vertical="center" wrapText="1"/>
    </xf>
    <xf numFmtId="0" fontId="9" fillId="0" borderId="0" xfId="0" applyFont="1" applyAlignment="1">
      <alignment vertical="center" wrapText="1"/>
    </xf>
    <xf numFmtId="0" fontId="9" fillId="0" borderId="6" xfId="0" applyFont="1" applyBorder="1" applyAlignment="1">
      <alignment vertical="center" wrapText="1"/>
    </xf>
    <xf numFmtId="0" fontId="9" fillId="0" borderId="7" xfId="0" applyFont="1" applyBorder="1" applyAlignment="1">
      <alignment vertical="center" wrapText="1"/>
    </xf>
    <xf numFmtId="0" fontId="9" fillId="0" borderId="5" xfId="0" applyFont="1" applyBorder="1" applyAlignment="1">
      <alignment vertical="center" wrapText="1"/>
    </xf>
    <xf numFmtId="0" fontId="3" fillId="0" borderId="5" xfId="0" applyFont="1" applyBorder="1" applyAlignment="1">
      <alignment vertical="center" wrapText="1"/>
    </xf>
    <xf numFmtId="0" fontId="3" fillId="0" borderId="5" xfId="0" applyFont="1" applyBorder="1" applyAlignment="1">
      <alignment horizontal="center" vertical="center" wrapText="1"/>
    </xf>
    <xf numFmtId="0" fontId="3" fillId="0" borderId="0" xfId="0" applyFont="1" applyAlignment="1">
      <alignment horizontal="center" vertical="center"/>
    </xf>
    <xf numFmtId="0" fontId="10" fillId="0" borderId="0" xfId="0" applyFont="1" applyAlignment="1">
      <alignment horizontal="center" vertical="center"/>
    </xf>
    <xf numFmtId="0" fontId="10" fillId="0" borderId="0" xfId="0" applyFont="1" applyAlignment="1">
      <alignment horizontal="center" vertical="center" wrapText="1"/>
    </xf>
    <xf numFmtId="0" fontId="10" fillId="0" borderId="0" xfId="0" applyFont="1" applyAlignment="1" applyProtection="1">
      <alignment horizontal="left" vertical="center" wrapText="1"/>
      <protection locked="0"/>
    </xf>
    <xf numFmtId="0" fontId="10" fillId="0" borderId="0" xfId="0" applyFont="1" applyAlignment="1" applyProtection="1">
      <alignment horizontal="center" vertical="center" wrapText="1"/>
      <protection locked="0"/>
    </xf>
    <xf numFmtId="0" fontId="11" fillId="0" borderId="0" xfId="0" applyFont="1" applyAlignment="1">
      <alignment horizontal="center" vertical="center" wrapText="1"/>
    </xf>
    <xf numFmtId="0" fontId="11" fillId="0" borderId="0" xfId="0" applyFont="1" applyAlignment="1">
      <alignment horizontal="left" vertical="center" wrapText="1"/>
    </xf>
    <xf numFmtId="0" fontId="10" fillId="0" borderId="0" xfId="0" applyFont="1" applyAlignment="1">
      <alignment horizontal="left" vertical="center" wrapText="1"/>
    </xf>
    <xf numFmtId="0" fontId="11" fillId="0" borderId="0" xfId="0" applyFont="1" applyAlignment="1">
      <alignment horizontal="center" vertical="center"/>
    </xf>
    <xf numFmtId="0" fontId="12" fillId="0" borderId="0" xfId="0" applyFont="1" applyAlignment="1">
      <alignment horizontal="center" vertical="center" wrapText="1"/>
    </xf>
    <xf numFmtId="0" fontId="10" fillId="0" borderId="0" xfId="0" applyFont="1" applyAlignment="1" applyProtection="1">
      <alignment horizontal="left" vertical="center"/>
      <protection locked="0"/>
    </xf>
    <xf numFmtId="0" fontId="12" fillId="0" borderId="0" xfId="0" applyFont="1" applyAlignment="1">
      <alignment horizontal="left" vertical="center" wrapText="1"/>
    </xf>
    <xf numFmtId="0" fontId="10" fillId="0" borderId="0" xfId="0" applyFont="1" applyAlignment="1">
      <alignment horizontal="left" vertical="center"/>
    </xf>
    <xf numFmtId="0" fontId="15" fillId="6" borderId="0" xfId="0" applyFont="1" applyFill="1" applyAlignment="1">
      <alignment horizontal="left" vertical="center" wrapText="1"/>
    </xf>
    <xf numFmtId="0" fontId="11" fillId="0" borderId="0" xfId="0" applyFont="1" applyAlignment="1" applyProtection="1">
      <alignment horizontal="left" vertical="center" wrapText="1"/>
      <protection locked="0"/>
    </xf>
    <xf numFmtId="0" fontId="4" fillId="0" borderId="0" xfId="0" applyFont="1"/>
    <xf numFmtId="0" fontId="3" fillId="0" borderId="0" xfId="0" applyFont="1" applyAlignment="1" applyProtection="1">
      <alignment horizontal="left" vertical="center" wrapText="1"/>
      <protection locked="0"/>
    </xf>
    <xf numFmtId="0" fontId="3" fillId="0" borderId="0" xfId="0" applyFont="1" applyAlignment="1" applyProtection="1">
      <alignment horizontal="center" vertical="center" wrapText="1"/>
      <protection locked="0"/>
    </xf>
    <xf numFmtId="0" fontId="4" fillId="0" borderId="0" xfId="0" applyFont="1" applyAlignment="1" applyProtection="1">
      <alignment horizontal="left" vertical="center" wrapText="1"/>
      <protection locked="0"/>
    </xf>
    <xf numFmtId="0" fontId="3" fillId="0" borderId="0" xfId="0" applyFont="1" applyAlignment="1" applyProtection="1">
      <alignment horizontal="left" vertical="center"/>
      <protection locked="0"/>
    </xf>
    <xf numFmtId="0" fontId="3" fillId="7" borderId="5" xfId="0" applyFont="1" applyFill="1" applyBorder="1" applyAlignment="1">
      <alignment horizontal="left" vertical="center" wrapText="1"/>
    </xf>
    <xf numFmtId="0" fontId="3" fillId="7" borderId="5" xfId="0" applyFont="1" applyFill="1" applyBorder="1" applyAlignment="1">
      <alignment horizontal="center" vertical="center" wrapText="1"/>
    </xf>
    <xf numFmtId="0" fontId="4" fillId="7" borderId="5" xfId="0" applyFont="1" applyFill="1" applyBorder="1" applyAlignment="1">
      <alignment horizontal="center" vertical="center" wrapText="1"/>
    </xf>
    <xf numFmtId="0" fontId="4" fillId="7" borderId="5" xfId="0" applyFont="1" applyFill="1" applyBorder="1" applyAlignment="1">
      <alignment horizontal="left" vertical="center" wrapText="1"/>
    </xf>
    <xf numFmtId="0" fontId="3" fillId="7" borderId="5" xfId="0" applyFont="1" applyFill="1" applyBorder="1" applyAlignment="1">
      <alignment horizontal="center" vertical="center"/>
    </xf>
    <xf numFmtId="0" fontId="3" fillId="7" borderId="5" xfId="0" applyFont="1" applyFill="1" applyBorder="1" applyAlignment="1" applyProtection="1">
      <alignment horizontal="center" vertical="center" wrapText="1"/>
      <protection locked="0"/>
    </xf>
    <xf numFmtId="0" fontId="4" fillId="7" borderId="5" xfId="0" applyFont="1" applyFill="1" applyBorder="1" applyAlignment="1">
      <alignment vertical="center" wrapText="1"/>
    </xf>
    <xf numFmtId="0" fontId="4" fillId="7" borderId="5" xfId="0" applyFont="1" applyFill="1" applyBorder="1" applyAlignment="1" applyProtection="1">
      <alignment horizontal="left" vertical="center" wrapText="1"/>
      <protection locked="0"/>
    </xf>
    <xf numFmtId="0" fontId="3" fillId="7" borderId="4" xfId="0" applyFont="1" applyFill="1" applyBorder="1" applyAlignment="1">
      <alignment horizontal="left" vertical="center" wrapText="1"/>
    </xf>
    <xf numFmtId="0" fontId="3" fillId="0" borderId="5" xfId="0" applyFont="1" applyBorder="1" applyAlignment="1">
      <alignment horizontal="left" vertical="center"/>
    </xf>
    <xf numFmtId="0" fontId="3" fillId="0" borderId="8" xfId="0" applyFont="1" applyBorder="1" applyAlignment="1">
      <alignment horizontal="left" vertical="center"/>
    </xf>
    <xf numFmtId="0" fontId="4" fillId="7" borderId="4" xfId="0" applyFont="1" applyFill="1" applyBorder="1" applyAlignment="1">
      <alignment horizontal="left" vertical="center" wrapText="1"/>
    </xf>
    <xf numFmtId="0" fontId="4" fillId="7" borderId="4" xfId="0" applyFont="1" applyFill="1" applyBorder="1" applyAlignment="1">
      <alignment vertical="center" wrapText="1"/>
    </xf>
    <xf numFmtId="0" fontId="22" fillId="6" borderId="9" xfId="0" applyFont="1" applyFill="1" applyBorder="1" applyAlignment="1">
      <alignment horizontal="center" vertical="center" wrapText="1"/>
    </xf>
    <xf numFmtId="0" fontId="21" fillId="0" borderId="0" xfId="0" applyFont="1" applyAlignment="1">
      <alignment horizontal="center" vertical="center" wrapText="1"/>
    </xf>
    <xf numFmtId="0" fontId="22" fillId="6" borderId="1" xfId="0" applyFont="1" applyFill="1" applyBorder="1" applyAlignment="1">
      <alignment horizontal="center" vertical="center" wrapText="1"/>
    </xf>
    <xf numFmtId="0" fontId="18" fillId="0" borderId="0" xfId="0" applyFont="1" applyAlignment="1">
      <alignment horizontal="center" vertical="center" wrapText="1"/>
    </xf>
    <xf numFmtId="0" fontId="4" fillId="0" borderId="8" xfId="0" applyFont="1" applyBorder="1" applyAlignment="1">
      <alignment vertical="center" wrapText="1"/>
    </xf>
    <xf numFmtId="0" fontId="3" fillId="7" borderId="7" xfId="0" applyFont="1" applyFill="1" applyBorder="1" applyAlignment="1">
      <alignment horizontal="left" vertical="center"/>
    </xf>
    <xf numFmtId="0" fontId="4" fillId="0" borderId="7" xfId="0" applyFont="1" applyBorder="1" applyAlignment="1">
      <alignment vertical="center"/>
    </xf>
    <xf numFmtId="0" fontId="4" fillId="0" borderId="7" xfId="0" applyFont="1" applyBorder="1" applyAlignment="1">
      <alignment horizontal="left" vertical="center" wrapText="1"/>
    </xf>
    <xf numFmtId="0" fontId="3" fillId="0" borderId="8" xfId="0" applyFont="1" applyBorder="1" applyAlignment="1">
      <alignment vertical="center" wrapText="1"/>
    </xf>
    <xf numFmtId="0" fontId="3" fillId="0" borderId="8" xfId="0" applyFont="1" applyBorder="1" applyAlignment="1">
      <alignment vertical="center"/>
    </xf>
    <xf numFmtId="0" fontId="3" fillId="7" borderId="4" xfId="0" applyFont="1" applyFill="1" applyBorder="1" applyAlignment="1">
      <alignment horizontal="center" vertical="center" wrapText="1"/>
    </xf>
    <xf numFmtId="0" fontId="4" fillId="7" borderId="4" xfId="0" applyFont="1" applyFill="1" applyBorder="1" applyAlignment="1">
      <alignment horizontal="center" vertical="center" wrapText="1"/>
    </xf>
    <xf numFmtId="0" fontId="21" fillId="9" borderId="1"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18" fillId="8" borderId="9" xfId="0" applyFont="1" applyFill="1" applyBorder="1" applyAlignment="1">
      <alignment horizontal="center" vertical="center" wrapText="1"/>
    </xf>
    <xf numFmtId="0" fontId="18" fillId="9" borderId="12" xfId="0" applyFont="1" applyFill="1" applyBorder="1" applyAlignment="1">
      <alignment horizontal="center" vertical="center" wrapText="1"/>
    </xf>
    <xf numFmtId="0" fontId="14" fillId="6" borderId="12" xfId="0" applyFont="1" applyFill="1" applyBorder="1" applyAlignment="1">
      <alignment horizontal="center" vertical="center" wrapText="1"/>
    </xf>
    <xf numFmtId="0" fontId="20" fillId="8" borderId="9" xfId="0" applyFont="1" applyFill="1" applyBorder="1" applyAlignment="1">
      <alignment horizontal="center" vertical="center" wrapText="1"/>
    </xf>
    <xf numFmtId="0" fontId="20" fillId="9" borderId="12" xfId="0" applyFont="1" applyFill="1" applyBorder="1" applyAlignment="1">
      <alignment horizontal="center" vertical="center" wrapText="1"/>
    </xf>
    <xf numFmtId="0" fontId="15" fillId="6" borderId="12" xfId="0" applyFont="1" applyFill="1" applyBorder="1" applyAlignment="1">
      <alignment horizontal="center" vertical="center" wrapText="1"/>
    </xf>
    <xf numFmtId="0" fontId="3" fillId="0" borderId="8" xfId="0" applyFont="1" applyBorder="1" applyAlignment="1">
      <alignment horizontal="center" vertical="center" wrapText="1"/>
    </xf>
    <xf numFmtId="0" fontId="16"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5" fillId="6" borderId="13" xfId="0" applyFont="1" applyFill="1" applyBorder="1" applyAlignment="1">
      <alignment horizontal="center" vertical="center" wrapText="1"/>
    </xf>
    <xf numFmtId="0" fontId="3" fillId="0" borderId="0" xfId="0" applyFont="1" applyAlignment="1">
      <alignment horizontal="justify" vertical="center" wrapText="1"/>
    </xf>
    <xf numFmtId="0" fontId="3" fillId="0" borderId="7" xfId="0" applyFont="1" applyBorder="1" applyAlignment="1">
      <alignment horizontal="justify" vertical="center" wrapText="1"/>
    </xf>
    <xf numFmtId="49" fontId="3" fillId="7" borderId="4" xfId="0" applyNumberFormat="1" applyFont="1" applyFill="1" applyBorder="1" applyAlignment="1">
      <alignment horizontal="left" vertical="center" wrapText="1"/>
    </xf>
    <xf numFmtId="0" fontId="22" fillId="6" borderId="0" xfId="0" applyFont="1" applyFill="1" applyAlignment="1">
      <alignment horizontal="center" vertical="center" wrapText="1"/>
    </xf>
    <xf numFmtId="0" fontId="3" fillId="0" borderId="7" xfId="0" applyFont="1" applyBorder="1" applyAlignment="1">
      <alignment horizontal="left" vertical="center"/>
    </xf>
    <xf numFmtId="0" fontId="15" fillId="6" borderId="8" xfId="0" applyFont="1" applyFill="1" applyBorder="1" applyAlignment="1">
      <alignment horizontal="center" vertical="center" wrapText="1"/>
    </xf>
    <xf numFmtId="0" fontId="23" fillId="0" borderId="0" xfId="0" applyFont="1" applyAlignment="1">
      <alignment horizontal="center" vertical="center" wrapText="1"/>
    </xf>
    <xf numFmtId="0" fontId="24" fillId="0" borderId="0" xfId="0" applyFont="1" applyAlignment="1">
      <alignment horizontal="center" vertical="center" wrapText="1"/>
    </xf>
    <xf numFmtId="0" fontId="3" fillId="0" borderId="0" xfId="0" applyFont="1" applyAlignment="1">
      <alignment horizontal="center" vertical="center" wrapText="1"/>
    </xf>
    <xf numFmtId="0" fontId="16" fillId="2" borderId="1" xfId="0" applyFont="1" applyFill="1" applyBorder="1" applyAlignment="1">
      <alignment horizontal="center" vertical="center" wrapText="1"/>
    </xf>
    <xf numFmtId="0" fontId="3" fillId="0" borderId="0" xfId="0" applyFont="1" applyAlignment="1">
      <alignment horizontal="left" vertical="center" wrapText="1"/>
    </xf>
    <xf numFmtId="0" fontId="15" fillId="6" borderId="10" xfId="0" applyFont="1" applyFill="1" applyBorder="1" applyAlignment="1">
      <alignment horizontal="center" vertical="center" wrapText="1"/>
    </xf>
    <xf numFmtId="0" fontId="15" fillId="6" borderId="11" xfId="0" applyFont="1" applyFill="1" applyBorder="1" applyAlignment="1">
      <alignment horizontal="center"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0" borderId="5" xfId="0" applyFont="1" applyBorder="1" applyAlignment="1">
      <alignment horizontal="left" vertical="center" wrapText="1"/>
    </xf>
    <xf numFmtId="0" fontId="4" fillId="0" borderId="6" xfId="0" applyFont="1" applyBorder="1" applyAlignment="1">
      <alignment horizontal="center" vertical="center" wrapText="1"/>
    </xf>
    <xf numFmtId="0" fontId="4" fillId="0" borderId="0" xfId="0" applyFont="1" applyAlignment="1">
      <alignment horizontal="center" vertical="center" wrapText="1"/>
    </xf>
    <xf numFmtId="0" fontId="4" fillId="0" borderId="7" xfId="0" applyFont="1" applyBorder="1" applyAlignment="1">
      <alignment horizontal="center" vertical="center" wrapText="1"/>
    </xf>
    <xf numFmtId="0" fontId="9" fillId="0" borderId="6" xfId="0" applyFont="1" applyBorder="1" applyAlignment="1">
      <alignment vertical="center" wrapText="1"/>
    </xf>
    <xf numFmtId="0" fontId="9" fillId="0" borderId="0" xfId="0" applyFont="1" applyAlignment="1">
      <alignment vertical="center" wrapText="1"/>
    </xf>
    <xf numFmtId="0" fontId="9" fillId="0" borderId="7" xfId="0" applyFont="1" applyBorder="1" applyAlignment="1">
      <alignment vertical="center" wrapText="1"/>
    </xf>
    <xf numFmtId="0" fontId="4" fillId="0" borderId="5" xfId="0" applyFont="1" applyBorder="1" applyAlignment="1">
      <alignment horizontal="center" vertical="center" wrapText="1"/>
    </xf>
    <xf numFmtId="0" fontId="9" fillId="0" borderId="5" xfId="0" applyFont="1" applyBorder="1" applyAlignment="1">
      <alignment vertical="center" wrapText="1"/>
    </xf>
    <xf numFmtId="0" fontId="4" fillId="0" borderId="5" xfId="0" applyFont="1" applyBorder="1" applyAlignment="1">
      <alignment vertical="center" wrapText="1"/>
    </xf>
    <xf numFmtId="0" fontId="4" fillId="0" borderId="0" xfId="0" applyFont="1" applyAlignment="1">
      <alignment vertical="center" wrapText="1"/>
    </xf>
    <xf numFmtId="0" fontId="4" fillId="0" borderId="7" xfId="0" applyFont="1" applyBorder="1" applyAlignment="1">
      <alignment vertical="center" wrapText="1"/>
    </xf>
    <xf numFmtId="0" fontId="3" fillId="0" borderId="14" xfId="0" applyFont="1" applyBorder="1" applyAlignment="1">
      <alignment horizontal="center" vertical="center" wrapText="1"/>
    </xf>
    <xf numFmtId="0" fontId="3" fillId="0" borderId="7" xfId="0" applyFont="1" applyBorder="1" applyAlignment="1">
      <alignment horizontal="center" vertical="center" wrapText="1"/>
    </xf>
    <xf numFmtId="0" fontId="3" fillId="0" borderId="14" xfId="0" applyFont="1" applyBorder="1" applyAlignment="1">
      <alignment horizontal="left" vertical="center" wrapText="1"/>
    </xf>
    <xf numFmtId="0" fontId="3" fillId="0" borderId="5" xfId="0" applyFont="1" applyBorder="1" applyAlignment="1">
      <alignment horizontal="center" vertical="center" wrapText="1"/>
    </xf>
    <xf numFmtId="0" fontId="4" fillId="0" borderId="5" xfId="0" applyFont="1" applyBorder="1" applyAlignment="1">
      <alignment horizontal="center" vertical="center"/>
    </xf>
    <xf numFmtId="0" fontId="4" fillId="0" borderId="0" xfId="0" applyFont="1" applyAlignment="1">
      <alignment horizontal="center" vertical="center"/>
    </xf>
    <xf numFmtId="0" fontId="4" fillId="0" borderId="8" xfId="0" applyFont="1" applyBorder="1" applyAlignment="1">
      <alignment horizontal="center" vertical="center"/>
    </xf>
    <xf numFmtId="0" fontId="4" fillId="0" borderId="5" xfId="0" applyFont="1" applyBorder="1" applyAlignment="1">
      <alignment horizontal="left" vertical="center" wrapText="1"/>
    </xf>
    <xf numFmtId="0" fontId="4" fillId="0" borderId="0" xfId="0" applyFont="1" applyAlignment="1">
      <alignment horizontal="left" vertical="center" wrapText="1"/>
    </xf>
    <xf numFmtId="0" fontId="4" fillId="0" borderId="8" xfId="0" applyFont="1" applyBorder="1" applyAlignment="1">
      <alignment horizontal="left" vertical="center" wrapText="1"/>
    </xf>
    <xf numFmtId="0" fontId="3" fillId="0" borderId="8" xfId="0" applyFont="1" applyBorder="1" applyAlignment="1">
      <alignment horizontal="left" vertical="center" wrapText="1"/>
    </xf>
    <xf numFmtId="0" fontId="14" fillId="6" borderId="0" xfId="0" applyFont="1" applyFill="1" applyAlignment="1">
      <alignment horizontal="center" vertical="center" wrapText="1"/>
    </xf>
    <xf numFmtId="0" fontId="3" fillId="0" borderId="0" xfId="0" applyFont="1" applyAlignment="1">
      <alignment horizontal="center" vertical="center"/>
    </xf>
    <xf numFmtId="0" fontId="3" fillId="0" borderId="7" xfId="0" applyFont="1" applyBorder="1" applyAlignment="1">
      <alignment horizontal="center" vertical="center"/>
    </xf>
    <xf numFmtId="0" fontId="4" fillId="0" borderId="0" xfId="0" applyFont="1" applyAlignment="1" applyProtection="1">
      <alignment horizontal="left" vertical="center" wrapText="1"/>
      <protection locked="0"/>
    </xf>
    <xf numFmtId="0" fontId="4" fillId="0" borderId="7" xfId="0" applyFont="1" applyBorder="1" applyAlignment="1" applyProtection="1">
      <alignment horizontal="left" vertical="center" wrapText="1"/>
      <protection locked="0"/>
    </xf>
    <xf numFmtId="0" fontId="3" fillId="0" borderId="5" xfId="0" applyFont="1" applyBorder="1" applyAlignment="1">
      <alignment horizontal="center" vertical="center"/>
    </xf>
    <xf numFmtId="0" fontId="3" fillId="0" borderId="5" xfId="0" applyFont="1" applyBorder="1" applyAlignment="1" applyProtection="1">
      <alignment horizontal="left" vertical="center" wrapText="1"/>
      <protection locked="0"/>
    </xf>
    <xf numFmtId="0" fontId="3" fillId="0" borderId="0" xfId="0" applyFont="1" applyAlignment="1" applyProtection="1">
      <alignment horizontal="left" vertical="center" wrapText="1"/>
      <protection locked="0"/>
    </xf>
    <xf numFmtId="0" fontId="3" fillId="0" borderId="7" xfId="0" applyFont="1" applyBorder="1" applyAlignment="1" applyProtection="1">
      <alignment horizontal="left" vertical="center" wrapText="1"/>
      <protection locked="0"/>
    </xf>
    <xf numFmtId="0" fontId="4" fillId="0" borderId="5" xfId="0" applyFont="1" applyBorder="1" applyAlignment="1" applyProtection="1">
      <alignment horizontal="left" vertical="center" wrapText="1"/>
      <protection locked="0"/>
    </xf>
    <xf numFmtId="0" fontId="3" fillId="0" borderId="8" xfId="0" applyFont="1" applyBorder="1" applyAlignment="1" applyProtection="1">
      <alignment horizontal="left" vertical="center" wrapText="1"/>
      <protection locked="0"/>
    </xf>
    <xf numFmtId="0" fontId="3" fillId="0" borderId="8" xfId="0" applyFont="1" applyBorder="1" applyAlignment="1">
      <alignment horizontal="center" vertical="center" wrapText="1"/>
    </xf>
    <xf numFmtId="0" fontId="3" fillId="0" borderId="0" xfId="0" applyFont="1" applyAlignment="1">
      <alignment horizontal="center"/>
    </xf>
    <xf numFmtId="0" fontId="5" fillId="4" borderId="1" xfId="0" applyFont="1" applyFill="1" applyBorder="1" applyAlignment="1">
      <alignment horizontal="center"/>
    </xf>
  </cellXfs>
  <cellStyles count="1">
    <cellStyle name="Normal" xfId="0" builtinId="0"/>
  </cellStyles>
  <dxfs count="152">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51"/>
    </tableStyle>
    <tableStyle name="Estilo de tabla 2" pivot="0" count="1" xr9:uid="{C6F8D6C6-DD7E-42E8-8328-19C722F9F97F}">
      <tableStyleElement type="wholeTable" dxfId="150"/>
    </tableStyle>
    <tableStyle name="Estilo de tabla 3" pivot="0" count="1" xr9:uid="{BD8219D8-F95E-4ADD-BD98-5883EDA7E91C}">
      <tableStyleElement type="headerRow" dxfId="149"/>
    </tableStyle>
  </tableStyles>
  <colors>
    <mruColors>
      <color rgb="FFF5B0B0"/>
      <color rgb="FF1FB2DE"/>
      <color rgb="FF0F38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https://poligran-my.sharepoint.com/personal/dvelasquez_poligran_edu_co/Documents/02_Curriculo_Virtual/05_Documentos_Reforzamiento%20curricular/ReforzamientoCurricular2022/03_Entregables/Nivel%20Micro/06_FormatosRA2024_AC/01_Renovacion/FormatoRA_TecProfJudicial_VNAL.xlsx" TargetMode="External"/><Relationship Id="rId2" Type="http://schemas.microsoft.com/office/2019/04/relationships/externalLinkLongPath" Target="/personal/dvelasquez_poligran_edu_co/Documents/02_Curriculo_Virtual/05_Documentos_Reforzamiento%20curricular/ReforzamientoCurricular2022/03_Entregables/Nivel%20Micro/06_FormatosRA2024_AC/01_Renovacion/FormatoRA_TecProfJudicial_VNAL.xlsx?0A18EC3A" TargetMode="External"/><Relationship Id="rId1" Type="http://schemas.openxmlformats.org/officeDocument/2006/relationships/externalLinkPath" Target="file:///\\0A18EC3A\FormatoRA_TecProfJudicial_VNAL.xlsx" TargetMode="External"/><Relationship Id="rId4" Type="http://schemas.openxmlformats.org/officeDocument/2006/relationships/externalLinkPath" Target="../../../../dvelasquez_poligran_edu_co/Documents/02_Curriculo_Virtual/05_Documentos_Reforzamiento%20curricular/ReforzamientoCurricular2022/03_Entregables/Nivel%20Micro/06_FormatosRA2024_AC/01_Renovacion/FormatoRA_TecProfJudicial_V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ni8NL5dwkaGySQFxD1mpD9Up9Jq245OlXEFAEVxh_yGpr5orbeXS77QVIKZKnPK" itemId="012I3KOA5EEP7EY6FKXFEKPBOGH5NVIR4O">
      <xxl21:absoluteUrl r:id="rId3"/>
      <xxl21:relativeUrl r:id="rId4"/>
    </xxl21:alternateUrls>
    <sheetNames>
      <sheetName val="Paso1 Analisis perfil egreso"/>
      <sheetName val="Paso 2 Redacción competen"/>
      <sheetName val="Paso 3 Redacción RA "/>
      <sheetName val="Paso 4 Estrategias mesocurricu"/>
      <sheetName val="Paso 5 Estrategias microcurricu"/>
      <sheetName val="Taxonomía para competencias"/>
      <sheetName val="Taxonomias para RA"/>
    </sheetNames>
    <sheetDataSet>
      <sheetData sheetId="0"/>
      <sheetData sheetId="1"/>
      <sheetData sheetId="2"/>
      <sheetData sheetId="3"/>
      <sheetData sheetId="4"/>
      <sheetData sheetId="5"/>
      <sheetData sheetId="6"/>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C8770C3-071D-499F-9BF2-620169EB50C6}" name="Tabla33103" displayName="Tabla33103" ref="B1:B38" totalsRowShown="0" headerRowDxfId="148" dataDxfId="147">
  <autoFilter ref="B1:B38" xr:uid="{5C8770C3-071D-499F-9BF2-620169EB50C6}"/>
  <sortState xmlns:xlrd2="http://schemas.microsoft.com/office/spreadsheetml/2017/richdata2" ref="B2:B38">
    <sortCondition ref="B1:B38"/>
  </sortState>
  <tableColumns count="1">
    <tableColumn id="1" xr3:uid="{4942F65A-DE34-45AD-8AFA-EDFC3B88631B}" name="Verbos Competencias" dataDxfId="14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45" dataDxfId="144">
  <autoFilter ref="A3:A7" xr:uid="{48FC5A9A-4920-4623-A07A-3CF9371DCF4A}"/>
  <tableColumns count="1">
    <tableColumn id="1" xr3:uid="{63D540FA-82EB-4145-8DC7-B519D8CD7CC0}" name="Taxonomías" dataDxfId="143"/>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42" dataDxfId="141">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4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39" dataDxfId="138">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37"/>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36" dataDxfId="135">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34"/>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33" dataDxfId="132">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3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30" dataDxfId="129">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28"/>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27" dataDxfId="126">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25"/>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24" dataDxfId="123">
  <autoFilter ref="S3:S45" xr:uid="{F8CECA1C-3082-403C-A916-A3F7860E419B}"/>
  <sortState xmlns:xlrd2="http://schemas.microsoft.com/office/spreadsheetml/2017/richdata2" ref="S4:S45">
    <sortCondition ref="S3:S45"/>
  </sortState>
  <tableColumns count="1">
    <tableColumn id="1" xr3:uid="{E8288FDF-6DC1-467B-8083-3BB5E5966D23}" name="ConocimientoBAK" dataDxfId="122"/>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3" totalsRowShown="0" headerRowDxfId="121" dataDxfId="120">
  <autoFilter ref="T3:T43" xr:uid="{91DAFDAE-F212-4BAF-BC19-DDD22FBAA62D}"/>
  <sortState xmlns:xlrd2="http://schemas.microsoft.com/office/spreadsheetml/2017/richdata2" ref="T4:T43">
    <sortCondition ref="T3:T43"/>
  </sortState>
  <tableColumns count="1">
    <tableColumn id="1" xr3:uid="{BE0B8AE9-98EE-44F6-8C48-260F8C2558A0}" name="ComprensiónBAK" dataDxfId="119"/>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18" dataDxfId="117">
  <autoFilter ref="U3:U43" xr:uid="{B1A040A9-8CFD-4596-8FBC-27FD56392945}"/>
  <sortState xmlns:xlrd2="http://schemas.microsoft.com/office/spreadsheetml/2017/richdata2" ref="U4:U43">
    <sortCondition ref="U3:U43"/>
  </sortState>
  <tableColumns count="1">
    <tableColumn id="1" xr3:uid="{37523E1E-21F0-4AD5-AE5F-B4C6B322C81C}" name="AplicaciónBAK" dataDxfId="116"/>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15" dataDxfId="114">
  <autoFilter ref="V3:V36" xr:uid="{2AA761F5-FCA1-4A0B-90D8-1C642DDF1D1A}"/>
  <sortState xmlns:xlrd2="http://schemas.microsoft.com/office/spreadsheetml/2017/richdata2" ref="V4:V36">
    <sortCondition ref="V3:V36"/>
  </sortState>
  <tableColumns count="1">
    <tableColumn id="1" xr3:uid="{AF14FE7A-A899-43F9-A3C0-8119863088B1}" name="AnálisisBAK" dataDxfId="113"/>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12" dataDxfId="111">
  <autoFilter ref="W3:W63" xr:uid="{F6A45780-86A0-4428-88DB-1A555C4970E6}"/>
  <sortState xmlns:xlrd2="http://schemas.microsoft.com/office/spreadsheetml/2017/richdata2" ref="W4:W63">
    <sortCondition ref="W4:W63"/>
  </sortState>
  <tableColumns count="1">
    <tableColumn id="1" xr3:uid="{8D1F3CAA-A929-411E-B3AB-90C77CB5BC14}" name="SíntesisBAK" dataDxfId="110"/>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09" dataDxfId="108">
  <autoFilter ref="X3:X66" xr:uid="{3245156A-EE8E-4F9F-B3E3-F1F013A29E6E}"/>
  <sortState xmlns:xlrd2="http://schemas.microsoft.com/office/spreadsheetml/2017/richdata2" ref="X4:X66">
    <sortCondition ref="X3:X66"/>
  </sortState>
  <tableColumns count="1">
    <tableColumn id="1" xr3:uid="{D08EDAAB-166E-48F7-9B09-46F65D2F2270}" name="EvaluaciónBAK" dataDxfId="107"/>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06" dataDxfId="105">
  <autoFilter ref="Y3:Y52" xr:uid="{0C46EE9B-0911-4522-BB5D-1931406AB4AB}"/>
  <sortState xmlns:xlrd2="http://schemas.microsoft.com/office/spreadsheetml/2017/richdata2" ref="Y4:Y52">
    <sortCondition ref="Y3:Y52"/>
  </sortState>
  <tableColumns count="1">
    <tableColumn id="1" xr3:uid="{CDE7758F-9A83-44EB-B2E4-CC670F5593B8}" name="ImitaciónBAK" dataDxfId="10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1" totalsRowShown="0" headerRowDxfId="103" dataDxfId="102">
  <autoFilter ref="Z3:Z41" xr:uid="{300A78DD-9219-4A2F-A2DA-93669B9B6AF3}"/>
  <sortState xmlns:xlrd2="http://schemas.microsoft.com/office/spreadsheetml/2017/richdata2" ref="Z4:Z41">
    <sortCondition ref="Z3:Z41"/>
  </sortState>
  <tableColumns count="1">
    <tableColumn id="1" xr3:uid="{3C407CCE-B486-4656-BA81-116BE1090143}" name="ManipulaciónBAK" dataDxfId="101"/>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71" totalsRowShown="0" headerRowDxfId="100" dataDxfId="99">
  <autoFilter ref="AA3:AA71" xr:uid="{6877FA86-1F49-4E2D-9448-AFF0346B8BB8}"/>
  <sortState xmlns:xlrd2="http://schemas.microsoft.com/office/spreadsheetml/2017/richdata2" ref="AA4:AA71">
    <sortCondition ref="AA3:AA71"/>
  </sortState>
  <tableColumns count="1">
    <tableColumn id="1" xr3:uid="{D21AF291-1BAF-43EA-AFD3-DAFB2D955E09}" name="PrecisiónBAK" dataDxfId="98"/>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97" dataDxfId="96">
  <autoFilter ref="AB3:AB62" xr:uid="{FD38FA61-1361-4EA5-A764-8E58B96581E9}"/>
  <tableColumns count="1">
    <tableColumn id="1" xr3:uid="{982D722A-3D7A-4AAD-A2DF-5EE8DF5E4D9D}" name="ControlBAK" dataDxfId="95"/>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94" dataDxfId="93">
  <autoFilter ref="AC3:AC43" xr:uid="{503448E5-D0D5-4B82-B461-0CD544CE9D23}"/>
  <sortState xmlns:xlrd2="http://schemas.microsoft.com/office/spreadsheetml/2017/richdata2" ref="AC4:AC43">
    <sortCondition ref="AC3:AC43"/>
  </sortState>
  <tableColumns count="1">
    <tableColumn id="1" xr3:uid="{03441D59-E383-407F-99E2-74596636CEF0}" name="PercepciónBAK" dataDxfId="92"/>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5" totalsRowShown="0" headerRowDxfId="91" dataDxfId="90">
  <autoFilter ref="AD3:AD35" xr:uid="{08B46976-D2F4-4AEA-B0BA-6ECF06521BA8}"/>
  <sortState xmlns:xlrd2="http://schemas.microsoft.com/office/spreadsheetml/2017/richdata2" ref="AD4:AD34">
    <sortCondition ref="AD3:AD34"/>
  </sortState>
  <tableColumns count="1">
    <tableColumn id="1" xr3:uid="{0C49A45E-6C59-4AAB-BD6C-F53324766649}" name="ResponderBAK" dataDxfId="89"/>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9" totalsRowShown="0" headerRowDxfId="88" dataDxfId="87">
  <autoFilter ref="AE3:AE39" xr:uid="{49448539-0C4F-43C9-9924-5A219B16757C}"/>
  <sortState xmlns:xlrd2="http://schemas.microsoft.com/office/spreadsheetml/2017/richdata2" ref="AE4:AE39">
    <sortCondition ref="AE3:AE39"/>
  </sortState>
  <tableColumns count="1">
    <tableColumn id="1" xr3:uid="{E2890547-6570-4474-811E-70109D5F5465}" name="ValorarBAK" dataDxfId="86"/>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85" dataDxfId="84">
  <autoFilter ref="AF3:AF29" xr:uid="{21E76DB2-0E8B-466D-A413-2ABD524DDEEA}"/>
  <tableColumns count="1">
    <tableColumn id="1" xr3:uid="{674DA899-A4D0-4618-B839-C8613BA61338}" name="OrganizarBAK" dataDxfId="83"/>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82" dataDxfId="81">
  <autoFilter ref="AG3:AG29" xr:uid="{835318B2-CEAD-4A84-8E6B-21115489F3F9}"/>
  <tableColumns count="1">
    <tableColumn id="1" xr3:uid="{C98AB4FD-C9CE-4966-B509-E36C390C09C7}" name="CaracterizarBAK" dataDxfId="80"/>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79" dataDxfId="78">
  <autoFilter ref="L3:L45" xr:uid="{9E4643CC-87B6-4485-9E83-A8ED35E11905}"/>
  <sortState xmlns:xlrd2="http://schemas.microsoft.com/office/spreadsheetml/2017/richdata2" ref="L4:L45">
    <sortCondition ref="L4:L45"/>
  </sortState>
  <tableColumns count="1">
    <tableColumn id="1" xr3:uid="{29725637-71B1-4F7E-96A8-CB90D5C646B2}" name="ConocimientoB" dataDxfId="77"/>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76" dataDxfId="75">
  <autoFilter ref="M3:M42" xr:uid="{C726BD4C-A167-44A9-8F1B-6936952A7A59}"/>
  <sortState xmlns:xlrd2="http://schemas.microsoft.com/office/spreadsheetml/2017/richdata2" ref="M4:M42">
    <sortCondition ref="M4:M42"/>
  </sortState>
  <tableColumns count="1">
    <tableColumn id="1" xr3:uid="{302CEF3F-D9B7-44E2-B341-CAA4B0E1BEB1}" name="ComprensiónB" dataDxfId="74"/>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73" dataDxfId="72">
  <autoFilter ref="N3:N43" xr:uid="{85965F80-D722-4217-9624-BAE055366227}"/>
  <sortState xmlns:xlrd2="http://schemas.microsoft.com/office/spreadsheetml/2017/richdata2" ref="N4:N43">
    <sortCondition ref="N4:N43"/>
  </sortState>
  <tableColumns count="1">
    <tableColumn id="1" xr3:uid="{8CDFD0B2-187A-490F-B898-52C789C626A8}" name="AplicaciónB" dataDxfId="71"/>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70" dataDxfId="69">
  <autoFilter ref="O3:O36" xr:uid="{4F44782F-9CE2-445E-8EAA-F5D6BC4CE9FF}"/>
  <sortState xmlns:xlrd2="http://schemas.microsoft.com/office/spreadsheetml/2017/richdata2" ref="O4:O36">
    <sortCondition ref="O4:O36"/>
  </sortState>
  <tableColumns count="1">
    <tableColumn id="1" xr3:uid="{7941CE9F-DC23-4AFF-A5EC-374F0F21BBEB}" name="AnálisisB" dataDxfId="68"/>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67" dataDxfId="66">
  <autoFilter ref="P3:P63" xr:uid="{8357A631-F2AC-40DB-8ACA-80F00DED06A3}"/>
  <sortState xmlns:xlrd2="http://schemas.microsoft.com/office/spreadsheetml/2017/richdata2" ref="P4:P63">
    <sortCondition ref="P4:P63"/>
  </sortState>
  <tableColumns count="1">
    <tableColumn id="1" xr3:uid="{E9C49887-DB96-4751-9494-F1CFAE7E02AD}" name="SíntesisB" dataDxfId="65"/>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64" dataDxfId="63">
  <autoFilter ref="Q3:Q66" xr:uid="{141F631B-4F40-430C-9880-8A1F264F50D0}"/>
  <sortState xmlns:xlrd2="http://schemas.microsoft.com/office/spreadsheetml/2017/richdata2" ref="Q4:Q66">
    <sortCondition ref="Q4:Q66"/>
  </sortState>
  <tableColumns count="1">
    <tableColumn id="1" xr3:uid="{42FB5979-4CFB-474A-948A-4C9E2A15A2FA}" name="EvaluaciónB" dataDxfId="62"/>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61" dataDxfId="60">
  <autoFilter ref="E3:E6" xr:uid="{284779C2-7F70-4C90-85C0-9E3404733D87}"/>
  <tableColumns count="1">
    <tableColumn id="1" xr3:uid="{CE47A420-A4CC-4416-8E2B-4A40C2078194}" name="AK" dataDxfId="59"/>
  </tableColumns>
  <tableStyleInfo name="Estilo de tabla 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58" dataDxfId="57">
  <autoFilter ref="D3:D7" xr:uid="{0359C141-9677-47C3-845D-242D3C20A7BD}"/>
  <tableColumns count="1">
    <tableColumn id="1" xr3:uid="{027F3234-EBF7-434A-A95C-3D90248F7600}" name="LK" dataDxfId="56"/>
  </tableColumns>
  <tableStyleInfo name="Estilo de tabla 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55" dataDxfId="54">
  <autoFilter ref="C3:C6" xr:uid="{60F5C8CF-3F5B-45A8-90A3-91960BC0CC3F}"/>
  <tableColumns count="1">
    <tableColumn id="1" xr3:uid="{7261A279-5B41-48E2-A232-E66D4B2C997C}" name="BAK" dataDxfId="53"/>
  </tableColumns>
  <tableStyleInfo name="Estilo de tabla 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52" dataDxfId="51">
  <autoFilter ref="I3:I9" xr:uid="{46409B6B-E133-4AC9-A20A-4A73C6DBD813}"/>
  <tableColumns count="1">
    <tableColumn id="1" xr3:uid="{12B3014A-6B1D-4C6D-9FA4-0161E9656EA6}" name="ActitudinalB" dataDxfId="50"/>
  </tableColumns>
  <tableStyleInfo name="Estilo de tabla 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49" dataDxfId="48">
  <autoFilter ref="H3:H9" xr:uid="{4FBECC47-261F-41D0-B554-ADEA02FBDD3E}"/>
  <tableColumns count="1">
    <tableColumn id="1" xr3:uid="{D263AD73-E936-424B-80A9-E791CCE4D60C}" name="ProcedimentalB" dataDxfId="47"/>
  </tableColumns>
  <tableStyleInfo name="Estilo de tabla 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46" dataDxfId="45">
  <autoFilter ref="G3:G9" xr:uid="{E7A59938-F7EA-457A-87F1-AA0873A8FDA8}"/>
  <tableColumns count="1">
    <tableColumn id="1" xr3:uid="{9BE87125-AAAE-4780-B69A-FA583B2B341A}" name="CognitivoB" dataDxfId="44"/>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43" dataDxfId="42">
  <autoFilter ref="G11:G17" xr:uid="{FB5563E9-3423-496B-A7C6-740A8638246F}"/>
  <tableColumns count="1">
    <tableColumn id="1" xr3:uid="{D2F8054E-C594-43A9-96F5-5294D078E620}" name="HechosLK" dataDxfId="41"/>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40" dataDxfId="39">
  <autoFilter ref="H11:H17" xr:uid="{5235961D-4B2F-4CB8-AC75-46CF8A859099}"/>
  <tableColumns count="1">
    <tableColumn id="1" xr3:uid="{DF3A0232-2B49-4FF7-B62E-7F56B2A16095}" name="ConceptosLK" dataDxfId="38"/>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37" dataDxfId="36">
  <autoFilter ref="I11:I17" xr:uid="{74EFBE03-70FE-4E61-AF1A-7CAE74394FB0}"/>
  <tableColumns count="1">
    <tableColumn id="1" xr3:uid="{02D20833-4DB8-415C-A919-A0178DA3CC95}" name="ProcedimientosLK" dataDxfId="35"/>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34" dataDxfId="33">
  <autoFilter ref="J11:J17" xr:uid="{01D445B2-006B-45B1-9326-AB65B144ABD8}"/>
  <tableColumns count="1">
    <tableColumn id="1" xr3:uid="{B548BB39-2B40-4E98-AE24-D564B24A0831}" name="MetacogniciónLK" dataDxfId="32"/>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Tabla94" displayName="Tabla94" ref="G19:G25" totalsRowShown="0" headerRowDxfId="31" dataDxfId="30">
  <autoFilter ref="G19:G25" xr:uid="{8F99EDF7-BECB-4CB8-94CB-15DEF8DBE8E0}"/>
  <tableColumns count="1">
    <tableColumn id="1" xr3:uid="{995D4B7F-2557-48EF-AE97-D4FE09E63D59}" name="InformaciónAK" dataDxfId="29"/>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Tabla95" displayName="Tabla95" ref="H19:H25" totalsRowShown="0" headerRowDxfId="28" dataDxfId="27">
  <autoFilter ref="H19:H25" xr:uid="{DFB0C1EA-F7F7-4443-9626-BCD7D06ACAA7}"/>
  <tableColumns count="1">
    <tableColumn id="1" xr3:uid="{977268A2-A618-4E2F-BE67-44E018AA2B3D}" name="ProcesosAK" dataDxfId="26"/>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25" dataDxfId="24">
  <autoFilter ref="I19:I25" xr:uid="{AC2042AB-A078-4FDF-91CA-322668C40EBE}"/>
  <tableColumns count="1">
    <tableColumn id="1" xr3:uid="{AAE35896-9168-4715-8D56-25997B0AB9C8}" name="PsicomotorAK" dataDxfId="23"/>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AT4:AT28" totalsRowShown="0" headerRowDxfId="22" dataDxfId="21" tableBorderDxfId="20">
  <autoFilter ref="AT4:AT28" xr:uid="{538ED7E5-6B58-402B-94DF-D07C13DE2D9E}"/>
  <sortState xmlns:xlrd2="http://schemas.microsoft.com/office/spreadsheetml/2017/richdata2" ref="AT5:AT28">
    <sortCondition ref="AT5:AT28"/>
  </sortState>
  <tableColumns count="1">
    <tableColumn id="1" xr3:uid="{BBBA71C3-D37D-42D2-B57F-3792E560AED8}" name="RecuperaciónAK" dataDxfId="19"/>
  </tableColumns>
  <tableStyleInfo name="TableStyleMedium2"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AU4:AU56" totalsRowShown="0" headerRowDxfId="18" dataDxfId="17">
  <autoFilter ref="AU4:AU56" xr:uid="{0217E0C4-2DD9-4417-BE26-3FF0FF3F395D}"/>
  <sortState xmlns:xlrd2="http://schemas.microsoft.com/office/spreadsheetml/2017/richdata2" ref="AU5:AU56">
    <sortCondition ref="AU5:AU56"/>
  </sortState>
  <tableColumns count="1">
    <tableColumn id="1" xr3:uid="{EEF7A2C9-904A-475E-B946-D75F88E5CF1A}" name="ComprensiónAK" dataDxfId="16"/>
  </tableColumns>
  <tableStyleInfo name="TableStyleMedium2"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AV4:AV108" totalsRowShown="0" headerRowDxfId="15" dataDxfId="14" tableBorderDxfId="13">
  <autoFilter ref="AV4:AV108" xr:uid="{522023D2-447B-4863-8827-33272C577B77}"/>
  <sortState xmlns:xlrd2="http://schemas.microsoft.com/office/spreadsheetml/2017/richdata2" ref="AV5:AV108">
    <sortCondition ref="AV5:AV108"/>
  </sortState>
  <tableColumns count="1">
    <tableColumn id="1" xr3:uid="{9344A526-D889-455B-8393-6E992E4F8707}" name="AnálisisAK" dataDxfId="12"/>
  </tableColumns>
  <tableStyleInfo name="TableStyleMedium2"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AW4:AW70" totalsRowShown="0" headerRowDxfId="11" dataDxfId="10" tableBorderDxfId="9">
  <autoFilter ref="AW4:AW70" xr:uid="{6AB46F11-6BD0-4EBD-B99F-F1D1FC283558}"/>
  <sortState xmlns:xlrd2="http://schemas.microsoft.com/office/spreadsheetml/2017/richdata2" ref="AW5:AW70">
    <sortCondition ref="AW5:AW70"/>
  </sortState>
  <tableColumns count="1">
    <tableColumn id="1" xr3:uid="{9B864D54-9851-4B93-B3C8-06FA6FD5E1D3}" name="UsoConocimientoAK" dataDxfId="8"/>
  </tableColumns>
  <tableStyleInfo name="TableStyleMedium2"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AX4:AX92" totalsRowShown="0" headerRowDxfId="7" dataDxfId="6" tableBorderDxfId="5">
  <autoFilter ref="AX4:AX92" xr:uid="{5C094C7C-8551-4EC0-B36D-BC7DA6369C48}"/>
  <sortState xmlns:xlrd2="http://schemas.microsoft.com/office/spreadsheetml/2017/richdata2" ref="AX5:AX92">
    <sortCondition ref="AX5:AX92"/>
  </sortState>
  <tableColumns count="1">
    <tableColumn id="1" xr3:uid="{02A922E1-8BFE-426F-8C44-897F7B4F7498}" name="MetacogniciónAK" dataDxfId="4"/>
  </tableColumns>
  <tableStyleInfo name="TableStyleMedium2"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AY4:AY87" totalsRowShown="0" headerRowDxfId="3" dataDxfId="2" tableBorderDxfId="1">
  <autoFilter ref="AY4:AY87" xr:uid="{E028CBBA-0913-46A4-9A7A-1484F73BB293}"/>
  <tableColumns count="1">
    <tableColumn id="1" xr3:uid="{0478638C-EFB5-452E-960C-8B4E2E4D8F5A}" name="SistemadelYo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3.xml"/><Relationship Id="rId18" Type="http://schemas.openxmlformats.org/officeDocument/2006/relationships/table" Target="../tables/table18.xml"/><Relationship Id="rId26" Type="http://schemas.openxmlformats.org/officeDocument/2006/relationships/table" Target="../tables/table26.xml"/><Relationship Id="rId39" Type="http://schemas.openxmlformats.org/officeDocument/2006/relationships/table" Target="../tables/table39.xml"/><Relationship Id="rId21" Type="http://schemas.openxmlformats.org/officeDocument/2006/relationships/table" Target="../tables/table21.xml"/><Relationship Id="rId34" Type="http://schemas.openxmlformats.org/officeDocument/2006/relationships/table" Target="../tables/table34.xml"/><Relationship Id="rId42" Type="http://schemas.openxmlformats.org/officeDocument/2006/relationships/table" Target="../tables/table42.xml"/><Relationship Id="rId47" Type="http://schemas.openxmlformats.org/officeDocument/2006/relationships/table" Target="../tables/table47.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 Type="http://schemas.openxmlformats.org/officeDocument/2006/relationships/table" Target="../tables/table5.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comments" Target="../comments6.xml"/><Relationship Id="rId10" Type="http://schemas.openxmlformats.org/officeDocument/2006/relationships/table" Target="../tables/table10.xml"/><Relationship Id="rId19" Type="http://schemas.openxmlformats.org/officeDocument/2006/relationships/table" Target="../tables/table19.xml"/><Relationship Id="rId31" Type="http://schemas.openxmlformats.org/officeDocument/2006/relationships/table" Target="../tables/table31.xml"/><Relationship Id="rId44" Type="http://schemas.openxmlformats.org/officeDocument/2006/relationships/table" Target="../tables/table44.xml"/><Relationship Id="rId4" Type="http://schemas.openxmlformats.org/officeDocument/2006/relationships/table" Target="../tables/table4.xml"/><Relationship Id="rId9" Type="http://schemas.openxmlformats.org/officeDocument/2006/relationships/table" Target="../tables/table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8" Type="http://schemas.openxmlformats.org/officeDocument/2006/relationships/table" Target="../tables/table8.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20" Type="http://schemas.openxmlformats.org/officeDocument/2006/relationships/table" Target="../tables/table20.xml"/><Relationship Id="rId41" Type="http://schemas.openxmlformats.org/officeDocument/2006/relationships/table" Target="../tables/table41.xml"/><Relationship Id="rId1" Type="http://schemas.openxmlformats.org/officeDocument/2006/relationships/vmlDrawing" Target="../drawings/vmlDrawing6.vml"/><Relationship Id="rId6"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14"/>
  <sheetViews>
    <sheetView zoomScaleNormal="100" workbookViewId="0"/>
  </sheetViews>
  <sheetFormatPr baseColWidth="10" defaultColWidth="76.26953125" defaultRowHeight="16.5" x14ac:dyDescent="0.35"/>
  <cols>
    <col min="1" max="1" width="23.1796875" style="21" customWidth="1"/>
    <col min="2" max="2" width="17.1796875" style="21" customWidth="1"/>
    <col min="3" max="3" width="40" style="21" customWidth="1"/>
    <col min="4" max="4" width="52.1796875" style="21" customWidth="1"/>
    <col min="5" max="5" width="32.1796875" style="21" customWidth="1"/>
    <col min="6" max="6" width="34" style="12" customWidth="1"/>
    <col min="7" max="7" width="51" style="21" customWidth="1"/>
    <col min="8" max="8" width="25.1796875" style="21" customWidth="1"/>
    <col min="9" max="9" width="67" style="21" customWidth="1"/>
    <col min="10" max="10" width="26.453125" style="21" customWidth="1"/>
    <col min="11" max="11" width="49" style="21" customWidth="1"/>
    <col min="12" max="16384" width="76.26953125" style="21"/>
  </cols>
  <sheetData>
    <row r="1" spans="1:11" s="19" customFormat="1" ht="55.5" x14ac:dyDescent="0.35">
      <c r="A1" s="15" t="s">
        <v>0</v>
      </c>
      <c r="B1" s="15" t="s">
        <v>1</v>
      </c>
      <c r="C1" s="15" t="s">
        <v>2</v>
      </c>
      <c r="D1" s="15" t="s">
        <v>3</v>
      </c>
      <c r="E1" s="117" t="s">
        <v>4</v>
      </c>
      <c r="F1" s="117"/>
      <c r="G1" s="117"/>
      <c r="H1" s="117" t="s">
        <v>5</v>
      </c>
      <c r="I1" s="117"/>
      <c r="J1" s="117"/>
      <c r="K1" s="104" t="s">
        <v>6</v>
      </c>
    </row>
    <row r="2" spans="1:11" s="19" customFormat="1" x14ac:dyDescent="0.35">
      <c r="A2" s="105" t="s">
        <v>7</v>
      </c>
      <c r="B2" s="105" t="s">
        <v>8</v>
      </c>
      <c r="C2" s="105" t="s">
        <v>9</v>
      </c>
      <c r="D2" s="105" t="s">
        <v>10</v>
      </c>
      <c r="E2" s="106" t="s">
        <v>11</v>
      </c>
      <c r="F2" s="106" t="s">
        <v>12</v>
      </c>
      <c r="G2" s="106" t="s">
        <v>13</v>
      </c>
      <c r="H2" s="106" t="s">
        <v>14</v>
      </c>
      <c r="I2" s="106" t="s">
        <v>15</v>
      </c>
      <c r="J2" s="106" t="s">
        <v>16</v>
      </c>
      <c r="K2" s="106" t="s">
        <v>17</v>
      </c>
    </row>
    <row r="3" spans="1:11" ht="34.5" customHeight="1" x14ac:dyDescent="0.35">
      <c r="A3" s="116" t="s">
        <v>18</v>
      </c>
      <c r="B3" s="116" t="s">
        <v>19</v>
      </c>
      <c r="C3" s="118" t="s">
        <v>20</v>
      </c>
      <c r="D3" s="118" t="s">
        <v>21</v>
      </c>
      <c r="E3" s="16" t="s">
        <v>22</v>
      </c>
      <c r="F3" s="16" t="s">
        <v>23</v>
      </c>
      <c r="G3" s="21" t="s">
        <v>24</v>
      </c>
      <c r="H3" s="118" t="s">
        <v>25</v>
      </c>
      <c r="I3" s="118" t="s">
        <v>26</v>
      </c>
      <c r="J3" s="118" t="s">
        <v>27</v>
      </c>
      <c r="K3" s="116" t="s">
        <v>28</v>
      </c>
    </row>
    <row r="4" spans="1:11" ht="82.5" x14ac:dyDescent="0.35">
      <c r="A4" s="116"/>
      <c r="B4" s="116"/>
      <c r="C4" s="118"/>
      <c r="D4" s="118"/>
      <c r="E4" s="16" t="s">
        <v>29</v>
      </c>
      <c r="F4" s="16" t="s">
        <v>30</v>
      </c>
      <c r="G4" s="21" t="s">
        <v>31</v>
      </c>
      <c r="H4" s="118"/>
      <c r="I4" s="118"/>
      <c r="J4" s="118"/>
      <c r="K4" s="116"/>
    </row>
    <row r="5" spans="1:11" ht="62.5" customHeight="1" thickBot="1" x14ac:dyDescent="0.4">
      <c r="A5" s="116"/>
      <c r="B5" s="116"/>
      <c r="C5" s="118"/>
      <c r="D5" s="118"/>
      <c r="E5" s="27" t="s">
        <v>32</v>
      </c>
      <c r="F5" s="27" t="s">
        <v>33</v>
      </c>
      <c r="G5" s="40" t="s">
        <v>34</v>
      </c>
      <c r="H5" s="118"/>
      <c r="I5" s="118"/>
      <c r="J5" s="118"/>
      <c r="K5" s="116"/>
    </row>
    <row r="6" spans="1:11" ht="66" x14ac:dyDescent="0.35">
      <c r="A6" s="116"/>
      <c r="B6" s="116"/>
      <c r="C6" s="118"/>
      <c r="D6" s="118"/>
      <c r="E6" s="21" t="s">
        <v>35</v>
      </c>
      <c r="F6" s="21" t="s">
        <v>36</v>
      </c>
      <c r="G6" s="20" t="s">
        <v>37</v>
      </c>
      <c r="H6" s="118"/>
      <c r="I6" s="118"/>
      <c r="J6" s="118"/>
      <c r="K6" s="116"/>
    </row>
    <row r="7" spans="1:11" x14ac:dyDescent="0.35">
      <c r="C7" s="20"/>
    </row>
    <row r="8" spans="1:11" x14ac:dyDescent="0.35">
      <c r="E8" s="22"/>
      <c r="F8" s="16"/>
      <c r="G8" s="22"/>
      <c r="H8" s="16"/>
    </row>
    <row r="9" spans="1:11" x14ac:dyDescent="0.35">
      <c r="E9" s="16"/>
      <c r="F9" s="16"/>
      <c r="G9" s="16"/>
      <c r="H9" s="16"/>
    </row>
    <row r="10" spans="1:11" x14ac:dyDescent="0.35">
      <c r="E10" s="22"/>
      <c r="F10" s="22"/>
      <c r="G10" s="22"/>
      <c r="H10" s="16"/>
    </row>
    <row r="11" spans="1:11" x14ac:dyDescent="0.35">
      <c r="E11" s="22"/>
      <c r="F11" s="22"/>
      <c r="G11" s="22"/>
      <c r="H11" s="16"/>
    </row>
    <row r="12" spans="1:11" x14ac:dyDescent="0.35">
      <c r="E12" s="16"/>
      <c r="F12" s="16"/>
      <c r="H12" s="16"/>
    </row>
    <row r="13" spans="1:11" x14ac:dyDescent="0.35">
      <c r="E13" s="16"/>
      <c r="F13" s="16"/>
      <c r="H13" s="16"/>
      <c r="I13" s="20"/>
    </row>
    <row r="14" spans="1:11" x14ac:dyDescent="0.35">
      <c r="E14" s="16"/>
      <c r="F14" s="16"/>
    </row>
  </sheetData>
  <mergeCells count="10">
    <mergeCell ref="K3:K6"/>
    <mergeCell ref="E1:G1"/>
    <mergeCell ref="H1:J1"/>
    <mergeCell ref="A3:A6"/>
    <mergeCell ref="B3:B6"/>
    <mergeCell ref="C3:C6"/>
    <mergeCell ref="D3:D6"/>
    <mergeCell ref="H3:H6"/>
    <mergeCell ref="I3:I6"/>
    <mergeCell ref="J3:J6"/>
  </mergeCells>
  <dataValidations count="1">
    <dataValidation allowBlank="1" showInputMessage="1" showErrorMessage="1" sqref="E8:E10 E3:E6" xr:uid="{27C591BA-C3BF-4762-98CA-55FF4063ED86}"/>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12"/>
  <sheetViews>
    <sheetView zoomScaleNormal="100" workbookViewId="0">
      <selection sqref="A1:G1"/>
    </sheetView>
  </sheetViews>
  <sheetFormatPr baseColWidth="10" defaultColWidth="11.453125" defaultRowHeight="16.5" x14ac:dyDescent="0.35"/>
  <cols>
    <col min="1" max="1" width="19" style="21" customWidth="1"/>
    <col min="2" max="2" width="18" style="21" customWidth="1"/>
    <col min="3" max="3" width="30.453125" style="21" customWidth="1"/>
    <col min="4" max="4" width="34" style="21" customWidth="1"/>
    <col min="5" max="5" width="56.7265625" style="21" customWidth="1"/>
    <col min="6" max="6" width="90.453125" style="21" customWidth="1"/>
    <col min="7" max="7" width="32.453125" style="21" customWidth="1"/>
    <col min="8" max="16384" width="11.453125" style="21"/>
  </cols>
  <sheetData>
    <row r="1" spans="1:7" x14ac:dyDescent="0.35">
      <c r="A1" s="119" t="s">
        <v>38</v>
      </c>
      <c r="B1" s="120"/>
      <c r="C1" s="120"/>
      <c r="D1" s="120"/>
      <c r="E1" s="120"/>
      <c r="F1" s="120"/>
      <c r="G1" s="120"/>
    </row>
    <row r="2" spans="1:7" s="30" customFormat="1" ht="52" x14ac:dyDescent="0.35">
      <c r="A2" s="97" t="s">
        <v>39</v>
      </c>
      <c r="B2" s="98" t="s">
        <v>40</v>
      </c>
      <c r="C2" s="98" t="s">
        <v>41</v>
      </c>
      <c r="D2" s="98" t="s">
        <v>42</v>
      </c>
      <c r="E2" s="98" t="s">
        <v>43</v>
      </c>
      <c r="F2" s="99" t="s">
        <v>44</v>
      </c>
      <c r="G2" s="99" t="s">
        <v>45</v>
      </c>
    </row>
    <row r="3" spans="1:7" s="33" customFormat="1" ht="33" x14ac:dyDescent="0.35">
      <c r="A3" s="100" t="s">
        <v>46</v>
      </c>
      <c r="B3" s="101" t="s">
        <v>47</v>
      </c>
      <c r="C3" s="101" t="s">
        <v>48</v>
      </c>
      <c r="D3" s="101" t="s">
        <v>49</v>
      </c>
      <c r="E3" s="101" t="s">
        <v>50</v>
      </c>
      <c r="F3" s="107" t="s">
        <v>51</v>
      </c>
      <c r="G3" s="102" t="s">
        <v>52</v>
      </c>
    </row>
    <row r="4" spans="1:7" ht="33" x14ac:dyDescent="0.35">
      <c r="A4" s="19">
        <v>1</v>
      </c>
      <c r="B4" s="12" t="s">
        <v>53</v>
      </c>
      <c r="C4" s="21" t="s">
        <v>22</v>
      </c>
      <c r="D4" s="16" t="s">
        <v>23</v>
      </c>
      <c r="E4" s="21" t="s">
        <v>24</v>
      </c>
      <c r="F4" s="108" t="s">
        <v>54</v>
      </c>
      <c r="G4" s="17" t="s">
        <v>55</v>
      </c>
    </row>
    <row r="5" spans="1:7" s="20" customFormat="1" ht="82.5" x14ac:dyDescent="0.35">
      <c r="A5" s="38">
        <v>2</v>
      </c>
      <c r="B5" s="20" t="s">
        <v>56</v>
      </c>
      <c r="C5" s="20" t="s">
        <v>29</v>
      </c>
      <c r="D5" s="16" t="s">
        <v>30</v>
      </c>
      <c r="E5" s="21" t="s">
        <v>31</v>
      </c>
      <c r="F5" s="108" t="s">
        <v>57</v>
      </c>
      <c r="G5" s="20" t="s">
        <v>55</v>
      </c>
    </row>
    <row r="6" spans="1:7" ht="50" thickBot="1" x14ac:dyDescent="0.4">
      <c r="A6" s="103">
        <v>3</v>
      </c>
      <c r="B6" s="92" t="s">
        <v>58</v>
      </c>
      <c r="C6" s="91" t="s">
        <v>32</v>
      </c>
      <c r="D6" s="27" t="s">
        <v>33</v>
      </c>
      <c r="E6" s="40" t="s">
        <v>34</v>
      </c>
      <c r="F6" s="109" t="s">
        <v>59</v>
      </c>
      <c r="G6" s="21" t="s">
        <v>55</v>
      </c>
    </row>
    <row r="7" spans="1:7" ht="66" x14ac:dyDescent="0.35">
      <c r="A7" s="19">
        <v>4</v>
      </c>
      <c r="B7" s="22" t="s">
        <v>60</v>
      </c>
      <c r="C7" s="21" t="s">
        <v>35</v>
      </c>
      <c r="D7" s="21" t="s">
        <v>61</v>
      </c>
      <c r="E7" s="20" t="s">
        <v>62</v>
      </c>
      <c r="F7" s="20" t="s">
        <v>63</v>
      </c>
      <c r="G7" s="28" t="s">
        <v>64</v>
      </c>
    </row>
    <row r="8" spans="1:7" x14ac:dyDescent="0.35">
      <c r="A8" s="19"/>
      <c r="C8" s="22"/>
      <c r="D8" s="22"/>
      <c r="E8" s="22"/>
      <c r="F8" s="20"/>
    </row>
    <row r="9" spans="1:7" x14ac:dyDescent="0.35">
      <c r="A9" s="19"/>
      <c r="C9" s="22"/>
      <c r="D9" s="22"/>
      <c r="E9" s="22"/>
      <c r="F9" s="20"/>
    </row>
    <row r="10" spans="1:7" x14ac:dyDescent="0.35">
      <c r="A10" s="19"/>
      <c r="C10" s="22"/>
      <c r="D10" s="22"/>
      <c r="E10" s="22"/>
      <c r="F10" s="20"/>
    </row>
    <row r="11" spans="1:7" x14ac:dyDescent="0.35">
      <c r="A11" s="19"/>
      <c r="C11" s="22"/>
      <c r="D11" s="22"/>
      <c r="E11" s="22"/>
      <c r="F11" s="20"/>
    </row>
    <row r="12" spans="1:7" x14ac:dyDescent="0.35">
      <c r="A12" s="19"/>
      <c r="C12" s="22"/>
      <c r="D12" s="22"/>
      <c r="E12" s="22"/>
      <c r="F12" s="20"/>
    </row>
  </sheetData>
  <mergeCells count="1">
    <mergeCell ref="A1:G1"/>
  </mergeCells>
  <dataValidations count="2">
    <dataValidation type="list" allowBlank="1" showInputMessage="1" showErrorMessage="1" sqref="C4:C7" xr:uid="{296160A6-FB03-49EA-93B2-DD1CAF2E1EB2}">
      <formula1>Conocimientos</formula1>
    </dataValidation>
    <dataValidation type="list" allowBlank="1" showInputMessage="1" showErrorMessage="1" sqref="B4:B7" xr:uid="{7FF6EE86-2F70-4AF5-821E-634C08680A10}">
      <formula1>VerbosCompetencias</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K21"/>
  <sheetViews>
    <sheetView zoomScaleNormal="100" workbookViewId="0">
      <pane ySplit="2" topLeftCell="A3" activePane="bottomLeft" state="frozen"/>
      <selection pane="bottomLeft"/>
    </sheetView>
  </sheetViews>
  <sheetFormatPr baseColWidth="10" defaultColWidth="11.453125" defaultRowHeight="16.5" x14ac:dyDescent="0.35"/>
  <cols>
    <col min="1" max="1" width="88.453125" style="16" customWidth="1"/>
    <col min="2" max="2" width="23.1796875" style="19" customWidth="1"/>
    <col min="3" max="3" width="23" style="21" customWidth="1"/>
    <col min="4" max="4" width="44.81640625" style="21" customWidth="1"/>
    <col min="5" max="5" width="25.54296875" style="21" customWidth="1"/>
    <col min="6" max="6" width="21.81640625" style="21" customWidth="1"/>
    <col min="7" max="7" width="27.453125" style="12" customWidth="1"/>
    <col min="8" max="8" width="20" style="12" customWidth="1"/>
    <col min="9" max="9" width="72" style="39" customWidth="1"/>
    <col min="10" max="10" width="21.26953125" style="16" customWidth="1"/>
    <col min="11" max="16384" width="11.453125" style="16"/>
  </cols>
  <sheetData>
    <row r="1" spans="1:11" s="35" customFormat="1" ht="52" x14ac:dyDescent="0.35">
      <c r="A1" s="15" t="s">
        <v>65</v>
      </c>
      <c r="B1" s="15" t="s">
        <v>66</v>
      </c>
      <c r="C1" s="29" t="s">
        <v>67</v>
      </c>
      <c r="D1" s="95" t="s">
        <v>68</v>
      </c>
      <c r="E1" s="95" t="s">
        <v>69</v>
      </c>
      <c r="F1" s="29" t="s">
        <v>70</v>
      </c>
      <c r="G1" s="29" t="s">
        <v>71</v>
      </c>
      <c r="H1" s="29" t="s">
        <v>72</v>
      </c>
      <c r="I1" s="15" t="s">
        <v>73</v>
      </c>
    </row>
    <row r="2" spans="1:11" s="37" customFormat="1" x14ac:dyDescent="0.35">
      <c r="A2" s="34" t="s">
        <v>74</v>
      </c>
      <c r="B2" s="34" t="s">
        <v>75</v>
      </c>
      <c r="C2" s="31" t="s">
        <v>76</v>
      </c>
      <c r="D2" s="96" t="s">
        <v>77</v>
      </c>
      <c r="E2" s="96" t="s">
        <v>78</v>
      </c>
      <c r="F2" s="31" t="s">
        <v>79</v>
      </c>
      <c r="G2" s="31" t="s">
        <v>80</v>
      </c>
      <c r="H2" s="31" t="s">
        <v>81</v>
      </c>
      <c r="I2" s="34" t="s">
        <v>82</v>
      </c>
    </row>
    <row r="3" spans="1:11" ht="49.5" x14ac:dyDescent="0.35">
      <c r="A3" s="21" t="s">
        <v>54</v>
      </c>
      <c r="B3" s="19">
        <v>1</v>
      </c>
      <c r="C3" s="21" t="s">
        <v>11</v>
      </c>
      <c r="D3" s="21" t="s">
        <v>22</v>
      </c>
      <c r="E3" s="21" t="s">
        <v>83</v>
      </c>
      <c r="F3" s="12" t="s">
        <v>84</v>
      </c>
      <c r="G3" s="12" t="s">
        <v>85</v>
      </c>
      <c r="H3" s="12" t="s">
        <v>86</v>
      </c>
      <c r="I3" s="16" t="s">
        <v>87</v>
      </c>
    </row>
    <row r="4" spans="1:11" ht="49.5" x14ac:dyDescent="0.5">
      <c r="A4" s="21" t="s">
        <v>54</v>
      </c>
      <c r="B4" s="19">
        <v>5</v>
      </c>
      <c r="C4" s="21" t="s">
        <v>12</v>
      </c>
      <c r="D4" s="21" t="s">
        <v>23</v>
      </c>
      <c r="E4" s="21" t="s">
        <v>83</v>
      </c>
      <c r="F4" s="12" t="s">
        <v>88</v>
      </c>
      <c r="G4" s="12" t="s">
        <v>89</v>
      </c>
      <c r="H4" s="12" t="s">
        <v>90</v>
      </c>
      <c r="I4" s="20" t="s">
        <v>91</v>
      </c>
      <c r="K4" s="65"/>
    </row>
    <row r="5" spans="1:11" ht="50" thickBot="1" x14ac:dyDescent="0.4">
      <c r="A5" s="40" t="s">
        <v>54</v>
      </c>
      <c r="B5" s="26">
        <v>1</v>
      </c>
      <c r="C5" s="40" t="s">
        <v>13</v>
      </c>
      <c r="D5" s="40" t="s">
        <v>24</v>
      </c>
      <c r="E5" s="40" t="s">
        <v>83</v>
      </c>
      <c r="F5" s="41" t="s">
        <v>92</v>
      </c>
      <c r="G5" s="41" t="s">
        <v>93</v>
      </c>
      <c r="H5" s="41" t="s">
        <v>86</v>
      </c>
      <c r="I5" s="27" t="s">
        <v>87</v>
      </c>
    </row>
    <row r="6" spans="1:11" s="22" customFormat="1" ht="82.5" x14ac:dyDescent="0.35">
      <c r="A6" s="20" t="s">
        <v>57</v>
      </c>
      <c r="B6" s="38">
        <v>2</v>
      </c>
      <c r="C6" s="20" t="s">
        <v>11</v>
      </c>
      <c r="D6" s="20" t="s">
        <v>29</v>
      </c>
      <c r="E6" s="21" t="s">
        <v>83</v>
      </c>
      <c r="F6" s="12" t="s">
        <v>84</v>
      </c>
      <c r="G6" s="2" t="s">
        <v>85</v>
      </c>
      <c r="H6" s="2" t="s">
        <v>94</v>
      </c>
      <c r="I6" s="22" t="s">
        <v>95</v>
      </c>
    </row>
    <row r="7" spans="1:11" s="22" customFormat="1" ht="82.5" x14ac:dyDescent="0.35">
      <c r="A7" s="20" t="s">
        <v>57</v>
      </c>
      <c r="B7" s="38">
        <v>6</v>
      </c>
      <c r="C7" s="20" t="s">
        <v>12</v>
      </c>
      <c r="D7" s="20" t="s">
        <v>30</v>
      </c>
      <c r="E7" s="21" t="s">
        <v>83</v>
      </c>
      <c r="F7" s="12" t="s">
        <v>88</v>
      </c>
      <c r="G7" s="2" t="s">
        <v>96</v>
      </c>
      <c r="H7" s="2" t="s">
        <v>97</v>
      </c>
      <c r="I7" s="20" t="s">
        <v>98</v>
      </c>
    </row>
    <row r="8" spans="1:11" s="22" customFormat="1" ht="99.5" thickBot="1" x14ac:dyDescent="0.4">
      <c r="A8" s="42" t="s">
        <v>57</v>
      </c>
      <c r="B8" s="43">
        <v>6</v>
      </c>
      <c r="C8" s="42" t="s">
        <v>13</v>
      </c>
      <c r="D8" s="42" t="s">
        <v>31</v>
      </c>
      <c r="E8" s="40" t="s">
        <v>83</v>
      </c>
      <c r="F8" s="41" t="s">
        <v>92</v>
      </c>
      <c r="G8" s="89" t="s">
        <v>99</v>
      </c>
      <c r="H8" s="89" t="s">
        <v>100</v>
      </c>
      <c r="I8" s="90" t="s">
        <v>101</v>
      </c>
    </row>
    <row r="9" spans="1:11" s="25" customFormat="1" ht="49.5" x14ac:dyDescent="0.35">
      <c r="A9" s="20" t="s">
        <v>59</v>
      </c>
      <c r="B9" s="38">
        <v>3</v>
      </c>
      <c r="C9" s="20" t="s">
        <v>11</v>
      </c>
      <c r="D9" s="20" t="s">
        <v>32</v>
      </c>
      <c r="E9" s="21" t="s">
        <v>83</v>
      </c>
      <c r="F9" s="12" t="s">
        <v>84</v>
      </c>
      <c r="G9" s="12" t="s">
        <v>85</v>
      </c>
      <c r="H9" s="12" t="s">
        <v>102</v>
      </c>
      <c r="I9" s="16" t="s">
        <v>103</v>
      </c>
    </row>
    <row r="10" spans="1:11" s="25" customFormat="1" ht="49.5" x14ac:dyDescent="0.35">
      <c r="A10" s="20" t="s">
        <v>59</v>
      </c>
      <c r="B10" s="38">
        <v>5</v>
      </c>
      <c r="C10" s="20" t="s">
        <v>12</v>
      </c>
      <c r="D10" s="20" t="s">
        <v>33</v>
      </c>
      <c r="E10" s="21" t="s">
        <v>83</v>
      </c>
      <c r="F10" s="12" t="s">
        <v>88</v>
      </c>
      <c r="G10" s="12" t="s">
        <v>89</v>
      </c>
      <c r="H10" s="12" t="s">
        <v>90</v>
      </c>
      <c r="I10" s="20" t="s">
        <v>91</v>
      </c>
    </row>
    <row r="11" spans="1:11" ht="50" thickBot="1" x14ac:dyDescent="0.4">
      <c r="A11" s="42" t="s">
        <v>59</v>
      </c>
      <c r="B11" s="43">
        <v>6</v>
      </c>
      <c r="C11" s="87" t="s">
        <v>13</v>
      </c>
      <c r="D11" s="42" t="s">
        <v>34</v>
      </c>
      <c r="E11" s="40" t="s">
        <v>83</v>
      </c>
      <c r="F11" s="41" t="s">
        <v>92</v>
      </c>
      <c r="G11" s="89" t="s">
        <v>99</v>
      </c>
      <c r="H11" s="89" t="s">
        <v>100</v>
      </c>
      <c r="I11" s="27" t="s">
        <v>101</v>
      </c>
    </row>
    <row r="12" spans="1:11" ht="49.5" x14ac:dyDescent="0.35">
      <c r="A12" s="20" t="s">
        <v>63</v>
      </c>
      <c r="B12" s="49">
        <v>4</v>
      </c>
      <c r="C12" s="20" t="s">
        <v>11</v>
      </c>
      <c r="D12" s="28" t="s">
        <v>35</v>
      </c>
      <c r="E12" s="48" t="s">
        <v>104</v>
      </c>
      <c r="F12" s="79" t="s">
        <v>105</v>
      </c>
      <c r="G12" s="79" t="s">
        <v>106</v>
      </c>
      <c r="H12" s="24" t="s">
        <v>94</v>
      </c>
      <c r="I12" s="16" t="s">
        <v>107</v>
      </c>
    </row>
    <row r="13" spans="1:11" x14ac:dyDescent="0.35">
      <c r="A13" s="20"/>
      <c r="C13" s="20"/>
      <c r="D13" s="20"/>
      <c r="E13" s="20"/>
      <c r="F13" s="20"/>
      <c r="G13" s="2"/>
      <c r="H13" s="2"/>
      <c r="I13" s="16"/>
    </row>
    <row r="14" spans="1:11" x14ac:dyDescent="0.35">
      <c r="A14" s="20"/>
      <c r="C14" s="20"/>
      <c r="D14" s="20"/>
      <c r="E14" s="20"/>
      <c r="F14" s="20"/>
      <c r="G14" s="2"/>
      <c r="H14" s="2"/>
      <c r="I14" s="16"/>
    </row>
    <row r="15" spans="1:11" x14ac:dyDescent="0.35">
      <c r="A15" s="20"/>
      <c r="C15" s="20"/>
      <c r="D15" s="20"/>
      <c r="E15" s="20"/>
      <c r="F15" s="20"/>
      <c r="G15" s="2"/>
      <c r="H15" s="2"/>
      <c r="I15" s="16"/>
    </row>
    <row r="16" spans="1:11" x14ac:dyDescent="0.35">
      <c r="A16" s="20"/>
      <c r="C16" s="20"/>
      <c r="D16" s="20"/>
      <c r="E16" s="20"/>
      <c r="F16" s="20"/>
      <c r="G16" s="2"/>
      <c r="H16" s="2"/>
      <c r="I16" s="20"/>
    </row>
    <row r="17" spans="1:9" x14ac:dyDescent="0.35">
      <c r="A17" s="20"/>
      <c r="C17" s="20"/>
      <c r="D17" s="20"/>
      <c r="E17" s="20"/>
      <c r="F17" s="20"/>
      <c r="G17" s="2"/>
      <c r="H17" s="2"/>
      <c r="I17" s="16"/>
    </row>
    <row r="18" spans="1:9" x14ac:dyDescent="0.35">
      <c r="A18" s="20"/>
      <c r="C18" s="20"/>
      <c r="D18" s="20"/>
      <c r="E18" s="20"/>
      <c r="F18" s="20"/>
      <c r="G18" s="2"/>
      <c r="H18" s="2"/>
      <c r="I18" s="20"/>
    </row>
    <row r="19" spans="1:9" x14ac:dyDescent="0.35">
      <c r="A19" s="20"/>
      <c r="C19" s="20"/>
      <c r="D19" s="20"/>
      <c r="E19" s="20"/>
      <c r="F19" s="20"/>
      <c r="G19" s="2"/>
      <c r="H19" s="2"/>
      <c r="I19" s="16"/>
    </row>
    <row r="21" spans="1:9" x14ac:dyDescent="0.5">
      <c r="A21" s="23"/>
    </row>
  </sheetData>
  <autoFilter ref="A2:I12" xr:uid="{94AAF649-42F4-466A-BE11-44357078F961}"/>
  <dataValidations count="7">
    <dataValidation type="list" allowBlank="1" showInputMessage="1" showErrorMessage="1" sqref="C3:C12" xr:uid="{3B0FAE21-4414-4928-BE47-40DBF73D85A6}">
      <formula1>dominios</formula1>
    </dataValidation>
    <dataValidation type="list" allowBlank="1" showInputMessage="1" showErrorMessage="1" sqref="H3:H12" xr:uid="{5DC517A5-FC6B-4375-B3E1-04A2C1D437C5}">
      <formula1>INDIRECT($G3)</formula1>
    </dataValidation>
    <dataValidation type="list" allowBlank="1" showInputMessage="1" showErrorMessage="1" sqref="A3:A19" xr:uid="{1BC8411C-0029-4475-BC4D-F429B66D863D}">
      <formula1>competencias</formula1>
    </dataValidation>
    <dataValidation type="list" allowBlank="1" showInputMessage="1" showErrorMessage="1" sqref="F3:F12" xr:uid="{EDC32C5E-443E-464B-B420-6F6CD6A8E099}">
      <formula1>INDIRECT($E3)</formula1>
    </dataValidation>
    <dataValidation type="list" allowBlank="1" showInputMessage="1" showErrorMessage="1" sqref="D3:D12" xr:uid="{D2786A4C-D4BE-47D1-BDF5-271CFB539CAE}">
      <formula1>INDIRECT($C3)</formula1>
    </dataValidation>
    <dataValidation type="list" allowBlank="1" showInputMessage="1" showErrorMessage="1" sqref="G3:G12" xr:uid="{DF3498F9-E1A3-4395-90A6-D9BF5E92F1D0}">
      <formula1>INDIRECT($F3)</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3:E12" xr:uid="{91AF69DB-29AC-4636-A60A-F864E6B2F972}">
      <formula1>taxonomiasra</formula1>
    </dataValidation>
  </dataValidations>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40"/>
  <sheetViews>
    <sheetView zoomScaleNormal="100" workbookViewId="0"/>
  </sheetViews>
  <sheetFormatPr baseColWidth="10" defaultColWidth="11.453125" defaultRowHeight="16.5" x14ac:dyDescent="0.35"/>
  <cols>
    <col min="1" max="1" width="101.453125" style="12" customWidth="1"/>
    <col min="2" max="2" width="42.7265625" style="50" customWidth="1"/>
    <col min="3" max="3" width="44.81640625" style="12" customWidth="1"/>
    <col min="4" max="4" width="46.1796875" style="21" customWidth="1"/>
    <col min="5" max="5" width="35.7265625" style="12" customWidth="1"/>
    <col min="6" max="6" width="38.7265625" style="12" customWidth="1"/>
    <col min="7" max="16384" width="11.453125" style="12"/>
  </cols>
  <sheetData>
    <row r="1" spans="1:6" ht="65" x14ac:dyDescent="0.35">
      <c r="A1" s="15" t="s">
        <v>108</v>
      </c>
      <c r="B1" s="15" t="s">
        <v>109</v>
      </c>
      <c r="C1" s="15" t="s">
        <v>110</v>
      </c>
      <c r="D1" s="15" t="s">
        <v>111</v>
      </c>
      <c r="E1" s="15" t="s">
        <v>112</v>
      </c>
      <c r="F1" s="15" t="s">
        <v>113</v>
      </c>
    </row>
    <row r="2" spans="1:6" ht="33" x14ac:dyDescent="0.35">
      <c r="A2" s="34" t="s">
        <v>114</v>
      </c>
      <c r="B2" s="34" t="s">
        <v>115</v>
      </c>
      <c r="C2" s="34" t="s">
        <v>116</v>
      </c>
      <c r="D2" s="34" t="s">
        <v>117</v>
      </c>
      <c r="E2" s="34" t="s">
        <v>118</v>
      </c>
      <c r="F2" s="34" t="s">
        <v>119</v>
      </c>
    </row>
    <row r="3" spans="1:6" ht="33" x14ac:dyDescent="0.35">
      <c r="A3" s="17" t="s">
        <v>87</v>
      </c>
      <c r="B3" s="124" t="s">
        <v>120</v>
      </c>
      <c r="C3" s="127" t="s">
        <v>121</v>
      </c>
      <c r="D3" s="45" t="s">
        <v>122</v>
      </c>
      <c r="E3" s="121" t="s">
        <v>123</v>
      </c>
      <c r="F3" s="17" t="s">
        <v>124</v>
      </c>
    </row>
    <row r="4" spans="1:6" ht="33" x14ac:dyDescent="0.35">
      <c r="A4" s="21" t="s">
        <v>91</v>
      </c>
      <c r="B4" s="125"/>
      <c r="C4" s="128"/>
      <c r="D4" s="44" t="s">
        <v>125</v>
      </c>
      <c r="E4" s="118"/>
      <c r="F4" s="21" t="s">
        <v>126</v>
      </c>
    </row>
    <row r="5" spans="1:6" ht="49.5" x14ac:dyDescent="0.35">
      <c r="A5" s="21" t="s">
        <v>101</v>
      </c>
      <c r="B5" s="125"/>
      <c r="C5" s="128"/>
      <c r="D5" s="44" t="s">
        <v>127</v>
      </c>
      <c r="E5" s="118"/>
      <c r="F5" s="21" t="s">
        <v>128</v>
      </c>
    </row>
    <row r="6" spans="1:6" ht="33.5" thickBot="1" x14ac:dyDescent="0.4">
      <c r="A6" s="40" t="s">
        <v>103</v>
      </c>
      <c r="B6" s="126"/>
      <c r="C6" s="129"/>
      <c r="D6" s="46"/>
      <c r="E6" s="122"/>
      <c r="F6" s="40"/>
    </row>
    <row r="7" spans="1:6" ht="33" x14ac:dyDescent="0.35">
      <c r="A7" s="17" t="s">
        <v>87</v>
      </c>
      <c r="B7" s="130" t="s">
        <v>129</v>
      </c>
      <c r="C7" s="131" t="s">
        <v>130</v>
      </c>
      <c r="D7" s="47" t="s">
        <v>122</v>
      </c>
      <c r="E7" s="123" t="s">
        <v>123</v>
      </c>
      <c r="F7" s="48" t="s">
        <v>124</v>
      </c>
    </row>
    <row r="8" spans="1:6" ht="33" x14ac:dyDescent="0.35">
      <c r="A8" s="21" t="s">
        <v>91</v>
      </c>
      <c r="B8" s="125"/>
      <c r="C8" s="128"/>
      <c r="D8" s="44" t="s">
        <v>125</v>
      </c>
      <c r="E8" s="118"/>
      <c r="F8" s="21" t="s">
        <v>126</v>
      </c>
    </row>
    <row r="9" spans="1:6" ht="49.5" x14ac:dyDescent="0.35">
      <c r="A9" s="21" t="s">
        <v>101</v>
      </c>
      <c r="B9" s="125"/>
      <c r="C9" s="128"/>
      <c r="D9" s="44" t="s">
        <v>127</v>
      </c>
      <c r="E9" s="118"/>
      <c r="F9" s="21" t="s">
        <v>128</v>
      </c>
    </row>
    <row r="10" spans="1:6" ht="33.5" thickBot="1" x14ac:dyDescent="0.4">
      <c r="A10" s="40" t="s">
        <v>103</v>
      </c>
      <c r="B10" s="125"/>
      <c r="C10" s="128"/>
      <c r="E10" s="118"/>
      <c r="F10" s="21"/>
    </row>
    <row r="11" spans="1:6" ht="33" x14ac:dyDescent="0.35">
      <c r="A11" s="48" t="s">
        <v>87</v>
      </c>
      <c r="B11" s="130" t="s">
        <v>131</v>
      </c>
      <c r="C11" s="132" t="s">
        <v>132</v>
      </c>
      <c r="D11" s="47" t="s">
        <v>122</v>
      </c>
      <c r="E11" s="123" t="s">
        <v>133</v>
      </c>
      <c r="F11" s="48" t="s">
        <v>124</v>
      </c>
    </row>
    <row r="12" spans="1:6" ht="33" x14ac:dyDescent="0.35">
      <c r="A12" s="21" t="s">
        <v>91</v>
      </c>
      <c r="B12" s="125"/>
      <c r="C12" s="133"/>
      <c r="D12" s="44" t="s">
        <v>125</v>
      </c>
      <c r="E12" s="118"/>
      <c r="F12" s="21" t="s">
        <v>126</v>
      </c>
    </row>
    <row r="13" spans="1:6" ht="49.5" x14ac:dyDescent="0.35">
      <c r="A13" s="21" t="s">
        <v>95</v>
      </c>
      <c r="B13" s="125"/>
      <c r="C13" s="133"/>
      <c r="D13" s="44" t="s">
        <v>127</v>
      </c>
      <c r="E13" s="118"/>
      <c r="F13" s="21" t="s">
        <v>128</v>
      </c>
    </row>
    <row r="14" spans="1:6" ht="49.5" x14ac:dyDescent="0.35">
      <c r="A14" s="21" t="s">
        <v>98</v>
      </c>
      <c r="B14" s="125"/>
      <c r="C14" s="133"/>
      <c r="D14" s="44"/>
      <c r="E14" s="118"/>
      <c r="F14" s="21"/>
    </row>
    <row r="15" spans="1:6" ht="49.5" x14ac:dyDescent="0.35">
      <c r="A15" s="21" t="s">
        <v>101</v>
      </c>
      <c r="B15" s="125"/>
      <c r="C15" s="133"/>
      <c r="D15" s="44"/>
      <c r="E15" s="118"/>
      <c r="F15" s="21"/>
    </row>
    <row r="16" spans="1:6" ht="33.5" thickBot="1" x14ac:dyDescent="0.4">
      <c r="A16" s="40" t="s">
        <v>103</v>
      </c>
      <c r="B16" s="126"/>
      <c r="C16" s="134"/>
      <c r="D16" s="46"/>
      <c r="E16" s="122"/>
      <c r="F16" s="40"/>
    </row>
    <row r="17" spans="1:6" ht="33" x14ac:dyDescent="0.35">
      <c r="A17" s="48" t="s">
        <v>87</v>
      </c>
      <c r="B17" s="138" t="s">
        <v>134</v>
      </c>
      <c r="C17" s="123" t="s">
        <v>135</v>
      </c>
      <c r="D17" s="44" t="s">
        <v>122</v>
      </c>
      <c r="E17" s="123" t="s">
        <v>136</v>
      </c>
      <c r="F17" s="21" t="s">
        <v>124</v>
      </c>
    </row>
    <row r="18" spans="1:6" ht="33" x14ac:dyDescent="0.35">
      <c r="A18" s="21" t="s">
        <v>91</v>
      </c>
      <c r="B18" s="116"/>
      <c r="C18" s="118"/>
      <c r="D18" s="44" t="s">
        <v>125</v>
      </c>
      <c r="E18" s="118"/>
      <c r="F18" s="21" t="s">
        <v>126</v>
      </c>
    </row>
    <row r="19" spans="1:6" ht="49.5" x14ac:dyDescent="0.35">
      <c r="A19" s="21" t="s">
        <v>95</v>
      </c>
      <c r="B19" s="116"/>
      <c r="C19" s="118"/>
      <c r="D19" s="44" t="s">
        <v>127</v>
      </c>
      <c r="E19" s="118"/>
      <c r="F19" s="21" t="s">
        <v>128</v>
      </c>
    </row>
    <row r="20" spans="1:6" ht="49.5" x14ac:dyDescent="0.35">
      <c r="A20" s="21" t="s">
        <v>98</v>
      </c>
      <c r="B20" s="116"/>
      <c r="C20" s="118"/>
      <c r="D20" s="44"/>
      <c r="E20" s="118"/>
      <c r="F20" s="21"/>
    </row>
    <row r="21" spans="1:6" ht="49.5" x14ac:dyDescent="0.35">
      <c r="A21" s="21" t="s">
        <v>101</v>
      </c>
      <c r="B21" s="116"/>
      <c r="C21" s="118"/>
      <c r="E21" s="118"/>
    </row>
    <row r="22" spans="1:6" ht="33.5" thickBot="1" x14ac:dyDescent="0.4">
      <c r="A22" s="40" t="s">
        <v>103</v>
      </c>
      <c r="B22" s="136"/>
      <c r="C22" s="122"/>
      <c r="D22" s="40"/>
      <c r="E22" s="122"/>
      <c r="F22" s="41"/>
    </row>
    <row r="23" spans="1:6" ht="33" x14ac:dyDescent="0.35">
      <c r="A23" s="48" t="s">
        <v>87</v>
      </c>
      <c r="B23" s="138" t="s">
        <v>137</v>
      </c>
      <c r="C23" s="123" t="s">
        <v>138</v>
      </c>
      <c r="D23" s="47" t="s">
        <v>122</v>
      </c>
      <c r="E23" s="123" t="s">
        <v>139</v>
      </c>
      <c r="F23" s="48" t="s">
        <v>124</v>
      </c>
    </row>
    <row r="24" spans="1:6" ht="33" x14ac:dyDescent="0.35">
      <c r="A24" s="21" t="s">
        <v>91</v>
      </c>
      <c r="B24" s="116"/>
      <c r="C24" s="118"/>
      <c r="D24" s="44" t="s">
        <v>125</v>
      </c>
      <c r="E24" s="118"/>
      <c r="F24" s="21" t="s">
        <v>126</v>
      </c>
    </row>
    <row r="25" spans="1:6" ht="49.5" x14ac:dyDescent="0.35">
      <c r="A25" s="21" t="s">
        <v>95</v>
      </c>
      <c r="B25" s="116"/>
      <c r="C25" s="118"/>
      <c r="D25" s="44" t="s">
        <v>127</v>
      </c>
      <c r="E25" s="118"/>
      <c r="F25" s="21" t="s">
        <v>128</v>
      </c>
    </row>
    <row r="26" spans="1:6" ht="49.5" x14ac:dyDescent="0.35">
      <c r="A26" s="21" t="s">
        <v>98</v>
      </c>
      <c r="B26" s="116"/>
      <c r="C26" s="118"/>
      <c r="D26" s="44"/>
      <c r="E26" s="118"/>
      <c r="F26" s="21"/>
    </row>
    <row r="27" spans="1:6" ht="49.5" x14ac:dyDescent="0.35">
      <c r="A27" s="21" t="s">
        <v>101</v>
      </c>
      <c r="B27" s="116"/>
      <c r="C27" s="118"/>
      <c r="E27" s="118"/>
    </row>
    <row r="28" spans="1:6" ht="33.5" thickBot="1" x14ac:dyDescent="0.4">
      <c r="A28" s="40" t="s">
        <v>103</v>
      </c>
      <c r="B28" s="136"/>
      <c r="C28" s="122"/>
      <c r="D28" s="40"/>
      <c r="E28" s="122"/>
      <c r="F28" s="41"/>
    </row>
    <row r="29" spans="1:6" ht="33" x14ac:dyDescent="0.35">
      <c r="A29" s="48" t="s">
        <v>87</v>
      </c>
      <c r="B29" s="139" t="s">
        <v>140</v>
      </c>
      <c r="C29" s="142" t="s">
        <v>141</v>
      </c>
      <c r="D29" s="21" t="s">
        <v>125</v>
      </c>
      <c r="E29" s="123" t="s">
        <v>142</v>
      </c>
      <c r="F29" s="12" t="s">
        <v>126</v>
      </c>
    </row>
    <row r="30" spans="1:6" ht="33" x14ac:dyDescent="0.35">
      <c r="A30" s="21" t="s">
        <v>91</v>
      </c>
      <c r="B30" s="140"/>
      <c r="C30" s="143"/>
      <c r="D30" s="21" t="s">
        <v>127</v>
      </c>
      <c r="E30" s="118"/>
      <c r="F30" s="12" t="s">
        <v>128</v>
      </c>
    </row>
    <row r="31" spans="1:6" ht="49.5" x14ac:dyDescent="0.35">
      <c r="A31" s="21" t="s">
        <v>95</v>
      </c>
      <c r="B31" s="140"/>
      <c r="C31" s="143"/>
      <c r="D31" s="21" t="s">
        <v>143</v>
      </c>
      <c r="E31" s="118"/>
      <c r="F31" s="12" t="s">
        <v>128</v>
      </c>
    </row>
    <row r="32" spans="1:6" ht="49.5" x14ac:dyDescent="0.35">
      <c r="A32" s="21" t="s">
        <v>98</v>
      </c>
      <c r="B32" s="140"/>
      <c r="C32" s="143"/>
      <c r="E32" s="118"/>
    </row>
    <row r="33" spans="1:6" ht="49.5" x14ac:dyDescent="0.35">
      <c r="A33" s="21" t="s">
        <v>101</v>
      </c>
      <c r="B33" s="140"/>
      <c r="C33" s="143"/>
      <c r="D33" s="44"/>
      <c r="E33" s="118"/>
    </row>
    <row r="34" spans="1:6" ht="33.5" thickBot="1" x14ac:dyDescent="0.4">
      <c r="A34" s="40" t="s">
        <v>103</v>
      </c>
      <c r="B34" s="141"/>
      <c r="C34" s="144"/>
      <c r="D34" s="46"/>
      <c r="E34" s="145"/>
      <c r="F34" s="92"/>
    </row>
    <row r="35" spans="1:6" ht="51.75" customHeight="1" x14ac:dyDescent="0.35">
      <c r="A35" s="48" t="s">
        <v>87</v>
      </c>
      <c r="B35" s="135" t="s">
        <v>144</v>
      </c>
      <c r="C35" s="137" t="s">
        <v>145</v>
      </c>
      <c r="D35" s="21" t="s">
        <v>125</v>
      </c>
      <c r="E35" s="137" t="s">
        <v>136</v>
      </c>
      <c r="F35" s="12" t="s">
        <v>126</v>
      </c>
    </row>
    <row r="36" spans="1:6" ht="33" x14ac:dyDescent="0.35">
      <c r="A36" s="21" t="s">
        <v>91</v>
      </c>
      <c r="B36" s="116"/>
      <c r="C36" s="118"/>
      <c r="D36" s="44" t="s">
        <v>127</v>
      </c>
      <c r="E36" s="118"/>
      <c r="F36" s="12" t="s">
        <v>128</v>
      </c>
    </row>
    <row r="37" spans="1:6" ht="49.5" x14ac:dyDescent="0.35">
      <c r="A37" s="21" t="s">
        <v>95</v>
      </c>
      <c r="B37" s="116"/>
      <c r="C37" s="118"/>
      <c r="D37" s="44" t="s">
        <v>146</v>
      </c>
      <c r="E37" s="118"/>
      <c r="F37" s="12" t="s">
        <v>128</v>
      </c>
    </row>
    <row r="38" spans="1:6" ht="49.5" x14ac:dyDescent="0.35">
      <c r="A38" s="21" t="s">
        <v>98</v>
      </c>
      <c r="B38" s="116"/>
      <c r="C38" s="118"/>
      <c r="D38" s="44"/>
      <c r="E38" s="118"/>
    </row>
    <row r="39" spans="1:6" ht="49.5" x14ac:dyDescent="0.35">
      <c r="A39" s="21" t="s">
        <v>101</v>
      </c>
      <c r="B39" s="116"/>
      <c r="C39" s="118"/>
      <c r="E39" s="118"/>
    </row>
    <row r="40" spans="1:6" ht="33.5" thickBot="1" x14ac:dyDescent="0.4">
      <c r="A40" s="40" t="s">
        <v>103</v>
      </c>
      <c r="B40" s="136"/>
      <c r="C40" s="122"/>
      <c r="D40" s="40"/>
      <c r="E40" s="122"/>
      <c r="F40" s="41"/>
    </row>
  </sheetData>
  <mergeCells count="21">
    <mergeCell ref="B35:B40"/>
    <mergeCell ref="C35:C40"/>
    <mergeCell ref="E35:E40"/>
    <mergeCell ref="E17:E22"/>
    <mergeCell ref="B17:B22"/>
    <mergeCell ref="C17:C22"/>
    <mergeCell ref="B23:B28"/>
    <mergeCell ref="C23:C28"/>
    <mergeCell ref="B29:B34"/>
    <mergeCell ref="C29:C34"/>
    <mergeCell ref="E29:E34"/>
    <mergeCell ref="E23:E28"/>
    <mergeCell ref="E3:E6"/>
    <mergeCell ref="E11:E16"/>
    <mergeCell ref="E7:E10"/>
    <mergeCell ref="B3:B6"/>
    <mergeCell ref="C3:C6"/>
    <mergeCell ref="B7:B10"/>
    <mergeCell ref="C7:C10"/>
    <mergeCell ref="B11:B16"/>
    <mergeCell ref="C11:C16"/>
  </mergeCells>
  <dataValidations count="1">
    <dataValidation type="list" allowBlank="1" showInputMessage="1" showErrorMessage="1" sqref="A3:A40"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B1331-AF3E-489A-B433-09E21B4DF482}">
  <dimension ref="A1:S182"/>
  <sheetViews>
    <sheetView tabSelected="1" zoomScale="60" zoomScaleNormal="60" workbookViewId="0">
      <pane ySplit="1" topLeftCell="A2" activePane="bottomLeft" state="frozen"/>
      <selection activeCell="B1" sqref="B1"/>
      <selection pane="bottomLeft"/>
    </sheetView>
  </sheetViews>
  <sheetFormatPr baseColWidth="10" defaultColWidth="58.7265625" defaultRowHeight="16" x14ac:dyDescent="0.35"/>
  <cols>
    <col min="1" max="1" width="14.453125" style="62" customWidth="1"/>
    <col min="2" max="2" width="73.453125" style="57" customWidth="1"/>
    <col min="3" max="3" width="17.26953125" style="51" customWidth="1"/>
    <col min="4" max="4" width="27" style="52" customWidth="1"/>
    <col min="5" max="5" width="58.7265625" style="62"/>
    <col min="6" max="6" width="18.81640625" style="51" customWidth="1"/>
    <col min="7" max="7" width="21.81640625" style="51" customWidth="1"/>
    <col min="8" max="8" width="17.26953125" style="51" customWidth="1"/>
    <col min="9" max="9" width="21.1796875" style="51" customWidth="1"/>
    <col min="10" max="10" width="14.26953125" style="51" customWidth="1"/>
    <col min="11" max="11" width="23.7265625" style="51" customWidth="1"/>
    <col min="12" max="12" width="20.81640625" style="51" customWidth="1"/>
    <col min="13" max="13" width="16.7265625" style="51" customWidth="1"/>
    <col min="14" max="14" width="36" style="62" customWidth="1"/>
    <col min="15" max="15" width="49.453125" style="62" customWidth="1"/>
    <col min="16" max="16" width="87.81640625" style="62" customWidth="1"/>
    <col min="17" max="17" width="76.54296875" style="62" customWidth="1"/>
    <col min="18" max="19" width="3.453125" style="51" bestFit="1" customWidth="1"/>
    <col min="20" max="16384" width="58.7265625" style="51"/>
  </cols>
  <sheetData>
    <row r="1" spans="1:19" s="12" customFormat="1" ht="65" x14ac:dyDescent="0.35">
      <c r="A1" s="18" t="s">
        <v>147</v>
      </c>
      <c r="B1" s="18" t="s">
        <v>148</v>
      </c>
      <c r="C1" s="18" t="s">
        <v>149</v>
      </c>
      <c r="D1" s="18" t="s">
        <v>150</v>
      </c>
      <c r="E1" s="18" t="s">
        <v>151</v>
      </c>
      <c r="F1" s="18" t="s">
        <v>152</v>
      </c>
      <c r="G1" s="146" t="s">
        <v>153</v>
      </c>
      <c r="H1" s="146"/>
      <c r="I1" s="146"/>
      <c r="J1" s="18" t="s">
        <v>154</v>
      </c>
      <c r="K1" s="18" t="s">
        <v>155</v>
      </c>
      <c r="L1" s="18" t="s">
        <v>156</v>
      </c>
      <c r="M1" s="18" t="s">
        <v>157</v>
      </c>
      <c r="N1" s="18" t="s">
        <v>158</v>
      </c>
      <c r="O1" s="18" t="s">
        <v>159</v>
      </c>
      <c r="P1" s="18" t="s">
        <v>160</v>
      </c>
      <c r="Q1" s="18" t="s">
        <v>161</v>
      </c>
    </row>
    <row r="2" spans="1:19" s="12" customFormat="1" ht="49.5" x14ac:dyDescent="0.35">
      <c r="A2" s="113" t="s">
        <v>162</v>
      </c>
      <c r="B2" s="36" t="s">
        <v>114</v>
      </c>
      <c r="C2" s="36" t="s">
        <v>163</v>
      </c>
      <c r="D2" s="36" t="s">
        <v>164</v>
      </c>
      <c r="E2" s="36" t="s">
        <v>165</v>
      </c>
      <c r="F2" s="36" t="s">
        <v>166</v>
      </c>
      <c r="G2" s="36" t="s">
        <v>167</v>
      </c>
      <c r="H2" s="36" t="s">
        <v>168</v>
      </c>
      <c r="I2" s="36" t="s">
        <v>169</v>
      </c>
      <c r="J2" s="36" t="s">
        <v>170</v>
      </c>
      <c r="K2" s="36" t="s">
        <v>171</v>
      </c>
      <c r="L2" s="36" t="s">
        <v>172</v>
      </c>
      <c r="M2" s="36" t="s">
        <v>173</v>
      </c>
      <c r="N2" s="36" t="s">
        <v>174</v>
      </c>
      <c r="O2" s="36" t="s">
        <v>175</v>
      </c>
      <c r="P2" s="36" t="s">
        <v>176</v>
      </c>
      <c r="Q2" s="63" t="s">
        <v>177</v>
      </c>
    </row>
    <row r="3" spans="1:19" s="50" customFormat="1" ht="264" x14ac:dyDescent="0.35">
      <c r="A3" s="88" t="str">
        <f>_xlfn.XLOOKUP(B3,'Paso 3 Redacción RA '!I$3:I$12,'Paso 3 Redacción RA '!C$3:C$12,,0,1)</f>
        <v>Saber</v>
      </c>
      <c r="B3" s="78" t="s">
        <v>107</v>
      </c>
      <c r="C3" s="93">
        <v>1</v>
      </c>
      <c r="D3" s="94" t="s">
        <v>178</v>
      </c>
      <c r="E3" s="81" t="s">
        <v>179</v>
      </c>
      <c r="F3" s="94" t="s">
        <v>180</v>
      </c>
      <c r="G3" s="93" t="s">
        <v>181</v>
      </c>
      <c r="H3" s="93"/>
      <c r="I3" s="93"/>
      <c r="J3" s="93">
        <v>3</v>
      </c>
      <c r="K3" s="93">
        <f>12*J3</f>
        <v>36</v>
      </c>
      <c r="L3" s="93">
        <f>36*J3</f>
        <v>108</v>
      </c>
      <c r="M3" s="93">
        <f>SUM(K3:L3)</f>
        <v>144</v>
      </c>
      <c r="N3" s="78" t="s">
        <v>182</v>
      </c>
      <c r="O3" s="78" t="s">
        <v>183</v>
      </c>
      <c r="P3" s="78" t="s">
        <v>184</v>
      </c>
      <c r="Q3" s="78" t="s">
        <v>185</v>
      </c>
    </row>
    <row r="4" spans="1:19" s="50" customFormat="1" ht="297.5" thickBot="1" x14ac:dyDescent="0.4">
      <c r="A4" s="88" t="str">
        <f>_xlfn.XLOOKUP(B4,'Paso 3 Redacción RA '!I$3:I$12,'Paso 3 Redacción RA '!C$3:C$12,,0,1)</f>
        <v>Saber</v>
      </c>
      <c r="B4" s="78" t="s">
        <v>107</v>
      </c>
      <c r="C4" s="93">
        <v>1</v>
      </c>
      <c r="D4" s="94" t="s">
        <v>186</v>
      </c>
      <c r="E4" s="78" t="s">
        <v>187</v>
      </c>
      <c r="F4" s="93" t="s">
        <v>180</v>
      </c>
      <c r="G4" s="93" t="s">
        <v>181</v>
      </c>
      <c r="H4" s="93"/>
      <c r="I4" s="93"/>
      <c r="J4" s="93">
        <v>3</v>
      </c>
      <c r="K4" s="93">
        <f>12*J4</f>
        <v>36</v>
      </c>
      <c r="L4" s="93">
        <f>36*J4</f>
        <v>108</v>
      </c>
      <c r="M4" s="93">
        <f>SUM(K4:L4)</f>
        <v>144</v>
      </c>
      <c r="N4" s="110" t="s">
        <v>188</v>
      </c>
      <c r="O4" s="78" t="s">
        <v>183</v>
      </c>
      <c r="P4" s="81" t="s">
        <v>189</v>
      </c>
      <c r="Q4" s="78" t="s">
        <v>185</v>
      </c>
    </row>
    <row r="5" spans="1:19" s="50" customFormat="1" ht="50" thickBot="1" x14ac:dyDescent="0.4">
      <c r="A5" s="24" t="str">
        <f>_xlfn.XLOOKUP(B5,'Paso 3 Redacción RA '!I$3:I$12,'Paso 3 Redacción RA '!C$3:C$12,,0,1)</f>
        <v>Saber</v>
      </c>
      <c r="B5" s="16" t="s">
        <v>87</v>
      </c>
      <c r="C5" s="147">
        <v>1</v>
      </c>
      <c r="D5" s="116" t="s">
        <v>190</v>
      </c>
      <c r="E5" s="149" t="s">
        <v>191</v>
      </c>
      <c r="F5" s="147" t="s">
        <v>180</v>
      </c>
      <c r="G5" s="147"/>
      <c r="H5" s="147" t="s">
        <v>181</v>
      </c>
      <c r="I5" s="147"/>
      <c r="J5" s="147">
        <v>3</v>
      </c>
      <c r="K5" s="147">
        <f>J5*12</f>
        <v>36</v>
      </c>
      <c r="L5" s="147">
        <f>36*J5</f>
        <v>108</v>
      </c>
      <c r="M5" s="147">
        <f>SUM(K5:L5)</f>
        <v>144</v>
      </c>
      <c r="N5" s="149" t="s">
        <v>192</v>
      </c>
      <c r="O5" s="149" t="s">
        <v>183</v>
      </c>
      <c r="P5" s="149" t="s">
        <v>193</v>
      </c>
      <c r="Q5" s="149" t="s">
        <v>185</v>
      </c>
    </row>
    <row r="6" spans="1:19" s="50" customFormat="1" ht="66.5" thickBot="1" x14ac:dyDescent="0.4">
      <c r="A6" s="24" t="str">
        <f>_xlfn.XLOOKUP(B6,'Paso 3 Redacción RA '!I$3:I$12,'Paso 3 Redacción RA '!C$3:C$12,,0,1)</f>
        <v>Saberhacer</v>
      </c>
      <c r="B6" s="16" t="s">
        <v>98</v>
      </c>
      <c r="C6" s="147"/>
      <c r="D6" s="116"/>
      <c r="E6" s="149"/>
      <c r="F6" s="147"/>
      <c r="G6" s="147"/>
      <c r="H6" s="147"/>
      <c r="I6" s="147"/>
      <c r="J6" s="147"/>
      <c r="K6" s="147"/>
      <c r="L6" s="147"/>
      <c r="M6" s="147"/>
      <c r="N6" s="149"/>
      <c r="O6" s="149"/>
      <c r="P6" s="149"/>
      <c r="Q6" s="149"/>
    </row>
    <row r="7" spans="1:19" s="50" customFormat="1" ht="50" thickBot="1" x14ac:dyDescent="0.4">
      <c r="A7" s="80" t="str">
        <f>_xlfn.XLOOKUP(B7,'Paso 3 Redacción RA '!I$3:I$12,'Paso 3 Redacción RA '!C$3:C$12,,0,1)</f>
        <v>Saberser</v>
      </c>
      <c r="B7" s="27" t="s">
        <v>101</v>
      </c>
      <c r="C7" s="148"/>
      <c r="D7" s="136"/>
      <c r="E7" s="150"/>
      <c r="F7" s="148"/>
      <c r="G7" s="148"/>
      <c r="H7" s="148"/>
      <c r="I7" s="148"/>
      <c r="J7" s="148"/>
      <c r="K7" s="148"/>
      <c r="L7" s="148"/>
      <c r="M7" s="148"/>
      <c r="N7" s="150"/>
      <c r="O7" s="150"/>
      <c r="P7" s="150"/>
      <c r="Q7" s="150"/>
    </row>
    <row r="8" spans="1:19" s="50" customFormat="1" ht="49.5" x14ac:dyDescent="0.35">
      <c r="A8" s="24" t="str">
        <f>_xlfn.XLOOKUP(B8,'Paso 3 Redacción RA '!I$3:I$12,'Paso 3 Redacción RA '!C$3:C$12,,0,1)</f>
        <v>Saberhacer</v>
      </c>
      <c r="B8" s="16" t="s">
        <v>91</v>
      </c>
      <c r="C8" s="151">
        <v>1</v>
      </c>
      <c r="D8" s="138" t="s">
        <v>194</v>
      </c>
      <c r="E8" s="123" t="s">
        <v>195</v>
      </c>
      <c r="F8" s="138" t="s">
        <v>196</v>
      </c>
      <c r="G8" s="138"/>
      <c r="H8" s="138" t="s">
        <v>181</v>
      </c>
      <c r="I8" s="138"/>
      <c r="J8" s="138">
        <v>2</v>
      </c>
      <c r="K8" s="147">
        <f>J8*12</f>
        <v>24</v>
      </c>
      <c r="L8" s="147">
        <f>36*J8</f>
        <v>72</v>
      </c>
      <c r="M8" s="138">
        <f>SUM(K8:L8)</f>
        <v>96</v>
      </c>
      <c r="N8" s="123" t="s">
        <v>197</v>
      </c>
      <c r="O8" s="123" t="s">
        <v>198</v>
      </c>
      <c r="P8" s="123" t="s">
        <v>199</v>
      </c>
      <c r="Q8" s="123" t="s">
        <v>185</v>
      </c>
    </row>
    <row r="9" spans="1:19" s="50" customFormat="1" ht="49.5" x14ac:dyDescent="0.35">
      <c r="A9" s="24" t="str">
        <f>_xlfn.XLOOKUP(B9,'Paso 3 Redacción RA '!I$3:I$12,'Paso 3 Redacción RA '!C$3:C$12,,0,1)</f>
        <v>Saberhacer</v>
      </c>
      <c r="B9" s="16" t="s">
        <v>91</v>
      </c>
      <c r="C9" s="147"/>
      <c r="D9" s="116"/>
      <c r="E9" s="118"/>
      <c r="F9" s="116"/>
      <c r="G9" s="116"/>
      <c r="H9" s="116"/>
      <c r="I9" s="116"/>
      <c r="J9" s="116"/>
      <c r="K9" s="147"/>
      <c r="L9" s="147"/>
      <c r="M9" s="116"/>
      <c r="N9" s="118"/>
      <c r="O9" s="118"/>
      <c r="P9" s="118"/>
      <c r="Q9" s="118"/>
    </row>
    <row r="10" spans="1:19" s="50" customFormat="1" ht="49.5" x14ac:dyDescent="0.35">
      <c r="A10" s="80" t="str">
        <f>_xlfn.XLOOKUP(B10,'Paso 3 Redacción RA '!I$3:I$12,'Paso 3 Redacción RA '!C$3:C$12,,0,1)</f>
        <v>Saber</v>
      </c>
      <c r="B10" s="27" t="s">
        <v>103</v>
      </c>
      <c r="C10" s="148"/>
      <c r="D10" s="136"/>
      <c r="E10" s="122"/>
      <c r="F10" s="136"/>
      <c r="G10" s="136"/>
      <c r="H10" s="136"/>
      <c r="I10" s="136"/>
      <c r="J10" s="136"/>
      <c r="K10" s="148"/>
      <c r="L10" s="148"/>
      <c r="M10" s="136"/>
      <c r="N10" s="122"/>
      <c r="O10" s="122"/>
      <c r="P10" s="122"/>
      <c r="Q10" s="122"/>
    </row>
    <row r="11" spans="1:19" s="50" customFormat="1" ht="50" thickBot="1" x14ac:dyDescent="0.4">
      <c r="A11" s="24" t="str">
        <f>_xlfn.XLOOKUP(B11,'Paso 3 Redacción RA '!I$3:I$12,'Paso 3 Redacción RA '!C$3:C$12,,0,1)</f>
        <v>Saber</v>
      </c>
      <c r="B11" s="16" t="s">
        <v>87</v>
      </c>
      <c r="C11" s="151">
        <v>1</v>
      </c>
      <c r="D11" s="138" t="s">
        <v>200</v>
      </c>
      <c r="E11" s="152" t="s">
        <v>201</v>
      </c>
      <c r="F11" s="151" t="s">
        <v>180</v>
      </c>
      <c r="G11" s="151"/>
      <c r="H11" s="151" t="s">
        <v>181</v>
      </c>
      <c r="I11" s="151"/>
      <c r="J11" s="151">
        <v>3</v>
      </c>
      <c r="K11" s="147">
        <f>J11*12</f>
        <v>36</v>
      </c>
      <c r="L11" s="147">
        <f>36*J11</f>
        <v>108</v>
      </c>
      <c r="M11" s="151">
        <f>SUM(K11:L11)</f>
        <v>144</v>
      </c>
      <c r="N11" s="152" t="s">
        <v>202</v>
      </c>
      <c r="O11" s="152" t="s">
        <v>198</v>
      </c>
      <c r="P11" s="152" t="s">
        <v>193</v>
      </c>
      <c r="Q11" s="152" t="s">
        <v>185</v>
      </c>
    </row>
    <row r="12" spans="1:19" s="50" customFormat="1" ht="50" thickBot="1" x14ac:dyDescent="0.4">
      <c r="A12" s="24" t="str">
        <f>_xlfn.XLOOKUP(B12,'Paso 3 Redacción RA '!I$3:I$12,'Paso 3 Redacción RA '!C$3:C$12,,0,1)</f>
        <v>Saberser</v>
      </c>
      <c r="B12" s="16" t="s">
        <v>101</v>
      </c>
      <c r="C12" s="147"/>
      <c r="D12" s="116"/>
      <c r="E12" s="153"/>
      <c r="F12" s="147"/>
      <c r="G12" s="147"/>
      <c r="H12" s="147"/>
      <c r="I12" s="147"/>
      <c r="J12" s="147"/>
      <c r="K12" s="147"/>
      <c r="L12" s="147"/>
      <c r="M12" s="147"/>
      <c r="N12" s="153"/>
      <c r="O12" s="153"/>
      <c r="P12" s="153"/>
      <c r="Q12" s="153"/>
    </row>
    <row r="13" spans="1:19" s="50" customFormat="1" ht="50" thickBot="1" x14ac:dyDescent="0.4">
      <c r="A13" s="80" t="str">
        <f>_xlfn.XLOOKUP(B13,'Paso 3 Redacción RA '!I$3:I$12,'Paso 3 Redacción RA '!C$3:C$12,,0,1)</f>
        <v>Saber</v>
      </c>
      <c r="B13" s="27" t="s">
        <v>103</v>
      </c>
      <c r="C13" s="148"/>
      <c r="D13" s="136"/>
      <c r="E13" s="154"/>
      <c r="F13" s="148"/>
      <c r="G13" s="148"/>
      <c r="H13" s="148"/>
      <c r="I13" s="148"/>
      <c r="J13" s="148"/>
      <c r="K13" s="148"/>
      <c r="L13" s="148"/>
      <c r="M13" s="148"/>
      <c r="N13" s="154"/>
      <c r="O13" s="154"/>
      <c r="P13" s="154"/>
      <c r="Q13" s="154"/>
      <c r="R13" s="50">
        <f>SUM(J3:J13)</f>
        <v>14</v>
      </c>
      <c r="S13" s="50">
        <f>COUNTA(D3:D13)</f>
        <v>5</v>
      </c>
    </row>
    <row r="14" spans="1:19" s="50" customFormat="1" ht="264.5" thickBot="1" x14ac:dyDescent="0.4">
      <c r="A14" s="88" t="str">
        <f>_xlfn.XLOOKUP(B14,'Paso 3 Redacción RA '!I$3:I$12,'Paso 3 Redacción RA '!C$3:C$12,,0,1)</f>
        <v>Saber</v>
      </c>
      <c r="B14" s="78" t="s">
        <v>107</v>
      </c>
      <c r="C14" s="71">
        <v>2</v>
      </c>
      <c r="D14" s="72" t="s">
        <v>203</v>
      </c>
      <c r="E14" s="70" t="s">
        <v>204</v>
      </c>
      <c r="F14" s="71" t="s">
        <v>180</v>
      </c>
      <c r="G14" s="72" t="s">
        <v>181</v>
      </c>
      <c r="H14" s="72"/>
      <c r="I14" s="72"/>
      <c r="J14" s="71">
        <v>3</v>
      </c>
      <c r="K14" s="93">
        <f>12*J14</f>
        <v>36</v>
      </c>
      <c r="L14" s="93">
        <f>36*J14</f>
        <v>108</v>
      </c>
      <c r="M14" s="71">
        <f>SUM(K14:L14)</f>
        <v>144</v>
      </c>
      <c r="N14" s="73" t="s">
        <v>205</v>
      </c>
      <c r="O14" s="81" t="s">
        <v>183</v>
      </c>
      <c r="P14" s="81" t="s">
        <v>184</v>
      </c>
      <c r="Q14" s="70" t="s">
        <v>185</v>
      </c>
    </row>
    <row r="15" spans="1:19" s="50" customFormat="1" ht="49.5" x14ac:dyDescent="0.35">
      <c r="A15" s="24" t="str">
        <f>_xlfn.XLOOKUP(B15,'Paso 3 Redacción RA '!I$3:I$12,'Paso 3 Redacción RA '!C$3:C$12,,0,1)</f>
        <v>Saberhacer</v>
      </c>
      <c r="B15" s="16" t="s">
        <v>91</v>
      </c>
      <c r="C15" s="138">
        <v>2</v>
      </c>
      <c r="D15" s="138" t="s">
        <v>206</v>
      </c>
      <c r="E15" s="152" t="s">
        <v>207</v>
      </c>
      <c r="F15" s="138" t="s">
        <v>180</v>
      </c>
      <c r="G15" s="138"/>
      <c r="H15" s="138" t="s">
        <v>181</v>
      </c>
      <c r="I15" s="138"/>
      <c r="J15" s="138">
        <v>3</v>
      </c>
      <c r="K15" s="147">
        <f>J15*12</f>
        <v>36</v>
      </c>
      <c r="L15" s="147">
        <f>36*J15</f>
        <v>108</v>
      </c>
      <c r="M15" s="138">
        <f>SUM(K15:L15)</f>
        <v>144</v>
      </c>
      <c r="N15" s="152" t="s">
        <v>208</v>
      </c>
      <c r="O15" s="152" t="s">
        <v>209</v>
      </c>
      <c r="P15" s="152" t="s">
        <v>193</v>
      </c>
      <c r="Q15" s="152" t="s">
        <v>185</v>
      </c>
    </row>
    <row r="16" spans="1:19" s="50" customFormat="1" ht="49.5" x14ac:dyDescent="0.35">
      <c r="A16" s="24" t="str">
        <f>_xlfn.XLOOKUP(B16,'Paso 3 Redacción RA '!I$3:I$12,'Paso 3 Redacción RA '!C$3:C$12,,0,1)</f>
        <v>Saberhacer</v>
      </c>
      <c r="B16" s="16" t="s">
        <v>91</v>
      </c>
      <c r="C16" s="116"/>
      <c r="D16" s="116"/>
      <c r="E16" s="153"/>
      <c r="F16" s="116"/>
      <c r="G16" s="116"/>
      <c r="H16" s="116"/>
      <c r="I16" s="116"/>
      <c r="J16" s="116"/>
      <c r="K16" s="147"/>
      <c r="L16" s="147"/>
      <c r="M16" s="116"/>
      <c r="N16" s="153"/>
      <c r="O16" s="153"/>
      <c r="P16" s="153"/>
      <c r="Q16" s="153"/>
    </row>
    <row r="17" spans="1:19" s="50" customFormat="1" ht="50" thickBot="1" x14ac:dyDescent="0.4">
      <c r="A17" s="80" t="str">
        <f>_xlfn.XLOOKUP(B17,'Paso 3 Redacción RA '!I$3:I$12,'Paso 3 Redacción RA '!C$3:C$12,,0,1)</f>
        <v>Saber</v>
      </c>
      <c r="B17" s="27" t="s">
        <v>103</v>
      </c>
      <c r="C17" s="136"/>
      <c r="D17" s="136"/>
      <c r="E17" s="154"/>
      <c r="F17" s="136"/>
      <c r="G17" s="136"/>
      <c r="H17" s="136"/>
      <c r="I17" s="136"/>
      <c r="J17" s="136"/>
      <c r="K17" s="148"/>
      <c r="L17" s="148"/>
      <c r="M17" s="136"/>
      <c r="N17" s="154"/>
      <c r="O17" s="154"/>
      <c r="P17" s="154"/>
      <c r="Q17" s="154"/>
    </row>
    <row r="18" spans="1:19" s="50" customFormat="1" ht="49.5" x14ac:dyDescent="0.35">
      <c r="A18" s="24" t="str">
        <f>_xlfn.XLOOKUP(B18,'Paso 3 Redacción RA '!I$3:I$12,'Paso 3 Redacción RA '!C$3:C$12,,0,1)</f>
        <v>Saberhacer</v>
      </c>
      <c r="B18" s="16" t="s">
        <v>91</v>
      </c>
      <c r="C18" s="138">
        <v>2</v>
      </c>
      <c r="D18" s="138" t="s">
        <v>210</v>
      </c>
      <c r="E18" s="152" t="s">
        <v>211</v>
      </c>
      <c r="F18" s="138" t="s">
        <v>180</v>
      </c>
      <c r="G18" s="138"/>
      <c r="H18" s="138" t="s">
        <v>181</v>
      </c>
      <c r="I18" s="138"/>
      <c r="J18" s="138">
        <v>4</v>
      </c>
      <c r="K18" s="147">
        <f>J18*12</f>
        <v>48</v>
      </c>
      <c r="L18" s="147">
        <f>36*J18</f>
        <v>144</v>
      </c>
      <c r="M18" s="138">
        <f>SUM(K18:L18)</f>
        <v>192</v>
      </c>
      <c r="N18" s="152" t="s">
        <v>212</v>
      </c>
      <c r="O18" s="152" t="s">
        <v>209</v>
      </c>
      <c r="P18" s="152" t="s">
        <v>193</v>
      </c>
      <c r="Q18" s="152" t="s">
        <v>185</v>
      </c>
    </row>
    <row r="19" spans="1:19" s="50" customFormat="1" ht="49.5" x14ac:dyDescent="0.35">
      <c r="A19" s="24" t="str">
        <f>_xlfn.XLOOKUP(B19,'Paso 3 Redacción RA '!I$3:I$12,'Paso 3 Redacción RA '!C$3:C$12,,0,1)</f>
        <v>Saberhacer</v>
      </c>
      <c r="B19" s="16" t="s">
        <v>91</v>
      </c>
      <c r="C19" s="116"/>
      <c r="D19" s="116"/>
      <c r="E19" s="153"/>
      <c r="F19" s="116"/>
      <c r="G19" s="116"/>
      <c r="H19" s="116"/>
      <c r="I19" s="116"/>
      <c r="J19" s="116"/>
      <c r="K19" s="147"/>
      <c r="L19" s="147"/>
      <c r="M19" s="116"/>
      <c r="N19" s="153"/>
      <c r="O19" s="153"/>
      <c r="P19" s="153"/>
      <c r="Q19" s="153"/>
    </row>
    <row r="20" spans="1:19" s="50" customFormat="1" ht="50" thickBot="1" x14ac:dyDescent="0.4">
      <c r="A20" s="80" t="str">
        <f>_xlfn.XLOOKUP(B20,'Paso 3 Redacción RA '!I$3:I$12,'Paso 3 Redacción RA '!C$3:C$12,,0,1)</f>
        <v>Saber</v>
      </c>
      <c r="B20" s="27" t="s">
        <v>103</v>
      </c>
      <c r="C20" s="136"/>
      <c r="D20" s="136"/>
      <c r="E20" s="154"/>
      <c r="F20" s="136"/>
      <c r="G20" s="136"/>
      <c r="H20" s="136"/>
      <c r="I20" s="136"/>
      <c r="J20" s="136"/>
      <c r="K20" s="148"/>
      <c r="L20" s="148"/>
      <c r="M20" s="136"/>
      <c r="N20" s="154"/>
      <c r="O20" s="154"/>
      <c r="P20" s="154"/>
      <c r="Q20" s="154"/>
    </row>
    <row r="21" spans="1:19" s="50" customFormat="1" ht="49.5" x14ac:dyDescent="0.35">
      <c r="A21" s="24" t="str">
        <f>_xlfn.XLOOKUP(B21,'Paso 3 Redacción RA '!I$3:I$12,'Paso 3 Redacción RA '!C$3:C$12,,0,1)</f>
        <v>Saberhacer</v>
      </c>
      <c r="B21" s="16" t="s">
        <v>91</v>
      </c>
      <c r="C21" s="138">
        <v>2</v>
      </c>
      <c r="D21" s="138" t="s">
        <v>213</v>
      </c>
      <c r="E21" s="152" t="s">
        <v>214</v>
      </c>
      <c r="F21" s="138" t="s">
        <v>180</v>
      </c>
      <c r="G21" s="138"/>
      <c r="H21" s="138" t="s">
        <v>181</v>
      </c>
      <c r="I21" s="138"/>
      <c r="J21" s="138">
        <v>3</v>
      </c>
      <c r="K21" s="147">
        <f>J21*12</f>
        <v>36</v>
      </c>
      <c r="L21" s="147">
        <f>36*J21</f>
        <v>108</v>
      </c>
      <c r="M21" s="138">
        <f>SUM(K21:L21)</f>
        <v>144</v>
      </c>
      <c r="N21" s="152" t="s">
        <v>215</v>
      </c>
      <c r="O21" s="152" t="s">
        <v>198</v>
      </c>
      <c r="P21" s="152" t="s">
        <v>193</v>
      </c>
      <c r="Q21" s="152" t="s">
        <v>185</v>
      </c>
    </row>
    <row r="22" spans="1:19" s="50" customFormat="1" ht="49.5" x14ac:dyDescent="0.35">
      <c r="A22" s="24" t="str">
        <f>_xlfn.XLOOKUP(B22,'Paso 3 Redacción RA '!I$3:I$12,'Paso 3 Redacción RA '!C$3:C$12,,0,1)</f>
        <v>Saberhacer</v>
      </c>
      <c r="B22" s="16" t="s">
        <v>91</v>
      </c>
      <c r="C22" s="116"/>
      <c r="D22" s="116"/>
      <c r="E22" s="153"/>
      <c r="F22" s="116"/>
      <c r="G22" s="116"/>
      <c r="H22" s="116"/>
      <c r="I22" s="116"/>
      <c r="J22" s="116"/>
      <c r="K22" s="147"/>
      <c r="L22" s="147"/>
      <c r="M22" s="116"/>
      <c r="N22" s="153"/>
      <c r="O22" s="153"/>
      <c r="P22" s="153"/>
      <c r="Q22" s="153"/>
    </row>
    <row r="23" spans="1:19" s="50" customFormat="1" ht="50" thickBot="1" x14ac:dyDescent="0.4">
      <c r="A23" s="80" t="str">
        <f>_xlfn.XLOOKUP(B23,'Paso 3 Redacción RA '!I$3:I$12,'Paso 3 Redacción RA '!C$3:C$12,,0,1)</f>
        <v>Saber</v>
      </c>
      <c r="B23" s="27" t="s">
        <v>103</v>
      </c>
      <c r="C23" s="136"/>
      <c r="D23" s="136"/>
      <c r="E23" s="154"/>
      <c r="F23" s="136"/>
      <c r="G23" s="136"/>
      <c r="H23" s="136"/>
      <c r="I23" s="136"/>
      <c r="J23" s="136"/>
      <c r="K23" s="148"/>
      <c r="L23" s="148"/>
      <c r="M23" s="136"/>
      <c r="N23" s="154"/>
      <c r="O23" s="154"/>
      <c r="P23" s="154"/>
      <c r="Q23" s="154"/>
    </row>
    <row r="24" spans="1:19" s="50" customFormat="1" ht="49.5" x14ac:dyDescent="0.35">
      <c r="A24" s="24" t="str">
        <f>_xlfn.XLOOKUP(B24,'Paso 3 Redacción RA '!I$3:I$12,'Paso 3 Redacción RA '!C$3:C$12,,0,1)</f>
        <v>Saber</v>
      </c>
      <c r="B24" s="16" t="s">
        <v>87</v>
      </c>
      <c r="C24" s="138">
        <v>2</v>
      </c>
      <c r="D24" s="138" t="s">
        <v>216</v>
      </c>
      <c r="E24" s="152" t="s">
        <v>217</v>
      </c>
      <c r="F24" s="138" t="s">
        <v>180</v>
      </c>
      <c r="G24" s="138"/>
      <c r="H24" s="138" t="s">
        <v>181</v>
      </c>
      <c r="I24" s="138"/>
      <c r="J24" s="138">
        <v>3</v>
      </c>
      <c r="K24" s="147">
        <f>J24*12</f>
        <v>36</v>
      </c>
      <c r="L24" s="147">
        <f>36*J24</f>
        <v>108</v>
      </c>
      <c r="M24" s="138">
        <f>SUM(K24:L24)</f>
        <v>144</v>
      </c>
      <c r="N24" s="152" t="s">
        <v>218</v>
      </c>
      <c r="O24" s="152" t="s">
        <v>209</v>
      </c>
      <c r="P24" s="152" t="s">
        <v>193</v>
      </c>
      <c r="Q24" s="152" t="s">
        <v>185</v>
      </c>
    </row>
    <row r="25" spans="1:19" s="50" customFormat="1" ht="66" x14ac:dyDescent="0.35">
      <c r="A25" s="24" t="str">
        <f>_xlfn.XLOOKUP(B25,'Paso 3 Redacción RA '!I$3:I$12,'Paso 3 Redacción RA '!C$3:C$12,,0,1)</f>
        <v>Saberhacer</v>
      </c>
      <c r="B25" s="16" t="s">
        <v>98</v>
      </c>
      <c r="C25" s="116"/>
      <c r="D25" s="116"/>
      <c r="E25" s="153"/>
      <c r="F25" s="116"/>
      <c r="G25" s="116"/>
      <c r="H25" s="116"/>
      <c r="I25" s="116"/>
      <c r="J25" s="116"/>
      <c r="K25" s="147"/>
      <c r="L25" s="147"/>
      <c r="M25" s="116"/>
      <c r="N25" s="153"/>
      <c r="O25" s="153"/>
      <c r="P25" s="153"/>
      <c r="Q25" s="153"/>
    </row>
    <row r="26" spans="1:19" s="50" customFormat="1" ht="50" thickBot="1" x14ac:dyDescent="0.4">
      <c r="A26" s="80" t="str">
        <f>_xlfn.XLOOKUP(B26,'Paso 3 Redacción RA '!I$3:I$12,'Paso 3 Redacción RA '!C$3:C$12,,0,1)</f>
        <v>Saber</v>
      </c>
      <c r="B26" s="27" t="s">
        <v>103</v>
      </c>
      <c r="C26" s="136"/>
      <c r="D26" s="136"/>
      <c r="E26" s="154"/>
      <c r="F26" s="136"/>
      <c r="G26" s="136"/>
      <c r="H26" s="136"/>
      <c r="I26" s="136"/>
      <c r="J26" s="136"/>
      <c r="K26" s="148"/>
      <c r="L26" s="148"/>
      <c r="M26" s="136"/>
      <c r="N26" s="154"/>
      <c r="O26" s="154"/>
      <c r="P26" s="154"/>
      <c r="Q26" s="154"/>
      <c r="R26" s="50">
        <f>SUM(J14:J26)</f>
        <v>16</v>
      </c>
      <c r="S26" s="50">
        <f>COUNTA(D14:D26)</f>
        <v>5</v>
      </c>
    </row>
    <row r="27" spans="1:19" s="12" customFormat="1" ht="264" x14ac:dyDescent="0.35">
      <c r="A27" s="88" t="str">
        <f>_xlfn.XLOOKUP(B27,'Paso 3 Redacción RA '!I$3:I$12,'Paso 3 Redacción RA '!C$3:C$12,,0,1)</f>
        <v>Saber</v>
      </c>
      <c r="B27" s="78" t="s">
        <v>107</v>
      </c>
      <c r="C27" s="74">
        <v>3</v>
      </c>
      <c r="D27" s="72" t="s">
        <v>219</v>
      </c>
      <c r="E27" s="70" t="s">
        <v>220</v>
      </c>
      <c r="F27" s="71" t="s">
        <v>180</v>
      </c>
      <c r="G27" s="71" t="s">
        <v>181</v>
      </c>
      <c r="H27" s="71"/>
      <c r="I27" s="71"/>
      <c r="J27" s="74">
        <v>3</v>
      </c>
      <c r="K27" s="93">
        <f>12*J27</f>
        <v>36</v>
      </c>
      <c r="L27" s="93">
        <f>36*J27</f>
        <v>108</v>
      </c>
      <c r="M27" s="71">
        <f>SUM(K27:L27)</f>
        <v>144</v>
      </c>
      <c r="N27" s="70" t="s">
        <v>221</v>
      </c>
      <c r="O27" s="78" t="s">
        <v>183</v>
      </c>
      <c r="P27" s="78" t="s">
        <v>184</v>
      </c>
      <c r="Q27" s="70" t="s">
        <v>185</v>
      </c>
    </row>
    <row r="28" spans="1:19" s="50" customFormat="1" ht="264.5" thickBot="1" x14ac:dyDescent="0.4">
      <c r="A28" s="88" t="str">
        <f>_xlfn.XLOOKUP(B28,'Paso 3 Redacción RA '!I$3:I$12,'Paso 3 Redacción RA '!C$3:C$12,,0,1)</f>
        <v>Saber</v>
      </c>
      <c r="B28" s="78" t="s">
        <v>107</v>
      </c>
      <c r="C28" s="71">
        <v>3</v>
      </c>
      <c r="D28" s="72" t="s">
        <v>222</v>
      </c>
      <c r="E28" s="70" t="s">
        <v>223</v>
      </c>
      <c r="F28" s="71" t="s">
        <v>180</v>
      </c>
      <c r="G28" s="72" t="s">
        <v>181</v>
      </c>
      <c r="H28" s="72"/>
      <c r="I28" s="72"/>
      <c r="J28" s="71">
        <v>3</v>
      </c>
      <c r="K28" s="93">
        <f>12*J28</f>
        <v>36</v>
      </c>
      <c r="L28" s="93">
        <f>36*J28</f>
        <v>108</v>
      </c>
      <c r="M28" s="71">
        <f>SUM(K28:L28)</f>
        <v>144</v>
      </c>
      <c r="N28" s="70" t="s">
        <v>224</v>
      </c>
      <c r="O28" s="81" t="s">
        <v>183</v>
      </c>
      <c r="P28" s="81" t="s">
        <v>184</v>
      </c>
      <c r="Q28" s="70" t="s">
        <v>185</v>
      </c>
    </row>
    <row r="29" spans="1:19" s="50" customFormat="1" ht="49.5" x14ac:dyDescent="0.35">
      <c r="A29" s="24" t="str">
        <f>_xlfn.XLOOKUP(B29,'Paso 3 Redacción RA '!I$3:I$12,'Paso 3 Redacción RA '!C$3:C$12,,0,1)</f>
        <v>Saberhacer</v>
      </c>
      <c r="B29" s="16" t="s">
        <v>91</v>
      </c>
      <c r="C29" s="138">
        <v>3</v>
      </c>
      <c r="D29" s="138" t="s">
        <v>225</v>
      </c>
      <c r="E29" s="152" t="s">
        <v>226</v>
      </c>
      <c r="F29" s="138" t="s">
        <v>180</v>
      </c>
      <c r="G29" s="138"/>
      <c r="H29" s="138" t="s">
        <v>181</v>
      </c>
      <c r="I29" s="138"/>
      <c r="J29" s="138">
        <v>3</v>
      </c>
      <c r="K29" s="147">
        <f>J29*12</f>
        <v>36</v>
      </c>
      <c r="L29" s="147">
        <f>36*J29</f>
        <v>108</v>
      </c>
      <c r="M29" s="138">
        <f>SUM(K29:L29)</f>
        <v>144</v>
      </c>
      <c r="N29" s="152" t="s">
        <v>227</v>
      </c>
      <c r="O29" s="152" t="s">
        <v>209</v>
      </c>
      <c r="P29" s="152" t="s">
        <v>193</v>
      </c>
      <c r="Q29" s="152" t="s">
        <v>185</v>
      </c>
    </row>
    <row r="30" spans="1:19" s="50" customFormat="1" ht="58" customHeight="1" x14ac:dyDescent="0.35">
      <c r="A30" s="24" t="str">
        <f>_xlfn.XLOOKUP(B30,'Paso 3 Redacción RA '!I$3:I$12,'Paso 3 Redacción RA '!C$3:C$12,,0,1)</f>
        <v>Saberhacer</v>
      </c>
      <c r="B30" s="16" t="s">
        <v>91</v>
      </c>
      <c r="C30" s="116"/>
      <c r="D30" s="116"/>
      <c r="E30" s="153"/>
      <c r="F30" s="116"/>
      <c r="G30" s="116"/>
      <c r="H30" s="116"/>
      <c r="I30" s="116"/>
      <c r="J30" s="116"/>
      <c r="K30" s="147"/>
      <c r="L30" s="147"/>
      <c r="M30" s="116"/>
      <c r="N30" s="153"/>
      <c r="O30" s="153"/>
      <c r="P30" s="153"/>
      <c r="Q30" s="153"/>
    </row>
    <row r="31" spans="1:19" s="50" customFormat="1" ht="53.15" customHeight="1" thickBot="1" x14ac:dyDescent="0.4">
      <c r="A31" s="80" t="str">
        <f>_xlfn.XLOOKUP(B31,'Paso 3 Redacción RA '!I$3:I$12,'Paso 3 Redacción RA '!C$3:C$12,,0,1)</f>
        <v>Saber</v>
      </c>
      <c r="B31" s="27" t="s">
        <v>103</v>
      </c>
      <c r="C31" s="136"/>
      <c r="D31" s="136"/>
      <c r="E31" s="154"/>
      <c r="F31" s="136"/>
      <c r="G31" s="136"/>
      <c r="H31" s="136"/>
      <c r="I31" s="136"/>
      <c r="J31" s="136"/>
      <c r="K31" s="148"/>
      <c r="L31" s="148"/>
      <c r="M31" s="136"/>
      <c r="N31" s="154"/>
      <c r="O31" s="154"/>
      <c r="P31" s="154"/>
      <c r="Q31" s="154"/>
    </row>
    <row r="32" spans="1:19" s="50" customFormat="1" ht="49.5" x14ac:dyDescent="0.35">
      <c r="A32" s="24" t="str">
        <f>_xlfn.XLOOKUP(B32,'Paso 3 Redacción RA '!I$3:I$12,'Paso 3 Redacción RA '!C$3:C$12,,0,1)</f>
        <v>Saberhacer</v>
      </c>
      <c r="B32" s="16" t="s">
        <v>91</v>
      </c>
      <c r="C32" s="138">
        <v>3</v>
      </c>
      <c r="D32" s="138" t="s">
        <v>228</v>
      </c>
      <c r="E32" s="152" t="s">
        <v>229</v>
      </c>
      <c r="F32" s="138" t="s">
        <v>180</v>
      </c>
      <c r="G32" s="138"/>
      <c r="H32" s="138" t="s">
        <v>181</v>
      </c>
      <c r="I32" s="138"/>
      <c r="J32" s="138">
        <v>3</v>
      </c>
      <c r="K32" s="147">
        <f>J32*12</f>
        <v>36</v>
      </c>
      <c r="L32" s="147">
        <f>36*J32</f>
        <v>108</v>
      </c>
      <c r="M32" s="138">
        <f>SUM(K32:L32)</f>
        <v>144</v>
      </c>
      <c r="N32" s="152" t="s">
        <v>230</v>
      </c>
      <c r="O32" s="152" t="s">
        <v>231</v>
      </c>
      <c r="P32" s="152" t="s">
        <v>193</v>
      </c>
      <c r="Q32" s="152" t="s">
        <v>185</v>
      </c>
    </row>
    <row r="33" spans="1:19" s="50" customFormat="1" ht="49.5" x14ac:dyDescent="0.35">
      <c r="A33" s="24" t="str">
        <f>_xlfn.XLOOKUP(B33,'Paso 3 Redacción RA '!I$3:I$12,'Paso 3 Redacción RA '!C$3:C$12,,0,1)</f>
        <v>Saberhacer</v>
      </c>
      <c r="B33" s="16" t="s">
        <v>91</v>
      </c>
      <c r="C33" s="116"/>
      <c r="D33" s="116"/>
      <c r="E33" s="153"/>
      <c r="F33" s="116"/>
      <c r="G33" s="116"/>
      <c r="H33" s="116"/>
      <c r="I33" s="116"/>
      <c r="J33" s="116"/>
      <c r="K33" s="147"/>
      <c r="L33" s="147"/>
      <c r="M33" s="116"/>
      <c r="N33" s="153"/>
      <c r="O33" s="153"/>
      <c r="P33" s="153"/>
      <c r="Q33" s="153"/>
    </row>
    <row r="34" spans="1:19" s="50" customFormat="1" ht="50" thickBot="1" x14ac:dyDescent="0.4">
      <c r="A34" s="80" t="str">
        <f>_xlfn.XLOOKUP(B34,'Paso 3 Redacción RA '!I$3:I$12,'Paso 3 Redacción RA '!C$3:C$12,,0,1)</f>
        <v>Saber</v>
      </c>
      <c r="B34" s="27" t="s">
        <v>103</v>
      </c>
      <c r="C34" s="136"/>
      <c r="D34" s="136"/>
      <c r="E34" s="154"/>
      <c r="F34" s="136"/>
      <c r="G34" s="136"/>
      <c r="H34" s="136"/>
      <c r="I34" s="136"/>
      <c r="J34" s="136"/>
      <c r="K34" s="148"/>
      <c r="L34" s="148"/>
      <c r="M34" s="136"/>
      <c r="N34" s="154"/>
      <c r="O34" s="154"/>
      <c r="P34" s="154"/>
      <c r="Q34" s="154"/>
    </row>
    <row r="35" spans="1:19" s="50" customFormat="1" ht="49.5" x14ac:dyDescent="0.35">
      <c r="A35" s="24" t="str">
        <f>_xlfn.XLOOKUP(B35,'Paso 3 Redacción RA '!I$3:I$12,'Paso 3 Redacción RA '!C$3:C$12,,0,1)</f>
        <v>Saberhacer</v>
      </c>
      <c r="B35" s="16" t="s">
        <v>91</v>
      </c>
      <c r="C35" s="138">
        <v>3</v>
      </c>
      <c r="D35" s="138" t="s">
        <v>232</v>
      </c>
      <c r="E35" s="152" t="s">
        <v>233</v>
      </c>
      <c r="F35" s="138" t="s">
        <v>180</v>
      </c>
      <c r="G35" s="138"/>
      <c r="H35" s="138" t="s">
        <v>181</v>
      </c>
      <c r="I35" s="138"/>
      <c r="J35" s="138">
        <v>4</v>
      </c>
      <c r="K35" s="147">
        <f>J35*12</f>
        <v>48</v>
      </c>
      <c r="L35" s="147">
        <f>36*J35</f>
        <v>144</v>
      </c>
      <c r="M35" s="138">
        <f>SUM(K35:L35)</f>
        <v>192</v>
      </c>
      <c r="N35" s="152" t="s">
        <v>234</v>
      </c>
      <c r="O35" s="152" t="s">
        <v>209</v>
      </c>
      <c r="P35" s="152" t="s">
        <v>193</v>
      </c>
      <c r="Q35" s="152" t="s">
        <v>185</v>
      </c>
    </row>
    <row r="36" spans="1:19" s="50" customFormat="1" ht="49.5" x14ac:dyDescent="0.35">
      <c r="A36" s="24" t="str">
        <f>_xlfn.XLOOKUP(B36,'Paso 3 Redacción RA '!I$3:I$12,'Paso 3 Redacción RA '!C$3:C$12,,0,1)</f>
        <v>Saberhacer</v>
      </c>
      <c r="B36" s="16" t="s">
        <v>91</v>
      </c>
      <c r="C36" s="116"/>
      <c r="D36" s="116"/>
      <c r="E36" s="153"/>
      <c r="F36" s="116"/>
      <c r="G36" s="116"/>
      <c r="H36" s="116"/>
      <c r="I36" s="116"/>
      <c r="J36" s="116"/>
      <c r="K36" s="147"/>
      <c r="L36" s="147"/>
      <c r="M36" s="116"/>
      <c r="N36" s="153"/>
      <c r="O36" s="153"/>
      <c r="P36" s="153"/>
      <c r="Q36" s="153"/>
    </row>
    <row r="37" spans="1:19" s="50" customFormat="1" ht="50" thickBot="1" x14ac:dyDescent="0.4">
      <c r="A37" s="80" t="str">
        <f>_xlfn.XLOOKUP(B37,'Paso 3 Redacción RA '!I$3:I$12,'Paso 3 Redacción RA '!C$3:C$12,,0,1)</f>
        <v>Saber</v>
      </c>
      <c r="B37" s="27" t="s">
        <v>103</v>
      </c>
      <c r="C37" s="136"/>
      <c r="D37" s="136"/>
      <c r="E37" s="154"/>
      <c r="F37" s="136"/>
      <c r="G37" s="136"/>
      <c r="H37" s="136"/>
      <c r="I37" s="136"/>
      <c r="J37" s="136"/>
      <c r="K37" s="148"/>
      <c r="L37" s="148"/>
      <c r="M37" s="136"/>
      <c r="N37" s="154"/>
      <c r="O37" s="154"/>
      <c r="P37" s="154"/>
      <c r="Q37" s="154"/>
      <c r="R37" s="50">
        <f>SUM(J27:J37)</f>
        <v>16</v>
      </c>
      <c r="S37" s="50">
        <f>COUNTA(D27:D37)</f>
        <v>5</v>
      </c>
    </row>
    <row r="38" spans="1:19" s="50" customFormat="1" ht="264.5" thickBot="1" x14ac:dyDescent="0.4">
      <c r="A38" s="88" t="str">
        <f>_xlfn.XLOOKUP(B38,'Paso 3 Redacción RA '!I$3:I$12,'Paso 3 Redacción RA '!C$3:C$12,,0,1)</f>
        <v>Saber</v>
      </c>
      <c r="B38" s="78" t="s">
        <v>107</v>
      </c>
      <c r="C38" s="74">
        <v>4</v>
      </c>
      <c r="D38" s="71" t="s">
        <v>235</v>
      </c>
      <c r="E38" s="70" t="s">
        <v>236</v>
      </c>
      <c r="F38" s="71" t="s">
        <v>180</v>
      </c>
      <c r="G38" s="75" t="s">
        <v>181</v>
      </c>
      <c r="H38" s="75"/>
      <c r="I38" s="75"/>
      <c r="J38" s="72">
        <v>3</v>
      </c>
      <c r="K38" s="93">
        <f>12*J38</f>
        <v>36</v>
      </c>
      <c r="L38" s="93">
        <f>36*J38</f>
        <v>108</v>
      </c>
      <c r="M38" s="75">
        <f>SUM(K38:L38)</f>
        <v>144</v>
      </c>
      <c r="N38" s="76" t="s">
        <v>237</v>
      </c>
      <c r="O38" s="82" t="s">
        <v>183</v>
      </c>
      <c r="P38" s="82" t="s">
        <v>184</v>
      </c>
      <c r="Q38" s="77" t="s">
        <v>185</v>
      </c>
    </row>
    <row r="39" spans="1:19" s="50" customFormat="1" ht="49.5" x14ac:dyDescent="0.35">
      <c r="A39" s="24" t="str">
        <f>_xlfn.XLOOKUP(B39,'Paso 3 Redacción RA '!I$3:I$12,'Paso 3 Redacción RA '!C$3:C$12,,0,1)</f>
        <v>Saberhacer</v>
      </c>
      <c r="B39" s="16" t="s">
        <v>91</v>
      </c>
      <c r="C39" s="138">
        <v>4</v>
      </c>
      <c r="D39" s="138" t="s">
        <v>238</v>
      </c>
      <c r="E39" s="152" t="s">
        <v>239</v>
      </c>
      <c r="F39" s="138" t="s">
        <v>180</v>
      </c>
      <c r="G39" s="138"/>
      <c r="H39" s="138" t="s">
        <v>181</v>
      </c>
      <c r="I39" s="138"/>
      <c r="J39" s="138">
        <v>3</v>
      </c>
      <c r="K39" s="147">
        <f>J39*12</f>
        <v>36</v>
      </c>
      <c r="L39" s="147">
        <f>36*J39</f>
        <v>108</v>
      </c>
      <c r="M39" s="138">
        <f>SUM(K39:L39)</f>
        <v>144</v>
      </c>
      <c r="N39" s="152" t="s">
        <v>240</v>
      </c>
      <c r="O39" s="152" t="s">
        <v>241</v>
      </c>
      <c r="P39" s="152" t="s">
        <v>193</v>
      </c>
      <c r="Q39" s="152" t="s">
        <v>185</v>
      </c>
    </row>
    <row r="40" spans="1:19" s="50" customFormat="1" ht="49.5" x14ac:dyDescent="0.35">
      <c r="A40" s="24" t="str">
        <f>_xlfn.XLOOKUP(B40,'Paso 3 Redacción RA '!I$3:I$12,'Paso 3 Redacción RA '!C$3:C$12,,0,1)</f>
        <v>Saberhacer</v>
      </c>
      <c r="B40" s="16" t="s">
        <v>91</v>
      </c>
      <c r="C40" s="116"/>
      <c r="D40" s="116"/>
      <c r="E40" s="153"/>
      <c r="F40" s="116"/>
      <c r="G40" s="116"/>
      <c r="H40" s="116"/>
      <c r="I40" s="116"/>
      <c r="J40" s="116"/>
      <c r="K40" s="147"/>
      <c r="L40" s="147"/>
      <c r="M40" s="116"/>
      <c r="N40" s="153"/>
      <c r="O40" s="153"/>
      <c r="P40" s="153"/>
      <c r="Q40" s="153"/>
    </row>
    <row r="41" spans="1:19" s="50" customFormat="1" ht="50" thickBot="1" x14ac:dyDescent="0.4">
      <c r="A41" s="80" t="str">
        <f>_xlfn.XLOOKUP(B41,'Paso 3 Redacción RA '!I$3:I$12,'Paso 3 Redacción RA '!C$3:C$12,,0,1)</f>
        <v>Saber</v>
      </c>
      <c r="B41" s="27" t="s">
        <v>103</v>
      </c>
      <c r="C41" s="136"/>
      <c r="D41" s="136"/>
      <c r="E41" s="154"/>
      <c r="F41" s="136"/>
      <c r="G41" s="136"/>
      <c r="H41" s="136"/>
      <c r="I41" s="136"/>
      <c r="J41" s="136"/>
      <c r="K41" s="148"/>
      <c r="L41" s="148"/>
      <c r="M41" s="136"/>
      <c r="N41" s="154"/>
      <c r="O41" s="154"/>
      <c r="P41" s="154"/>
      <c r="Q41" s="154"/>
    </row>
    <row r="42" spans="1:19" s="50" customFormat="1" ht="49.5" x14ac:dyDescent="0.35">
      <c r="A42" s="24" t="str">
        <f>_xlfn.XLOOKUP(B42,'Paso 3 Redacción RA '!I$3:I$12,'Paso 3 Redacción RA '!C$3:C$12,,0,1)</f>
        <v>Saber</v>
      </c>
      <c r="B42" s="16" t="s">
        <v>87</v>
      </c>
      <c r="C42" s="138">
        <v>4</v>
      </c>
      <c r="D42" s="138" t="s">
        <v>242</v>
      </c>
      <c r="E42" s="155" t="s">
        <v>243</v>
      </c>
      <c r="F42" s="138" t="s">
        <v>180</v>
      </c>
      <c r="G42" s="138"/>
      <c r="H42" s="138" t="s">
        <v>181</v>
      </c>
      <c r="I42" s="138"/>
      <c r="J42" s="138">
        <v>3</v>
      </c>
      <c r="K42" s="138">
        <f>J42*12</f>
        <v>36</v>
      </c>
      <c r="L42" s="138">
        <f>36*J42</f>
        <v>108</v>
      </c>
      <c r="M42" s="138">
        <f>SUM(K42:L42)</f>
        <v>144</v>
      </c>
      <c r="N42" s="152" t="s">
        <v>244</v>
      </c>
      <c r="O42" s="152" t="s">
        <v>241</v>
      </c>
      <c r="P42" s="152" t="s">
        <v>193</v>
      </c>
      <c r="Q42" s="152" t="s">
        <v>185</v>
      </c>
    </row>
    <row r="43" spans="1:19" s="50" customFormat="1" ht="66" x14ac:dyDescent="0.35">
      <c r="A43" s="24" t="str">
        <f>_xlfn.XLOOKUP(B43,'Paso 3 Redacción RA '!I$3:I$12,'Paso 3 Redacción RA '!C$3:C$12,,0,1)</f>
        <v>Saberhacer</v>
      </c>
      <c r="B43" s="16" t="s">
        <v>98</v>
      </c>
      <c r="C43" s="116"/>
      <c r="D43" s="116"/>
      <c r="E43" s="149"/>
      <c r="F43" s="116"/>
      <c r="G43" s="116"/>
      <c r="H43" s="116"/>
      <c r="I43" s="116"/>
      <c r="J43" s="116"/>
      <c r="K43" s="116"/>
      <c r="L43" s="116"/>
      <c r="M43" s="116"/>
      <c r="N43" s="153"/>
      <c r="O43" s="153"/>
      <c r="P43" s="153"/>
      <c r="Q43" s="153"/>
    </row>
    <row r="44" spans="1:19" s="50" customFormat="1" ht="49.5" x14ac:dyDescent="0.35">
      <c r="A44" s="24" t="str">
        <f>_xlfn.XLOOKUP(B44,'Paso 3 Redacción RA '!I$3:I$12,'Paso 3 Redacción RA '!C$3:C$12,,0,1)</f>
        <v>Saberser</v>
      </c>
      <c r="B44" s="16" t="s">
        <v>101</v>
      </c>
      <c r="C44" s="116"/>
      <c r="D44" s="116"/>
      <c r="E44" s="149"/>
      <c r="F44" s="116"/>
      <c r="G44" s="116"/>
      <c r="H44" s="116"/>
      <c r="I44" s="116"/>
      <c r="J44" s="116"/>
      <c r="K44" s="116"/>
      <c r="L44" s="116"/>
      <c r="M44" s="116"/>
      <c r="N44" s="153"/>
      <c r="O44" s="153"/>
      <c r="P44" s="153"/>
      <c r="Q44" s="153"/>
    </row>
    <row r="45" spans="1:19" s="50" customFormat="1" ht="50" thickBot="1" x14ac:dyDescent="0.4">
      <c r="A45" s="80" t="str">
        <f>_xlfn.XLOOKUP(B45,'Paso 3 Redacción RA '!I$3:I$12,'Paso 3 Redacción RA '!C$3:C$12,,0,1)</f>
        <v>Saber</v>
      </c>
      <c r="B45" s="27" t="s">
        <v>103</v>
      </c>
      <c r="C45" s="136"/>
      <c r="D45" s="136"/>
      <c r="E45" s="150"/>
      <c r="F45" s="136"/>
      <c r="G45" s="136"/>
      <c r="H45" s="136"/>
      <c r="I45" s="136"/>
      <c r="J45" s="136"/>
      <c r="K45" s="136"/>
      <c r="L45" s="136"/>
      <c r="M45" s="136"/>
      <c r="N45" s="154"/>
      <c r="O45" s="154"/>
      <c r="P45" s="154"/>
      <c r="Q45" s="154"/>
    </row>
    <row r="46" spans="1:19" s="50" customFormat="1" ht="49.5" x14ac:dyDescent="0.35">
      <c r="A46" s="24" t="str">
        <f>_xlfn.XLOOKUP(B46,'Paso 3 Redacción RA '!I$3:I$12,'Paso 3 Redacción RA '!C$3:C$12,,0,1)</f>
        <v>Saber</v>
      </c>
      <c r="B46" s="16" t="s">
        <v>87</v>
      </c>
      <c r="C46" s="138">
        <v>4</v>
      </c>
      <c r="D46" s="138" t="s">
        <v>245</v>
      </c>
      <c r="E46" s="152" t="s">
        <v>246</v>
      </c>
      <c r="F46" s="138" t="s">
        <v>180</v>
      </c>
      <c r="G46" s="138"/>
      <c r="H46" s="138" t="s">
        <v>181</v>
      </c>
      <c r="I46" s="138"/>
      <c r="J46" s="138">
        <v>4</v>
      </c>
      <c r="K46" s="138">
        <f>J46*12</f>
        <v>48</v>
      </c>
      <c r="L46" s="138">
        <f>36*J46</f>
        <v>144</v>
      </c>
      <c r="M46" s="138">
        <f>SUM(K46:L46)</f>
        <v>192</v>
      </c>
      <c r="N46" s="152" t="s">
        <v>247</v>
      </c>
      <c r="O46" s="152" t="s">
        <v>198</v>
      </c>
      <c r="P46" s="152" t="s">
        <v>193</v>
      </c>
      <c r="Q46" s="152" t="s">
        <v>185</v>
      </c>
    </row>
    <row r="47" spans="1:19" s="50" customFormat="1" ht="49.5" x14ac:dyDescent="0.35">
      <c r="A47" s="24" t="str">
        <f>_xlfn.XLOOKUP(B47,'Paso 3 Redacción RA '!I$3:I$12,'Paso 3 Redacción RA '!C$3:C$12,,0,1)</f>
        <v>Saberhacer</v>
      </c>
      <c r="B47" s="16" t="s">
        <v>91</v>
      </c>
      <c r="C47" s="116"/>
      <c r="D47" s="116"/>
      <c r="E47" s="153"/>
      <c r="F47" s="116"/>
      <c r="G47" s="116"/>
      <c r="H47" s="116"/>
      <c r="I47" s="116"/>
      <c r="J47" s="116"/>
      <c r="K47" s="116"/>
      <c r="L47" s="116"/>
      <c r="M47" s="116"/>
      <c r="N47" s="153"/>
      <c r="O47" s="153"/>
      <c r="P47" s="153"/>
      <c r="Q47" s="153"/>
    </row>
    <row r="48" spans="1:19" s="50" customFormat="1" ht="82.5" x14ac:dyDescent="0.35">
      <c r="A48" s="24" t="str">
        <f>_xlfn.XLOOKUP(B48,'Paso 3 Redacción RA '!I$3:I$12,'Paso 3 Redacción RA '!C$3:C$12,,0,1)</f>
        <v>Saber</v>
      </c>
      <c r="B48" s="16" t="s">
        <v>95</v>
      </c>
      <c r="C48" s="116"/>
      <c r="D48" s="116"/>
      <c r="E48" s="153"/>
      <c r="F48" s="116"/>
      <c r="G48" s="116"/>
      <c r="H48" s="116"/>
      <c r="I48" s="116"/>
      <c r="J48" s="116"/>
      <c r="K48" s="116"/>
      <c r="L48" s="116"/>
      <c r="M48" s="116"/>
      <c r="N48" s="153"/>
      <c r="O48" s="153"/>
      <c r="P48" s="153"/>
      <c r="Q48" s="153"/>
    </row>
    <row r="49" spans="1:19" s="50" customFormat="1" ht="66" x14ac:dyDescent="0.35">
      <c r="A49" s="24" t="str">
        <f>_xlfn.XLOOKUP(B49,'Paso 3 Redacción RA '!I$3:I$12,'Paso 3 Redacción RA '!C$3:C$12,,0,1)</f>
        <v>Saberhacer</v>
      </c>
      <c r="B49" s="16" t="s">
        <v>98</v>
      </c>
      <c r="C49" s="116"/>
      <c r="D49" s="116"/>
      <c r="E49" s="153"/>
      <c r="F49" s="116"/>
      <c r="G49" s="116"/>
      <c r="H49" s="116"/>
      <c r="I49" s="116"/>
      <c r="J49" s="116"/>
      <c r="K49" s="116"/>
      <c r="L49" s="116"/>
      <c r="M49" s="116"/>
      <c r="N49" s="153"/>
      <c r="O49" s="153"/>
      <c r="P49" s="153"/>
      <c r="Q49" s="153"/>
    </row>
    <row r="50" spans="1:19" s="50" customFormat="1" ht="50" thickBot="1" x14ac:dyDescent="0.4">
      <c r="A50" s="80" t="str">
        <f>_xlfn.XLOOKUP(B50,'Paso 3 Redacción RA '!I$3:I$12,'Paso 3 Redacción RA '!C$3:C$12,,0,1)</f>
        <v>Saber</v>
      </c>
      <c r="B50" s="27" t="s">
        <v>103</v>
      </c>
      <c r="C50" s="136"/>
      <c r="D50" s="136"/>
      <c r="E50" s="154"/>
      <c r="F50" s="136"/>
      <c r="G50" s="136"/>
      <c r="H50" s="136"/>
      <c r="I50" s="136"/>
      <c r="J50" s="136"/>
      <c r="K50" s="136"/>
      <c r="L50" s="136"/>
      <c r="M50" s="136"/>
      <c r="N50" s="154"/>
      <c r="O50" s="154"/>
      <c r="P50" s="154"/>
      <c r="Q50" s="154"/>
    </row>
    <row r="51" spans="1:19" s="50" customFormat="1" ht="49.5" x14ac:dyDescent="0.35">
      <c r="A51" s="24" t="str">
        <f>_xlfn.XLOOKUP(B51,'Paso 3 Redacción RA '!I$3:I$12,'Paso 3 Redacción RA '!C$3:C$12,,0,1)</f>
        <v>Saber</v>
      </c>
      <c r="B51" s="16" t="s">
        <v>87</v>
      </c>
      <c r="C51" s="138">
        <v>4</v>
      </c>
      <c r="D51" s="138" t="s">
        <v>248</v>
      </c>
      <c r="E51" s="152" t="s">
        <v>249</v>
      </c>
      <c r="F51" s="138" t="s">
        <v>180</v>
      </c>
      <c r="G51" s="138"/>
      <c r="H51" s="138" t="s">
        <v>181</v>
      </c>
      <c r="I51" s="138"/>
      <c r="J51" s="138">
        <v>3</v>
      </c>
      <c r="K51" s="138">
        <f>J51*12</f>
        <v>36</v>
      </c>
      <c r="L51" s="138">
        <f>36*J51</f>
        <v>108</v>
      </c>
      <c r="M51" s="138">
        <f>SUM(K51:L51)</f>
        <v>144</v>
      </c>
      <c r="N51" s="152" t="s">
        <v>250</v>
      </c>
      <c r="O51" s="152" t="s">
        <v>198</v>
      </c>
      <c r="P51" s="152" t="s">
        <v>193</v>
      </c>
      <c r="Q51" s="152" t="s">
        <v>185</v>
      </c>
    </row>
    <row r="52" spans="1:19" s="50" customFormat="1" ht="82.5" x14ac:dyDescent="0.35">
      <c r="A52" s="24" t="str">
        <f>_xlfn.XLOOKUP(B52,'Paso 3 Redacción RA '!I$3:I$12,'Paso 3 Redacción RA '!C$3:C$12,,0,1)</f>
        <v>Saber</v>
      </c>
      <c r="B52" s="16" t="s">
        <v>95</v>
      </c>
      <c r="C52" s="116"/>
      <c r="D52" s="116"/>
      <c r="E52" s="153"/>
      <c r="F52" s="116"/>
      <c r="G52" s="116"/>
      <c r="H52" s="116"/>
      <c r="I52" s="116"/>
      <c r="J52" s="116"/>
      <c r="K52" s="116"/>
      <c r="L52" s="116"/>
      <c r="M52" s="116"/>
      <c r="N52" s="153"/>
      <c r="O52" s="153"/>
      <c r="P52" s="153"/>
      <c r="Q52" s="153"/>
    </row>
    <row r="53" spans="1:19" s="50" customFormat="1" ht="66" x14ac:dyDescent="0.35">
      <c r="A53" s="24" t="str">
        <f>_xlfn.XLOOKUP(B53,'Paso 3 Redacción RA '!I$3:I$12,'Paso 3 Redacción RA '!C$3:C$12,,0,1)</f>
        <v>Saberhacer</v>
      </c>
      <c r="B53" s="16" t="s">
        <v>98</v>
      </c>
      <c r="C53" s="116"/>
      <c r="D53" s="116"/>
      <c r="E53" s="153"/>
      <c r="F53" s="116"/>
      <c r="G53" s="116"/>
      <c r="H53" s="116"/>
      <c r="I53" s="116"/>
      <c r="J53" s="116"/>
      <c r="K53" s="116"/>
      <c r="L53" s="116"/>
      <c r="M53" s="116"/>
      <c r="N53" s="153"/>
      <c r="O53" s="153"/>
      <c r="P53" s="153"/>
      <c r="Q53" s="153"/>
    </row>
    <row r="54" spans="1:19" s="50" customFormat="1" ht="49.5" x14ac:dyDescent="0.35">
      <c r="A54" s="24" t="str">
        <f>_xlfn.XLOOKUP(B54,'Paso 3 Redacción RA '!I$3:I$12,'Paso 3 Redacción RA '!C$3:C$12,,0,1)</f>
        <v>Saberser</v>
      </c>
      <c r="B54" s="16" t="s">
        <v>101</v>
      </c>
      <c r="C54" s="116"/>
      <c r="D54" s="116"/>
      <c r="E54" s="153"/>
      <c r="F54" s="116"/>
      <c r="G54" s="116"/>
      <c r="H54" s="116"/>
      <c r="I54" s="116"/>
      <c r="J54" s="116"/>
      <c r="K54" s="116"/>
      <c r="L54" s="116"/>
      <c r="M54" s="116"/>
      <c r="N54" s="153"/>
      <c r="O54" s="153"/>
      <c r="P54" s="153"/>
      <c r="Q54" s="153"/>
    </row>
    <row r="55" spans="1:19" s="50" customFormat="1" ht="50" thickBot="1" x14ac:dyDescent="0.4">
      <c r="A55" s="80" t="str">
        <f>_xlfn.XLOOKUP(B55,'Paso 3 Redacción RA '!I$3:I$12,'Paso 3 Redacción RA '!C$3:C$12,,0,1)</f>
        <v>Saber</v>
      </c>
      <c r="B55" s="27" t="s">
        <v>103</v>
      </c>
      <c r="C55" s="136"/>
      <c r="D55" s="136"/>
      <c r="E55" s="154"/>
      <c r="F55" s="136"/>
      <c r="G55" s="136"/>
      <c r="H55" s="136"/>
      <c r="I55" s="136"/>
      <c r="J55" s="136"/>
      <c r="K55" s="136"/>
      <c r="L55" s="136"/>
      <c r="M55" s="136"/>
      <c r="N55" s="154"/>
      <c r="O55" s="154"/>
      <c r="P55" s="154"/>
      <c r="Q55" s="154"/>
      <c r="R55" s="50">
        <f>SUM(J38:J55)</f>
        <v>16</v>
      </c>
      <c r="S55" s="50">
        <f>COUNTA(D38:D55)</f>
        <v>5</v>
      </c>
    </row>
    <row r="56" spans="1:19" s="50" customFormat="1" ht="49.5" x14ac:dyDescent="0.35">
      <c r="A56" s="24" t="str">
        <f>_xlfn.XLOOKUP(B56,'Paso 3 Redacción RA '!I$3:I$12,'Paso 3 Redacción RA '!C$3:C$12,,0,1)</f>
        <v>Saber</v>
      </c>
      <c r="B56" s="16" t="s">
        <v>87</v>
      </c>
      <c r="C56" s="138">
        <v>5</v>
      </c>
      <c r="D56" s="138" t="s">
        <v>251</v>
      </c>
      <c r="E56" s="152" t="s">
        <v>252</v>
      </c>
      <c r="F56" s="138" t="s">
        <v>180</v>
      </c>
      <c r="G56" s="138"/>
      <c r="H56" s="138" t="s">
        <v>181</v>
      </c>
      <c r="I56" s="138"/>
      <c r="J56" s="138">
        <v>3</v>
      </c>
      <c r="K56" s="138">
        <f>J56*12</f>
        <v>36</v>
      </c>
      <c r="L56" s="138">
        <f>36*J56</f>
        <v>108</v>
      </c>
      <c r="M56" s="138">
        <f>SUM(K56:L56)</f>
        <v>144</v>
      </c>
      <c r="N56" s="152" t="s">
        <v>253</v>
      </c>
      <c r="O56" s="152" t="s">
        <v>198</v>
      </c>
      <c r="P56" s="152" t="s">
        <v>193</v>
      </c>
      <c r="Q56" s="152" t="s">
        <v>185</v>
      </c>
    </row>
    <row r="57" spans="1:19" s="50" customFormat="1" ht="49.5" x14ac:dyDescent="0.35">
      <c r="A57" s="24" t="str">
        <f>_xlfn.XLOOKUP(B57,'Paso 3 Redacción RA '!I$3:I$12,'Paso 3 Redacción RA '!C$3:C$12,,0,1)</f>
        <v>Saberhacer</v>
      </c>
      <c r="B57" s="16" t="s">
        <v>91</v>
      </c>
      <c r="C57" s="116"/>
      <c r="D57" s="116"/>
      <c r="E57" s="153"/>
      <c r="F57" s="116"/>
      <c r="G57" s="116"/>
      <c r="H57" s="116"/>
      <c r="I57" s="116"/>
      <c r="J57" s="116"/>
      <c r="K57" s="116"/>
      <c r="L57" s="116"/>
      <c r="M57" s="116"/>
      <c r="N57" s="153"/>
      <c r="O57" s="153"/>
      <c r="P57" s="153"/>
      <c r="Q57" s="153"/>
    </row>
    <row r="58" spans="1:19" s="50" customFormat="1" ht="82.5" x14ac:dyDescent="0.35">
      <c r="A58" s="24" t="str">
        <f>_xlfn.XLOOKUP(B58,'Paso 3 Redacción RA '!I$3:I$12,'Paso 3 Redacción RA '!C$3:C$12,,0,1)</f>
        <v>Saber</v>
      </c>
      <c r="B58" s="16" t="s">
        <v>95</v>
      </c>
      <c r="C58" s="116"/>
      <c r="D58" s="116"/>
      <c r="E58" s="153"/>
      <c r="F58" s="116"/>
      <c r="G58" s="116"/>
      <c r="H58" s="116"/>
      <c r="I58" s="116"/>
      <c r="J58" s="116"/>
      <c r="K58" s="116"/>
      <c r="L58" s="116"/>
      <c r="M58" s="116"/>
      <c r="N58" s="153"/>
      <c r="O58" s="153"/>
      <c r="P58" s="153"/>
      <c r="Q58" s="153"/>
    </row>
    <row r="59" spans="1:19" s="50" customFormat="1" ht="66" x14ac:dyDescent="0.35">
      <c r="A59" s="24" t="str">
        <f>_xlfn.XLOOKUP(B59,'Paso 3 Redacción RA '!I$3:I$12,'Paso 3 Redacción RA '!C$3:C$12,,0,1)</f>
        <v>Saberhacer</v>
      </c>
      <c r="B59" s="16" t="s">
        <v>98</v>
      </c>
      <c r="C59" s="116"/>
      <c r="D59" s="116"/>
      <c r="E59" s="153"/>
      <c r="F59" s="116"/>
      <c r="G59" s="116"/>
      <c r="H59" s="116"/>
      <c r="I59" s="116"/>
      <c r="J59" s="116"/>
      <c r="K59" s="116"/>
      <c r="L59" s="116"/>
      <c r="M59" s="116"/>
      <c r="N59" s="153"/>
      <c r="O59" s="153"/>
      <c r="P59" s="153"/>
      <c r="Q59" s="153"/>
    </row>
    <row r="60" spans="1:19" s="50" customFormat="1" ht="50" thickBot="1" x14ac:dyDescent="0.4">
      <c r="A60" s="80" t="str">
        <f>_xlfn.XLOOKUP(B60,'Paso 3 Redacción RA '!I$3:I$12,'Paso 3 Redacción RA '!C$3:C$12,,0,1)</f>
        <v>Saberser</v>
      </c>
      <c r="B60" s="27" t="s">
        <v>101</v>
      </c>
      <c r="C60" s="136"/>
      <c r="D60" s="136"/>
      <c r="E60" s="154"/>
      <c r="F60" s="136"/>
      <c r="G60" s="136"/>
      <c r="H60" s="136"/>
      <c r="I60" s="136"/>
      <c r="J60" s="136"/>
      <c r="K60" s="136"/>
      <c r="L60" s="136"/>
      <c r="M60" s="136"/>
      <c r="N60" s="154"/>
      <c r="O60" s="154"/>
      <c r="P60" s="154"/>
      <c r="Q60" s="154"/>
    </row>
    <row r="61" spans="1:19" s="50" customFormat="1" ht="49.5" x14ac:dyDescent="0.35">
      <c r="A61" s="24" t="str">
        <f>_xlfn.XLOOKUP(B61,'Paso 3 Redacción RA '!I$3:I$12,'Paso 3 Redacción RA '!C$3:C$12,,0,1)</f>
        <v>Saber</v>
      </c>
      <c r="B61" s="16" t="s">
        <v>87</v>
      </c>
      <c r="C61" s="138">
        <v>5</v>
      </c>
      <c r="D61" s="138" t="s">
        <v>254</v>
      </c>
      <c r="E61" s="152" t="s">
        <v>255</v>
      </c>
      <c r="F61" s="138" t="s">
        <v>180</v>
      </c>
      <c r="G61" s="138"/>
      <c r="H61" s="138" t="s">
        <v>181</v>
      </c>
      <c r="I61" s="138"/>
      <c r="J61" s="138">
        <v>3</v>
      </c>
      <c r="K61" s="138">
        <f>J61*12</f>
        <v>36</v>
      </c>
      <c r="L61" s="138">
        <f>36*J61</f>
        <v>108</v>
      </c>
      <c r="M61" s="138">
        <f>SUM(K61:L61)</f>
        <v>144</v>
      </c>
      <c r="N61" s="152" t="s">
        <v>256</v>
      </c>
      <c r="O61" s="152" t="s">
        <v>198</v>
      </c>
      <c r="P61" s="152" t="s">
        <v>193</v>
      </c>
      <c r="Q61" s="152" t="s">
        <v>185</v>
      </c>
    </row>
    <row r="62" spans="1:19" s="50" customFormat="1" ht="82.5" x14ac:dyDescent="0.35">
      <c r="A62" s="24" t="str">
        <f>_xlfn.XLOOKUP(B62,'Paso 3 Redacción RA '!I$3:I$12,'Paso 3 Redacción RA '!C$3:C$12,,0,1)</f>
        <v>Saber</v>
      </c>
      <c r="B62" s="16" t="s">
        <v>95</v>
      </c>
      <c r="C62" s="116"/>
      <c r="D62" s="116"/>
      <c r="E62" s="153"/>
      <c r="F62" s="116"/>
      <c r="G62" s="116"/>
      <c r="H62" s="116"/>
      <c r="I62" s="116"/>
      <c r="J62" s="116"/>
      <c r="K62" s="116"/>
      <c r="L62" s="116"/>
      <c r="M62" s="116"/>
      <c r="N62" s="153"/>
      <c r="O62" s="153"/>
      <c r="P62" s="153"/>
      <c r="Q62" s="153"/>
    </row>
    <row r="63" spans="1:19" s="50" customFormat="1" ht="66" x14ac:dyDescent="0.35">
      <c r="A63" s="24" t="str">
        <f>_xlfn.XLOOKUP(B63,'Paso 3 Redacción RA '!I$3:I$12,'Paso 3 Redacción RA '!C$3:C$12,,0,1)</f>
        <v>Saberhacer</v>
      </c>
      <c r="B63" s="16" t="s">
        <v>98</v>
      </c>
      <c r="C63" s="116"/>
      <c r="D63" s="116"/>
      <c r="E63" s="153"/>
      <c r="F63" s="116"/>
      <c r="G63" s="116"/>
      <c r="H63" s="116"/>
      <c r="I63" s="116"/>
      <c r="J63" s="116"/>
      <c r="K63" s="116"/>
      <c r="L63" s="116"/>
      <c r="M63" s="116"/>
      <c r="N63" s="153"/>
      <c r="O63" s="153"/>
      <c r="P63" s="153"/>
      <c r="Q63" s="153"/>
    </row>
    <row r="64" spans="1:19" s="50" customFormat="1" ht="49.5" x14ac:dyDescent="0.35">
      <c r="A64" s="24" t="str">
        <f>_xlfn.XLOOKUP(B64,'Paso 3 Redacción RA '!I$3:I$12,'Paso 3 Redacción RA '!C$3:C$12,,0,1)</f>
        <v>Saberser</v>
      </c>
      <c r="B64" s="16" t="s">
        <v>101</v>
      </c>
      <c r="C64" s="116"/>
      <c r="D64" s="116"/>
      <c r="E64" s="153"/>
      <c r="F64" s="116"/>
      <c r="G64" s="116"/>
      <c r="H64" s="116"/>
      <c r="I64" s="116"/>
      <c r="J64" s="116"/>
      <c r="K64" s="116"/>
      <c r="L64" s="116"/>
      <c r="M64" s="116"/>
      <c r="N64" s="153"/>
      <c r="O64" s="153"/>
      <c r="P64" s="153"/>
      <c r="Q64" s="153"/>
    </row>
    <row r="65" spans="1:19" s="50" customFormat="1" ht="50" thickBot="1" x14ac:dyDescent="0.4">
      <c r="A65" s="80" t="str">
        <f>_xlfn.XLOOKUP(B65,'Paso 3 Redacción RA '!I$3:I$12,'Paso 3 Redacción RA '!C$3:C$12,,0,1)</f>
        <v>Saber</v>
      </c>
      <c r="B65" s="27" t="s">
        <v>103</v>
      </c>
      <c r="C65" s="136"/>
      <c r="D65" s="136"/>
      <c r="E65" s="154"/>
      <c r="F65" s="136"/>
      <c r="G65" s="136"/>
      <c r="H65" s="136"/>
      <c r="I65" s="136"/>
      <c r="J65" s="136"/>
      <c r="K65" s="136"/>
      <c r="L65" s="136"/>
      <c r="M65" s="136"/>
      <c r="N65" s="154"/>
      <c r="O65" s="154"/>
      <c r="P65" s="154"/>
      <c r="Q65" s="154"/>
    </row>
    <row r="66" spans="1:19" s="50" customFormat="1" ht="49.5" x14ac:dyDescent="0.35">
      <c r="A66" s="24" t="str">
        <f>_xlfn.XLOOKUP(B66,'Paso 3 Redacción RA '!I$3:I$12,'Paso 3 Redacción RA '!C$3:C$12,,0,1)</f>
        <v>Saber</v>
      </c>
      <c r="B66" s="16" t="s">
        <v>87</v>
      </c>
      <c r="C66" s="138">
        <v>5</v>
      </c>
      <c r="D66" s="138" t="s">
        <v>257</v>
      </c>
      <c r="E66" s="152" t="s">
        <v>258</v>
      </c>
      <c r="F66" s="138" t="s">
        <v>180</v>
      </c>
      <c r="G66" s="138"/>
      <c r="H66" s="138" t="s">
        <v>181</v>
      </c>
      <c r="I66" s="138"/>
      <c r="J66" s="138">
        <v>3</v>
      </c>
      <c r="K66" s="138">
        <f>J66*12</f>
        <v>36</v>
      </c>
      <c r="L66" s="138">
        <f>36*J66</f>
        <v>108</v>
      </c>
      <c r="M66" s="138">
        <f>SUM(K66:L66)</f>
        <v>144</v>
      </c>
      <c r="N66" s="152" t="s">
        <v>259</v>
      </c>
      <c r="O66" s="152" t="s">
        <v>198</v>
      </c>
      <c r="P66" s="152" t="s">
        <v>193</v>
      </c>
      <c r="Q66" s="152" t="s">
        <v>185</v>
      </c>
    </row>
    <row r="67" spans="1:19" s="50" customFormat="1" ht="49.5" x14ac:dyDescent="0.35">
      <c r="A67" s="24" t="str">
        <f>_xlfn.XLOOKUP(B67,'Paso 3 Redacción RA '!I$3:I$12,'Paso 3 Redacción RA '!C$3:C$12,,0,1)</f>
        <v>Saberhacer</v>
      </c>
      <c r="B67" s="16" t="s">
        <v>91</v>
      </c>
      <c r="C67" s="116"/>
      <c r="D67" s="116"/>
      <c r="E67" s="153"/>
      <c r="F67" s="116"/>
      <c r="G67" s="116"/>
      <c r="H67" s="116"/>
      <c r="I67" s="116"/>
      <c r="J67" s="116"/>
      <c r="K67" s="116"/>
      <c r="L67" s="116"/>
      <c r="M67" s="116"/>
      <c r="N67" s="153"/>
      <c r="O67" s="153"/>
      <c r="P67" s="153"/>
      <c r="Q67" s="153"/>
    </row>
    <row r="68" spans="1:19" s="50" customFormat="1" ht="82.5" x14ac:dyDescent="0.35">
      <c r="A68" s="24" t="str">
        <f>_xlfn.XLOOKUP(B68,'Paso 3 Redacción RA '!I$3:I$12,'Paso 3 Redacción RA '!C$3:C$12,,0,1)</f>
        <v>Saber</v>
      </c>
      <c r="B68" s="16" t="s">
        <v>95</v>
      </c>
      <c r="C68" s="116"/>
      <c r="D68" s="116"/>
      <c r="E68" s="153"/>
      <c r="F68" s="116"/>
      <c r="G68" s="116"/>
      <c r="H68" s="116"/>
      <c r="I68" s="116"/>
      <c r="J68" s="116"/>
      <c r="K68" s="116"/>
      <c r="L68" s="116"/>
      <c r="M68" s="116"/>
      <c r="N68" s="153"/>
      <c r="O68" s="153"/>
      <c r="P68" s="153"/>
      <c r="Q68" s="153"/>
    </row>
    <row r="69" spans="1:19" s="50" customFormat="1" ht="49.5" x14ac:dyDescent="0.35">
      <c r="A69" s="24" t="str">
        <f>_xlfn.XLOOKUP(B69,'Paso 3 Redacción RA '!I$3:I$12,'Paso 3 Redacción RA '!C$3:C$12,,0,1)</f>
        <v>Saberser</v>
      </c>
      <c r="B69" s="16" t="s">
        <v>101</v>
      </c>
      <c r="C69" s="116"/>
      <c r="D69" s="116"/>
      <c r="E69" s="153"/>
      <c r="F69" s="116"/>
      <c r="G69" s="116"/>
      <c r="H69" s="116"/>
      <c r="I69" s="116"/>
      <c r="J69" s="116"/>
      <c r="K69" s="116"/>
      <c r="L69" s="116"/>
      <c r="M69" s="116"/>
      <c r="N69" s="153"/>
      <c r="O69" s="153"/>
      <c r="P69" s="153"/>
      <c r="Q69" s="153"/>
    </row>
    <row r="70" spans="1:19" s="50" customFormat="1" ht="50" thickBot="1" x14ac:dyDescent="0.4">
      <c r="A70" s="80" t="str">
        <f>_xlfn.XLOOKUP(B70,'Paso 3 Redacción RA '!I$3:I$12,'Paso 3 Redacción RA '!C$3:C$12,,0,1)</f>
        <v>Saber</v>
      </c>
      <c r="B70" s="27" t="s">
        <v>103</v>
      </c>
      <c r="C70" s="136"/>
      <c r="D70" s="136"/>
      <c r="E70" s="156"/>
      <c r="F70" s="136"/>
      <c r="G70" s="136"/>
      <c r="H70" s="136"/>
      <c r="I70" s="136"/>
      <c r="J70" s="136"/>
      <c r="K70" s="136"/>
      <c r="L70" s="136"/>
      <c r="M70" s="136"/>
      <c r="N70" s="154"/>
      <c r="O70" s="154"/>
      <c r="P70" s="154"/>
      <c r="Q70" s="154"/>
    </row>
    <row r="71" spans="1:19" s="50" customFormat="1" ht="49.5" x14ac:dyDescent="0.35">
      <c r="A71" s="24" t="str">
        <f>_xlfn.XLOOKUP(B71,'Paso 3 Redacción RA '!I$3:I$12,'Paso 3 Redacción RA '!C$3:C$12,,0,1)</f>
        <v>Saber</v>
      </c>
      <c r="B71" s="16" t="s">
        <v>87</v>
      </c>
      <c r="C71" s="138">
        <v>5</v>
      </c>
      <c r="D71" s="138" t="s">
        <v>260</v>
      </c>
      <c r="E71" s="153" t="s">
        <v>261</v>
      </c>
      <c r="F71" s="138" t="s">
        <v>180</v>
      </c>
      <c r="G71" s="138"/>
      <c r="H71" s="138" t="s">
        <v>181</v>
      </c>
      <c r="I71" s="138"/>
      <c r="J71" s="138">
        <v>3</v>
      </c>
      <c r="K71" s="138">
        <f>J71*12</f>
        <v>36</v>
      </c>
      <c r="L71" s="138">
        <f>36*J71</f>
        <v>108</v>
      </c>
      <c r="M71" s="138">
        <f>SUM(K71:L71)</f>
        <v>144</v>
      </c>
      <c r="N71" s="152" t="s">
        <v>262</v>
      </c>
      <c r="O71" s="152" t="s">
        <v>198</v>
      </c>
      <c r="P71" s="152" t="s">
        <v>193</v>
      </c>
      <c r="Q71" s="152" t="s">
        <v>185</v>
      </c>
    </row>
    <row r="72" spans="1:19" s="50" customFormat="1" ht="82.5" x14ac:dyDescent="0.35">
      <c r="A72" s="24" t="str">
        <f>_xlfn.XLOOKUP(B72,'Paso 3 Redacción RA '!I$3:I$12,'Paso 3 Redacción RA '!C$3:C$12,,0,1)</f>
        <v>Saber</v>
      </c>
      <c r="B72" s="16" t="s">
        <v>95</v>
      </c>
      <c r="C72" s="116"/>
      <c r="D72" s="116"/>
      <c r="E72" s="153"/>
      <c r="F72" s="116"/>
      <c r="G72" s="116"/>
      <c r="H72" s="116"/>
      <c r="I72" s="116"/>
      <c r="J72" s="116"/>
      <c r="K72" s="116"/>
      <c r="L72" s="116"/>
      <c r="M72" s="116"/>
      <c r="N72" s="153"/>
      <c r="O72" s="153"/>
      <c r="P72" s="153"/>
      <c r="Q72" s="153"/>
    </row>
    <row r="73" spans="1:19" s="50" customFormat="1" ht="66" x14ac:dyDescent="0.35">
      <c r="A73" s="24" t="str">
        <f>_xlfn.XLOOKUP(B73,'Paso 3 Redacción RA '!I$3:I$12,'Paso 3 Redacción RA '!C$3:C$12,,0,1)</f>
        <v>Saberhacer</v>
      </c>
      <c r="B73" s="16" t="s">
        <v>98</v>
      </c>
      <c r="C73" s="116"/>
      <c r="D73" s="116"/>
      <c r="E73" s="153"/>
      <c r="F73" s="116"/>
      <c r="G73" s="116"/>
      <c r="H73" s="116"/>
      <c r="I73" s="116"/>
      <c r="J73" s="116"/>
      <c r="K73" s="116"/>
      <c r="L73" s="116"/>
      <c r="M73" s="116"/>
      <c r="N73" s="153"/>
      <c r="O73" s="153"/>
      <c r="P73" s="153"/>
      <c r="Q73" s="153"/>
    </row>
    <row r="74" spans="1:19" s="50" customFormat="1" ht="49.5" x14ac:dyDescent="0.35">
      <c r="A74" s="24" t="str">
        <f>_xlfn.XLOOKUP(B74,'Paso 3 Redacción RA '!I$3:I$12,'Paso 3 Redacción RA '!C$3:C$12,,0,1)</f>
        <v>Saberser</v>
      </c>
      <c r="B74" s="16" t="s">
        <v>101</v>
      </c>
      <c r="C74" s="116"/>
      <c r="D74" s="116"/>
      <c r="E74" s="153"/>
      <c r="F74" s="116"/>
      <c r="G74" s="116"/>
      <c r="H74" s="116"/>
      <c r="I74" s="116"/>
      <c r="J74" s="116"/>
      <c r="K74" s="116"/>
      <c r="L74" s="116"/>
      <c r="M74" s="116"/>
      <c r="N74" s="153"/>
      <c r="O74" s="153"/>
      <c r="P74" s="153"/>
      <c r="Q74" s="153"/>
    </row>
    <row r="75" spans="1:19" s="50" customFormat="1" ht="50" thickBot="1" x14ac:dyDescent="0.4">
      <c r="A75" s="80" t="str">
        <f>_xlfn.XLOOKUP(B75,'Paso 3 Redacción RA '!I$3:I$12,'Paso 3 Redacción RA '!C$3:C$12,,0,1)</f>
        <v>Saber</v>
      </c>
      <c r="B75" s="27" t="s">
        <v>103</v>
      </c>
      <c r="C75" s="136"/>
      <c r="D75" s="136"/>
      <c r="E75" s="156"/>
      <c r="F75" s="157"/>
      <c r="G75" s="157"/>
      <c r="H75" s="157"/>
      <c r="I75" s="157"/>
      <c r="J75" s="157"/>
      <c r="K75" s="136"/>
      <c r="L75" s="136"/>
      <c r="M75" s="157"/>
      <c r="N75" s="156"/>
      <c r="O75" s="154"/>
      <c r="P75" s="154"/>
      <c r="Q75" s="154"/>
    </row>
    <row r="76" spans="1:19" s="50" customFormat="1" ht="49.5" x14ac:dyDescent="0.35">
      <c r="A76" s="24" t="str">
        <f>_xlfn.XLOOKUP(B76,'Paso 3 Redacción RA '!I$3:I$12,'Paso 3 Redacción RA '!C$3:C$12,,0,1)</f>
        <v>Saberhacer</v>
      </c>
      <c r="B76" s="16" t="s">
        <v>91</v>
      </c>
      <c r="C76" s="138">
        <v>5</v>
      </c>
      <c r="D76" s="138" t="s">
        <v>263</v>
      </c>
      <c r="E76" s="153" t="s">
        <v>264</v>
      </c>
      <c r="F76" s="116" t="s">
        <v>180</v>
      </c>
      <c r="G76" s="116"/>
      <c r="H76" s="116" t="s">
        <v>181</v>
      </c>
      <c r="I76" s="116"/>
      <c r="J76" s="116">
        <v>4</v>
      </c>
      <c r="K76" s="147">
        <f>J76*12</f>
        <v>48</v>
      </c>
      <c r="L76" s="147">
        <f>36*J76</f>
        <v>144</v>
      </c>
      <c r="M76" s="116">
        <f>SUM(K76:L76)</f>
        <v>192</v>
      </c>
      <c r="N76" s="153" t="s">
        <v>265</v>
      </c>
      <c r="O76" s="152" t="s">
        <v>231</v>
      </c>
      <c r="P76" s="152" t="s">
        <v>193</v>
      </c>
      <c r="Q76" s="152" t="s">
        <v>185</v>
      </c>
    </row>
    <row r="77" spans="1:19" s="50" customFormat="1" ht="49.5" x14ac:dyDescent="0.35">
      <c r="A77" s="24" t="str">
        <f>_xlfn.XLOOKUP(B77,'Paso 3 Redacción RA '!I$3:I$12,'Paso 3 Redacción RA '!C$3:C$12,,0,1)</f>
        <v>Saberhacer</v>
      </c>
      <c r="B77" s="16" t="s">
        <v>91</v>
      </c>
      <c r="C77" s="116"/>
      <c r="D77" s="116"/>
      <c r="E77" s="153"/>
      <c r="F77" s="116"/>
      <c r="G77" s="116"/>
      <c r="H77" s="116"/>
      <c r="I77" s="116"/>
      <c r="J77" s="116"/>
      <c r="K77" s="147"/>
      <c r="L77" s="147"/>
      <c r="M77" s="116"/>
      <c r="N77" s="153"/>
      <c r="O77" s="153"/>
      <c r="P77" s="153"/>
      <c r="Q77" s="153"/>
    </row>
    <row r="78" spans="1:19" s="50" customFormat="1" ht="50" thickBot="1" x14ac:dyDescent="0.4">
      <c r="A78" s="80" t="str">
        <f>_xlfn.XLOOKUP(B78,'Paso 3 Redacción RA '!I$3:I$12,'Paso 3 Redacción RA '!C$3:C$12,,0,1)</f>
        <v>Saber</v>
      </c>
      <c r="B78" s="27" t="s">
        <v>103</v>
      </c>
      <c r="C78" s="136"/>
      <c r="D78" s="136"/>
      <c r="E78" s="154"/>
      <c r="F78" s="136"/>
      <c r="G78" s="136"/>
      <c r="H78" s="136"/>
      <c r="I78" s="136"/>
      <c r="J78" s="136"/>
      <c r="K78" s="148"/>
      <c r="L78" s="148"/>
      <c r="M78" s="136"/>
      <c r="N78" s="154"/>
      <c r="O78" s="154"/>
      <c r="P78" s="154"/>
      <c r="Q78" s="154"/>
      <c r="R78" s="50">
        <f>SUM(J56:J78)</f>
        <v>16</v>
      </c>
      <c r="S78" s="50">
        <f>COUNTA(D56:D78)</f>
        <v>5</v>
      </c>
    </row>
    <row r="79" spans="1:19" s="50" customFormat="1" ht="49.5" x14ac:dyDescent="0.35">
      <c r="A79" s="24" t="str">
        <f>_xlfn.XLOOKUP(B79,'Paso 3 Redacción RA '!I$3:I$12,'Paso 3 Redacción RA '!C$3:C$12,,0,1)</f>
        <v>Saber</v>
      </c>
      <c r="B79" s="16" t="s">
        <v>87</v>
      </c>
      <c r="C79" s="138">
        <v>6</v>
      </c>
      <c r="D79" s="138" t="s">
        <v>266</v>
      </c>
      <c r="E79" s="152" t="s">
        <v>267</v>
      </c>
      <c r="F79" s="138" t="s">
        <v>180</v>
      </c>
      <c r="G79" s="138"/>
      <c r="H79" s="138" t="s">
        <v>181</v>
      </c>
      <c r="I79" s="138"/>
      <c r="J79" s="138">
        <v>3</v>
      </c>
      <c r="K79" s="138">
        <f>J79*12</f>
        <v>36</v>
      </c>
      <c r="L79" s="138">
        <f>36*J79</f>
        <v>108</v>
      </c>
      <c r="M79" s="138">
        <f>SUM(K79:L79)</f>
        <v>144</v>
      </c>
      <c r="N79" s="152" t="s">
        <v>268</v>
      </c>
      <c r="O79" s="152" t="s">
        <v>198</v>
      </c>
      <c r="P79" s="152" t="s">
        <v>193</v>
      </c>
      <c r="Q79" s="152" t="s">
        <v>185</v>
      </c>
    </row>
    <row r="80" spans="1:19" s="50" customFormat="1" ht="82.5" x14ac:dyDescent="0.35">
      <c r="A80" s="24" t="str">
        <f>_xlfn.XLOOKUP(B80,'Paso 3 Redacción RA '!I$3:I$12,'Paso 3 Redacción RA '!C$3:C$12,,0,1)</f>
        <v>Saber</v>
      </c>
      <c r="B80" s="16" t="s">
        <v>95</v>
      </c>
      <c r="C80" s="116"/>
      <c r="D80" s="116"/>
      <c r="E80" s="153"/>
      <c r="F80" s="116"/>
      <c r="G80" s="116"/>
      <c r="H80" s="116"/>
      <c r="I80" s="116"/>
      <c r="J80" s="116"/>
      <c r="K80" s="116"/>
      <c r="L80" s="116"/>
      <c r="M80" s="116"/>
      <c r="N80" s="153"/>
      <c r="O80" s="153"/>
      <c r="P80" s="153"/>
      <c r="Q80" s="153"/>
    </row>
    <row r="81" spans="1:17" s="50" customFormat="1" ht="66" x14ac:dyDescent="0.35">
      <c r="A81" s="24" t="str">
        <f>_xlfn.XLOOKUP(B81,'Paso 3 Redacción RA '!I$3:I$12,'Paso 3 Redacción RA '!C$3:C$12,,0,1)</f>
        <v>Saberhacer</v>
      </c>
      <c r="B81" s="16" t="s">
        <v>98</v>
      </c>
      <c r="C81" s="116"/>
      <c r="D81" s="116"/>
      <c r="E81" s="153"/>
      <c r="F81" s="116"/>
      <c r="G81" s="116"/>
      <c r="H81" s="116"/>
      <c r="I81" s="116"/>
      <c r="J81" s="116"/>
      <c r="K81" s="116"/>
      <c r="L81" s="116"/>
      <c r="M81" s="116"/>
      <c r="N81" s="153"/>
      <c r="O81" s="153"/>
      <c r="P81" s="153"/>
      <c r="Q81" s="153"/>
    </row>
    <row r="82" spans="1:17" s="50" customFormat="1" ht="49.5" x14ac:dyDescent="0.35">
      <c r="A82" s="24" t="str">
        <f>_xlfn.XLOOKUP(B82,'Paso 3 Redacción RA '!I$3:I$12,'Paso 3 Redacción RA '!C$3:C$12,,0,1)</f>
        <v>Saberser</v>
      </c>
      <c r="B82" s="16" t="s">
        <v>101</v>
      </c>
      <c r="C82" s="116"/>
      <c r="D82" s="116"/>
      <c r="E82" s="153"/>
      <c r="F82" s="116"/>
      <c r="G82" s="116"/>
      <c r="H82" s="116"/>
      <c r="I82" s="116"/>
      <c r="J82" s="116"/>
      <c r="K82" s="116"/>
      <c r="L82" s="116"/>
      <c r="M82" s="116"/>
      <c r="N82" s="153"/>
      <c r="O82" s="153"/>
      <c r="P82" s="153"/>
      <c r="Q82" s="153"/>
    </row>
    <row r="83" spans="1:17" s="50" customFormat="1" ht="50" thickBot="1" x14ac:dyDescent="0.4">
      <c r="A83" s="80" t="str">
        <f>_xlfn.XLOOKUP(B83,'Paso 3 Redacción RA '!I$3:I$12,'Paso 3 Redacción RA '!C$3:C$12,,0,1)</f>
        <v>Saber</v>
      </c>
      <c r="B83" s="27" t="s">
        <v>103</v>
      </c>
      <c r="C83" s="136"/>
      <c r="D83" s="136"/>
      <c r="E83" s="154"/>
      <c r="F83" s="136"/>
      <c r="G83" s="136"/>
      <c r="H83" s="136"/>
      <c r="I83" s="136"/>
      <c r="J83" s="136"/>
      <c r="K83" s="136"/>
      <c r="L83" s="136"/>
      <c r="M83" s="136"/>
      <c r="N83" s="154"/>
      <c r="O83" s="154"/>
      <c r="P83" s="154"/>
      <c r="Q83" s="154"/>
    </row>
    <row r="84" spans="1:17" s="50" customFormat="1" ht="49.5" x14ac:dyDescent="0.35">
      <c r="A84" s="24" t="str">
        <f>_xlfn.XLOOKUP(B84,'Paso 3 Redacción RA '!I$3:I$12,'Paso 3 Redacción RA '!C$3:C$12,,0,1)</f>
        <v>Saber</v>
      </c>
      <c r="B84" s="16" t="s">
        <v>87</v>
      </c>
      <c r="C84" s="138">
        <v>6</v>
      </c>
      <c r="D84" s="138" t="s">
        <v>269</v>
      </c>
      <c r="E84" s="152" t="s">
        <v>270</v>
      </c>
      <c r="F84" s="138" t="s">
        <v>180</v>
      </c>
      <c r="G84" s="138"/>
      <c r="H84" s="138" t="s">
        <v>181</v>
      </c>
      <c r="I84" s="138"/>
      <c r="J84" s="138">
        <v>3</v>
      </c>
      <c r="K84" s="138">
        <f>J84*12</f>
        <v>36</v>
      </c>
      <c r="L84" s="138">
        <f>36*J84</f>
        <v>108</v>
      </c>
      <c r="M84" s="138">
        <f>SUM(K84:L84)</f>
        <v>144</v>
      </c>
      <c r="N84" s="152" t="s">
        <v>271</v>
      </c>
      <c r="O84" s="152" t="s">
        <v>183</v>
      </c>
      <c r="P84" s="152" t="s">
        <v>184</v>
      </c>
      <c r="Q84" s="152" t="s">
        <v>185</v>
      </c>
    </row>
    <row r="85" spans="1:17" s="50" customFormat="1" ht="49.5" x14ac:dyDescent="0.35">
      <c r="A85" s="24" t="str">
        <f>_xlfn.XLOOKUP(B85,'Paso 3 Redacción RA '!I$3:I$12,'Paso 3 Redacción RA '!C$3:C$12,,0,1)</f>
        <v>Saberhacer</v>
      </c>
      <c r="B85" s="16" t="s">
        <v>91</v>
      </c>
      <c r="C85" s="116"/>
      <c r="D85" s="116"/>
      <c r="E85" s="153"/>
      <c r="F85" s="116"/>
      <c r="G85" s="116"/>
      <c r="H85" s="116"/>
      <c r="I85" s="116"/>
      <c r="J85" s="116"/>
      <c r="K85" s="116"/>
      <c r="L85" s="116"/>
      <c r="M85" s="116"/>
      <c r="N85" s="153"/>
      <c r="O85" s="153"/>
      <c r="P85" s="153"/>
      <c r="Q85" s="153"/>
    </row>
    <row r="86" spans="1:17" s="50" customFormat="1" ht="82.5" x14ac:dyDescent="0.35">
      <c r="A86" s="24" t="str">
        <f>_xlfn.XLOOKUP(B86,'Paso 3 Redacción RA '!I$3:I$12,'Paso 3 Redacción RA '!C$3:C$12,,0,1)</f>
        <v>Saber</v>
      </c>
      <c r="B86" s="16" t="s">
        <v>95</v>
      </c>
      <c r="C86" s="116"/>
      <c r="D86" s="116"/>
      <c r="E86" s="153"/>
      <c r="F86" s="116"/>
      <c r="G86" s="116"/>
      <c r="H86" s="116"/>
      <c r="I86" s="116"/>
      <c r="J86" s="116"/>
      <c r="K86" s="116"/>
      <c r="L86" s="116"/>
      <c r="M86" s="116"/>
      <c r="N86" s="153"/>
      <c r="O86" s="153"/>
      <c r="P86" s="153"/>
      <c r="Q86" s="153"/>
    </row>
    <row r="87" spans="1:17" s="50" customFormat="1" ht="49.5" x14ac:dyDescent="0.35">
      <c r="A87" s="24" t="str">
        <f>_xlfn.XLOOKUP(B87,'Paso 3 Redacción RA '!I$3:I$12,'Paso 3 Redacción RA '!C$3:C$12,,0,1)</f>
        <v>Saberser</v>
      </c>
      <c r="B87" s="16" t="s">
        <v>101</v>
      </c>
      <c r="C87" s="116"/>
      <c r="D87" s="116"/>
      <c r="E87" s="153"/>
      <c r="F87" s="116"/>
      <c r="G87" s="116"/>
      <c r="H87" s="116"/>
      <c r="I87" s="116"/>
      <c r="J87" s="116"/>
      <c r="K87" s="116"/>
      <c r="L87" s="116"/>
      <c r="M87" s="116"/>
      <c r="N87" s="153"/>
      <c r="O87" s="153"/>
      <c r="P87" s="153"/>
      <c r="Q87" s="153"/>
    </row>
    <row r="88" spans="1:17" s="50" customFormat="1" ht="50" thickBot="1" x14ac:dyDescent="0.4">
      <c r="A88" s="80" t="str">
        <f>_xlfn.XLOOKUP(B88,'Paso 3 Redacción RA '!I$3:I$12,'Paso 3 Redacción RA '!C$3:C$12,,0,1)</f>
        <v>Saber</v>
      </c>
      <c r="B88" s="27" t="s">
        <v>103</v>
      </c>
      <c r="C88" s="136"/>
      <c r="D88" s="136"/>
      <c r="E88" s="154"/>
      <c r="F88" s="136"/>
      <c r="G88" s="136"/>
      <c r="H88" s="136"/>
      <c r="I88" s="136"/>
      <c r="J88" s="136"/>
      <c r="K88" s="136"/>
      <c r="L88" s="136"/>
      <c r="M88" s="136"/>
      <c r="N88" s="154"/>
      <c r="O88" s="154"/>
      <c r="P88" s="154"/>
      <c r="Q88" s="154"/>
    </row>
    <row r="89" spans="1:17" s="50" customFormat="1" ht="49.5" x14ac:dyDescent="0.35">
      <c r="A89" s="24" t="str">
        <f>_xlfn.XLOOKUP(B89,'Paso 3 Redacción RA '!I$3:I$12,'Paso 3 Redacción RA '!C$3:C$12,,0,1)</f>
        <v>Saber</v>
      </c>
      <c r="B89" s="16" t="s">
        <v>87</v>
      </c>
      <c r="C89" s="138">
        <v>6</v>
      </c>
      <c r="D89" s="138" t="s">
        <v>272</v>
      </c>
      <c r="E89" s="152" t="s">
        <v>273</v>
      </c>
      <c r="F89" s="138" t="s">
        <v>180</v>
      </c>
      <c r="G89" s="138"/>
      <c r="H89" s="138" t="s">
        <v>181</v>
      </c>
      <c r="I89" s="138"/>
      <c r="J89" s="138">
        <v>3</v>
      </c>
      <c r="K89" s="138">
        <f>J89*12</f>
        <v>36</v>
      </c>
      <c r="L89" s="138">
        <f>36*J89</f>
        <v>108</v>
      </c>
      <c r="M89" s="138">
        <f>SUM(K89:L89)</f>
        <v>144</v>
      </c>
      <c r="N89" s="152" t="s">
        <v>274</v>
      </c>
      <c r="O89" s="152" t="s">
        <v>198</v>
      </c>
      <c r="P89" s="152" t="s">
        <v>184</v>
      </c>
      <c r="Q89" s="152" t="s">
        <v>185</v>
      </c>
    </row>
    <row r="90" spans="1:17" s="50" customFormat="1" ht="82.5" x14ac:dyDescent="0.35">
      <c r="A90" s="24" t="str">
        <f>_xlfn.XLOOKUP(B90,'Paso 3 Redacción RA '!I$3:I$12,'Paso 3 Redacción RA '!C$3:C$12,,0,1)</f>
        <v>Saber</v>
      </c>
      <c r="B90" s="16" t="s">
        <v>95</v>
      </c>
      <c r="C90" s="116"/>
      <c r="D90" s="116"/>
      <c r="E90" s="153"/>
      <c r="F90" s="116"/>
      <c r="G90" s="116"/>
      <c r="H90" s="116"/>
      <c r="I90" s="116"/>
      <c r="J90" s="116"/>
      <c r="K90" s="116"/>
      <c r="L90" s="116"/>
      <c r="M90" s="116"/>
      <c r="N90" s="153"/>
      <c r="O90" s="153"/>
      <c r="P90" s="153"/>
      <c r="Q90" s="153"/>
    </row>
    <row r="91" spans="1:17" s="50" customFormat="1" ht="66" x14ac:dyDescent="0.35">
      <c r="A91" s="24" t="str">
        <f>_xlfn.XLOOKUP(B91,'Paso 3 Redacción RA '!I$3:I$12,'Paso 3 Redacción RA '!C$3:C$12,,0,1)</f>
        <v>Saberhacer</v>
      </c>
      <c r="B91" s="16" t="s">
        <v>98</v>
      </c>
      <c r="C91" s="116"/>
      <c r="D91" s="116"/>
      <c r="E91" s="153"/>
      <c r="F91" s="116"/>
      <c r="G91" s="116"/>
      <c r="H91" s="116"/>
      <c r="I91" s="116"/>
      <c r="J91" s="116"/>
      <c r="K91" s="116"/>
      <c r="L91" s="116"/>
      <c r="M91" s="116"/>
      <c r="N91" s="153"/>
      <c r="O91" s="153"/>
      <c r="P91" s="153"/>
      <c r="Q91" s="153"/>
    </row>
    <row r="92" spans="1:17" s="50" customFormat="1" ht="49.5" x14ac:dyDescent="0.35">
      <c r="A92" s="24" t="str">
        <f>_xlfn.XLOOKUP(B92,'Paso 3 Redacción RA '!I$3:I$12,'Paso 3 Redacción RA '!C$3:C$12,,0,1)</f>
        <v>Saberser</v>
      </c>
      <c r="B92" s="16" t="s">
        <v>101</v>
      </c>
      <c r="C92" s="116"/>
      <c r="D92" s="116"/>
      <c r="E92" s="153"/>
      <c r="F92" s="116"/>
      <c r="G92" s="116"/>
      <c r="H92" s="116"/>
      <c r="I92" s="116"/>
      <c r="J92" s="116"/>
      <c r="K92" s="116"/>
      <c r="L92" s="116"/>
      <c r="M92" s="116"/>
      <c r="N92" s="153"/>
      <c r="O92" s="153"/>
      <c r="P92" s="153"/>
      <c r="Q92" s="153"/>
    </row>
    <row r="93" spans="1:17" s="50" customFormat="1" ht="50" thickBot="1" x14ac:dyDescent="0.4">
      <c r="A93" s="80" t="str">
        <f>_xlfn.XLOOKUP(B93,'Paso 3 Redacción RA '!I$3:I$12,'Paso 3 Redacción RA '!C$3:C$12,,0,1)</f>
        <v>Saber</v>
      </c>
      <c r="B93" s="27" t="s">
        <v>103</v>
      </c>
      <c r="C93" s="136"/>
      <c r="D93" s="136"/>
      <c r="E93" s="154"/>
      <c r="F93" s="136"/>
      <c r="G93" s="136"/>
      <c r="H93" s="136"/>
      <c r="I93" s="136"/>
      <c r="J93" s="136"/>
      <c r="K93" s="136"/>
      <c r="L93" s="136"/>
      <c r="M93" s="136"/>
      <c r="N93" s="154"/>
      <c r="O93" s="154"/>
      <c r="P93" s="154"/>
      <c r="Q93" s="154"/>
    </row>
    <row r="94" spans="1:17" s="50" customFormat="1" ht="49.5" x14ac:dyDescent="0.35">
      <c r="A94" s="24" t="str">
        <f>_xlfn.XLOOKUP(B94,'Paso 3 Redacción RA '!I$3:I$12,'Paso 3 Redacción RA '!C$3:C$12,,0,1)</f>
        <v>Saber</v>
      </c>
      <c r="B94" s="16" t="s">
        <v>87</v>
      </c>
      <c r="C94" s="138">
        <v>6</v>
      </c>
      <c r="D94" s="138" t="s">
        <v>275</v>
      </c>
      <c r="E94" s="152" t="s">
        <v>276</v>
      </c>
      <c r="F94" s="138" t="s">
        <v>180</v>
      </c>
      <c r="G94" s="138"/>
      <c r="H94" s="138" t="s">
        <v>181</v>
      </c>
      <c r="I94" s="138"/>
      <c r="J94" s="138">
        <v>4</v>
      </c>
      <c r="K94" s="138">
        <f>J94*12</f>
        <v>48</v>
      </c>
      <c r="L94" s="138">
        <f>36*J94</f>
        <v>144</v>
      </c>
      <c r="M94" s="138">
        <f>SUM(K94:L94)</f>
        <v>192</v>
      </c>
      <c r="N94" s="152" t="s">
        <v>277</v>
      </c>
      <c r="O94" s="152" t="s">
        <v>183</v>
      </c>
      <c r="P94" s="152" t="s">
        <v>184</v>
      </c>
      <c r="Q94" s="152" t="s">
        <v>185</v>
      </c>
    </row>
    <row r="95" spans="1:17" s="50" customFormat="1" ht="49.5" x14ac:dyDescent="0.35">
      <c r="A95" s="24" t="str">
        <f>_xlfn.XLOOKUP(B95,'Paso 3 Redacción RA '!I$3:I$12,'Paso 3 Redacción RA '!C$3:C$12,,0,1)</f>
        <v>Saberhacer</v>
      </c>
      <c r="B95" s="16" t="s">
        <v>91</v>
      </c>
      <c r="C95" s="116"/>
      <c r="D95" s="116"/>
      <c r="E95" s="153"/>
      <c r="F95" s="116"/>
      <c r="G95" s="116"/>
      <c r="H95" s="116"/>
      <c r="I95" s="116"/>
      <c r="J95" s="116"/>
      <c r="K95" s="116"/>
      <c r="L95" s="116"/>
      <c r="M95" s="116"/>
      <c r="N95" s="153"/>
      <c r="O95" s="153"/>
      <c r="P95" s="153"/>
      <c r="Q95" s="153"/>
    </row>
    <row r="96" spans="1:17" s="50" customFormat="1" ht="82.5" x14ac:dyDescent="0.35">
      <c r="A96" s="24" t="str">
        <f>_xlfn.XLOOKUP(B96,'Paso 3 Redacción RA '!I$3:I$12,'Paso 3 Redacción RA '!C$3:C$12,,0,1)</f>
        <v>Saber</v>
      </c>
      <c r="B96" s="16" t="s">
        <v>95</v>
      </c>
      <c r="C96" s="116"/>
      <c r="D96" s="116"/>
      <c r="E96" s="153"/>
      <c r="F96" s="116"/>
      <c r="G96" s="116"/>
      <c r="H96" s="116"/>
      <c r="I96" s="116"/>
      <c r="J96" s="116"/>
      <c r="K96" s="116"/>
      <c r="L96" s="116"/>
      <c r="M96" s="116"/>
      <c r="N96" s="153"/>
      <c r="O96" s="153"/>
      <c r="P96" s="153"/>
      <c r="Q96" s="153"/>
    </row>
    <row r="97" spans="1:19" s="50" customFormat="1" ht="66" x14ac:dyDescent="0.35">
      <c r="A97" s="24" t="str">
        <f>_xlfn.XLOOKUP(B97,'Paso 3 Redacción RA '!I$3:I$12,'Paso 3 Redacción RA '!C$3:C$12,,0,1)</f>
        <v>Saberhacer</v>
      </c>
      <c r="B97" s="16" t="s">
        <v>98</v>
      </c>
      <c r="C97" s="116"/>
      <c r="D97" s="116"/>
      <c r="E97" s="153"/>
      <c r="F97" s="116"/>
      <c r="G97" s="116"/>
      <c r="H97" s="116"/>
      <c r="I97" s="116"/>
      <c r="J97" s="116"/>
      <c r="K97" s="116"/>
      <c r="L97" s="116"/>
      <c r="M97" s="116"/>
      <c r="N97" s="153"/>
      <c r="O97" s="153"/>
      <c r="P97" s="153"/>
      <c r="Q97" s="153"/>
    </row>
    <row r="98" spans="1:19" s="50" customFormat="1" ht="50" thickBot="1" x14ac:dyDescent="0.4">
      <c r="A98" s="80" t="str">
        <f>_xlfn.XLOOKUP(B98,'Paso 3 Redacción RA '!I$3:I$12,'Paso 3 Redacción RA '!C$3:C$12,,0,1)</f>
        <v>Saberser</v>
      </c>
      <c r="B98" s="27" t="s">
        <v>101</v>
      </c>
      <c r="C98" s="136"/>
      <c r="D98" s="136"/>
      <c r="E98" s="154"/>
      <c r="F98" s="136"/>
      <c r="G98" s="136"/>
      <c r="H98" s="136"/>
      <c r="I98" s="136"/>
      <c r="J98" s="136"/>
      <c r="K98" s="136"/>
      <c r="L98" s="136"/>
      <c r="M98" s="136"/>
      <c r="N98" s="154"/>
      <c r="O98" s="154"/>
      <c r="P98" s="154"/>
      <c r="Q98" s="154"/>
    </row>
    <row r="99" spans="1:19" s="50" customFormat="1" ht="49.5" x14ac:dyDescent="0.35">
      <c r="A99" s="24" t="str">
        <f>_xlfn.XLOOKUP(B99,'Paso 3 Redacción RA '!I$3:I$12,'Paso 3 Redacción RA '!C$3:C$12,,0,1)</f>
        <v>Saber</v>
      </c>
      <c r="B99" s="16" t="s">
        <v>87</v>
      </c>
      <c r="C99" s="138">
        <v>6</v>
      </c>
      <c r="D99" s="138" t="s">
        <v>278</v>
      </c>
      <c r="E99" s="152" t="s">
        <v>279</v>
      </c>
      <c r="F99" s="138" t="s">
        <v>180</v>
      </c>
      <c r="G99" s="138"/>
      <c r="H99" s="138" t="s">
        <v>181</v>
      </c>
      <c r="I99" s="138"/>
      <c r="J99" s="138">
        <v>3</v>
      </c>
      <c r="K99" s="138">
        <f>J99*12</f>
        <v>36</v>
      </c>
      <c r="L99" s="138">
        <f>36*J99</f>
        <v>108</v>
      </c>
      <c r="M99" s="138">
        <f>SUM(K99:L99)</f>
        <v>144</v>
      </c>
      <c r="N99" s="152" t="s">
        <v>280</v>
      </c>
      <c r="O99" s="152" t="s">
        <v>183</v>
      </c>
      <c r="P99" s="152" t="s">
        <v>184</v>
      </c>
      <c r="Q99" s="152" t="s">
        <v>185</v>
      </c>
    </row>
    <row r="100" spans="1:19" s="50" customFormat="1" ht="49.5" x14ac:dyDescent="0.35">
      <c r="A100" s="24" t="str">
        <f>_xlfn.XLOOKUP(B100,'Paso 3 Redacción RA '!I$3:I$12,'Paso 3 Redacción RA '!C$3:C$12,,0,1)</f>
        <v>Saberhacer</v>
      </c>
      <c r="B100" s="16" t="s">
        <v>91</v>
      </c>
      <c r="C100" s="116"/>
      <c r="D100" s="116"/>
      <c r="E100" s="153"/>
      <c r="F100" s="116"/>
      <c r="G100" s="116"/>
      <c r="H100" s="116"/>
      <c r="I100" s="116"/>
      <c r="J100" s="116"/>
      <c r="K100" s="116"/>
      <c r="L100" s="116"/>
      <c r="M100" s="116"/>
      <c r="N100" s="153"/>
      <c r="O100" s="153"/>
      <c r="P100" s="153"/>
      <c r="Q100" s="153"/>
    </row>
    <row r="101" spans="1:19" s="50" customFormat="1" ht="82.5" x14ac:dyDescent="0.35">
      <c r="A101" s="24" t="str">
        <f>_xlfn.XLOOKUP(B101,'Paso 3 Redacción RA '!I$3:I$12,'Paso 3 Redacción RA '!C$3:C$12,,0,1)</f>
        <v>Saber</v>
      </c>
      <c r="B101" s="16" t="s">
        <v>95</v>
      </c>
      <c r="C101" s="116"/>
      <c r="D101" s="116"/>
      <c r="E101" s="153"/>
      <c r="F101" s="116"/>
      <c r="G101" s="116"/>
      <c r="H101" s="116"/>
      <c r="I101" s="116"/>
      <c r="J101" s="116"/>
      <c r="K101" s="116"/>
      <c r="L101" s="116"/>
      <c r="M101" s="116"/>
      <c r="N101" s="153"/>
      <c r="O101" s="153"/>
      <c r="P101" s="153"/>
      <c r="Q101" s="153"/>
    </row>
    <row r="102" spans="1:19" s="50" customFormat="1" ht="66" x14ac:dyDescent="0.35">
      <c r="A102" s="24" t="str">
        <f>_xlfn.XLOOKUP(B102,'Paso 3 Redacción RA '!I$3:I$12,'Paso 3 Redacción RA '!C$3:C$12,,0,1)</f>
        <v>Saberhacer</v>
      </c>
      <c r="B102" s="16" t="s">
        <v>98</v>
      </c>
      <c r="C102" s="116"/>
      <c r="D102" s="116"/>
      <c r="E102" s="153"/>
      <c r="F102" s="116"/>
      <c r="G102" s="116"/>
      <c r="H102" s="116"/>
      <c r="I102" s="116"/>
      <c r="J102" s="116"/>
      <c r="K102" s="116"/>
      <c r="L102" s="116"/>
      <c r="M102" s="116"/>
      <c r="N102" s="153"/>
      <c r="O102" s="153"/>
      <c r="P102" s="153"/>
      <c r="Q102" s="153"/>
    </row>
    <row r="103" spans="1:19" s="50" customFormat="1" ht="49.5" x14ac:dyDescent="0.35">
      <c r="A103" s="24" t="str">
        <f>_xlfn.XLOOKUP(B103,'Paso 3 Redacción RA '!I$3:I$12,'Paso 3 Redacción RA '!C$3:C$12,,0,1)</f>
        <v>Saberser</v>
      </c>
      <c r="B103" s="16" t="s">
        <v>101</v>
      </c>
      <c r="C103" s="116"/>
      <c r="D103" s="116"/>
      <c r="E103" s="153"/>
      <c r="F103" s="116"/>
      <c r="G103" s="116"/>
      <c r="H103" s="116"/>
      <c r="I103" s="116"/>
      <c r="J103" s="116"/>
      <c r="K103" s="116"/>
      <c r="L103" s="116"/>
      <c r="M103" s="116"/>
      <c r="N103" s="153"/>
      <c r="O103" s="153"/>
      <c r="P103" s="153"/>
      <c r="Q103" s="153"/>
    </row>
    <row r="104" spans="1:19" s="50" customFormat="1" ht="50" thickBot="1" x14ac:dyDescent="0.4">
      <c r="A104" s="112" t="str">
        <f>_xlfn.XLOOKUP(B104,'Paso 3 Redacción RA '!I$3:I$12,'Paso 3 Redacción RA '!C$3:C$12,,0,1)</f>
        <v>Saber</v>
      </c>
      <c r="B104" s="27" t="s">
        <v>103</v>
      </c>
      <c r="C104" s="136"/>
      <c r="D104" s="136"/>
      <c r="E104" s="154"/>
      <c r="F104" s="136"/>
      <c r="G104" s="136"/>
      <c r="H104" s="136"/>
      <c r="I104" s="136"/>
      <c r="J104" s="136"/>
      <c r="K104" s="136"/>
      <c r="L104" s="136"/>
      <c r="M104" s="136"/>
      <c r="N104" s="154"/>
      <c r="O104" s="154"/>
      <c r="P104" s="154"/>
      <c r="Q104" s="154"/>
      <c r="R104" s="50">
        <f>SUM(J79:J104)</f>
        <v>16</v>
      </c>
      <c r="S104" s="50">
        <f>COUNTA(D79:D104)</f>
        <v>5</v>
      </c>
    </row>
    <row r="105" spans="1:19" s="50" customFormat="1" ht="39" x14ac:dyDescent="0.35">
      <c r="A105" s="24"/>
      <c r="B105" s="16"/>
      <c r="C105" s="111" t="s">
        <v>281</v>
      </c>
      <c r="D105" s="114">
        <f>COUNTA(D3:D104)</f>
        <v>30</v>
      </c>
      <c r="E105" s="16"/>
      <c r="F105" s="19"/>
      <c r="G105" s="19"/>
      <c r="H105" s="19"/>
      <c r="I105" s="83" t="s">
        <v>282</v>
      </c>
      <c r="J105" s="115">
        <f>SUM(J3:J104)</f>
        <v>94</v>
      </c>
      <c r="K105" s="84" t="str">
        <f>IF(AND(J105&gt;=80,J105&lt;=100),"Correcto: Cumple la Política de Gestión, Evaluación e Innovación Curricular","Error: Revisar Política de Gestión, Evaluación e Innovación Curricular")</f>
        <v>Correcto: Cumple la Política de Gestión, Evaluación e Innovación Curricular</v>
      </c>
      <c r="L105" s="30"/>
      <c r="M105" s="19"/>
      <c r="N105" s="16"/>
      <c r="O105" s="16"/>
      <c r="P105" s="16"/>
      <c r="Q105" s="16"/>
      <c r="R105" s="50">
        <f>SUM(R3:R104)</f>
        <v>94</v>
      </c>
      <c r="S105" s="50">
        <f>SUM(S3:S104)</f>
        <v>30</v>
      </c>
    </row>
    <row r="106" spans="1:19" s="50" customFormat="1" ht="39" x14ac:dyDescent="0.35">
      <c r="A106" s="24"/>
      <c r="B106" s="16"/>
      <c r="D106" s="19"/>
      <c r="E106" s="16"/>
      <c r="F106" s="19"/>
      <c r="G106" s="19"/>
      <c r="H106" s="19"/>
      <c r="I106" s="85" t="s">
        <v>283</v>
      </c>
      <c r="J106" s="55">
        <f>SUM(J3:J4,J14,J27:J28,J38)</f>
        <v>18</v>
      </c>
      <c r="K106" s="84" t="str">
        <f>IF(J106=18,"Correcto: Cumple la Política de Gestión, Evaluación e Innovación Curricular","Error: Revisar Política de Gestión, Evaluación e Innovación Curricular")</f>
        <v>Correcto: Cumple la Política de Gestión, Evaluación e Innovación Curricular</v>
      </c>
      <c r="L106" s="52"/>
      <c r="M106" s="19"/>
      <c r="N106" s="16"/>
      <c r="O106" s="16"/>
      <c r="P106" s="16"/>
      <c r="Q106" s="16"/>
    </row>
    <row r="107" spans="1:19" s="50" customFormat="1" ht="39" x14ac:dyDescent="0.35">
      <c r="A107" s="24"/>
      <c r="B107" s="16"/>
      <c r="D107" s="32"/>
      <c r="E107" s="66"/>
      <c r="F107" s="32"/>
      <c r="G107" s="67"/>
      <c r="H107" s="67"/>
      <c r="I107" s="85" t="s">
        <v>284</v>
      </c>
      <c r="J107" s="55">
        <f>SUM(J5:J13,J15:J26,J29:J37,J39:J104)</f>
        <v>76</v>
      </c>
      <c r="K107" s="84" t="str">
        <f>IF(AND(J107&gt;=62,J107&lt;=82),"Correcto: Cumple la Política de Gestión, Evaluación e Innovación Curricular","Error: Revisar Política de Gestión, Evaluación e Innovación Curricular")</f>
        <v>Correcto: Cumple la Política de Gestión, Evaluación e Innovación Curricular</v>
      </c>
      <c r="L107" s="52"/>
      <c r="M107" s="67"/>
      <c r="N107" s="22"/>
      <c r="O107" s="68"/>
      <c r="P107" s="68"/>
      <c r="Q107" s="68"/>
    </row>
    <row r="108" spans="1:19" s="50" customFormat="1" ht="39" x14ac:dyDescent="0.35">
      <c r="A108" s="24"/>
      <c r="B108" s="16"/>
      <c r="D108" s="32"/>
      <c r="E108" s="66"/>
      <c r="F108" s="32"/>
      <c r="G108" s="67"/>
      <c r="H108" s="67"/>
      <c r="I108" s="85" t="s">
        <v>285</v>
      </c>
      <c r="J108" s="52">
        <v>0</v>
      </c>
      <c r="K108" s="86" t="str">
        <f>IF(J108=0,"Correcto: Cumple la Política de Gestión, Evaluación e Innovación Curricular","Error: Revisar Política de Gestión, Evaluación e Innovación Curricular")</f>
        <v>Correcto: Cumple la Política de Gestión, Evaluación e Innovación Curricular</v>
      </c>
      <c r="L108" s="52"/>
      <c r="M108" s="67"/>
      <c r="N108" s="22"/>
      <c r="O108" s="68"/>
      <c r="P108" s="68"/>
      <c r="Q108" s="68"/>
    </row>
    <row r="109" spans="1:19" s="50" customFormat="1" ht="16.5" x14ac:dyDescent="0.35">
      <c r="A109" s="24"/>
      <c r="B109" s="16"/>
      <c r="D109" s="32"/>
      <c r="E109" s="66"/>
      <c r="F109" s="32"/>
      <c r="G109" s="67"/>
      <c r="H109" s="67"/>
      <c r="I109" s="67"/>
      <c r="J109" s="67"/>
      <c r="K109" s="67"/>
      <c r="L109" s="67"/>
      <c r="M109" s="67"/>
      <c r="N109" s="22"/>
      <c r="O109" s="68"/>
      <c r="P109" s="68"/>
      <c r="Q109" s="68"/>
    </row>
    <row r="110" spans="1:19" s="50" customFormat="1" ht="16.5" x14ac:dyDescent="0.35">
      <c r="A110" s="24"/>
      <c r="B110" s="16"/>
      <c r="D110" s="32"/>
      <c r="E110" s="66"/>
      <c r="F110" s="32"/>
      <c r="G110" s="67"/>
      <c r="H110" s="67"/>
      <c r="I110" s="67"/>
      <c r="J110" s="67"/>
      <c r="K110" s="67"/>
      <c r="L110" s="67"/>
      <c r="M110" s="67"/>
      <c r="N110" s="22"/>
      <c r="O110" s="68"/>
      <c r="P110" s="68"/>
      <c r="Q110" s="68"/>
    </row>
    <row r="111" spans="1:19" s="50" customFormat="1" ht="16.5" x14ac:dyDescent="0.35">
      <c r="A111" s="24"/>
      <c r="B111" s="16"/>
      <c r="D111" s="19"/>
      <c r="E111" s="16"/>
      <c r="F111" s="19"/>
      <c r="G111" s="19"/>
      <c r="H111" s="19"/>
      <c r="I111" s="19"/>
      <c r="J111" s="19"/>
      <c r="K111" s="19"/>
      <c r="L111" s="19"/>
      <c r="M111" s="19"/>
      <c r="N111" s="16"/>
      <c r="O111" s="16"/>
      <c r="P111" s="16"/>
      <c r="Q111" s="16"/>
    </row>
    <row r="112" spans="1:19" s="50" customFormat="1" ht="16.5" x14ac:dyDescent="0.35">
      <c r="A112" s="24"/>
      <c r="B112" s="16"/>
      <c r="D112" s="19"/>
      <c r="E112" s="16"/>
      <c r="F112" s="19"/>
      <c r="G112" s="19"/>
      <c r="H112" s="19"/>
      <c r="I112" s="19"/>
      <c r="J112" s="19"/>
      <c r="K112" s="19"/>
      <c r="L112" s="19"/>
      <c r="M112" s="19"/>
      <c r="N112" s="16"/>
      <c r="O112" s="16"/>
      <c r="P112" s="16"/>
      <c r="Q112" s="16"/>
    </row>
    <row r="113" spans="1:17" s="50" customFormat="1" ht="16.5" x14ac:dyDescent="0.35">
      <c r="A113" s="24"/>
      <c r="B113" s="16"/>
      <c r="D113" s="19"/>
      <c r="E113" s="16"/>
      <c r="F113" s="19"/>
      <c r="G113" s="19"/>
      <c r="H113" s="19"/>
      <c r="I113" s="19"/>
      <c r="J113" s="19"/>
      <c r="K113" s="19"/>
      <c r="L113" s="19"/>
      <c r="M113" s="19"/>
      <c r="N113" s="16"/>
      <c r="O113" s="16"/>
      <c r="P113" s="16"/>
      <c r="Q113" s="16"/>
    </row>
    <row r="114" spans="1:17" s="50" customFormat="1" ht="16.5" x14ac:dyDescent="0.35">
      <c r="A114" s="24"/>
      <c r="B114" s="16"/>
      <c r="D114" s="19"/>
      <c r="E114" s="16"/>
      <c r="F114" s="19"/>
      <c r="G114" s="67"/>
      <c r="H114" s="67"/>
      <c r="I114" s="67"/>
      <c r="J114" s="67"/>
      <c r="K114" s="67"/>
      <c r="L114" s="67"/>
      <c r="M114" s="67"/>
      <c r="N114" s="16"/>
      <c r="O114" s="16"/>
      <c r="P114" s="16"/>
      <c r="Q114" s="16"/>
    </row>
    <row r="115" spans="1:17" s="50" customFormat="1" ht="16.5" x14ac:dyDescent="0.35">
      <c r="A115" s="24"/>
      <c r="B115" s="16"/>
      <c r="D115" s="19"/>
      <c r="E115" s="16"/>
      <c r="F115" s="19"/>
      <c r="G115" s="67"/>
      <c r="H115" s="67"/>
      <c r="I115" s="67"/>
      <c r="J115" s="67"/>
      <c r="K115" s="67"/>
      <c r="L115" s="67"/>
      <c r="M115" s="67"/>
      <c r="N115" s="16"/>
      <c r="O115" s="16"/>
      <c r="P115" s="16"/>
      <c r="Q115" s="16"/>
    </row>
    <row r="116" spans="1:17" s="50" customFormat="1" ht="16.5" x14ac:dyDescent="0.35">
      <c r="A116" s="24"/>
      <c r="B116" s="16"/>
      <c r="D116" s="19"/>
      <c r="E116" s="16"/>
      <c r="F116" s="19"/>
      <c r="G116" s="67"/>
      <c r="H116" s="67"/>
      <c r="I116" s="67"/>
      <c r="J116" s="67"/>
      <c r="K116" s="67"/>
      <c r="L116" s="67"/>
      <c r="M116" s="67"/>
      <c r="N116" s="16"/>
      <c r="O116" s="16"/>
      <c r="P116" s="16"/>
      <c r="Q116" s="16"/>
    </row>
    <row r="117" spans="1:17" s="50" customFormat="1" ht="16.5" x14ac:dyDescent="0.35">
      <c r="A117" s="24"/>
      <c r="B117" s="16"/>
      <c r="D117" s="19"/>
      <c r="E117" s="16"/>
      <c r="F117" s="19"/>
      <c r="G117" s="19"/>
      <c r="H117" s="19"/>
      <c r="I117" s="19"/>
      <c r="J117" s="19"/>
      <c r="K117" s="19"/>
      <c r="L117" s="19"/>
      <c r="M117" s="19"/>
      <c r="N117" s="16"/>
      <c r="O117" s="16"/>
      <c r="P117" s="16"/>
      <c r="Q117" s="16"/>
    </row>
    <row r="118" spans="1:17" s="50" customFormat="1" ht="16.5" x14ac:dyDescent="0.35">
      <c r="A118" s="24"/>
      <c r="B118" s="16"/>
      <c r="D118" s="19"/>
      <c r="E118" s="16"/>
      <c r="F118" s="19"/>
      <c r="G118" s="19"/>
      <c r="H118" s="19"/>
      <c r="I118" s="19"/>
      <c r="J118" s="19"/>
      <c r="K118" s="19"/>
      <c r="L118" s="19"/>
      <c r="M118" s="19"/>
      <c r="N118" s="16"/>
      <c r="O118" s="16"/>
      <c r="P118" s="16"/>
      <c r="Q118" s="16"/>
    </row>
    <row r="119" spans="1:17" s="50" customFormat="1" ht="16.5" x14ac:dyDescent="0.35">
      <c r="A119" s="24"/>
      <c r="B119" s="16"/>
      <c r="D119" s="19"/>
      <c r="E119" s="16"/>
      <c r="F119" s="19"/>
      <c r="G119" s="19"/>
      <c r="H119" s="19"/>
      <c r="I119" s="19"/>
      <c r="J119" s="19"/>
      <c r="K119" s="19"/>
      <c r="L119" s="19"/>
      <c r="M119" s="19"/>
      <c r="N119" s="16"/>
      <c r="O119" s="16"/>
      <c r="P119" s="16"/>
      <c r="Q119" s="16"/>
    </row>
    <row r="120" spans="1:17" s="50" customFormat="1" ht="16.5" x14ac:dyDescent="0.35">
      <c r="A120" s="24"/>
      <c r="B120" s="16"/>
      <c r="D120" s="19"/>
      <c r="E120" s="16"/>
      <c r="F120" s="19"/>
      <c r="G120" s="19"/>
      <c r="H120" s="19"/>
      <c r="I120" s="19"/>
      <c r="J120" s="19"/>
      <c r="K120" s="19"/>
      <c r="L120" s="19"/>
      <c r="M120" s="19"/>
      <c r="N120" s="16"/>
      <c r="O120" s="16"/>
      <c r="P120" s="16"/>
      <c r="Q120" s="16"/>
    </row>
    <row r="121" spans="1:17" s="50" customFormat="1" ht="16.5" x14ac:dyDescent="0.35">
      <c r="A121" s="24"/>
      <c r="B121" s="22"/>
      <c r="D121" s="19"/>
      <c r="E121" s="22"/>
      <c r="F121" s="19"/>
      <c r="G121" s="38"/>
      <c r="H121" s="38"/>
      <c r="I121" s="38"/>
      <c r="J121" s="38"/>
      <c r="K121" s="38"/>
      <c r="L121" s="38"/>
      <c r="M121" s="38"/>
      <c r="N121" s="22"/>
      <c r="O121" s="22"/>
      <c r="P121" s="22"/>
      <c r="Q121" s="22"/>
    </row>
    <row r="122" spans="1:17" s="50" customFormat="1" ht="16.5" x14ac:dyDescent="0.35">
      <c r="A122" s="24"/>
      <c r="B122" s="22"/>
      <c r="D122" s="19"/>
      <c r="E122" s="22"/>
      <c r="F122" s="19"/>
      <c r="G122" s="38"/>
      <c r="H122" s="38"/>
      <c r="I122" s="38"/>
      <c r="J122" s="38"/>
      <c r="K122" s="38"/>
      <c r="L122" s="38"/>
      <c r="M122" s="38"/>
      <c r="N122" s="22"/>
      <c r="O122" s="22"/>
      <c r="P122" s="22"/>
      <c r="Q122" s="22"/>
    </row>
    <row r="123" spans="1:17" s="50" customFormat="1" ht="16.5" x14ac:dyDescent="0.35">
      <c r="A123" s="24"/>
      <c r="B123" s="22"/>
      <c r="D123" s="19"/>
      <c r="E123" s="22"/>
      <c r="F123" s="19"/>
      <c r="G123" s="38"/>
      <c r="H123" s="38"/>
      <c r="I123" s="38"/>
      <c r="J123" s="38"/>
      <c r="K123" s="38"/>
      <c r="L123" s="38"/>
      <c r="M123" s="38"/>
      <c r="N123" s="22"/>
      <c r="O123" s="22"/>
      <c r="P123" s="22"/>
      <c r="Q123" s="22"/>
    </row>
    <row r="124" spans="1:17" s="50" customFormat="1" ht="16.5" x14ac:dyDescent="0.35">
      <c r="A124" s="24"/>
      <c r="B124" s="22"/>
      <c r="D124" s="19"/>
      <c r="E124" s="22"/>
      <c r="F124" s="19"/>
      <c r="G124" s="38"/>
      <c r="H124" s="38"/>
      <c r="I124" s="38"/>
      <c r="J124" s="38"/>
      <c r="K124" s="38"/>
      <c r="L124" s="38"/>
      <c r="M124" s="38"/>
      <c r="N124" s="22"/>
      <c r="O124" s="22"/>
      <c r="P124" s="22"/>
      <c r="Q124" s="22"/>
    </row>
    <row r="125" spans="1:17" s="50" customFormat="1" ht="16.5" x14ac:dyDescent="0.35">
      <c r="A125" s="24"/>
      <c r="B125" s="16"/>
      <c r="D125" s="32"/>
      <c r="E125" s="66"/>
      <c r="F125" s="32"/>
      <c r="G125" s="67"/>
      <c r="H125" s="67"/>
      <c r="I125" s="67"/>
      <c r="J125" s="67"/>
      <c r="K125" s="67"/>
      <c r="L125" s="67"/>
      <c r="M125" s="67"/>
      <c r="N125" s="68"/>
      <c r="O125" s="68"/>
      <c r="P125" s="68"/>
      <c r="Q125" s="68"/>
    </row>
    <row r="126" spans="1:17" s="50" customFormat="1" ht="16.5" x14ac:dyDescent="0.35">
      <c r="A126" s="24"/>
      <c r="B126" s="16"/>
      <c r="D126" s="32"/>
      <c r="E126" s="66"/>
      <c r="F126" s="32"/>
      <c r="G126" s="67"/>
      <c r="H126" s="67"/>
      <c r="I126" s="67"/>
      <c r="J126" s="67"/>
      <c r="K126" s="67"/>
      <c r="L126" s="67"/>
      <c r="M126" s="67"/>
      <c r="N126" s="68"/>
      <c r="O126" s="68"/>
      <c r="P126" s="68"/>
      <c r="Q126" s="68"/>
    </row>
    <row r="127" spans="1:17" s="50" customFormat="1" ht="16.5" x14ac:dyDescent="0.35">
      <c r="A127" s="24"/>
      <c r="B127" s="16"/>
      <c r="D127" s="32"/>
      <c r="E127" s="66"/>
      <c r="F127" s="32"/>
      <c r="G127" s="67"/>
      <c r="H127" s="67"/>
      <c r="I127" s="67"/>
      <c r="J127" s="67"/>
      <c r="K127" s="67"/>
      <c r="L127" s="67"/>
      <c r="M127" s="67"/>
      <c r="N127" s="68"/>
      <c r="O127" s="68"/>
      <c r="P127" s="68"/>
      <c r="Q127" s="68"/>
    </row>
    <row r="128" spans="1:17" s="50" customFormat="1" ht="16.5" x14ac:dyDescent="0.35">
      <c r="A128" s="24"/>
      <c r="B128" s="16"/>
      <c r="D128" s="32"/>
      <c r="E128" s="66"/>
      <c r="F128" s="32"/>
      <c r="G128" s="67"/>
      <c r="H128" s="67"/>
      <c r="I128" s="67"/>
      <c r="J128" s="67"/>
      <c r="K128" s="67"/>
      <c r="L128" s="67"/>
      <c r="M128" s="67"/>
      <c r="N128" s="68"/>
      <c r="O128" s="68"/>
      <c r="P128" s="68"/>
      <c r="Q128" s="68"/>
    </row>
    <row r="129" spans="1:17" s="50" customFormat="1" ht="16.5" x14ac:dyDescent="0.35">
      <c r="A129" s="24"/>
      <c r="B129" s="16"/>
      <c r="D129" s="19"/>
      <c r="E129" s="16"/>
      <c r="F129" s="19"/>
      <c r="L129" s="13"/>
      <c r="M129" s="13"/>
      <c r="N129" s="16"/>
      <c r="O129" s="16"/>
      <c r="P129" s="16"/>
      <c r="Q129" s="16"/>
    </row>
    <row r="130" spans="1:17" s="50" customFormat="1" ht="16.5" x14ac:dyDescent="0.35">
      <c r="A130" s="24"/>
      <c r="B130" s="16"/>
      <c r="D130" s="19"/>
      <c r="E130" s="16"/>
      <c r="F130" s="19"/>
      <c r="L130" s="13"/>
      <c r="M130" s="13"/>
      <c r="N130" s="16"/>
      <c r="O130" s="16"/>
      <c r="P130" s="16"/>
      <c r="Q130" s="16"/>
    </row>
    <row r="131" spans="1:17" s="50" customFormat="1" ht="16.5" x14ac:dyDescent="0.35">
      <c r="A131" s="24"/>
      <c r="B131" s="16"/>
      <c r="D131" s="19"/>
      <c r="E131" s="16"/>
      <c r="F131" s="19"/>
      <c r="L131" s="13"/>
      <c r="M131" s="13"/>
      <c r="N131" s="16"/>
      <c r="O131" s="16"/>
      <c r="P131" s="16"/>
      <c r="Q131" s="16"/>
    </row>
    <row r="132" spans="1:17" s="50" customFormat="1" ht="16.5" x14ac:dyDescent="0.35">
      <c r="A132" s="24"/>
      <c r="B132" s="16"/>
      <c r="D132" s="19"/>
      <c r="E132" s="16"/>
      <c r="F132" s="19"/>
      <c r="L132" s="13"/>
      <c r="M132" s="13"/>
      <c r="N132" s="16"/>
      <c r="O132" s="16"/>
      <c r="P132" s="16"/>
      <c r="Q132" s="16"/>
    </row>
    <row r="133" spans="1:17" s="50" customFormat="1" ht="16.5" x14ac:dyDescent="0.35">
      <c r="A133" s="24"/>
      <c r="B133" s="16"/>
      <c r="D133" s="19"/>
      <c r="E133" s="69"/>
      <c r="F133" s="19"/>
      <c r="G133" s="67"/>
      <c r="H133" s="67"/>
      <c r="I133" s="67"/>
      <c r="J133" s="67"/>
      <c r="K133" s="67"/>
      <c r="L133" s="67"/>
      <c r="M133" s="67"/>
      <c r="N133" s="69"/>
      <c r="O133" s="69"/>
      <c r="P133" s="69"/>
      <c r="Q133" s="69"/>
    </row>
    <row r="134" spans="1:17" s="50" customFormat="1" ht="16.5" x14ac:dyDescent="0.35">
      <c r="A134" s="24"/>
      <c r="B134" s="16"/>
      <c r="D134" s="32"/>
      <c r="E134" s="66"/>
      <c r="F134" s="32"/>
      <c r="G134" s="67"/>
      <c r="H134" s="67"/>
      <c r="I134" s="67"/>
      <c r="J134" s="67"/>
      <c r="K134" s="67"/>
      <c r="L134" s="67"/>
      <c r="M134" s="67"/>
      <c r="N134" s="68"/>
      <c r="O134" s="68"/>
      <c r="P134" s="68"/>
      <c r="Q134" s="68"/>
    </row>
    <row r="135" spans="1:17" s="50" customFormat="1" ht="16.5" x14ac:dyDescent="0.35">
      <c r="A135" s="24"/>
      <c r="B135" s="16"/>
      <c r="D135" s="32"/>
      <c r="E135" s="66"/>
      <c r="F135" s="32"/>
      <c r="G135" s="67"/>
      <c r="H135" s="67"/>
      <c r="I135" s="67"/>
      <c r="J135" s="67"/>
      <c r="K135" s="67"/>
      <c r="L135" s="67"/>
      <c r="M135" s="67"/>
      <c r="N135" s="68"/>
      <c r="O135" s="68"/>
      <c r="P135" s="68"/>
      <c r="Q135" s="68"/>
    </row>
    <row r="136" spans="1:17" s="50" customFormat="1" ht="16.5" x14ac:dyDescent="0.35">
      <c r="A136" s="24"/>
      <c r="B136" s="16"/>
      <c r="D136" s="32"/>
      <c r="E136" s="66"/>
      <c r="F136" s="32"/>
      <c r="G136" s="67"/>
      <c r="H136" s="67"/>
      <c r="I136" s="67"/>
      <c r="J136" s="67"/>
      <c r="K136" s="67"/>
      <c r="L136" s="67"/>
      <c r="M136" s="67"/>
      <c r="N136" s="68"/>
      <c r="O136" s="68"/>
      <c r="P136" s="68"/>
      <c r="Q136" s="68"/>
    </row>
    <row r="137" spans="1:17" s="50" customFormat="1" ht="16.5" x14ac:dyDescent="0.35">
      <c r="A137" s="24"/>
      <c r="B137" s="16"/>
      <c r="D137" s="32"/>
      <c r="E137" s="66"/>
      <c r="F137" s="32"/>
      <c r="G137" s="67"/>
      <c r="H137" s="67"/>
      <c r="I137" s="67"/>
      <c r="J137" s="67"/>
      <c r="K137" s="67"/>
      <c r="L137" s="67"/>
      <c r="M137" s="67"/>
      <c r="N137" s="68"/>
      <c r="O137" s="68"/>
      <c r="P137" s="68"/>
      <c r="Q137" s="68"/>
    </row>
    <row r="138" spans="1:17" s="50" customFormat="1" ht="16.5" x14ac:dyDescent="0.35">
      <c r="A138" s="24"/>
      <c r="B138" s="16"/>
      <c r="D138" s="19"/>
      <c r="E138" s="66"/>
      <c r="F138" s="19"/>
      <c r="G138" s="67"/>
      <c r="H138" s="67"/>
      <c r="I138" s="67"/>
      <c r="J138" s="67"/>
      <c r="K138" s="67"/>
      <c r="L138" s="67"/>
      <c r="M138" s="67"/>
      <c r="N138" s="68"/>
      <c r="O138" s="68"/>
      <c r="P138" s="68"/>
      <c r="Q138" s="68"/>
    </row>
    <row r="139" spans="1:17" s="50" customFormat="1" ht="16.5" x14ac:dyDescent="0.35">
      <c r="A139" s="24"/>
      <c r="B139" s="16"/>
      <c r="D139" s="19"/>
      <c r="E139" s="66"/>
      <c r="F139" s="19"/>
      <c r="G139" s="67"/>
      <c r="H139" s="67"/>
      <c r="I139" s="67"/>
      <c r="J139" s="67"/>
      <c r="K139" s="67"/>
      <c r="L139" s="67"/>
      <c r="M139" s="67"/>
      <c r="N139" s="68"/>
      <c r="O139" s="68"/>
      <c r="P139" s="68"/>
      <c r="Q139" s="68"/>
    </row>
    <row r="140" spans="1:17" s="50" customFormat="1" ht="16.5" x14ac:dyDescent="0.35">
      <c r="A140" s="24"/>
      <c r="B140" s="16"/>
      <c r="D140" s="19"/>
      <c r="E140" s="66"/>
      <c r="F140" s="19"/>
      <c r="G140" s="67"/>
      <c r="H140" s="67"/>
      <c r="I140" s="67"/>
      <c r="J140" s="67"/>
      <c r="K140" s="67"/>
      <c r="L140" s="67"/>
      <c r="M140" s="67"/>
      <c r="N140" s="68"/>
      <c r="O140" s="68"/>
      <c r="P140" s="68"/>
      <c r="Q140" s="68"/>
    </row>
    <row r="141" spans="1:17" s="50" customFormat="1" ht="16.5" x14ac:dyDescent="0.35">
      <c r="A141" s="24"/>
      <c r="B141" s="16"/>
      <c r="D141" s="19"/>
      <c r="E141" s="66"/>
      <c r="F141" s="19"/>
      <c r="G141" s="67"/>
      <c r="H141" s="67"/>
      <c r="I141" s="67"/>
      <c r="J141" s="67"/>
      <c r="K141" s="67"/>
      <c r="L141" s="67"/>
      <c r="M141" s="67"/>
      <c r="N141" s="68"/>
      <c r="O141" s="68"/>
      <c r="P141" s="68"/>
      <c r="Q141" s="68"/>
    </row>
    <row r="142" spans="1:17" s="50" customFormat="1" ht="16.5" x14ac:dyDescent="0.35">
      <c r="A142" s="24"/>
      <c r="B142" s="16"/>
      <c r="D142" s="19"/>
      <c r="E142" s="16"/>
      <c r="F142" s="19"/>
      <c r="L142" s="13"/>
      <c r="M142" s="13"/>
      <c r="N142" s="16"/>
      <c r="O142" s="16"/>
      <c r="P142" s="16"/>
      <c r="Q142" s="16"/>
    </row>
    <row r="143" spans="1:17" x14ac:dyDescent="0.35">
      <c r="E143" s="57"/>
      <c r="F143" s="52"/>
      <c r="L143" s="58"/>
      <c r="M143" s="58"/>
      <c r="N143" s="57"/>
      <c r="O143" s="57"/>
      <c r="P143" s="57"/>
      <c r="Q143" s="57"/>
    </row>
    <row r="144" spans="1:17" x14ac:dyDescent="0.35">
      <c r="E144" s="57"/>
      <c r="F144" s="52"/>
      <c r="L144" s="58"/>
      <c r="M144" s="58"/>
      <c r="N144" s="57"/>
      <c r="O144" s="57"/>
      <c r="P144" s="57"/>
      <c r="Q144" s="57"/>
    </row>
    <row r="145" spans="5:17" x14ac:dyDescent="0.35">
      <c r="E145" s="57"/>
      <c r="F145" s="52"/>
      <c r="L145" s="58"/>
      <c r="M145" s="58"/>
      <c r="N145" s="57"/>
      <c r="O145" s="57"/>
      <c r="P145" s="57"/>
      <c r="Q145" s="57"/>
    </row>
    <row r="146" spans="5:17" x14ac:dyDescent="0.35">
      <c r="E146" s="60"/>
      <c r="F146" s="52"/>
      <c r="G146" s="54"/>
      <c r="H146" s="54"/>
      <c r="I146" s="54"/>
      <c r="J146" s="54"/>
      <c r="K146" s="54"/>
      <c r="L146" s="54"/>
      <c r="M146" s="54"/>
      <c r="N146" s="60"/>
      <c r="O146" s="60"/>
      <c r="P146" s="60"/>
      <c r="Q146" s="60"/>
    </row>
    <row r="147" spans="5:17" x14ac:dyDescent="0.35">
      <c r="E147" s="57"/>
      <c r="F147" s="52"/>
      <c r="G147" s="52"/>
      <c r="H147" s="52"/>
      <c r="I147" s="52"/>
      <c r="J147" s="55"/>
      <c r="K147" s="55"/>
      <c r="L147" s="55"/>
      <c r="M147" s="55"/>
      <c r="N147" s="57"/>
      <c r="O147" s="57"/>
      <c r="P147" s="57"/>
      <c r="Q147" s="57"/>
    </row>
    <row r="148" spans="5:17" x14ac:dyDescent="0.35">
      <c r="E148" s="53"/>
      <c r="F148" s="52"/>
      <c r="G148" s="54"/>
      <c r="H148" s="54"/>
      <c r="I148" s="54"/>
      <c r="J148" s="54"/>
      <c r="K148" s="54"/>
      <c r="L148" s="54"/>
      <c r="M148" s="54"/>
      <c r="N148" s="64"/>
      <c r="O148" s="64"/>
      <c r="P148" s="64"/>
      <c r="Q148" s="64"/>
    </row>
    <row r="149" spans="5:17" x14ac:dyDescent="0.35">
      <c r="E149" s="53"/>
      <c r="F149" s="52"/>
      <c r="G149" s="54"/>
      <c r="H149" s="54"/>
      <c r="I149" s="54"/>
      <c r="J149" s="54"/>
      <c r="K149" s="54"/>
      <c r="L149" s="54"/>
      <c r="M149" s="54"/>
      <c r="N149" s="64"/>
      <c r="O149" s="64"/>
      <c r="P149" s="64"/>
      <c r="Q149" s="64"/>
    </row>
    <row r="150" spans="5:17" x14ac:dyDescent="0.35">
      <c r="E150" s="53"/>
      <c r="F150" s="52"/>
      <c r="G150" s="54"/>
      <c r="H150" s="54"/>
      <c r="I150" s="54"/>
      <c r="J150" s="54"/>
      <c r="K150" s="54"/>
      <c r="L150" s="54"/>
      <c r="M150" s="54"/>
      <c r="N150" s="64"/>
      <c r="O150" s="64"/>
      <c r="P150" s="64"/>
      <c r="Q150" s="64"/>
    </row>
    <row r="151" spans="5:17" x14ac:dyDescent="0.35">
      <c r="E151" s="53"/>
      <c r="F151" s="52"/>
      <c r="G151" s="54"/>
      <c r="H151" s="54"/>
      <c r="I151" s="54"/>
      <c r="J151" s="54"/>
      <c r="K151" s="54"/>
      <c r="L151" s="54"/>
      <c r="M151" s="54"/>
      <c r="N151" s="64"/>
      <c r="O151" s="64"/>
      <c r="P151" s="64"/>
      <c r="Q151" s="64"/>
    </row>
    <row r="152" spans="5:17" x14ac:dyDescent="0.35">
      <c r="E152" s="57"/>
      <c r="F152" s="52"/>
      <c r="G152" s="58"/>
      <c r="H152" s="58"/>
      <c r="I152" s="58"/>
      <c r="J152" s="58"/>
      <c r="K152" s="58"/>
      <c r="L152" s="58"/>
      <c r="M152" s="58"/>
      <c r="N152" s="56"/>
      <c r="O152" s="57"/>
      <c r="P152" s="57"/>
      <c r="Q152" s="57"/>
    </row>
    <row r="153" spans="5:17" x14ac:dyDescent="0.35">
      <c r="E153" s="57"/>
      <c r="F153" s="52"/>
      <c r="G153" s="58"/>
      <c r="H153" s="58"/>
      <c r="I153" s="58"/>
      <c r="J153" s="58"/>
      <c r="K153" s="58"/>
      <c r="L153" s="58"/>
      <c r="M153" s="58"/>
      <c r="N153" s="56"/>
      <c r="O153" s="57"/>
      <c r="P153" s="57"/>
      <c r="Q153" s="57"/>
    </row>
    <row r="154" spans="5:17" x14ac:dyDescent="0.35">
      <c r="E154" s="57"/>
      <c r="F154" s="52"/>
      <c r="G154" s="58"/>
      <c r="H154" s="58"/>
      <c r="I154" s="58"/>
      <c r="J154" s="58"/>
      <c r="K154" s="58"/>
      <c r="L154" s="58"/>
      <c r="M154" s="58"/>
      <c r="N154" s="56"/>
      <c r="O154" s="57"/>
      <c r="P154" s="57"/>
      <c r="Q154" s="57"/>
    </row>
    <row r="155" spans="5:17" x14ac:dyDescent="0.35">
      <c r="E155" s="57"/>
      <c r="F155" s="52"/>
      <c r="G155" s="58"/>
      <c r="H155" s="58"/>
      <c r="I155" s="58"/>
      <c r="J155" s="58"/>
      <c r="K155" s="58"/>
      <c r="L155" s="58"/>
      <c r="M155" s="58"/>
      <c r="N155" s="56"/>
      <c r="O155" s="57"/>
      <c r="P155" s="57"/>
      <c r="Q155" s="57"/>
    </row>
    <row r="156" spans="5:17" x14ac:dyDescent="0.35">
      <c r="E156" s="57"/>
      <c r="F156" s="52"/>
      <c r="I156" s="52"/>
      <c r="N156" s="57"/>
      <c r="O156" s="57"/>
      <c r="P156" s="57"/>
      <c r="Q156" s="57"/>
    </row>
    <row r="157" spans="5:17" x14ac:dyDescent="0.35">
      <c r="E157" s="57"/>
      <c r="F157" s="52"/>
      <c r="I157" s="52"/>
      <c r="N157" s="57"/>
      <c r="O157" s="57"/>
      <c r="P157" s="57"/>
      <c r="Q157" s="57"/>
    </row>
    <row r="158" spans="5:17" x14ac:dyDescent="0.35">
      <c r="E158" s="57"/>
      <c r="F158" s="52"/>
      <c r="I158" s="52"/>
      <c r="N158" s="57"/>
      <c r="O158" s="57"/>
      <c r="P158" s="57"/>
      <c r="Q158" s="57"/>
    </row>
    <row r="159" spans="5:17" x14ac:dyDescent="0.35">
      <c r="E159" s="57"/>
      <c r="F159" s="52"/>
      <c r="I159" s="52"/>
      <c r="N159" s="57"/>
      <c r="O159" s="57"/>
      <c r="P159" s="57"/>
      <c r="Q159" s="57"/>
    </row>
    <row r="160" spans="5:17" x14ac:dyDescent="0.35">
      <c r="E160" s="61"/>
      <c r="F160" s="52"/>
      <c r="G160" s="54"/>
      <c r="H160" s="54"/>
      <c r="I160" s="54"/>
      <c r="J160" s="54"/>
      <c r="K160" s="54"/>
      <c r="L160" s="54"/>
      <c r="M160" s="54"/>
      <c r="N160" s="56"/>
      <c r="O160" s="56"/>
      <c r="P160" s="56"/>
      <c r="Q160" s="56"/>
    </row>
    <row r="161" spans="5:17" x14ac:dyDescent="0.35">
      <c r="E161" s="61"/>
      <c r="F161" s="52"/>
      <c r="G161" s="54"/>
      <c r="H161" s="54"/>
      <c r="I161" s="54"/>
      <c r="J161" s="54"/>
      <c r="K161" s="54"/>
      <c r="L161" s="54"/>
      <c r="M161" s="54"/>
      <c r="N161" s="56"/>
      <c r="O161" s="56"/>
      <c r="P161" s="56"/>
      <c r="Q161" s="56"/>
    </row>
    <row r="162" spans="5:17" x14ac:dyDescent="0.35">
      <c r="E162" s="61"/>
      <c r="F162" s="52"/>
      <c r="G162" s="54"/>
      <c r="H162" s="54"/>
      <c r="I162" s="54"/>
      <c r="J162" s="54"/>
      <c r="K162" s="54"/>
      <c r="L162" s="54"/>
      <c r="M162" s="54"/>
      <c r="N162" s="56"/>
      <c r="O162" s="56"/>
      <c r="P162" s="56"/>
      <c r="Q162" s="56"/>
    </row>
    <row r="163" spans="5:17" x14ac:dyDescent="0.35">
      <c r="E163" s="53"/>
      <c r="F163" s="52"/>
      <c r="G163" s="54"/>
      <c r="H163" s="54"/>
      <c r="I163" s="54"/>
      <c r="J163" s="54"/>
      <c r="K163" s="54"/>
      <c r="L163" s="54"/>
      <c r="M163" s="54"/>
      <c r="N163" s="64"/>
      <c r="O163" s="64"/>
      <c r="P163" s="64"/>
      <c r="Q163" s="64"/>
    </row>
    <row r="164" spans="5:17" x14ac:dyDescent="0.35">
      <c r="E164" s="53"/>
      <c r="F164" s="52"/>
      <c r="G164" s="54"/>
      <c r="H164" s="54"/>
      <c r="I164" s="54"/>
      <c r="J164" s="54"/>
      <c r="K164" s="54"/>
      <c r="L164" s="54"/>
      <c r="M164" s="54"/>
      <c r="N164" s="64"/>
      <c r="O164" s="64"/>
      <c r="P164" s="64"/>
      <c r="Q164" s="64"/>
    </row>
    <row r="165" spans="5:17" x14ac:dyDescent="0.35">
      <c r="E165" s="53"/>
      <c r="F165" s="52"/>
      <c r="G165" s="54"/>
      <c r="H165" s="54"/>
      <c r="I165" s="54"/>
      <c r="J165" s="54"/>
      <c r="K165" s="54"/>
      <c r="L165" s="54"/>
      <c r="M165" s="54"/>
      <c r="N165" s="64"/>
      <c r="O165" s="64"/>
      <c r="P165" s="64"/>
      <c r="Q165" s="64"/>
    </row>
    <row r="166" spans="5:17" x14ac:dyDescent="0.35">
      <c r="E166" s="53"/>
      <c r="F166" s="52"/>
      <c r="G166" s="54"/>
      <c r="H166" s="54"/>
      <c r="I166" s="54"/>
      <c r="J166" s="54"/>
      <c r="K166" s="54"/>
      <c r="L166" s="54"/>
      <c r="M166" s="54"/>
      <c r="N166" s="64"/>
      <c r="O166" s="64"/>
      <c r="P166" s="64"/>
      <c r="Q166" s="64"/>
    </row>
    <row r="167" spans="5:17" x14ac:dyDescent="0.35">
      <c r="E167" s="53"/>
      <c r="F167" s="52"/>
      <c r="G167" s="54"/>
      <c r="H167" s="54"/>
      <c r="I167" s="54"/>
      <c r="J167" s="54"/>
      <c r="K167" s="54"/>
      <c r="L167" s="54"/>
      <c r="M167" s="54"/>
      <c r="N167" s="64"/>
      <c r="O167" s="64"/>
      <c r="P167" s="64"/>
      <c r="Q167" s="64"/>
    </row>
    <row r="168" spans="5:17" x14ac:dyDescent="0.35">
      <c r="E168" s="53"/>
      <c r="F168" s="52"/>
      <c r="G168" s="54"/>
      <c r="H168" s="54"/>
      <c r="I168" s="54"/>
      <c r="J168" s="54"/>
      <c r="K168" s="54"/>
      <c r="L168" s="54"/>
      <c r="M168" s="54"/>
      <c r="N168" s="64"/>
      <c r="O168" s="64"/>
      <c r="P168" s="64"/>
      <c r="Q168" s="64"/>
    </row>
    <row r="169" spans="5:17" x14ac:dyDescent="0.35">
      <c r="E169" s="53"/>
      <c r="F169" s="52"/>
      <c r="G169" s="54"/>
      <c r="H169" s="54"/>
      <c r="I169" s="54"/>
      <c r="J169" s="54"/>
      <c r="K169" s="54"/>
      <c r="L169" s="54"/>
      <c r="M169" s="54"/>
      <c r="N169" s="64"/>
      <c r="O169" s="64"/>
      <c r="P169" s="64"/>
      <c r="Q169" s="64"/>
    </row>
    <row r="170" spans="5:17" x14ac:dyDescent="0.35">
      <c r="E170" s="53"/>
      <c r="F170" s="52"/>
      <c r="G170" s="54"/>
      <c r="H170" s="54"/>
      <c r="I170" s="54"/>
      <c r="J170" s="54"/>
      <c r="K170" s="54"/>
      <c r="L170" s="54"/>
      <c r="M170" s="54"/>
      <c r="N170" s="64"/>
      <c r="O170" s="64"/>
      <c r="P170" s="64"/>
      <c r="Q170" s="64"/>
    </row>
    <row r="171" spans="5:17" x14ac:dyDescent="0.35">
      <c r="E171" s="53"/>
      <c r="F171" s="52"/>
      <c r="G171" s="54"/>
      <c r="H171" s="54"/>
      <c r="I171" s="54"/>
      <c r="J171" s="54"/>
      <c r="K171" s="54"/>
      <c r="L171" s="54"/>
      <c r="M171" s="54"/>
      <c r="N171" s="64"/>
      <c r="O171" s="64"/>
      <c r="P171" s="64"/>
      <c r="Q171" s="64"/>
    </row>
    <row r="172" spans="5:17" x14ac:dyDescent="0.35">
      <c r="E172" s="53"/>
      <c r="F172" s="52"/>
      <c r="G172" s="54"/>
      <c r="H172" s="54"/>
      <c r="I172" s="54"/>
      <c r="J172" s="54"/>
      <c r="K172" s="54"/>
      <c r="L172" s="54"/>
      <c r="M172" s="54"/>
      <c r="N172" s="64"/>
      <c r="O172" s="64"/>
      <c r="P172" s="64"/>
      <c r="Q172" s="64"/>
    </row>
    <row r="173" spans="5:17" x14ac:dyDescent="0.35">
      <c r="E173" s="53"/>
      <c r="F173" s="52"/>
      <c r="G173" s="54"/>
      <c r="H173" s="54"/>
      <c r="I173" s="54"/>
      <c r="J173" s="54"/>
      <c r="K173" s="54"/>
      <c r="L173" s="54"/>
      <c r="M173" s="54"/>
      <c r="N173" s="64"/>
      <c r="O173" s="64"/>
      <c r="P173" s="64"/>
      <c r="Q173" s="64"/>
    </row>
    <row r="174" spans="5:17" x14ac:dyDescent="0.35">
      <c r="E174" s="53"/>
      <c r="F174" s="52"/>
      <c r="G174" s="54"/>
      <c r="H174" s="54"/>
      <c r="I174" s="54"/>
      <c r="J174" s="54"/>
      <c r="K174" s="54"/>
      <c r="L174" s="54"/>
      <c r="M174" s="54"/>
      <c r="N174" s="64"/>
      <c r="O174" s="64"/>
      <c r="P174" s="64"/>
      <c r="Q174" s="64"/>
    </row>
    <row r="175" spans="5:17" x14ac:dyDescent="0.35">
      <c r="E175" s="53"/>
      <c r="F175" s="52"/>
      <c r="G175" s="54"/>
      <c r="H175" s="54"/>
      <c r="I175" s="54"/>
      <c r="J175" s="54"/>
      <c r="K175" s="54"/>
      <c r="L175" s="54"/>
      <c r="M175" s="54"/>
      <c r="N175" s="64"/>
      <c r="O175" s="64"/>
      <c r="P175" s="64"/>
      <c r="Q175" s="64"/>
    </row>
    <row r="176" spans="5:17" x14ac:dyDescent="0.35">
      <c r="E176" s="53"/>
      <c r="F176" s="52"/>
      <c r="G176" s="54"/>
      <c r="H176" s="54"/>
      <c r="I176" s="54"/>
      <c r="J176" s="54"/>
      <c r="K176" s="54"/>
      <c r="L176" s="54"/>
      <c r="M176" s="54"/>
      <c r="N176" s="64"/>
      <c r="O176" s="64"/>
      <c r="P176" s="64"/>
      <c r="Q176" s="64"/>
    </row>
    <row r="177" spans="4:17" x14ac:dyDescent="0.35">
      <c r="E177" s="53"/>
      <c r="F177" s="52"/>
      <c r="G177" s="54"/>
      <c r="H177" s="54"/>
      <c r="I177" s="54"/>
      <c r="J177" s="54"/>
      <c r="K177" s="54"/>
      <c r="L177" s="54"/>
      <c r="M177" s="54"/>
      <c r="N177" s="64"/>
      <c r="O177" s="64"/>
      <c r="P177" s="64"/>
      <c r="Q177" s="64"/>
    </row>
    <row r="178" spans="4:17" x14ac:dyDescent="0.35">
      <c r="E178" s="53"/>
      <c r="F178" s="52"/>
      <c r="G178" s="54"/>
      <c r="H178" s="54"/>
      <c r="I178" s="54"/>
      <c r="J178" s="54"/>
      <c r="K178" s="54"/>
      <c r="L178" s="54"/>
      <c r="M178" s="54"/>
      <c r="N178" s="64"/>
      <c r="O178" s="64"/>
      <c r="P178" s="64"/>
      <c r="Q178" s="64"/>
    </row>
    <row r="179" spans="4:17" x14ac:dyDescent="0.35">
      <c r="D179" s="59"/>
      <c r="E179" s="53"/>
      <c r="F179" s="59"/>
      <c r="G179" s="54"/>
      <c r="H179" s="54"/>
      <c r="I179" s="54"/>
      <c r="J179" s="54"/>
      <c r="K179" s="54"/>
      <c r="L179" s="54"/>
      <c r="M179" s="54"/>
      <c r="N179" s="64"/>
      <c r="O179" s="64"/>
      <c r="P179" s="64"/>
      <c r="Q179" s="64"/>
    </row>
    <row r="180" spans="4:17" x14ac:dyDescent="0.35">
      <c r="D180" s="59"/>
      <c r="E180" s="53"/>
      <c r="F180" s="59"/>
      <c r="G180" s="54"/>
      <c r="H180" s="54"/>
      <c r="I180" s="54"/>
      <c r="J180" s="54"/>
      <c r="K180" s="54"/>
      <c r="L180" s="54"/>
      <c r="M180" s="54"/>
      <c r="N180" s="64"/>
      <c r="O180" s="64"/>
      <c r="P180" s="64"/>
      <c r="Q180" s="64"/>
    </row>
    <row r="181" spans="4:17" x14ac:dyDescent="0.35">
      <c r="D181" s="59"/>
      <c r="E181" s="53"/>
      <c r="F181" s="59"/>
      <c r="G181" s="54"/>
      <c r="H181" s="54"/>
      <c r="I181" s="54"/>
      <c r="J181" s="54"/>
      <c r="K181" s="54"/>
      <c r="L181" s="54"/>
      <c r="M181" s="54"/>
      <c r="N181" s="64"/>
      <c r="O181" s="64"/>
      <c r="P181" s="64"/>
      <c r="Q181" s="64"/>
    </row>
    <row r="182" spans="4:17" x14ac:dyDescent="0.35">
      <c r="D182" s="59"/>
      <c r="E182" s="53"/>
      <c r="F182" s="59"/>
      <c r="G182" s="54"/>
      <c r="H182" s="54"/>
      <c r="I182" s="54"/>
      <c r="J182" s="54"/>
      <c r="K182" s="54"/>
      <c r="L182" s="54"/>
      <c r="M182" s="54"/>
      <c r="N182" s="64"/>
      <c r="O182" s="64"/>
      <c r="P182" s="64"/>
      <c r="Q182" s="64"/>
    </row>
  </sheetData>
  <autoFilter ref="A1:Q108" xr:uid="{06CB1331-AF3E-489A-B433-09E21B4DF482}">
    <filterColumn colId="6" showButton="0"/>
    <filterColumn colId="7" showButton="0"/>
  </autoFilter>
  <mergeCells count="361">
    <mergeCell ref="C94:C98"/>
    <mergeCell ref="D94:D98"/>
    <mergeCell ref="E94:E98"/>
    <mergeCell ref="F94:F98"/>
    <mergeCell ref="G94:G98"/>
    <mergeCell ref="Q84:Q88"/>
    <mergeCell ref="H84:H88"/>
    <mergeCell ref="I84:I88"/>
    <mergeCell ref="Q99:Q104"/>
    <mergeCell ref="H99:H104"/>
    <mergeCell ref="I99:I104"/>
    <mergeCell ref="J99:J104"/>
    <mergeCell ref="K99:K104"/>
    <mergeCell ref="L99:L104"/>
    <mergeCell ref="C99:C104"/>
    <mergeCell ref="D99:D104"/>
    <mergeCell ref="E99:E104"/>
    <mergeCell ref="F99:F104"/>
    <mergeCell ref="G99:G104"/>
    <mergeCell ref="M99:M104"/>
    <mergeCell ref="N99:N104"/>
    <mergeCell ref="O99:O104"/>
    <mergeCell ref="P99:P104"/>
    <mergeCell ref="Q94:Q98"/>
    <mergeCell ref="H94:H98"/>
    <mergeCell ref="I94:I98"/>
    <mergeCell ref="J94:J98"/>
    <mergeCell ref="K94:K98"/>
    <mergeCell ref="L94:L98"/>
    <mergeCell ref="M94:M98"/>
    <mergeCell ref="N94:N98"/>
    <mergeCell ref="O94:O98"/>
    <mergeCell ref="P94:P98"/>
    <mergeCell ref="Q89:Q93"/>
    <mergeCell ref="H89:H93"/>
    <mergeCell ref="I89:I93"/>
    <mergeCell ref="K79:K83"/>
    <mergeCell ref="L79:L83"/>
    <mergeCell ref="C84:C88"/>
    <mergeCell ref="J89:J93"/>
    <mergeCell ref="K89:K93"/>
    <mergeCell ref="L89:L93"/>
    <mergeCell ref="C79:C83"/>
    <mergeCell ref="D79:D83"/>
    <mergeCell ref="E79:E83"/>
    <mergeCell ref="C89:C93"/>
    <mergeCell ref="D89:D93"/>
    <mergeCell ref="E89:E93"/>
    <mergeCell ref="F89:F93"/>
    <mergeCell ref="G89:G93"/>
    <mergeCell ref="M84:M88"/>
    <mergeCell ref="N84:N88"/>
    <mergeCell ref="O84:O88"/>
    <mergeCell ref="P84:P88"/>
    <mergeCell ref="M89:M93"/>
    <mergeCell ref="N89:N93"/>
    <mergeCell ref="O89:O93"/>
    <mergeCell ref="P89:P93"/>
    <mergeCell ref="C76:C78"/>
    <mergeCell ref="D76:D78"/>
    <mergeCell ref="E76:E78"/>
    <mergeCell ref="F76:F78"/>
    <mergeCell ref="G76:G78"/>
    <mergeCell ref="M76:M78"/>
    <mergeCell ref="N76:N78"/>
    <mergeCell ref="O76:O78"/>
    <mergeCell ref="P76:P78"/>
    <mergeCell ref="D84:D88"/>
    <mergeCell ref="E84:E88"/>
    <mergeCell ref="F84:F88"/>
    <mergeCell ref="G84:G88"/>
    <mergeCell ref="I79:I83"/>
    <mergeCell ref="J79:J83"/>
    <mergeCell ref="F79:F83"/>
    <mergeCell ref="G79:G83"/>
    <mergeCell ref="M79:M83"/>
    <mergeCell ref="J84:J88"/>
    <mergeCell ref="K84:K88"/>
    <mergeCell ref="L84:L88"/>
    <mergeCell ref="H79:H83"/>
    <mergeCell ref="N79:N83"/>
    <mergeCell ref="O79:O83"/>
    <mergeCell ref="P79:P83"/>
    <mergeCell ref="Q71:Q75"/>
    <mergeCell ref="H71:H75"/>
    <mergeCell ref="I71:I75"/>
    <mergeCell ref="J71:J75"/>
    <mergeCell ref="K71:K75"/>
    <mergeCell ref="L71:L75"/>
    <mergeCell ref="Q76:Q78"/>
    <mergeCell ref="H76:H78"/>
    <mergeCell ref="I76:I78"/>
    <mergeCell ref="J76:J78"/>
    <mergeCell ref="K76:K78"/>
    <mergeCell ref="L76:L78"/>
    <mergeCell ref="Q79:Q83"/>
    <mergeCell ref="C71:C75"/>
    <mergeCell ref="D71:D75"/>
    <mergeCell ref="E71:E75"/>
    <mergeCell ref="F71:F75"/>
    <mergeCell ref="G71:G75"/>
    <mergeCell ref="M71:M75"/>
    <mergeCell ref="N71:N75"/>
    <mergeCell ref="O71:O75"/>
    <mergeCell ref="P71:P75"/>
    <mergeCell ref="M66:M70"/>
    <mergeCell ref="N66:N70"/>
    <mergeCell ref="O66:O70"/>
    <mergeCell ref="P66:P70"/>
    <mergeCell ref="Q66:Q70"/>
    <mergeCell ref="H66:H70"/>
    <mergeCell ref="I66:I70"/>
    <mergeCell ref="J66:J70"/>
    <mergeCell ref="K66:K70"/>
    <mergeCell ref="L66:L70"/>
    <mergeCell ref="C61:C65"/>
    <mergeCell ref="D61:D65"/>
    <mergeCell ref="E61:E65"/>
    <mergeCell ref="F61:F65"/>
    <mergeCell ref="G61:G65"/>
    <mergeCell ref="C66:C70"/>
    <mergeCell ref="D66:D70"/>
    <mergeCell ref="E66:E70"/>
    <mergeCell ref="F66:F70"/>
    <mergeCell ref="G66:G70"/>
    <mergeCell ref="Q56:Q60"/>
    <mergeCell ref="H56:H60"/>
    <mergeCell ref="I56:I60"/>
    <mergeCell ref="J56:J60"/>
    <mergeCell ref="K56:K60"/>
    <mergeCell ref="L56:L60"/>
    <mergeCell ref="Q61:Q65"/>
    <mergeCell ref="H61:H65"/>
    <mergeCell ref="I61:I65"/>
    <mergeCell ref="J61:J65"/>
    <mergeCell ref="K61:K65"/>
    <mergeCell ref="L61:L65"/>
    <mergeCell ref="M61:M65"/>
    <mergeCell ref="N61:N65"/>
    <mergeCell ref="O61:O65"/>
    <mergeCell ref="P61:P65"/>
    <mergeCell ref="C56:C60"/>
    <mergeCell ref="D56:D60"/>
    <mergeCell ref="E56:E60"/>
    <mergeCell ref="F56:F60"/>
    <mergeCell ref="G56:G60"/>
    <mergeCell ref="M56:M60"/>
    <mergeCell ref="N56:N60"/>
    <mergeCell ref="O56:O60"/>
    <mergeCell ref="P56:P60"/>
    <mergeCell ref="M51:M55"/>
    <mergeCell ref="N51:N55"/>
    <mergeCell ref="O51:O55"/>
    <mergeCell ref="P51:P55"/>
    <mergeCell ref="Q51:Q55"/>
    <mergeCell ref="H51:H55"/>
    <mergeCell ref="I51:I55"/>
    <mergeCell ref="J51:J55"/>
    <mergeCell ref="K51:K55"/>
    <mergeCell ref="L51:L55"/>
    <mergeCell ref="C46:C50"/>
    <mergeCell ref="D46:D50"/>
    <mergeCell ref="E46:E50"/>
    <mergeCell ref="F46:F50"/>
    <mergeCell ref="G46:G50"/>
    <mergeCell ref="C51:C55"/>
    <mergeCell ref="D51:D55"/>
    <mergeCell ref="E51:E55"/>
    <mergeCell ref="F51:F55"/>
    <mergeCell ref="G51:G55"/>
    <mergeCell ref="Q42:Q45"/>
    <mergeCell ref="H42:H45"/>
    <mergeCell ref="I42:I45"/>
    <mergeCell ref="J42:J45"/>
    <mergeCell ref="K42:K45"/>
    <mergeCell ref="L42:L45"/>
    <mergeCell ref="Q46:Q50"/>
    <mergeCell ref="H46:H50"/>
    <mergeCell ref="I46:I50"/>
    <mergeCell ref="J46:J50"/>
    <mergeCell ref="K46:K50"/>
    <mergeCell ref="L46:L50"/>
    <mergeCell ref="M46:M50"/>
    <mergeCell ref="N46:N50"/>
    <mergeCell ref="O46:O50"/>
    <mergeCell ref="P46:P50"/>
    <mergeCell ref="L39:L41"/>
    <mergeCell ref="M39:M41"/>
    <mergeCell ref="N39:N41"/>
    <mergeCell ref="O39:O41"/>
    <mergeCell ref="P39:P41"/>
    <mergeCell ref="Q39:Q41"/>
    <mergeCell ref="C35:C37"/>
    <mergeCell ref="N35:N37"/>
    <mergeCell ref="O35:O37"/>
    <mergeCell ref="P35:P37"/>
    <mergeCell ref="D35:D37"/>
    <mergeCell ref="E35:E37"/>
    <mergeCell ref="F35:F37"/>
    <mergeCell ref="G35:G37"/>
    <mergeCell ref="H35:H37"/>
    <mergeCell ref="C39:C41"/>
    <mergeCell ref="D39:D41"/>
    <mergeCell ref="E39:E41"/>
    <mergeCell ref="F39:F41"/>
    <mergeCell ref="G39:G41"/>
    <mergeCell ref="H39:H41"/>
    <mergeCell ref="I39:I41"/>
    <mergeCell ref="J39:J41"/>
    <mergeCell ref="K39:K41"/>
    <mergeCell ref="C42:C45"/>
    <mergeCell ref="D42:D45"/>
    <mergeCell ref="E42:E45"/>
    <mergeCell ref="F42:F45"/>
    <mergeCell ref="G42:G45"/>
    <mergeCell ref="M42:M45"/>
    <mergeCell ref="N42:N45"/>
    <mergeCell ref="O42:O45"/>
    <mergeCell ref="P42:P45"/>
    <mergeCell ref="Q32:Q34"/>
    <mergeCell ref="H32:H34"/>
    <mergeCell ref="I32:I34"/>
    <mergeCell ref="J32:J34"/>
    <mergeCell ref="K32:K34"/>
    <mergeCell ref="L32:L34"/>
    <mergeCell ref="Q35:Q37"/>
    <mergeCell ref="I35:I37"/>
    <mergeCell ref="J35:J37"/>
    <mergeCell ref="K35:K37"/>
    <mergeCell ref="L35:L37"/>
    <mergeCell ref="M35:M37"/>
    <mergeCell ref="C32:C34"/>
    <mergeCell ref="D32:D34"/>
    <mergeCell ref="E32:E34"/>
    <mergeCell ref="F32:F34"/>
    <mergeCell ref="G32:G34"/>
    <mergeCell ref="M29:M31"/>
    <mergeCell ref="N29:N31"/>
    <mergeCell ref="O29:O31"/>
    <mergeCell ref="P29:P31"/>
    <mergeCell ref="M32:M34"/>
    <mergeCell ref="N32:N34"/>
    <mergeCell ref="O32:O34"/>
    <mergeCell ref="P32:P34"/>
    <mergeCell ref="Q29:Q31"/>
    <mergeCell ref="H29:H31"/>
    <mergeCell ref="I29:I31"/>
    <mergeCell ref="J29:J31"/>
    <mergeCell ref="K29:K31"/>
    <mergeCell ref="L29:L31"/>
    <mergeCell ref="C29:C31"/>
    <mergeCell ref="D29:D31"/>
    <mergeCell ref="E29:E31"/>
    <mergeCell ref="F29:F31"/>
    <mergeCell ref="G29:G31"/>
    <mergeCell ref="O21:O23"/>
    <mergeCell ref="P21:P23"/>
    <mergeCell ref="C24:C26"/>
    <mergeCell ref="D24:D26"/>
    <mergeCell ref="E24:E26"/>
    <mergeCell ref="F24:F26"/>
    <mergeCell ref="G24:G26"/>
    <mergeCell ref="Q21:Q23"/>
    <mergeCell ref="H21:H23"/>
    <mergeCell ref="I21:I23"/>
    <mergeCell ref="J21:J23"/>
    <mergeCell ref="K21:K23"/>
    <mergeCell ref="L21:L23"/>
    <mergeCell ref="Q24:Q26"/>
    <mergeCell ref="H24:H26"/>
    <mergeCell ref="I24:I26"/>
    <mergeCell ref="J24:J26"/>
    <mergeCell ref="K24:K26"/>
    <mergeCell ref="L24:L26"/>
    <mergeCell ref="M24:M26"/>
    <mergeCell ref="N24:N26"/>
    <mergeCell ref="O24:O26"/>
    <mergeCell ref="P24:P26"/>
    <mergeCell ref="C21:C23"/>
    <mergeCell ref="C18:C20"/>
    <mergeCell ref="D18:D20"/>
    <mergeCell ref="E18:E20"/>
    <mergeCell ref="F18:F20"/>
    <mergeCell ref="G18:G20"/>
    <mergeCell ref="F21:F23"/>
    <mergeCell ref="G21:G23"/>
    <mergeCell ref="M18:M20"/>
    <mergeCell ref="N18:N20"/>
    <mergeCell ref="M21:M23"/>
    <mergeCell ref="N21:N23"/>
    <mergeCell ref="D21:D23"/>
    <mergeCell ref="E21:E23"/>
    <mergeCell ref="P15:P17"/>
    <mergeCell ref="Q15:Q17"/>
    <mergeCell ref="H15:H17"/>
    <mergeCell ref="I15:I17"/>
    <mergeCell ref="J15:J17"/>
    <mergeCell ref="K15:K17"/>
    <mergeCell ref="L15:L17"/>
    <mergeCell ref="Q18:Q20"/>
    <mergeCell ref="H18:H20"/>
    <mergeCell ref="I18:I20"/>
    <mergeCell ref="J18:J20"/>
    <mergeCell ref="K18:K20"/>
    <mergeCell ref="L18:L20"/>
    <mergeCell ref="O18:O20"/>
    <mergeCell ref="P18:P20"/>
    <mergeCell ref="C15:C17"/>
    <mergeCell ref="D15:D17"/>
    <mergeCell ref="E15:E17"/>
    <mergeCell ref="F15:F17"/>
    <mergeCell ref="G15:G17"/>
    <mergeCell ref="M11:M13"/>
    <mergeCell ref="E11:E13"/>
    <mergeCell ref="N11:N13"/>
    <mergeCell ref="O11:O13"/>
    <mergeCell ref="M15:M17"/>
    <mergeCell ref="N15:N17"/>
    <mergeCell ref="O15:O17"/>
    <mergeCell ref="P11:P13"/>
    <mergeCell ref="Q11:Q13"/>
    <mergeCell ref="C11:C13"/>
    <mergeCell ref="D11:D13"/>
    <mergeCell ref="F11:F13"/>
    <mergeCell ref="G11:G13"/>
    <mergeCell ref="H11:H13"/>
    <mergeCell ref="I11:I13"/>
    <mergeCell ref="J11:J13"/>
    <mergeCell ref="K11:K13"/>
    <mergeCell ref="L11:L13"/>
    <mergeCell ref="Q5:Q7"/>
    <mergeCell ref="E5:E7"/>
    <mergeCell ref="C8:C10"/>
    <mergeCell ref="D8:D10"/>
    <mergeCell ref="E8:E10"/>
    <mergeCell ref="F8:F10"/>
    <mergeCell ref="G8:G10"/>
    <mergeCell ref="H8:H10"/>
    <mergeCell ref="I8:I10"/>
    <mergeCell ref="J8:J10"/>
    <mergeCell ref="K8:K10"/>
    <mergeCell ref="L8:L10"/>
    <mergeCell ref="M8:M10"/>
    <mergeCell ref="N8:N10"/>
    <mergeCell ref="J5:J7"/>
    <mergeCell ref="K5:K7"/>
    <mergeCell ref="L5:L7"/>
    <mergeCell ref="M5:M7"/>
    <mergeCell ref="N5:N7"/>
    <mergeCell ref="O8:O10"/>
    <mergeCell ref="P8:P10"/>
    <mergeCell ref="Q8:Q10"/>
    <mergeCell ref="G1:I1"/>
    <mergeCell ref="C5:C7"/>
    <mergeCell ref="D5:D7"/>
    <mergeCell ref="F5:F7"/>
    <mergeCell ref="G5:G7"/>
    <mergeCell ref="H5:H7"/>
    <mergeCell ref="I5:I7"/>
    <mergeCell ref="O5:O7"/>
    <mergeCell ref="P5:P7"/>
  </mergeCell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8C0580E8-D6E7-41A7-8CE2-E1E3F20BED11}">
          <x14:formula1>
            <xm:f>'Paso 3 Redacción RA '!$I$3:$I$11</xm:f>
          </x14:formula1>
          <xm:sqref>B148:B182 B45 B34 B23 B4 B98 B93 B88 B83 B78 B75 B70 B65 B60 B55 B50 B37:B38 B31 B104:B146 B20 B17 B13:B14 B26:B28 B41</xm:sqref>
        </x14:dataValidation>
        <x14:dataValidation type="list" allowBlank="1" showInputMessage="1" showErrorMessage="1" xr:uid="{C9DFEA4C-E456-40FA-A0B8-26962CF02348}">
          <x14:formula1>
            <xm:f>'Paso 3 Redacción RA '!$I$3:$I$12</xm:f>
          </x14:formula1>
          <xm:sqref>B11:B12 B3:B9 B99:B103 B94:B97 B89:B92 B84:B87 B79:B82 B39:B40 B71:B74 B66:B69 B61:B64 B56:B59 B51:B54 B46:B49 B42:B44 B35:B36 B32:B33 B29:B30 B21:B22 B24:B25 B18:B19 B15:B16 B76:B77</xm:sqref>
        </x14:dataValidation>
        <x14:dataValidation type="list" allowBlank="1" showInputMessage="1" showErrorMessage="1" xr:uid="{30DD22C5-FBF6-44B0-BCFD-32788D298910}">
          <x14:formula1>
            <xm:f>'Paso 3 Redacción RA '!$I$1:$I$12</xm:f>
          </x14:formula1>
          <xm:sqref>B10 B38</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B1907-1808-45DB-89DB-D7AD15506F3A}">
  <dimension ref="B1:B38"/>
  <sheetViews>
    <sheetView topLeftCell="A4" workbookViewId="0">
      <selection activeCell="B1" sqref="B1"/>
    </sheetView>
  </sheetViews>
  <sheetFormatPr baseColWidth="10" defaultColWidth="11.453125" defaultRowHeight="14.5" x14ac:dyDescent="0.35"/>
  <cols>
    <col min="2" max="2" width="27.1796875" customWidth="1"/>
  </cols>
  <sheetData>
    <row r="1" spans="2:2" ht="16.5" x14ac:dyDescent="0.5">
      <c r="B1" s="1" t="s">
        <v>286</v>
      </c>
    </row>
    <row r="2" spans="2:2" ht="16.5" x14ac:dyDescent="0.5">
      <c r="B2" s="1" t="s">
        <v>287</v>
      </c>
    </row>
    <row r="3" spans="2:2" ht="16.5" x14ac:dyDescent="0.5">
      <c r="B3" s="1" t="s">
        <v>288</v>
      </c>
    </row>
    <row r="4" spans="2:2" ht="16.5" x14ac:dyDescent="0.5">
      <c r="B4" s="1" t="s">
        <v>60</v>
      </c>
    </row>
    <row r="5" spans="2:2" ht="16.5" x14ac:dyDescent="0.5">
      <c r="B5" s="1" t="s">
        <v>90</v>
      </c>
    </row>
    <row r="6" spans="2:2" ht="16.5" x14ac:dyDescent="0.5">
      <c r="B6" s="1" t="s">
        <v>289</v>
      </c>
    </row>
    <row r="7" spans="2:2" ht="16.5" x14ac:dyDescent="0.5">
      <c r="B7" s="1" t="s">
        <v>290</v>
      </c>
    </row>
    <row r="8" spans="2:2" ht="16.5" x14ac:dyDescent="0.5">
      <c r="B8" s="1" t="s">
        <v>291</v>
      </c>
    </row>
    <row r="9" spans="2:2" ht="16.5" x14ac:dyDescent="0.5">
      <c r="B9" s="1" t="s">
        <v>292</v>
      </c>
    </row>
    <row r="10" spans="2:2" ht="16.5" x14ac:dyDescent="0.5">
      <c r="B10" s="1" t="s">
        <v>293</v>
      </c>
    </row>
    <row r="11" spans="2:2" ht="16.5" x14ac:dyDescent="0.5">
      <c r="B11" s="1" t="s">
        <v>53</v>
      </c>
    </row>
    <row r="12" spans="2:2" ht="16.5" x14ac:dyDescent="0.5">
      <c r="B12" s="1" t="s">
        <v>294</v>
      </c>
    </row>
    <row r="13" spans="2:2" ht="16.5" x14ac:dyDescent="0.5">
      <c r="B13" s="1" t="s">
        <v>295</v>
      </c>
    </row>
    <row r="14" spans="2:2" ht="16.5" x14ac:dyDescent="0.5">
      <c r="B14" s="1" t="s">
        <v>56</v>
      </c>
    </row>
    <row r="15" spans="2:2" ht="16.5" x14ac:dyDescent="0.5">
      <c r="B15" s="1" t="s">
        <v>296</v>
      </c>
    </row>
    <row r="16" spans="2:2" ht="16.5" x14ac:dyDescent="0.5">
      <c r="B16" s="1" t="s">
        <v>297</v>
      </c>
    </row>
    <row r="17" spans="2:2" ht="16.5" x14ac:dyDescent="0.5">
      <c r="B17" s="1" t="s">
        <v>298</v>
      </c>
    </row>
    <row r="18" spans="2:2" ht="16.5" x14ac:dyDescent="0.5">
      <c r="B18" s="1" t="s">
        <v>299</v>
      </c>
    </row>
    <row r="19" spans="2:2" ht="16.5" x14ac:dyDescent="0.5">
      <c r="B19" s="1" t="s">
        <v>300</v>
      </c>
    </row>
    <row r="20" spans="2:2" ht="16.5" x14ac:dyDescent="0.5">
      <c r="B20" s="1" t="s">
        <v>301</v>
      </c>
    </row>
    <row r="21" spans="2:2" ht="16.5" x14ac:dyDescent="0.5">
      <c r="B21" s="1" t="s">
        <v>302</v>
      </c>
    </row>
    <row r="22" spans="2:2" ht="16.5" x14ac:dyDescent="0.5">
      <c r="B22" s="1" t="s">
        <v>303</v>
      </c>
    </row>
    <row r="23" spans="2:2" ht="16.5" x14ac:dyDescent="0.5">
      <c r="B23" s="1" t="s">
        <v>304</v>
      </c>
    </row>
    <row r="24" spans="2:2" ht="16.5" x14ac:dyDescent="0.5">
      <c r="B24" s="1" t="s">
        <v>305</v>
      </c>
    </row>
    <row r="25" spans="2:2" ht="16.5" x14ac:dyDescent="0.5">
      <c r="B25" s="1" t="s">
        <v>306</v>
      </c>
    </row>
    <row r="26" spans="2:2" ht="16.5" x14ac:dyDescent="0.5">
      <c r="B26" s="1" t="s">
        <v>307</v>
      </c>
    </row>
    <row r="27" spans="2:2" ht="16.5" x14ac:dyDescent="0.5">
      <c r="B27" s="1" t="s">
        <v>308</v>
      </c>
    </row>
    <row r="28" spans="2:2" ht="16.5" x14ac:dyDescent="0.5">
      <c r="B28" s="1" t="s">
        <v>309</v>
      </c>
    </row>
    <row r="29" spans="2:2" ht="16.5" x14ac:dyDescent="0.5">
      <c r="B29" s="1" t="s">
        <v>310</v>
      </c>
    </row>
    <row r="30" spans="2:2" ht="16.5" x14ac:dyDescent="0.5">
      <c r="B30" s="1" t="s">
        <v>311</v>
      </c>
    </row>
    <row r="31" spans="2:2" ht="16.5" x14ac:dyDescent="0.5">
      <c r="B31" s="1" t="s">
        <v>312</v>
      </c>
    </row>
    <row r="32" spans="2:2" ht="16.5" x14ac:dyDescent="0.5">
      <c r="B32" s="1" t="s">
        <v>313</v>
      </c>
    </row>
    <row r="33" spans="2:2" ht="16.5" x14ac:dyDescent="0.5">
      <c r="B33" s="1" t="s">
        <v>314</v>
      </c>
    </row>
    <row r="34" spans="2:2" ht="16.5" x14ac:dyDescent="0.5">
      <c r="B34" s="1" t="s">
        <v>315</v>
      </c>
    </row>
    <row r="35" spans="2:2" ht="16.5" x14ac:dyDescent="0.5">
      <c r="B35" s="1" t="s">
        <v>316</v>
      </c>
    </row>
    <row r="36" spans="2:2" ht="16.5" x14ac:dyDescent="0.5">
      <c r="B36" s="1" t="s">
        <v>58</v>
      </c>
    </row>
    <row r="37" spans="2:2" ht="16.5" x14ac:dyDescent="0.5">
      <c r="B37" s="1" t="s">
        <v>317</v>
      </c>
    </row>
    <row r="38" spans="2:2" ht="16.5" x14ac:dyDescent="0.5">
      <c r="B38" s="1" t="s">
        <v>318</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C108"/>
  <sheetViews>
    <sheetView topLeftCell="P1" zoomScale="66" workbookViewId="0">
      <selection activeCell="AD35" sqref="AD35"/>
    </sheetView>
  </sheetViews>
  <sheetFormatPr baseColWidth="10" defaultColWidth="11.453125" defaultRowHeight="16.5" x14ac:dyDescent="0.5"/>
  <cols>
    <col min="1" max="1" width="20.453125" style="1" customWidth="1"/>
    <col min="2" max="2" width="14.26953125" style="1" customWidth="1"/>
    <col min="3" max="3" width="22.1796875" style="1" customWidth="1"/>
    <col min="4" max="4" width="21.54296875" style="1" customWidth="1"/>
    <col min="5" max="5" width="20.7265625" style="1" customWidth="1"/>
    <col min="6" max="6" width="16.81640625" style="1" customWidth="1"/>
    <col min="7" max="7" width="21.81640625" style="1" customWidth="1"/>
    <col min="8" max="8" width="26.1796875" style="1" customWidth="1"/>
    <col min="9" max="9" width="25.26953125" style="1" customWidth="1"/>
    <col min="10" max="10" width="24.453125" style="1" customWidth="1"/>
    <col min="11" max="11" width="15.26953125" style="1" customWidth="1"/>
    <col min="12" max="17" width="17.7265625" style="1" customWidth="1"/>
    <col min="18" max="18" width="22.54296875" style="1" customWidth="1"/>
    <col min="19" max="19" width="15.54296875" style="1" customWidth="1"/>
    <col min="20" max="20" width="15" style="1" customWidth="1"/>
    <col min="21" max="25" width="13.1796875" style="1" customWidth="1"/>
    <col min="26" max="26" width="16.54296875" style="1" customWidth="1"/>
    <col min="27" max="28" width="13.1796875" style="1" customWidth="1"/>
    <col min="29" max="29" width="19.453125" style="1" customWidth="1"/>
    <col min="30" max="30" width="13.81640625" style="1" customWidth="1"/>
    <col min="31" max="31" width="13.1796875" style="1" customWidth="1"/>
    <col min="32" max="32" width="13.453125" style="1" customWidth="1"/>
    <col min="33" max="33" width="30.7265625" style="1" customWidth="1"/>
    <col min="34" max="36" width="13.1796875" style="1" customWidth="1"/>
    <col min="37" max="37" width="14.54296875" style="1" customWidth="1"/>
    <col min="38" max="43" width="16.7265625" style="1" customWidth="1"/>
    <col min="44" max="45" width="13.26953125" style="1" customWidth="1"/>
    <col min="46" max="46" width="23.81640625" style="1" customWidth="1"/>
    <col min="47" max="47" width="22.54296875" style="1" customWidth="1"/>
    <col min="48" max="48" width="24.1796875" style="1" customWidth="1"/>
    <col min="49" max="49" width="27.81640625" style="1" customWidth="1"/>
    <col min="50" max="50" width="24.7265625" style="1" customWidth="1"/>
    <col min="51" max="51" width="22.7265625" style="1" customWidth="1"/>
    <col min="52" max="55" width="13.26953125" style="1" customWidth="1"/>
    <col min="56" max="16384" width="11.453125" style="1"/>
  </cols>
  <sheetData>
    <row r="1" spans="1:55" x14ac:dyDescent="0.5">
      <c r="S1" s="158" t="s">
        <v>319</v>
      </c>
      <c r="T1" s="158"/>
      <c r="U1" s="158"/>
      <c r="V1" s="158"/>
      <c r="W1" s="158"/>
      <c r="X1" s="158"/>
      <c r="Y1" s="158"/>
      <c r="Z1" s="158"/>
      <c r="AA1" s="158"/>
      <c r="AB1" s="158"/>
      <c r="AC1" s="158"/>
      <c r="AD1" s="158"/>
      <c r="AE1" s="158"/>
      <c r="AF1" s="158"/>
      <c r="AG1" s="158"/>
      <c r="AH1" s="14"/>
      <c r="AI1" s="14"/>
      <c r="AJ1" s="14"/>
      <c r="AL1" s="158" t="s">
        <v>320</v>
      </c>
      <c r="AM1" s="158"/>
      <c r="AN1" s="158"/>
      <c r="AO1" s="158"/>
      <c r="AP1" s="158"/>
      <c r="AQ1" s="158"/>
      <c r="AR1" s="14"/>
      <c r="AS1" s="14"/>
      <c r="AT1" s="158" t="s">
        <v>321</v>
      </c>
      <c r="AU1" s="158"/>
      <c r="AV1" s="158"/>
      <c r="AW1" s="158"/>
      <c r="AX1" s="158"/>
      <c r="AY1" s="158"/>
      <c r="AZ1" s="14"/>
      <c r="BC1" s="14"/>
    </row>
    <row r="2" spans="1:55" x14ac:dyDescent="0.5">
      <c r="L2" s="158" t="s">
        <v>322</v>
      </c>
      <c r="M2" s="158"/>
      <c r="N2" s="158"/>
      <c r="O2" s="158"/>
      <c r="P2" s="158"/>
      <c r="Q2" s="158"/>
      <c r="S2" s="159" t="s">
        <v>323</v>
      </c>
      <c r="T2" s="159"/>
      <c r="U2" s="159"/>
      <c r="V2" s="159"/>
      <c r="W2" s="159"/>
      <c r="X2" s="159"/>
      <c r="Y2" s="159" t="s">
        <v>324</v>
      </c>
      <c r="Z2" s="159"/>
      <c r="AA2" s="159"/>
      <c r="AB2" s="159"/>
      <c r="AC2" s="159" t="s">
        <v>325</v>
      </c>
      <c r="AD2" s="159"/>
      <c r="AE2" s="159"/>
      <c r="AF2" s="159"/>
      <c r="AG2" s="159"/>
      <c r="AH2" s="14"/>
      <c r="AI2" s="14"/>
      <c r="AJ2" s="14"/>
      <c r="AL2" s="158"/>
      <c r="AM2" s="158"/>
      <c r="AN2" s="158"/>
      <c r="AO2" s="158"/>
      <c r="AP2" s="158"/>
      <c r="AQ2" s="158"/>
      <c r="AR2" s="14"/>
      <c r="AS2" s="14"/>
      <c r="AT2" s="14"/>
      <c r="AU2" s="14"/>
      <c r="AV2" s="14"/>
      <c r="AW2" s="14"/>
      <c r="AX2" s="14"/>
      <c r="AY2" s="14"/>
      <c r="AZ2" s="14"/>
      <c r="BC2" s="14"/>
    </row>
    <row r="3" spans="1:55" x14ac:dyDescent="0.5">
      <c r="A3" s="1" t="s">
        <v>326</v>
      </c>
      <c r="C3" s="1" t="s">
        <v>83</v>
      </c>
      <c r="D3" s="1" t="s">
        <v>327</v>
      </c>
      <c r="E3" s="1" t="s">
        <v>328</v>
      </c>
      <c r="G3" s="1" t="s">
        <v>105</v>
      </c>
      <c r="H3" s="1" t="s">
        <v>329</v>
      </c>
      <c r="I3" s="1" t="s">
        <v>330</v>
      </c>
      <c r="L3" s="1" t="s">
        <v>331</v>
      </c>
      <c r="M3" s="1" t="s">
        <v>106</v>
      </c>
      <c r="N3" s="1" t="s">
        <v>332</v>
      </c>
      <c r="O3" s="1" t="s">
        <v>333</v>
      </c>
      <c r="P3" s="1" t="s">
        <v>334</v>
      </c>
      <c r="Q3" s="1" t="s">
        <v>335</v>
      </c>
      <c r="S3" s="1" t="s">
        <v>336</v>
      </c>
      <c r="T3" s="1" t="s">
        <v>85</v>
      </c>
      <c r="U3" s="1" t="s">
        <v>337</v>
      </c>
      <c r="V3" s="1" t="s">
        <v>338</v>
      </c>
      <c r="W3" s="1" t="s">
        <v>339</v>
      </c>
      <c r="X3" s="1" t="s">
        <v>340</v>
      </c>
      <c r="Y3" s="1" t="s">
        <v>341</v>
      </c>
      <c r="Z3" s="1" t="s">
        <v>89</v>
      </c>
      <c r="AA3" s="1" t="s">
        <v>96</v>
      </c>
      <c r="AB3" s="1" t="s">
        <v>342</v>
      </c>
      <c r="AC3" s="1" t="s">
        <v>343</v>
      </c>
      <c r="AD3" s="1" t="s">
        <v>99</v>
      </c>
      <c r="AE3" s="1" t="s">
        <v>93</v>
      </c>
      <c r="AF3" s="1" t="s">
        <v>344</v>
      </c>
      <c r="AG3" s="1" t="s">
        <v>345</v>
      </c>
      <c r="AL3" s="140" t="s">
        <v>346</v>
      </c>
      <c r="AM3" s="140"/>
      <c r="AN3" s="140"/>
      <c r="AO3" s="140" t="s">
        <v>347</v>
      </c>
      <c r="AP3" s="140"/>
      <c r="AQ3" s="140"/>
      <c r="AR3" s="13"/>
      <c r="AS3" s="13"/>
      <c r="AT3" s="13"/>
      <c r="AU3" s="13"/>
      <c r="AV3" s="13"/>
      <c r="AW3" s="13"/>
      <c r="AX3" s="13"/>
      <c r="AY3" s="13"/>
      <c r="AZ3" s="13"/>
      <c r="BC3" s="13"/>
    </row>
    <row r="4" spans="1:55" x14ac:dyDescent="0.5">
      <c r="A4" s="1" t="s">
        <v>104</v>
      </c>
      <c r="C4" s="1" t="s">
        <v>84</v>
      </c>
      <c r="D4" s="1" t="s">
        <v>348</v>
      </c>
      <c r="E4" s="1" t="s">
        <v>349</v>
      </c>
      <c r="G4" s="1" t="s">
        <v>331</v>
      </c>
      <c r="H4" s="1" t="s">
        <v>331</v>
      </c>
      <c r="I4" s="1" t="s">
        <v>331</v>
      </c>
      <c r="L4" s="1" t="s">
        <v>350</v>
      </c>
      <c r="M4" s="1" t="s">
        <v>291</v>
      </c>
      <c r="N4" s="1" t="s">
        <v>90</v>
      </c>
      <c r="O4" s="1" t="s">
        <v>351</v>
      </c>
      <c r="P4" s="1" t="s">
        <v>352</v>
      </c>
      <c r="Q4" s="1" t="s">
        <v>353</v>
      </c>
      <c r="S4" s="1" t="s">
        <v>350</v>
      </c>
      <c r="T4" s="1" t="s">
        <v>291</v>
      </c>
      <c r="U4" s="1" t="s">
        <v>90</v>
      </c>
      <c r="V4" s="1" t="s">
        <v>351</v>
      </c>
      <c r="W4" s="1" t="s">
        <v>352</v>
      </c>
      <c r="X4" s="1" t="s">
        <v>353</v>
      </c>
      <c r="Y4" s="1" t="s">
        <v>354</v>
      </c>
      <c r="Z4" s="1" t="s">
        <v>355</v>
      </c>
      <c r="AA4" s="1" t="s">
        <v>356</v>
      </c>
      <c r="AB4" s="1" t="s">
        <v>357</v>
      </c>
      <c r="AC4" s="1" t="s">
        <v>358</v>
      </c>
      <c r="AD4" s="1" t="s">
        <v>354</v>
      </c>
      <c r="AE4" s="1" t="s">
        <v>358</v>
      </c>
      <c r="AF4" s="1" t="s">
        <v>359</v>
      </c>
      <c r="AG4" s="1" t="s">
        <v>360</v>
      </c>
      <c r="AL4" s="3" t="s">
        <v>361</v>
      </c>
      <c r="AM4" s="3" t="s">
        <v>362</v>
      </c>
      <c r="AN4" s="3" t="s">
        <v>363</v>
      </c>
      <c r="AO4" s="3" t="s">
        <v>364</v>
      </c>
      <c r="AP4" s="4" t="s">
        <v>365</v>
      </c>
      <c r="AQ4" s="3" t="s">
        <v>366</v>
      </c>
      <c r="AR4" s="13"/>
      <c r="AS4" s="13"/>
      <c r="AT4" s="1" t="s">
        <v>367</v>
      </c>
      <c r="AU4" s="1" t="s">
        <v>368</v>
      </c>
      <c r="AV4" s="1" t="s">
        <v>369</v>
      </c>
      <c r="AW4" s="1" t="s">
        <v>370</v>
      </c>
      <c r="AX4" s="1" t="s">
        <v>371</v>
      </c>
      <c r="AY4" s="1" t="s">
        <v>372</v>
      </c>
      <c r="AZ4" s="13"/>
      <c r="BC4" s="13"/>
    </row>
    <row r="5" spans="1:55" x14ac:dyDescent="0.5">
      <c r="A5" s="1" t="s">
        <v>83</v>
      </c>
      <c r="C5" s="1" t="s">
        <v>88</v>
      </c>
      <c r="D5" s="1" t="s">
        <v>373</v>
      </c>
      <c r="E5" s="1" t="s">
        <v>374</v>
      </c>
      <c r="G5" s="1" t="s">
        <v>106</v>
      </c>
      <c r="H5" s="1" t="s">
        <v>106</v>
      </c>
      <c r="I5" s="1" t="s">
        <v>106</v>
      </c>
      <c r="L5" s="1" t="s">
        <v>375</v>
      </c>
      <c r="M5" s="1" t="s">
        <v>376</v>
      </c>
      <c r="N5" s="1" t="s">
        <v>377</v>
      </c>
      <c r="O5" s="1" t="s">
        <v>60</v>
      </c>
      <c r="P5" s="1" t="s">
        <v>288</v>
      </c>
      <c r="Q5" s="1" t="s">
        <v>378</v>
      </c>
      <c r="S5" s="1" t="s">
        <v>375</v>
      </c>
      <c r="T5" s="1" t="s">
        <v>376</v>
      </c>
      <c r="U5" s="1" t="s">
        <v>377</v>
      </c>
      <c r="V5" s="1" t="s">
        <v>60</v>
      </c>
      <c r="W5" s="1" t="s">
        <v>288</v>
      </c>
      <c r="X5" s="1" t="s">
        <v>378</v>
      </c>
      <c r="Y5" s="1" t="s">
        <v>352</v>
      </c>
      <c r="Z5" s="1" t="s">
        <v>351</v>
      </c>
      <c r="AA5" s="1" t="s">
        <v>379</v>
      </c>
      <c r="AB5" s="1" t="s">
        <v>380</v>
      </c>
      <c r="AC5" s="1" t="s">
        <v>381</v>
      </c>
      <c r="AD5" s="1" t="s">
        <v>382</v>
      </c>
      <c r="AE5" s="1" t="s">
        <v>383</v>
      </c>
      <c r="AF5" s="1" t="s">
        <v>384</v>
      </c>
      <c r="AG5" s="1" t="s">
        <v>385</v>
      </c>
      <c r="AL5" s="2" t="s">
        <v>386</v>
      </c>
      <c r="AM5" s="2" t="s">
        <v>387</v>
      </c>
      <c r="AN5" s="2" t="s">
        <v>379</v>
      </c>
      <c r="AO5" s="2" t="s">
        <v>388</v>
      </c>
      <c r="AP5" s="2" t="s">
        <v>352</v>
      </c>
      <c r="AQ5" s="2" t="s">
        <v>56</v>
      </c>
      <c r="AR5" s="2"/>
      <c r="AS5" s="2"/>
      <c r="AT5" s="5" t="s">
        <v>386</v>
      </c>
      <c r="AU5" s="7" t="s">
        <v>291</v>
      </c>
      <c r="AV5" s="5" t="s">
        <v>388</v>
      </c>
      <c r="AW5" s="5" t="s">
        <v>379</v>
      </c>
      <c r="AX5" s="7" t="s">
        <v>358</v>
      </c>
      <c r="AY5" s="7" t="s">
        <v>358</v>
      </c>
      <c r="AZ5" s="2"/>
      <c r="BC5" s="2"/>
    </row>
    <row r="6" spans="1:55" x14ac:dyDescent="0.5">
      <c r="A6" s="1" t="s">
        <v>327</v>
      </c>
      <c r="C6" s="1" t="s">
        <v>92</v>
      </c>
      <c r="D6" s="1" t="s">
        <v>389</v>
      </c>
      <c r="E6" s="1" t="s">
        <v>390</v>
      </c>
      <c r="G6" s="1" t="s">
        <v>332</v>
      </c>
      <c r="H6" s="1" t="s">
        <v>332</v>
      </c>
      <c r="I6" s="1" t="s">
        <v>332</v>
      </c>
      <c r="L6" s="1" t="s">
        <v>391</v>
      </c>
      <c r="M6" s="1" t="s">
        <v>392</v>
      </c>
      <c r="N6" s="1" t="s">
        <v>393</v>
      </c>
      <c r="O6" s="1" t="s">
        <v>394</v>
      </c>
      <c r="P6" s="1" t="s">
        <v>395</v>
      </c>
      <c r="Q6" s="1" t="s">
        <v>396</v>
      </c>
      <c r="S6" s="1" t="s">
        <v>391</v>
      </c>
      <c r="T6" s="1" t="s">
        <v>392</v>
      </c>
      <c r="U6" s="1" t="s">
        <v>393</v>
      </c>
      <c r="V6" s="1" t="s">
        <v>394</v>
      </c>
      <c r="W6" s="1" t="s">
        <v>395</v>
      </c>
      <c r="X6" s="1" t="s">
        <v>396</v>
      </c>
      <c r="Y6" s="1" t="s">
        <v>397</v>
      </c>
      <c r="Z6" s="1" t="s">
        <v>397</v>
      </c>
      <c r="AA6" s="1" t="s">
        <v>397</v>
      </c>
      <c r="AB6" s="1" t="s">
        <v>398</v>
      </c>
      <c r="AC6" s="1" t="s">
        <v>399</v>
      </c>
      <c r="AD6" s="1" t="s">
        <v>386</v>
      </c>
      <c r="AE6" s="1" t="s">
        <v>386</v>
      </c>
      <c r="AF6" s="1" t="s">
        <v>400</v>
      </c>
      <c r="AG6" s="1" t="s">
        <v>293</v>
      </c>
      <c r="AL6" s="2" t="s">
        <v>391</v>
      </c>
      <c r="AM6" s="2" t="s">
        <v>401</v>
      </c>
      <c r="AN6" s="2" t="s">
        <v>388</v>
      </c>
      <c r="AO6" s="2" t="s">
        <v>351</v>
      </c>
      <c r="AP6" s="2" t="s">
        <v>402</v>
      </c>
      <c r="AQ6" s="2" t="s">
        <v>403</v>
      </c>
      <c r="AR6" s="2"/>
      <c r="AS6" s="2"/>
      <c r="AT6" s="6" t="s">
        <v>391</v>
      </c>
      <c r="AU6" s="8" t="s">
        <v>376</v>
      </c>
      <c r="AV6" s="7" t="s">
        <v>351</v>
      </c>
      <c r="AW6" s="6" t="s">
        <v>388</v>
      </c>
      <c r="AX6" s="8" t="s">
        <v>404</v>
      </c>
      <c r="AY6" s="7" t="s">
        <v>383</v>
      </c>
      <c r="AZ6" s="2"/>
      <c r="BC6" s="2"/>
    </row>
    <row r="7" spans="1:55" x14ac:dyDescent="0.5">
      <c r="A7" s="1" t="s">
        <v>328</v>
      </c>
      <c r="D7" s="1" t="s">
        <v>405</v>
      </c>
      <c r="G7" s="1" t="s">
        <v>333</v>
      </c>
      <c r="H7" s="1" t="s">
        <v>333</v>
      </c>
      <c r="I7" s="1" t="s">
        <v>333</v>
      </c>
      <c r="L7" s="1" t="s">
        <v>406</v>
      </c>
      <c r="M7" s="1" t="s">
        <v>292</v>
      </c>
      <c r="N7" s="1" t="s">
        <v>407</v>
      </c>
      <c r="O7" s="1" t="s">
        <v>408</v>
      </c>
      <c r="P7" s="1" t="s">
        <v>395</v>
      </c>
      <c r="Q7" s="1" t="s">
        <v>409</v>
      </c>
      <c r="S7" s="1" t="s">
        <v>406</v>
      </c>
      <c r="T7" s="1" t="s">
        <v>292</v>
      </c>
      <c r="U7" s="1" t="s">
        <v>407</v>
      </c>
      <c r="V7" s="1" t="s">
        <v>408</v>
      </c>
      <c r="W7" s="1" t="s">
        <v>395</v>
      </c>
      <c r="X7" s="1" t="s">
        <v>409</v>
      </c>
      <c r="Y7" s="1" t="s">
        <v>409</v>
      </c>
      <c r="Z7" s="1" t="s">
        <v>410</v>
      </c>
      <c r="AA7" s="1" t="s">
        <v>411</v>
      </c>
      <c r="AB7" s="1" t="s">
        <v>412</v>
      </c>
      <c r="AC7" s="1" t="s">
        <v>90</v>
      </c>
      <c r="AD7" s="1" t="s">
        <v>90</v>
      </c>
      <c r="AE7" s="1" t="s">
        <v>413</v>
      </c>
      <c r="AF7" s="1" t="s">
        <v>404</v>
      </c>
      <c r="AG7" s="1" t="s">
        <v>414</v>
      </c>
      <c r="AL7" s="2" t="s">
        <v>415</v>
      </c>
      <c r="AM7" s="2" t="s">
        <v>416</v>
      </c>
      <c r="AN7" s="2" t="s">
        <v>394</v>
      </c>
      <c r="AO7" s="2" t="s">
        <v>417</v>
      </c>
      <c r="AP7" s="2" t="s">
        <v>418</v>
      </c>
      <c r="AQ7" s="2" t="s">
        <v>419</v>
      </c>
      <c r="AR7" s="2"/>
      <c r="AS7" s="2"/>
      <c r="AT7" s="5" t="s">
        <v>415</v>
      </c>
      <c r="AU7" s="1" t="s">
        <v>387</v>
      </c>
      <c r="AV7" s="8" t="s">
        <v>60</v>
      </c>
      <c r="AW7" s="7" t="s">
        <v>90</v>
      </c>
      <c r="AX7" s="7" t="s">
        <v>383</v>
      </c>
      <c r="AY7" s="7" t="s">
        <v>420</v>
      </c>
      <c r="AZ7" s="2"/>
      <c r="BC7" s="2"/>
    </row>
    <row r="8" spans="1:55" x14ac:dyDescent="0.5">
      <c r="G8" s="1" t="s">
        <v>334</v>
      </c>
      <c r="H8" s="1" t="s">
        <v>334</v>
      </c>
      <c r="I8" s="1" t="s">
        <v>334</v>
      </c>
      <c r="L8" s="1" t="s">
        <v>421</v>
      </c>
      <c r="M8" s="1" t="s">
        <v>422</v>
      </c>
      <c r="N8" s="1" t="s">
        <v>293</v>
      </c>
      <c r="O8" s="1" t="s">
        <v>401</v>
      </c>
      <c r="P8" s="1" t="s">
        <v>423</v>
      </c>
      <c r="Q8" s="1" t="s">
        <v>424</v>
      </c>
      <c r="S8" s="1" t="s">
        <v>421</v>
      </c>
      <c r="T8" s="1" t="s">
        <v>422</v>
      </c>
      <c r="U8" s="1" t="s">
        <v>293</v>
      </c>
      <c r="V8" s="1" t="s">
        <v>401</v>
      </c>
      <c r="W8" s="1" t="s">
        <v>423</v>
      </c>
      <c r="X8" s="1" t="s">
        <v>424</v>
      </c>
      <c r="Y8" s="1" t="s">
        <v>60</v>
      </c>
      <c r="Z8" s="1" t="s">
        <v>90</v>
      </c>
      <c r="AA8" s="1" t="s">
        <v>425</v>
      </c>
      <c r="AB8" s="1" t="s">
        <v>426</v>
      </c>
      <c r="AC8" s="1" t="s">
        <v>427</v>
      </c>
      <c r="AD8" s="1" t="s">
        <v>428</v>
      </c>
      <c r="AE8" s="1" t="s">
        <v>429</v>
      </c>
      <c r="AF8" s="1" t="s">
        <v>430</v>
      </c>
      <c r="AG8" s="1" t="s">
        <v>431</v>
      </c>
      <c r="AL8" s="2" t="s">
        <v>421</v>
      </c>
      <c r="AM8" s="2" t="s">
        <v>432</v>
      </c>
      <c r="AN8" s="2" t="s">
        <v>408</v>
      </c>
      <c r="AO8" s="2" t="s">
        <v>433</v>
      </c>
      <c r="AP8" s="2" t="s">
        <v>434</v>
      </c>
      <c r="AQ8" s="2" t="s">
        <v>435</v>
      </c>
      <c r="AR8" s="2"/>
      <c r="AS8" s="2"/>
      <c r="AT8" s="6" t="s">
        <v>421</v>
      </c>
      <c r="AU8" s="7" t="s">
        <v>392</v>
      </c>
      <c r="AV8" s="7" t="s">
        <v>90</v>
      </c>
      <c r="AW8" s="5" t="s">
        <v>394</v>
      </c>
      <c r="AX8" s="8" t="s">
        <v>420</v>
      </c>
      <c r="AY8" s="7" t="s">
        <v>413</v>
      </c>
      <c r="AZ8" s="2"/>
      <c r="BC8" s="2"/>
    </row>
    <row r="9" spans="1:55" x14ac:dyDescent="0.5">
      <c r="G9" s="1" t="s">
        <v>335</v>
      </c>
      <c r="H9" s="1" t="s">
        <v>335</v>
      </c>
      <c r="I9" s="1" t="s">
        <v>335</v>
      </c>
      <c r="L9" s="1" t="s">
        <v>295</v>
      </c>
      <c r="M9" s="1" t="s">
        <v>436</v>
      </c>
      <c r="N9" s="1" t="s">
        <v>437</v>
      </c>
      <c r="O9" s="1" t="s">
        <v>438</v>
      </c>
      <c r="P9" s="1" t="s">
        <v>439</v>
      </c>
      <c r="Q9" s="1" t="s">
        <v>289</v>
      </c>
      <c r="S9" s="1" t="s">
        <v>295</v>
      </c>
      <c r="T9" s="1" t="s">
        <v>436</v>
      </c>
      <c r="U9" s="1" t="s">
        <v>437</v>
      </c>
      <c r="V9" s="1" t="s">
        <v>438</v>
      </c>
      <c r="W9" s="1" t="s">
        <v>439</v>
      </c>
      <c r="X9" s="1" t="s">
        <v>289</v>
      </c>
      <c r="Y9" s="1" t="s">
        <v>90</v>
      </c>
      <c r="Z9" s="1" t="s">
        <v>395</v>
      </c>
      <c r="AA9" s="1" t="s">
        <v>440</v>
      </c>
      <c r="AB9" s="1" t="s">
        <v>441</v>
      </c>
      <c r="AC9" s="1" t="s">
        <v>427</v>
      </c>
      <c r="AD9" s="1" t="s">
        <v>289</v>
      </c>
      <c r="AE9" s="1" t="s">
        <v>442</v>
      </c>
      <c r="AF9" s="1" t="s">
        <v>443</v>
      </c>
      <c r="AG9" s="1" t="s">
        <v>420</v>
      </c>
      <c r="AL9" s="2" t="s">
        <v>295</v>
      </c>
      <c r="AM9" s="2" t="s">
        <v>444</v>
      </c>
      <c r="AN9" s="2" t="s">
        <v>445</v>
      </c>
      <c r="AO9" s="2" t="s">
        <v>408</v>
      </c>
      <c r="AP9" s="2" t="s">
        <v>446</v>
      </c>
      <c r="AQ9" s="2" t="s">
        <v>447</v>
      </c>
      <c r="AR9" s="2"/>
      <c r="AS9" s="2"/>
      <c r="AT9" s="5" t="s">
        <v>295</v>
      </c>
      <c r="AU9" s="6" t="s">
        <v>401</v>
      </c>
      <c r="AV9" s="7" t="s">
        <v>417</v>
      </c>
      <c r="AW9" s="8" t="s">
        <v>377</v>
      </c>
      <c r="AX9" s="8" t="s">
        <v>386</v>
      </c>
      <c r="AY9" s="8" t="s">
        <v>429</v>
      </c>
      <c r="AZ9" s="2"/>
      <c r="BC9" s="2"/>
    </row>
    <row r="10" spans="1:55" x14ac:dyDescent="0.5">
      <c r="L10" s="1" t="s">
        <v>448</v>
      </c>
      <c r="M10" s="1" t="s">
        <v>449</v>
      </c>
      <c r="N10" s="1" t="s">
        <v>432</v>
      </c>
      <c r="O10" s="1" t="s">
        <v>416</v>
      </c>
      <c r="P10" s="1" t="s">
        <v>394</v>
      </c>
      <c r="Q10" s="1" t="s">
        <v>290</v>
      </c>
      <c r="S10" s="1" t="s">
        <v>448</v>
      </c>
      <c r="T10" s="1" t="s">
        <v>449</v>
      </c>
      <c r="U10" s="1" t="s">
        <v>432</v>
      </c>
      <c r="V10" s="1" t="s">
        <v>416</v>
      </c>
      <c r="W10" s="1" t="s">
        <v>394</v>
      </c>
      <c r="X10" s="1" t="s">
        <v>290</v>
      </c>
      <c r="Y10" s="1" t="s">
        <v>450</v>
      </c>
      <c r="Z10" s="1" t="s">
        <v>440</v>
      </c>
      <c r="AA10" s="1" t="s">
        <v>451</v>
      </c>
      <c r="AB10" s="1" t="s">
        <v>452</v>
      </c>
      <c r="AC10" s="1" t="s">
        <v>453</v>
      </c>
      <c r="AD10" s="1" t="s">
        <v>454</v>
      </c>
      <c r="AE10" s="1" t="s">
        <v>418</v>
      </c>
      <c r="AF10" s="1" t="s">
        <v>455</v>
      </c>
      <c r="AG10" s="1" t="s">
        <v>456</v>
      </c>
      <c r="AL10" s="2" t="s">
        <v>448</v>
      </c>
      <c r="AM10" s="2" t="s">
        <v>457</v>
      </c>
      <c r="AN10" s="2" t="s">
        <v>458</v>
      </c>
      <c r="AO10" s="2" t="s">
        <v>459</v>
      </c>
      <c r="AP10" s="2" t="s">
        <v>393</v>
      </c>
      <c r="AQ10" s="2" t="s">
        <v>308</v>
      </c>
      <c r="AR10" s="2"/>
      <c r="AS10" s="2"/>
      <c r="AT10" s="6" t="s">
        <v>448</v>
      </c>
      <c r="AU10" s="8" t="s">
        <v>292</v>
      </c>
      <c r="AV10" s="8" t="s">
        <v>433</v>
      </c>
      <c r="AW10" s="6" t="s">
        <v>408</v>
      </c>
      <c r="AX10" s="8" t="s">
        <v>413</v>
      </c>
      <c r="AY10" s="7" t="s">
        <v>442</v>
      </c>
      <c r="AZ10" s="2"/>
      <c r="BC10" s="2"/>
    </row>
    <row r="11" spans="1:55" x14ac:dyDescent="0.5">
      <c r="G11" s="1" t="s">
        <v>348</v>
      </c>
      <c r="H11" s="1" t="s">
        <v>373</v>
      </c>
      <c r="I11" s="1" t="s">
        <v>460</v>
      </c>
      <c r="J11" s="1" t="s">
        <v>405</v>
      </c>
      <c r="L11" s="1" t="s">
        <v>432</v>
      </c>
      <c r="M11" s="1" t="s">
        <v>461</v>
      </c>
      <c r="N11" s="1" t="s">
        <v>462</v>
      </c>
      <c r="O11" s="1" t="s">
        <v>436</v>
      </c>
      <c r="P11" s="1" t="s">
        <v>407</v>
      </c>
      <c r="Q11" s="1" t="s">
        <v>463</v>
      </c>
      <c r="S11" s="1" t="s">
        <v>432</v>
      </c>
      <c r="T11" s="1" t="s">
        <v>461</v>
      </c>
      <c r="U11" s="1" t="s">
        <v>462</v>
      </c>
      <c r="V11" s="1" t="s">
        <v>436</v>
      </c>
      <c r="W11" s="1" t="s">
        <v>407</v>
      </c>
      <c r="X11" s="1" t="s">
        <v>463</v>
      </c>
      <c r="Y11" s="1" t="s">
        <v>395</v>
      </c>
      <c r="Z11" s="1" t="s">
        <v>293</v>
      </c>
      <c r="AA11" s="1" t="s">
        <v>464</v>
      </c>
      <c r="AB11" s="1" t="s">
        <v>305</v>
      </c>
      <c r="AC11" s="1" t="s">
        <v>465</v>
      </c>
      <c r="AD11" s="1" t="s">
        <v>387</v>
      </c>
      <c r="AE11" s="1" t="s">
        <v>427</v>
      </c>
      <c r="AF11" s="1" t="s">
        <v>466</v>
      </c>
      <c r="AG11" s="1" t="s">
        <v>467</v>
      </c>
      <c r="AL11" s="2" t="s">
        <v>468</v>
      </c>
      <c r="AM11" s="2" t="s">
        <v>469</v>
      </c>
      <c r="AN11" s="2" t="s">
        <v>432</v>
      </c>
      <c r="AO11" s="2" t="s">
        <v>401</v>
      </c>
      <c r="AP11" s="2" t="s">
        <v>401</v>
      </c>
      <c r="AQ11" s="2" t="s">
        <v>470</v>
      </c>
      <c r="AR11" s="2"/>
      <c r="AS11" s="2"/>
      <c r="AT11" s="5" t="s">
        <v>468</v>
      </c>
      <c r="AU11" s="5" t="s">
        <v>416</v>
      </c>
      <c r="AV11" s="7" t="s">
        <v>394</v>
      </c>
      <c r="AW11" s="7" t="s">
        <v>393</v>
      </c>
      <c r="AX11" s="8" t="s">
        <v>429</v>
      </c>
      <c r="AY11" s="7" t="s">
        <v>443</v>
      </c>
      <c r="AZ11" s="2"/>
      <c r="BC11" s="2"/>
    </row>
    <row r="12" spans="1:55" x14ac:dyDescent="0.5">
      <c r="G12" s="1" t="s">
        <v>361</v>
      </c>
      <c r="H12" s="1" t="s">
        <v>361</v>
      </c>
      <c r="I12" s="1" t="s">
        <v>361</v>
      </c>
      <c r="J12" s="1" t="s">
        <v>361</v>
      </c>
      <c r="L12" s="1" t="s">
        <v>102</v>
      </c>
      <c r="M12" s="1" t="s">
        <v>102</v>
      </c>
      <c r="N12" s="1" t="s">
        <v>471</v>
      </c>
      <c r="O12" s="1" t="s">
        <v>472</v>
      </c>
      <c r="P12" s="1" t="s">
        <v>473</v>
      </c>
      <c r="Q12" s="1" t="s">
        <v>394</v>
      </c>
      <c r="S12" s="1" t="s">
        <v>102</v>
      </c>
      <c r="T12" s="1" t="s">
        <v>102</v>
      </c>
      <c r="U12" s="1" t="s">
        <v>471</v>
      </c>
      <c r="V12" s="1" t="s">
        <v>472</v>
      </c>
      <c r="W12" s="1" t="s">
        <v>473</v>
      </c>
      <c r="X12" s="1" t="s">
        <v>394</v>
      </c>
      <c r="Y12" s="1" t="s">
        <v>289</v>
      </c>
      <c r="Z12" s="1" t="s">
        <v>474</v>
      </c>
      <c r="AA12" s="1" t="s">
        <v>475</v>
      </c>
      <c r="AB12" s="1" t="s">
        <v>476</v>
      </c>
      <c r="AC12" s="1" t="s">
        <v>387</v>
      </c>
      <c r="AD12" s="1" t="s">
        <v>477</v>
      </c>
      <c r="AE12" s="1" t="s">
        <v>428</v>
      </c>
      <c r="AF12" s="1" t="s">
        <v>478</v>
      </c>
      <c r="AG12" s="1" t="s">
        <v>479</v>
      </c>
      <c r="AL12" s="2" t="s">
        <v>480</v>
      </c>
      <c r="AM12" s="2" t="s">
        <v>481</v>
      </c>
      <c r="AN12" s="2" t="s">
        <v>56</v>
      </c>
      <c r="AO12" s="2" t="s">
        <v>482</v>
      </c>
      <c r="AP12" s="2" t="s">
        <v>483</v>
      </c>
      <c r="AQ12" s="2" t="s">
        <v>484</v>
      </c>
      <c r="AR12" s="2"/>
      <c r="AS12" s="2"/>
      <c r="AT12" s="6" t="s">
        <v>480</v>
      </c>
      <c r="AU12" s="7" t="s">
        <v>422</v>
      </c>
      <c r="AV12" s="8" t="s">
        <v>377</v>
      </c>
      <c r="AW12" s="8" t="s">
        <v>407</v>
      </c>
      <c r="AX12" s="7" t="s">
        <v>442</v>
      </c>
      <c r="AY12" s="8" t="s">
        <v>427</v>
      </c>
      <c r="AZ12" s="2"/>
      <c r="BC12" s="2"/>
    </row>
    <row r="13" spans="1:55" x14ac:dyDescent="0.5">
      <c r="G13" s="1" t="s">
        <v>362</v>
      </c>
      <c r="H13" s="1" t="s">
        <v>362</v>
      </c>
      <c r="I13" s="1" t="s">
        <v>362</v>
      </c>
      <c r="J13" s="1" t="s">
        <v>362</v>
      </c>
      <c r="L13" s="1" t="s">
        <v>480</v>
      </c>
      <c r="M13" s="1" t="s">
        <v>485</v>
      </c>
      <c r="N13" s="1" t="s">
        <v>486</v>
      </c>
      <c r="O13" s="1" t="s">
        <v>461</v>
      </c>
      <c r="P13" s="1" t="s">
        <v>487</v>
      </c>
      <c r="Q13" s="1" t="s">
        <v>488</v>
      </c>
      <c r="S13" s="1" t="s">
        <v>480</v>
      </c>
      <c r="T13" s="1" t="s">
        <v>485</v>
      </c>
      <c r="U13" s="1" t="s">
        <v>486</v>
      </c>
      <c r="V13" s="1" t="s">
        <v>461</v>
      </c>
      <c r="W13" s="1" t="s">
        <v>487</v>
      </c>
      <c r="X13" s="1" t="s">
        <v>488</v>
      </c>
      <c r="Y13" s="1" t="s">
        <v>489</v>
      </c>
      <c r="Z13" s="1" t="s">
        <v>471</v>
      </c>
      <c r="AA13" s="1" t="s">
        <v>490</v>
      </c>
      <c r="AB13" s="1" t="s">
        <v>491</v>
      </c>
      <c r="AC13" s="1" t="s">
        <v>293</v>
      </c>
      <c r="AD13" s="1" t="s">
        <v>292</v>
      </c>
      <c r="AE13" s="1" t="s">
        <v>492</v>
      </c>
      <c r="AF13" s="1" t="s">
        <v>295</v>
      </c>
      <c r="AG13" s="1" t="s">
        <v>493</v>
      </c>
      <c r="AL13" s="2" t="s">
        <v>494</v>
      </c>
      <c r="AM13" s="2" t="s">
        <v>495</v>
      </c>
      <c r="AN13" s="2" t="s">
        <v>496</v>
      </c>
      <c r="AO13" s="2" t="s">
        <v>497</v>
      </c>
      <c r="AP13" s="2" t="s">
        <v>407</v>
      </c>
      <c r="AQ13" s="2" t="s">
        <v>455</v>
      </c>
      <c r="AR13" s="2"/>
      <c r="AS13" s="2"/>
      <c r="AT13" s="5" t="s">
        <v>494</v>
      </c>
      <c r="AU13" s="8" t="s">
        <v>436</v>
      </c>
      <c r="AV13" s="8" t="s">
        <v>408</v>
      </c>
      <c r="AW13" s="7" t="s">
        <v>293</v>
      </c>
      <c r="AX13" s="8" t="s">
        <v>443</v>
      </c>
      <c r="AY13" s="7" t="s">
        <v>428</v>
      </c>
      <c r="AZ13" s="2"/>
      <c r="BC13" s="2"/>
    </row>
    <row r="14" spans="1:55" x14ac:dyDescent="0.5">
      <c r="G14" s="1" t="s">
        <v>363</v>
      </c>
      <c r="H14" s="1" t="s">
        <v>363</v>
      </c>
      <c r="I14" s="1" t="s">
        <v>363</v>
      </c>
      <c r="J14" s="1" t="s">
        <v>363</v>
      </c>
      <c r="L14" s="1" t="s">
        <v>498</v>
      </c>
      <c r="M14" s="1" t="s">
        <v>471</v>
      </c>
      <c r="N14" s="1" t="s">
        <v>297</v>
      </c>
      <c r="O14" s="1" t="s">
        <v>499</v>
      </c>
      <c r="P14" s="1" t="s">
        <v>445</v>
      </c>
      <c r="Q14" s="1" t="s">
        <v>500</v>
      </c>
      <c r="S14" s="1" t="s">
        <v>498</v>
      </c>
      <c r="T14" s="1" t="s">
        <v>471</v>
      </c>
      <c r="U14" s="1" t="s">
        <v>297</v>
      </c>
      <c r="V14" s="1" t="s">
        <v>499</v>
      </c>
      <c r="W14" s="1" t="s">
        <v>445</v>
      </c>
      <c r="X14" s="1" t="s">
        <v>500</v>
      </c>
      <c r="Y14" s="1" t="s">
        <v>446</v>
      </c>
      <c r="Z14" s="1" t="s">
        <v>501</v>
      </c>
      <c r="AA14" s="1" t="s">
        <v>296</v>
      </c>
      <c r="AB14" s="1" t="s">
        <v>502</v>
      </c>
      <c r="AC14" s="1" t="s">
        <v>475</v>
      </c>
      <c r="AD14" s="1" t="s">
        <v>53</v>
      </c>
      <c r="AE14" s="1" t="s">
        <v>503</v>
      </c>
      <c r="AF14" s="1" t="s">
        <v>462</v>
      </c>
      <c r="AG14" s="1" t="s">
        <v>477</v>
      </c>
      <c r="AL14" s="2" t="s">
        <v>504</v>
      </c>
      <c r="AM14" s="2" t="s">
        <v>505</v>
      </c>
      <c r="AN14" s="2" t="s">
        <v>480</v>
      </c>
      <c r="AO14" s="2" t="s">
        <v>506</v>
      </c>
      <c r="AP14" s="2" t="s">
        <v>437</v>
      </c>
      <c r="AQ14" s="2" t="s">
        <v>507</v>
      </c>
      <c r="AR14" s="2"/>
      <c r="AS14" s="2"/>
      <c r="AT14" s="6" t="s">
        <v>504</v>
      </c>
      <c r="AU14" s="7" t="s">
        <v>449</v>
      </c>
      <c r="AV14" s="6" t="s">
        <v>459</v>
      </c>
      <c r="AW14" s="5" t="s">
        <v>445</v>
      </c>
      <c r="AX14" s="8" t="s">
        <v>418</v>
      </c>
      <c r="AY14" s="7" t="s">
        <v>492</v>
      </c>
      <c r="AZ14" s="2"/>
      <c r="BC14" s="2"/>
    </row>
    <row r="15" spans="1:55" x14ac:dyDescent="0.5">
      <c r="G15" s="1" t="s">
        <v>364</v>
      </c>
      <c r="H15" s="1" t="s">
        <v>364</v>
      </c>
      <c r="I15" s="1" t="s">
        <v>364</v>
      </c>
      <c r="J15" s="1" t="s">
        <v>364</v>
      </c>
      <c r="L15" s="1" t="s">
        <v>494</v>
      </c>
      <c r="M15" s="1" t="s">
        <v>444</v>
      </c>
      <c r="N15" s="1" t="s">
        <v>496</v>
      </c>
      <c r="O15" s="1" t="s">
        <v>56</v>
      </c>
      <c r="P15" s="1" t="s">
        <v>437</v>
      </c>
      <c r="Q15" s="1" t="s">
        <v>387</v>
      </c>
      <c r="S15" s="1" t="s">
        <v>494</v>
      </c>
      <c r="T15" s="1" t="s">
        <v>444</v>
      </c>
      <c r="U15" s="1" t="s">
        <v>496</v>
      </c>
      <c r="V15" s="1" t="s">
        <v>56</v>
      </c>
      <c r="W15" s="1" t="s">
        <v>437</v>
      </c>
      <c r="X15" s="1" t="s">
        <v>387</v>
      </c>
      <c r="Y15" s="1" t="s">
        <v>401</v>
      </c>
      <c r="Z15" s="1" t="s">
        <v>296</v>
      </c>
      <c r="AA15" s="1" t="s">
        <v>508</v>
      </c>
      <c r="AB15" s="1" t="s">
        <v>293</v>
      </c>
      <c r="AC15" s="1" t="s">
        <v>421</v>
      </c>
      <c r="AD15" s="1" t="s">
        <v>509</v>
      </c>
      <c r="AE15" s="1" t="s">
        <v>465</v>
      </c>
      <c r="AF15" s="1" t="s">
        <v>438</v>
      </c>
      <c r="AG15" s="1" t="s">
        <v>486</v>
      </c>
      <c r="AL15" s="2" t="s">
        <v>510</v>
      </c>
      <c r="AM15" s="2" t="s">
        <v>511</v>
      </c>
      <c r="AN15" s="2" t="s">
        <v>512</v>
      </c>
      <c r="AO15" s="2" t="s">
        <v>513</v>
      </c>
      <c r="AP15" s="2" t="s">
        <v>514</v>
      </c>
      <c r="AQ15" s="2" t="s">
        <v>515</v>
      </c>
      <c r="AR15" s="2"/>
      <c r="AS15" s="2"/>
      <c r="AT15" s="5" t="s">
        <v>510</v>
      </c>
      <c r="AU15" s="8" t="s">
        <v>461</v>
      </c>
      <c r="AV15" s="7" t="s">
        <v>393</v>
      </c>
      <c r="AW15" s="8" t="s">
        <v>437</v>
      </c>
      <c r="AX15" s="8" t="s">
        <v>427</v>
      </c>
      <c r="AY15" s="7" t="s">
        <v>503</v>
      </c>
      <c r="AZ15" s="2"/>
      <c r="BC15" s="2"/>
    </row>
    <row r="16" spans="1:55" x14ac:dyDescent="0.5">
      <c r="G16" s="1" t="s">
        <v>365</v>
      </c>
      <c r="H16" s="1" t="s">
        <v>365</v>
      </c>
      <c r="I16" s="1" t="s">
        <v>365</v>
      </c>
      <c r="J16" s="1" t="s">
        <v>365</v>
      </c>
      <c r="L16" s="1" t="s">
        <v>299</v>
      </c>
      <c r="M16" s="1" t="s">
        <v>297</v>
      </c>
      <c r="N16" s="1" t="s">
        <v>516</v>
      </c>
      <c r="O16" s="1" t="s">
        <v>517</v>
      </c>
      <c r="P16" s="1" t="s">
        <v>518</v>
      </c>
      <c r="Q16" s="1" t="s">
        <v>473</v>
      </c>
      <c r="S16" s="1" t="s">
        <v>299</v>
      </c>
      <c r="T16" s="1" t="s">
        <v>297</v>
      </c>
      <c r="U16" s="1" t="s">
        <v>516</v>
      </c>
      <c r="V16" s="1" t="s">
        <v>517</v>
      </c>
      <c r="W16" s="1" t="s">
        <v>518</v>
      </c>
      <c r="X16" s="1" t="s">
        <v>473</v>
      </c>
      <c r="Y16" s="1" t="s">
        <v>519</v>
      </c>
      <c r="Z16" s="1" t="s">
        <v>520</v>
      </c>
      <c r="AA16" s="1" t="s">
        <v>521</v>
      </c>
      <c r="AB16" s="1" t="s">
        <v>501</v>
      </c>
      <c r="AC16" s="1" t="s">
        <v>517</v>
      </c>
      <c r="AD16" s="1" t="s">
        <v>493</v>
      </c>
      <c r="AE16" s="1" t="s">
        <v>522</v>
      </c>
      <c r="AF16" s="1" t="s">
        <v>523</v>
      </c>
      <c r="AG16" s="1" t="s">
        <v>513</v>
      </c>
      <c r="AL16" s="2" t="s">
        <v>524</v>
      </c>
      <c r="AM16" s="2" t="s">
        <v>525</v>
      </c>
      <c r="AN16" s="2" t="s">
        <v>498</v>
      </c>
      <c r="AO16" s="2" t="s">
        <v>521</v>
      </c>
      <c r="AP16" s="2" t="s">
        <v>518</v>
      </c>
      <c r="AQ16" s="2" t="s">
        <v>526</v>
      </c>
      <c r="AR16" s="2"/>
      <c r="AS16" s="2"/>
      <c r="AT16" s="6" t="s">
        <v>524</v>
      </c>
      <c r="AU16" s="6" t="s">
        <v>432</v>
      </c>
      <c r="AV16" s="7" t="s">
        <v>401</v>
      </c>
      <c r="AW16" s="5" t="s">
        <v>432</v>
      </c>
      <c r="AX16" s="8" t="s">
        <v>428</v>
      </c>
      <c r="AY16" s="7" t="s">
        <v>465</v>
      </c>
      <c r="AZ16" s="2"/>
      <c r="BC16" s="2"/>
    </row>
    <row r="17" spans="7:55" x14ac:dyDescent="0.5">
      <c r="G17" s="1" t="s">
        <v>366</v>
      </c>
      <c r="H17" s="1" t="s">
        <v>366</v>
      </c>
      <c r="I17" s="1" t="s">
        <v>366</v>
      </c>
      <c r="J17" s="1" t="s">
        <v>366</v>
      </c>
      <c r="L17" s="1" t="s">
        <v>527</v>
      </c>
      <c r="M17" s="1" t="s">
        <v>299</v>
      </c>
      <c r="N17" s="1" t="s">
        <v>480</v>
      </c>
      <c r="O17" s="1" t="s">
        <v>528</v>
      </c>
      <c r="P17" s="1" t="s">
        <v>529</v>
      </c>
      <c r="Q17" s="1" t="s">
        <v>487</v>
      </c>
      <c r="S17" s="1" t="s">
        <v>527</v>
      </c>
      <c r="T17" s="1" t="s">
        <v>299</v>
      </c>
      <c r="U17" s="1" t="s">
        <v>480</v>
      </c>
      <c r="V17" s="1" t="s">
        <v>528</v>
      </c>
      <c r="W17" s="1" t="s">
        <v>529</v>
      </c>
      <c r="X17" s="1" t="s">
        <v>487</v>
      </c>
      <c r="Y17" s="1" t="s">
        <v>530</v>
      </c>
      <c r="Z17" s="1" t="s">
        <v>496</v>
      </c>
      <c r="AA17" s="1" t="s">
        <v>531</v>
      </c>
      <c r="AB17" s="1" t="s">
        <v>532</v>
      </c>
      <c r="AC17" s="1" t="s">
        <v>501</v>
      </c>
      <c r="AD17" s="1" t="s">
        <v>421</v>
      </c>
      <c r="AE17" s="1" t="s">
        <v>387</v>
      </c>
      <c r="AF17" s="1" t="s">
        <v>533</v>
      </c>
      <c r="AG17" s="1" t="s">
        <v>408</v>
      </c>
      <c r="AL17" s="2" t="s">
        <v>534</v>
      </c>
      <c r="AM17" s="2" t="s">
        <v>535</v>
      </c>
      <c r="AN17" s="2" t="s">
        <v>536</v>
      </c>
      <c r="AO17" s="2" t="s">
        <v>480</v>
      </c>
      <c r="AP17" s="2" t="s">
        <v>436</v>
      </c>
      <c r="AQ17" s="2" t="s">
        <v>537</v>
      </c>
      <c r="AR17" s="2"/>
      <c r="AS17" s="2"/>
      <c r="AT17" s="5" t="s">
        <v>534</v>
      </c>
      <c r="AU17" s="7" t="s">
        <v>102</v>
      </c>
      <c r="AV17" s="8" t="s">
        <v>407</v>
      </c>
      <c r="AW17" s="6" t="s">
        <v>56</v>
      </c>
      <c r="AX17" s="8" t="s">
        <v>395</v>
      </c>
      <c r="AY17" s="7" t="s">
        <v>408</v>
      </c>
      <c r="AZ17" s="2"/>
      <c r="BC17" s="2"/>
    </row>
    <row r="18" spans="7:55" x14ac:dyDescent="0.5">
      <c r="L18" s="1" t="s">
        <v>538</v>
      </c>
      <c r="M18" s="1" t="s">
        <v>538</v>
      </c>
      <c r="N18" s="1" t="s">
        <v>539</v>
      </c>
      <c r="O18" s="1" t="s">
        <v>506</v>
      </c>
      <c r="P18" s="1" t="s">
        <v>499</v>
      </c>
      <c r="Q18" s="1" t="s">
        <v>540</v>
      </c>
      <c r="S18" s="1" t="s">
        <v>538</v>
      </c>
      <c r="T18" s="1" t="s">
        <v>538</v>
      </c>
      <c r="U18" s="1" t="s">
        <v>539</v>
      </c>
      <c r="V18" s="1" t="s">
        <v>506</v>
      </c>
      <c r="W18" s="1" t="s">
        <v>499</v>
      </c>
      <c r="X18" s="1" t="s">
        <v>540</v>
      </c>
      <c r="Y18" s="1" t="s">
        <v>293</v>
      </c>
      <c r="Z18" s="1" t="s">
        <v>531</v>
      </c>
      <c r="AA18" s="1" t="s">
        <v>541</v>
      </c>
      <c r="AB18" s="1" t="s">
        <v>407</v>
      </c>
      <c r="AC18" s="1" t="s">
        <v>296</v>
      </c>
      <c r="AD18" s="1" t="s">
        <v>432</v>
      </c>
      <c r="AE18" s="1" t="s">
        <v>542</v>
      </c>
      <c r="AF18" s="1" t="s">
        <v>94</v>
      </c>
      <c r="AG18" s="1" t="s">
        <v>543</v>
      </c>
      <c r="AL18" s="2" t="s">
        <v>544</v>
      </c>
      <c r="AM18" s="2" t="s">
        <v>545</v>
      </c>
      <c r="AN18" s="2" t="s">
        <v>546</v>
      </c>
      <c r="AO18" s="2" t="s">
        <v>547</v>
      </c>
      <c r="AP18" s="2" t="s">
        <v>461</v>
      </c>
      <c r="AQ18" s="2" t="s">
        <v>548</v>
      </c>
      <c r="AR18" s="2"/>
      <c r="AS18" s="2"/>
      <c r="AT18" s="6" t="s">
        <v>544</v>
      </c>
      <c r="AU18" s="8" t="s">
        <v>485</v>
      </c>
      <c r="AV18" s="7" t="s">
        <v>293</v>
      </c>
      <c r="AW18" s="5" t="s">
        <v>462</v>
      </c>
      <c r="AX18" s="8" t="s">
        <v>492</v>
      </c>
      <c r="AY18" s="7" t="s">
        <v>387</v>
      </c>
      <c r="AZ18" s="2"/>
      <c r="BC18" s="2"/>
    </row>
    <row r="19" spans="7:55" x14ac:dyDescent="0.5">
      <c r="G19" s="1" t="s">
        <v>349</v>
      </c>
      <c r="H19" s="1" t="s">
        <v>549</v>
      </c>
      <c r="I19" s="1" t="s">
        <v>390</v>
      </c>
      <c r="L19" s="1" t="s">
        <v>538</v>
      </c>
      <c r="M19" s="1" t="s">
        <v>481</v>
      </c>
      <c r="N19" s="1" t="s">
        <v>512</v>
      </c>
      <c r="O19" s="1" t="s">
        <v>523</v>
      </c>
      <c r="P19" s="1" t="s">
        <v>550</v>
      </c>
      <c r="Q19" s="1" t="s">
        <v>551</v>
      </c>
      <c r="S19" s="1" t="s">
        <v>538</v>
      </c>
      <c r="T19" s="1" t="s">
        <v>481</v>
      </c>
      <c r="U19" s="1" t="s">
        <v>512</v>
      </c>
      <c r="V19" s="1" t="s">
        <v>523</v>
      </c>
      <c r="W19" s="1" t="s">
        <v>550</v>
      </c>
      <c r="X19" s="1" t="s">
        <v>551</v>
      </c>
      <c r="Y19" s="1" t="s">
        <v>437</v>
      </c>
      <c r="Z19" s="1" t="s">
        <v>552</v>
      </c>
      <c r="AA19" s="1" t="s">
        <v>553</v>
      </c>
      <c r="AB19" s="1" t="s">
        <v>554</v>
      </c>
      <c r="AC19" s="1" t="s">
        <v>513</v>
      </c>
      <c r="AD19" s="1" t="s">
        <v>444</v>
      </c>
      <c r="AE19" s="1" t="s">
        <v>555</v>
      </c>
      <c r="AF19" s="1" t="s">
        <v>556</v>
      </c>
      <c r="AG19" s="1" t="s">
        <v>309</v>
      </c>
      <c r="AL19" s="2" t="s">
        <v>557</v>
      </c>
      <c r="AM19" s="2" t="s">
        <v>544</v>
      </c>
      <c r="AN19" s="2" t="s">
        <v>94</v>
      </c>
      <c r="AO19" s="2" t="s">
        <v>558</v>
      </c>
      <c r="AP19" s="2" t="s">
        <v>529</v>
      </c>
      <c r="AQ19" s="2" t="s">
        <v>559</v>
      </c>
      <c r="AR19" s="2"/>
      <c r="AS19" s="2"/>
      <c r="AT19" s="5" t="s">
        <v>557</v>
      </c>
      <c r="AU19" s="7" t="s">
        <v>471</v>
      </c>
      <c r="AV19" s="8" t="s">
        <v>438</v>
      </c>
      <c r="AW19" s="5" t="s">
        <v>471</v>
      </c>
      <c r="AX19" s="7" t="s">
        <v>503</v>
      </c>
      <c r="AY19" s="7" t="s">
        <v>431</v>
      </c>
      <c r="AZ19" s="2"/>
      <c r="BC19" s="2"/>
    </row>
    <row r="20" spans="7:55" x14ac:dyDescent="0.5">
      <c r="G20" s="1" t="s">
        <v>367</v>
      </c>
      <c r="H20" s="1" t="s">
        <v>367</v>
      </c>
      <c r="I20" s="1" t="s">
        <v>367</v>
      </c>
      <c r="L20" s="1" t="s">
        <v>560</v>
      </c>
      <c r="M20" s="1" t="s">
        <v>561</v>
      </c>
      <c r="N20" s="1" t="s">
        <v>469</v>
      </c>
      <c r="O20" s="1" t="s">
        <v>486</v>
      </c>
      <c r="P20" s="1" t="s">
        <v>56</v>
      </c>
      <c r="Q20" s="1" t="s">
        <v>562</v>
      </c>
      <c r="S20" s="1" t="s">
        <v>560</v>
      </c>
      <c r="T20" s="1" t="s">
        <v>561</v>
      </c>
      <c r="U20" s="1" t="s">
        <v>469</v>
      </c>
      <c r="V20" s="1" t="s">
        <v>486</v>
      </c>
      <c r="W20" s="1" t="s">
        <v>56</v>
      </c>
      <c r="X20" s="1" t="s">
        <v>562</v>
      </c>
      <c r="Y20" s="1" t="s">
        <v>509</v>
      </c>
      <c r="Z20" s="1" t="s">
        <v>563</v>
      </c>
      <c r="AA20" s="1" t="s">
        <v>553</v>
      </c>
      <c r="AB20" s="1" t="s">
        <v>537</v>
      </c>
      <c r="AC20" s="1" t="s">
        <v>480</v>
      </c>
      <c r="AD20" s="1" t="s">
        <v>513</v>
      </c>
      <c r="AE20" s="1" t="s">
        <v>564</v>
      </c>
      <c r="AF20" s="1" t="s">
        <v>302</v>
      </c>
      <c r="AG20" s="1" t="s">
        <v>465</v>
      </c>
      <c r="AL20" s="2" t="s">
        <v>565</v>
      </c>
      <c r="AM20" s="2" t="s">
        <v>565</v>
      </c>
      <c r="AN20" s="2" t="s">
        <v>545</v>
      </c>
      <c r="AO20" s="2" t="s">
        <v>299</v>
      </c>
      <c r="AP20" s="2" t="s">
        <v>499</v>
      </c>
      <c r="AQ20" s="2" t="s">
        <v>316</v>
      </c>
      <c r="AR20" s="2"/>
      <c r="AS20" s="2"/>
      <c r="AT20" s="6" t="s">
        <v>565</v>
      </c>
      <c r="AU20" s="5" t="s">
        <v>444</v>
      </c>
      <c r="AV20" s="8" t="s">
        <v>437</v>
      </c>
      <c r="AW20" s="5" t="s">
        <v>486</v>
      </c>
      <c r="AX20" s="7" t="s">
        <v>465</v>
      </c>
      <c r="AY20" s="7" t="s">
        <v>555</v>
      </c>
      <c r="AZ20" s="2"/>
      <c r="BC20" s="2"/>
    </row>
    <row r="21" spans="7:55" x14ac:dyDescent="0.5">
      <c r="G21" s="1" t="s">
        <v>368</v>
      </c>
      <c r="H21" s="1" t="s">
        <v>368</v>
      </c>
      <c r="I21" s="1" t="s">
        <v>368</v>
      </c>
      <c r="L21" s="1" t="s">
        <v>305</v>
      </c>
      <c r="M21" s="1" t="s">
        <v>495</v>
      </c>
      <c r="N21" s="1" t="s">
        <v>566</v>
      </c>
      <c r="O21" s="1" t="s">
        <v>513</v>
      </c>
      <c r="P21" s="1" t="s">
        <v>102</v>
      </c>
      <c r="Q21" s="1" t="s">
        <v>567</v>
      </c>
      <c r="S21" s="1" t="s">
        <v>305</v>
      </c>
      <c r="T21" s="1" t="s">
        <v>495</v>
      </c>
      <c r="U21" s="1" t="s">
        <v>566</v>
      </c>
      <c r="V21" s="1" t="s">
        <v>513</v>
      </c>
      <c r="W21" s="1" t="s">
        <v>102</v>
      </c>
      <c r="X21" s="1" t="s">
        <v>567</v>
      </c>
      <c r="Y21" s="1" t="s">
        <v>416</v>
      </c>
      <c r="Z21" s="1" t="s">
        <v>498</v>
      </c>
      <c r="AA21" s="1" t="s">
        <v>568</v>
      </c>
      <c r="AB21" s="1" t="s">
        <v>569</v>
      </c>
      <c r="AC21" s="1" t="s">
        <v>512</v>
      </c>
      <c r="AD21" s="1" t="s">
        <v>480</v>
      </c>
      <c r="AE21" s="1" t="s">
        <v>570</v>
      </c>
      <c r="AF21" s="1" t="s">
        <v>395</v>
      </c>
      <c r="AG21" s="1" t="s">
        <v>571</v>
      </c>
      <c r="AL21" s="2" t="s">
        <v>572</v>
      </c>
      <c r="AM21" s="2" t="s">
        <v>573</v>
      </c>
      <c r="AN21" s="2" t="s">
        <v>574</v>
      </c>
      <c r="AO21" s="2" t="s">
        <v>538</v>
      </c>
      <c r="AP21" s="2" t="s">
        <v>466</v>
      </c>
      <c r="AQ21" s="2" t="s">
        <v>575</v>
      </c>
      <c r="AR21" s="2"/>
      <c r="AS21" s="2"/>
      <c r="AT21" s="5" t="s">
        <v>572</v>
      </c>
      <c r="AU21" s="7" t="s">
        <v>297</v>
      </c>
      <c r="AV21" s="7" t="s">
        <v>416</v>
      </c>
      <c r="AW21" s="5" t="s">
        <v>297</v>
      </c>
      <c r="AX21" s="8" t="s">
        <v>522</v>
      </c>
      <c r="AY21" s="7" t="s">
        <v>293</v>
      </c>
      <c r="AZ21" s="2"/>
      <c r="BC21" s="2"/>
    </row>
    <row r="22" spans="7:55" x14ac:dyDescent="0.5">
      <c r="G22" s="1" t="s">
        <v>369</v>
      </c>
      <c r="H22" s="1" t="s">
        <v>369</v>
      </c>
      <c r="I22" s="1" t="s">
        <v>369</v>
      </c>
      <c r="L22" s="1" t="s">
        <v>94</v>
      </c>
      <c r="M22" s="1" t="s">
        <v>359</v>
      </c>
      <c r="N22" s="1" t="s">
        <v>576</v>
      </c>
      <c r="O22" s="1" t="s">
        <v>576</v>
      </c>
      <c r="P22" s="1" t="s">
        <v>577</v>
      </c>
      <c r="Q22" s="1" t="s">
        <v>578</v>
      </c>
      <c r="S22" s="1" t="s">
        <v>94</v>
      </c>
      <c r="T22" s="1" t="s">
        <v>359</v>
      </c>
      <c r="U22" s="1" t="s">
        <v>576</v>
      </c>
      <c r="V22" s="1" t="s">
        <v>576</v>
      </c>
      <c r="W22" s="1" t="s">
        <v>577</v>
      </c>
      <c r="X22" s="1" t="s">
        <v>578</v>
      </c>
      <c r="Y22" s="1" t="s">
        <v>567</v>
      </c>
      <c r="Z22" s="1" t="s">
        <v>538</v>
      </c>
      <c r="AA22" s="1" t="s">
        <v>547</v>
      </c>
      <c r="AB22" s="1" t="s">
        <v>440</v>
      </c>
      <c r="AC22" s="1" t="s">
        <v>579</v>
      </c>
      <c r="AD22" s="1" t="s">
        <v>580</v>
      </c>
      <c r="AE22" s="1" t="s">
        <v>581</v>
      </c>
      <c r="AF22" s="1" t="s">
        <v>582</v>
      </c>
      <c r="AG22" s="1" t="s">
        <v>475</v>
      </c>
      <c r="AL22" s="2" t="s">
        <v>583</v>
      </c>
      <c r="AM22" s="2" t="s">
        <v>584</v>
      </c>
      <c r="AN22" s="2" t="s">
        <v>585</v>
      </c>
      <c r="AO22" s="2" t="s">
        <v>525</v>
      </c>
      <c r="AP22" s="2" t="s">
        <v>432</v>
      </c>
      <c r="AT22" s="5" t="s">
        <v>573</v>
      </c>
      <c r="AU22" s="7" t="s">
        <v>457</v>
      </c>
      <c r="AV22" s="8" t="s">
        <v>482</v>
      </c>
      <c r="AW22" s="5" t="s">
        <v>496</v>
      </c>
      <c r="AX22" s="8" t="s">
        <v>408</v>
      </c>
      <c r="AY22" s="7" t="s">
        <v>445</v>
      </c>
    </row>
    <row r="23" spans="7:55" x14ac:dyDescent="0.5">
      <c r="G23" s="1" t="s">
        <v>370</v>
      </c>
      <c r="H23" s="1" t="s">
        <v>370</v>
      </c>
      <c r="I23" s="1" t="s">
        <v>370</v>
      </c>
      <c r="L23" s="1" t="s">
        <v>511</v>
      </c>
      <c r="M23" s="1" t="s">
        <v>505</v>
      </c>
      <c r="N23" s="1" t="s">
        <v>576</v>
      </c>
      <c r="O23" s="1" t="s">
        <v>538</v>
      </c>
      <c r="P23" s="1" t="s">
        <v>296</v>
      </c>
      <c r="Q23" s="1" t="s">
        <v>436</v>
      </c>
      <c r="S23" s="1" t="s">
        <v>511</v>
      </c>
      <c r="T23" s="1" t="s">
        <v>505</v>
      </c>
      <c r="U23" s="1" t="s">
        <v>576</v>
      </c>
      <c r="V23" s="1" t="s">
        <v>538</v>
      </c>
      <c r="W23" s="1" t="s">
        <v>296</v>
      </c>
      <c r="X23" s="1" t="s">
        <v>436</v>
      </c>
      <c r="Y23" s="1" t="s">
        <v>294</v>
      </c>
      <c r="Z23" s="1" t="s">
        <v>586</v>
      </c>
      <c r="AA23" s="1" t="s">
        <v>587</v>
      </c>
      <c r="AB23" s="1" t="s">
        <v>588</v>
      </c>
      <c r="AC23" s="1" t="s">
        <v>589</v>
      </c>
      <c r="AD23" s="1" t="s">
        <v>579</v>
      </c>
      <c r="AE23" s="1" t="s">
        <v>590</v>
      </c>
      <c r="AF23" s="1" t="s">
        <v>472</v>
      </c>
      <c r="AG23" s="1" t="s">
        <v>541</v>
      </c>
      <c r="AL23" s="2" t="s">
        <v>591</v>
      </c>
      <c r="AM23" s="2" t="s">
        <v>582</v>
      </c>
      <c r="AN23" s="2" t="s">
        <v>310</v>
      </c>
      <c r="AO23" s="2" t="s">
        <v>592</v>
      </c>
      <c r="AP23" s="2" t="s">
        <v>593</v>
      </c>
      <c r="AT23" s="6" t="s">
        <v>583</v>
      </c>
      <c r="AU23" s="7" t="s">
        <v>469</v>
      </c>
      <c r="AV23" s="8" t="s">
        <v>436</v>
      </c>
      <c r="AW23" s="7" t="s">
        <v>516</v>
      </c>
      <c r="AX23" s="7" t="s">
        <v>387</v>
      </c>
      <c r="AY23" s="7" t="s">
        <v>438</v>
      </c>
    </row>
    <row r="24" spans="7:55" x14ac:dyDescent="0.5">
      <c r="G24" s="1" t="s">
        <v>371</v>
      </c>
      <c r="H24" s="1" t="s">
        <v>371</v>
      </c>
      <c r="I24" s="1" t="s">
        <v>371</v>
      </c>
      <c r="L24" s="1" t="s">
        <v>510</v>
      </c>
      <c r="M24" s="1" t="s">
        <v>305</v>
      </c>
      <c r="N24" s="1" t="s">
        <v>300</v>
      </c>
      <c r="O24" s="1" t="s">
        <v>594</v>
      </c>
      <c r="P24" s="1" t="s">
        <v>297</v>
      </c>
      <c r="Q24" s="1" t="s">
        <v>472</v>
      </c>
      <c r="S24" s="1" t="s">
        <v>510</v>
      </c>
      <c r="T24" s="1" t="s">
        <v>305</v>
      </c>
      <c r="U24" s="1" t="s">
        <v>300</v>
      </c>
      <c r="V24" s="1" t="s">
        <v>594</v>
      </c>
      <c r="W24" s="1" t="s">
        <v>297</v>
      </c>
      <c r="X24" s="1" t="s">
        <v>472</v>
      </c>
      <c r="Y24" s="1" t="s">
        <v>464</v>
      </c>
      <c r="Z24" s="1" t="s">
        <v>495</v>
      </c>
      <c r="AA24" s="1" t="s">
        <v>595</v>
      </c>
      <c r="AB24" s="1" t="s">
        <v>531</v>
      </c>
      <c r="AC24" s="1" t="s">
        <v>566</v>
      </c>
      <c r="AD24" s="1" t="s">
        <v>596</v>
      </c>
      <c r="AE24" s="1" t="s">
        <v>480</v>
      </c>
      <c r="AF24" s="1" t="s">
        <v>86</v>
      </c>
      <c r="AG24" s="1" t="s">
        <v>502</v>
      </c>
      <c r="AL24" s="2" t="s">
        <v>556</v>
      </c>
      <c r="AM24" s="2" t="s">
        <v>86</v>
      </c>
      <c r="AN24" s="2" t="s">
        <v>597</v>
      </c>
      <c r="AO24" s="2" t="s">
        <v>598</v>
      </c>
      <c r="AP24" s="2" t="s">
        <v>297</v>
      </c>
      <c r="AT24" s="5" t="s">
        <v>591</v>
      </c>
      <c r="AU24" s="7" t="s">
        <v>299</v>
      </c>
      <c r="AV24" s="7" t="s">
        <v>472</v>
      </c>
      <c r="AW24" s="6" t="s">
        <v>480</v>
      </c>
      <c r="AX24" s="7" t="s">
        <v>477</v>
      </c>
      <c r="AY24" s="7" t="s">
        <v>599</v>
      </c>
    </row>
    <row r="25" spans="7:55" x14ac:dyDescent="0.5">
      <c r="G25" s="1" t="s">
        <v>600</v>
      </c>
      <c r="H25" s="1" t="s">
        <v>600</v>
      </c>
      <c r="I25" s="1" t="s">
        <v>600</v>
      </c>
      <c r="L25" s="1" t="s">
        <v>601</v>
      </c>
      <c r="M25" s="1" t="s">
        <v>94</v>
      </c>
      <c r="N25" s="1" t="s">
        <v>594</v>
      </c>
      <c r="O25" s="1" t="s">
        <v>592</v>
      </c>
      <c r="P25" s="1" t="s">
        <v>541</v>
      </c>
      <c r="Q25" s="1" t="s">
        <v>602</v>
      </c>
      <c r="S25" s="1" t="s">
        <v>601</v>
      </c>
      <c r="T25" s="1" t="s">
        <v>94</v>
      </c>
      <c r="U25" s="1" t="s">
        <v>594</v>
      </c>
      <c r="V25" s="1" t="s">
        <v>592</v>
      </c>
      <c r="W25" s="1" t="s">
        <v>541</v>
      </c>
      <c r="X25" s="1" t="s">
        <v>602</v>
      </c>
      <c r="Y25" s="1" t="s">
        <v>603</v>
      </c>
      <c r="Z25" s="1" t="s">
        <v>359</v>
      </c>
      <c r="AA25" s="1" t="s">
        <v>299</v>
      </c>
      <c r="AB25" s="1" t="s">
        <v>604</v>
      </c>
      <c r="AC25" s="1" t="s">
        <v>300</v>
      </c>
      <c r="AD25" s="1" t="s">
        <v>305</v>
      </c>
      <c r="AE25" s="1" t="s">
        <v>605</v>
      </c>
      <c r="AF25" s="1" t="s">
        <v>445</v>
      </c>
      <c r="AG25" s="1" t="s">
        <v>418</v>
      </c>
      <c r="AL25" s="2" t="s">
        <v>86</v>
      </c>
      <c r="AM25" s="2" t="s">
        <v>384</v>
      </c>
      <c r="AN25" s="2" t="s">
        <v>313</v>
      </c>
      <c r="AO25" s="2" t="s">
        <v>606</v>
      </c>
      <c r="AP25" s="2" t="s">
        <v>566</v>
      </c>
      <c r="AT25" s="6" t="s">
        <v>556</v>
      </c>
      <c r="AU25" s="7" t="s">
        <v>538</v>
      </c>
      <c r="AV25" s="8" t="s">
        <v>461</v>
      </c>
      <c r="AW25" s="7" t="s">
        <v>539</v>
      </c>
      <c r="AX25" s="7" t="s">
        <v>542</v>
      </c>
      <c r="AY25" s="7" t="s">
        <v>479</v>
      </c>
    </row>
    <row r="26" spans="7:55" x14ac:dyDescent="0.5">
      <c r="L26" s="1" t="s">
        <v>557</v>
      </c>
      <c r="M26" s="1" t="s">
        <v>607</v>
      </c>
      <c r="N26" s="1" t="s">
        <v>511</v>
      </c>
      <c r="O26" s="1" t="s">
        <v>608</v>
      </c>
      <c r="P26" s="1" t="s">
        <v>605</v>
      </c>
      <c r="Q26" s="1" t="s">
        <v>461</v>
      </c>
      <c r="S26" s="1" t="s">
        <v>557</v>
      </c>
      <c r="T26" s="1" t="s">
        <v>607</v>
      </c>
      <c r="U26" s="1" t="s">
        <v>511</v>
      </c>
      <c r="V26" s="1" t="s">
        <v>608</v>
      </c>
      <c r="W26" s="1" t="s">
        <v>605</v>
      </c>
      <c r="X26" s="1" t="s">
        <v>461</v>
      </c>
      <c r="Y26" s="1" t="s">
        <v>432</v>
      </c>
      <c r="Z26" s="1" t="s">
        <v>609</v>
      </c>
      <c r="AA26" s="1" t="s">
        <v>610</v>
      </c>
      <c r="AB26" s="1" t="s">
        <v>611</v>
      </c>
      <c r="AC26" s="1" t="s">
        <v>538</v>
      </c>
      <c r="AD26" s="1" t="s">
        <v>607</v>
      </c>
      <c r="AE26" s="1" t="s">
        <v>579</v>
      </c>
      <c r="AF26" s="1" t="s">
        <v>612</v>
      </c>
      <c r="AG26" s="1" t="s">
        <v>613</v>
      </c>
      <c r="AL26" s="2" t="s">
        <v>86</v>
      </c>
      <c r="AM26" s="2" t="s">
        <v>614</v>
      </c>
      <c r="AN26" s="2" t="s">
        <v>384</v>
      </c>
      <c r="AO26" s="2" t="s">
        <v>565</v>
      </c>
      <c r="AP26" s="2" t="s">
        <v>300</v>
      </c>
      <c r="AT26" s="5" t="s">
        <v>86</v>
      </c>
      <c r="AU26" s="7" t="s">
        <v>481</v>
      </c>
      <c r="AV26" s="7" t="s">
        <v>499</v>
      </c>
      <c r="AW26" s="8" t="s">
        <v>512</v>
      </c>
      <c r="AX26" s="7" t="s">
        <v>431</v>
      </c>
      <c r="AY26" s="7" t="s">
        <v>472</v>
      </c>
    </row>
    <row r="27" spans="7:55" x14ac:dyDescent="0.5">
      <c r="L27" s="1" t="s">
        <v>615</v>
      </c>
      <c r="M27" s="1" t="s">
        <v>525</v>
      </c>
      <c r="N27" s="1" t="s">
        <v>607</v>
      </c>
      <c r="O27" s="1" t="s">
        <v>598</v>
      </c>
      <c r="P27" s="1" t="s">
        <v>494</v>
      </c>
      <c r="Q27" s="1" t="s">
        <v>529</v>
      </c>
      <c r="S27" s="1" t="s">
        <v>615</v>
      </c>
      <c r="T27" s="1" t="s">
        <v>525</v>
      </c>
      <c r="U27" s="1" t="s">
        <v>607</v>
      </c>
      <c r="V27" s="1" t="s">
        <v>598</v>
      </c>
      <c r="W27" s="1" t="s">
        <v>494</v>
      </c>
      <c r="X27" s="1" t="s">
        <v>529</v>
      </c>
      <c r="Y27" s="1" t="s">
        <v>517</v>
      </c>
      <c r="Z27" s="1" t="s">
        <v>305</v>
      </c>
      <c r="AA27" s="1" t="s">
        <v>616</v>
      </c>
      <c r="AB27" s="1" t="s">
        <v>617</v>
      </c>
      <c r="AC27" s="1" t="s">
        <v>609</v>
      </c>
      <c r="AD27" s="1" t="s">
        <v>618</v>
      </c>
      <c r="AE27" s="1" t="s">
        <v>566</v>
      </c>
      <c r="AF27" s="1" t="s">
        <v>619</v>
      </c>
      <c r="AG27" s="1" t="s">
        <v>318</v>
      </c>
      <c r="AL27" s="2" t="s">
        <v>620</v>
      </c>
      <c r="AM27" s="2" t="s">
        <v>491</v>
      </c>
      <c r="AN27" s="2" t="s">
        <v>621</v>
      </c>
      <c r="AO27" s="2" t="s">
        <v>622</v>
      </c>
      <c r="AP27" s="2" t="s">
        <v>594</v>
      </c>
      <c r="AT27" s="10" t="s">
        <v>620</v>
      </c>
      <c r="AU27" s="7" t="s">
        <v>561</v>
      </c>
      <c r="AV27" s="7" t="s">
        <v>432</v>
      </c>
      <c r="AW27" s="6" t="s">
        <v>498</v>
      </c>
      <c r="AX27" s="8" t="s">
        <v>414</v>
      </c>
      <c r="AY27" s="7" t="s">
        <v>590</v>
      </c>
    </row>
    <row r="28" spans="7:55" x14ac:dyDescent="0.5">
      <c r="L28" s="1" t="s">
        <v>565</v>
      </c>
      <c r="M28" s="1" t="s">
        <v>545</v>
      </c>
      <c r="N28" s="1" t="s">
        <v>545</v>
      </c>
      <c r="O28" s="1" t="s">
        <v>510</v>
      </c>
      <c r="P28" s="1" t="s">
        <v>299</v>
      </c>
      <c r="Q28" s="1" t="s">
        <v>499</v>
      </c>
      <c r="S28" s="1" t="s">
        <v>565</v>
      </c>
      <c r="T28" s="1" t="s">
        <v>545</v>
      </c>
      <c r="U28" s="1" t="s">
        <v>545</v>
      </c>
      <c r="V28" s="1" t="s">
        <v>510</v>
      </c>
      <c r="W28" s="1" t="s">
        <v>299</v>
      </c>
      <c r="X28" s="1" t="s">
        <v>499</v>
      </c>
      <c r="Y28" s="1" t="s">
        <v>501</v>
      </c>
      <c r="Z28" s="1" t="s">
        <v>94</v>
      </c>
      <c r="AA28" s="1" t="s">
        <v>300</v>
      </c>
      <c r="AB28" s="1" t="s">
        <v>623</v>
      </c>
      <c r="AC28" s="1" t="s">
        <v>305</v>
      </c>
      <c r="AD28" s="1" t="s">
        <v>624</v>
      </c>
      <c r="AE28" s="1" t="s">
        <v>616</v>
      </c>
      <c r="AF28" s="1" t="s">
        <v>625</v>
      </c>
      <c r="AG28" s="1" t="s">
        <v>599</v>
      </c>
      <c r="AL28" s="2"/>
      <c r="AM28" s="2"/>
      <c r="AN28" s="2" t="s">
        <v>626</v>
      </c>
      <c r="AO28" s="2" t="s">
        <v>582</v>
      </c>
      <c r="AP28" s="2" t="s">
        <v>481</v>
      </c>
      <c r="AT28" s="10"/>
      <c r="AU28" s="7" t="s">
        <v>495</v>
      </c>
      <c r="AV28" s="8" t="s">
        <v>56</v>
      </c>
      <c r="AW28" s="5" t="s">
        <v>536</v>
      </c>
      <c r="AX28" s="7" t="s">
        <v>555</v>
      </c>
      <c r="AY28" s="7" t="s">
        <v>475</v>
      </c>
    </row>
    <row r="29" spans="7:55" x14ac:dyDescent="0.5">
      <c r="L29" s="1" t="s">
        <v>627</v>
      </c>
      <c r="M29" s="1" t="s">
        <v>608</v>
      </c>
      <c r="N29" s="1" t="s">
        <v>598</v>
      </c>
      <c r="O29" s="1" t="s">
        <v>628</v>
      </c>
      <c r="P29" s="1" t="s">
        <v>629</v>
      </c>
      <c r="Q29" s="1" t="s">
        <v>466</v>
      </c>
      <c r="S29" s="1" t="s">
        <v>627</v>
      </c>
      <c r="T29" s="1" t="s">
        <v>608</v>
      </c>
      <c r="U29" s="1" t="s">
        <v>598</v>
      </c>
      <c r="V29" s="1" t="s">
        <v>628</v>
      </c>
      <c r="W29" s="1" t="s">
        <v>629</v>
      </c>
      <c r="X29" s="1" t="s">
        <v>466</v>
      </c>
      <c r="Y29" s="1" t="s">
        <v>508</v>
      </c>
      <c r="Z29" s="1" t="s">
        <v>592</v>
      </c>
      <c r="AA29" s="1" t="s">
        <v>359</v>
      </c>
      <c r="AB29" s="1" t="s">
        <v>630</v>
      </c>
      <c r="AC29" s="1" t="s">
        <v>631</v>
      </c>
      <c r="AD29" s="1" t="s">
        <v>632</v>
      </c>
      <c r="AE29" s="1" t="s">
        <v>309</v>
      </c>
      <c r="AF29" s="1" t="s">
        <v>485</v>
      </c>
      <c r="AG29" s="1" t="s">
        <v>567</v>
      </c>
      <c r="AL29" s="2"/>
      <c r="AN29" s="2" t="s">
        <v>633</v>
      </c>
      <c r="AO29" s="2" t="s">
        <v>634</v>
      </c>
      <c r="AP29" s="2" t="s">
        <v>635</v>
      </c>
      <c r="AU29" s="7" t="s">
        <v>359</v>
      </c>
      <c r="AV29" s="7" t="s">
        <v>497</v>
      </c>
      <c r="AW29" s="7" t="s">
        <v>469</v>
      </c>
      <c r="AX29" s="7" t="s">
        <v>293</v>
      </c>
      <c r="AY29" s="7" t="s">
        <v>466</v>
      </c>
    </row>
    <row r="30" spans="7:55" x14ac:dyDescent="0.5">
      <c r="L30" s="1" t="s">
        <v>622</v>
      </c>
      <c r="M30" s="1" t="s">
        <v>524</v>
      </c>
      <c r="N30" s="1" t="s">
        <v>510</v>
      </c>
      <c r="O30" s="1" t="s">
        <v>310</v>
      </c>
      <c r="P30" s="1" t="s">
        <v>636</v>
      </c>
      <c r="Q30" s="1" t="s">
        <v>466</v>
      </c>
      <c r="S30" s="1" t="s">
        <v>622</v>
      </c>
      <c r="T30" s="1" t="s">
        <v>524</v>
      </c>
      <c r="U30" s="1" t="s">
        <v>510</v>
      </c>
      <c r="V30" s="1" t="s">
        <v>310</v>
      </c>
      <c r="W30" s="1" t="s">
        <v>636</v>
      </c>
      <c r="X30" s="1" t="s">
        <v>466</v>
      </c>
      <c r="Y30" s="1" t="s">
        <v>637</v>
      </c>
      <c r="Z30" s="1" t="s">
        <v>638</v>
      </c>
      <c r="AA30" s="1" t="s">
        <v>639</v>
      </c>
      <c r="AB30" s="1" t="s">
        <v>306</v>
      </c>
      <c r="AC30" s="1" t="s">
        <v>617</v>
      </c>
      <c r="AD30" s="1" t="s">
        <v>591</v>
      </c>
      <c r="AE30" s="1" t="s">
        <v>640</v>
      </c>
      <c r="AL30" s="2"/>
      <c r="AN30" s="2" t="s">
        <v>641</v>
      </c>
      <c r="AO30" s="2" t="s">
        <v>642</v>
      </c>
      <c r="AP30" s="2" t="s">
        <v>302</v>
      </c>
      <c r="AU30" s="7" t="s">
        <v>505</v>
      </c>
      <c r="AV30" s="7" t="s">
        <v>517</v>
      </c>
      <c r="AW30" s="8" t="s">
        <v>566</v>
      </c>
      <c r="AX30" s="8" t="s">
        <v>445</v>
      </c>
      <c r="AY30" s="7" t="s">
        <v>462</v>
      </c>
    </row>
    <row r="31" spans="7:55" x14ac:dyDescent="0.5">
      <c r="L31" s="1" t="s">
        <v>585</v>
      </c>
      <c r="M31" s="1" t="s">
        <v>624</v>
      </c>
      <c r="N31" s="1" t="s">
        <v>574</v>
      </c>
      <c r="O31" s="1" t="s">
        <v>582</v>
      </c>
      <c r="P31" s="1" t="s">
        <v>302</v>
      </c>
      <c r="Q31" s="1" t="s">
        <v>462</v>
      </c>
      <c r="S31" s="1" t="s">
        <v>585</v>
      </c>
      <c r="T31" s="1" t="s">
        <v>624</v>
      </c>
      <c r="U31" s="1" t="s">
        <v>574</v>
      </c>
      <c r="V31" s="1" t="s">
        <v>582</v>
      </c>
      <c r="W31" s="1" t="s">
        <v>302</v>
      </c>
      <c r="X31" s="1" t="s">
        <v>462</v>
      </c>
      <c r="Y31" s="1" t="s">
        <v>605</v>
      </c>
      <c r="Z31" s="1" t="s">
        <v>608</v>
      </c>
      <c r="AA31" s="1" t="s">
        <v>304</v>
      </c>
      <c r="AB31" s="1" t="s">
        <v>643</v>
      </c>
      <c r="AC31" s="1" t="s">
        <v>565</v>
      </c>
      <c r="AD31" s="1" t="s">
        <v>644</v>
      </c>
      <c r="AE31" s="1" t="s">
        <v>645</v>
      </c>
      <c r="AL31" s="2"/>
      <c r="AN31" s="2" t="s">
        <v>58</v>
      </c>
      <c r="AO31" s="2" t="s">
        <v>646</v>
      </c>
      <c r="AP31" s="2" t="s">
        <v>647</v>
      </c>
      <c r="AU31" s="7" t="s">
        <v>305</v>
      </c>
      <c r="AV31" s="8" t="s">
        <v>462</v>
      </c>
      <c r="AW31" s="7" t="s">
        <v>576</v>
      </c>
      <c r="AX31" s="8" t="s">
        <v>438</v>
      </c>
      <c r="AY31" s="7" t="s">
        <v>523</v>
      </c>
    </row>
    <row r="32" spans="7:55" x14ac:dyDescent="0.5">
      <c r="L32" s="1" t="s">
        <v>582</v>
      </c>
      <c r="M32" s="1" t="s">
        <v>573</v>
      </c>
      <c r="N32" s="1" t="s">
        <v>308</v>
      </c>
      <c r="O32" s="1" t="s">
        <v>642</v>
      </c>
      <c r="P32" s="1" t="s">
        <v>303</v>
      </c>
      <c r="Q32" s="1" t="s">
        <v>444</v>
      </c>
      <c r="S32" s="1" t="s">
        <v>582</v>
      </c>
      <c r="T32" s="1" t="s">
        <v>573</v>
      </c>
      <c r="U32" s="1" t="s">
        <v>308</v>
      </c>
      <c r="V32" s="1" t="s">
        <v>642</v>
      </c>
      <c r="W32" s="1" t="s">
        <v>303</v>
      </c>
      <c r="X32" s="1" t="s">
        <v>444</v>
      </c>
      <c r="Y32" s="1" t="s">
        <v>579</v>
      </c>
      <c r="Z32" s="1" t="s">
        <v>617</v>
      </c>
      <c r="AA32" s="1" t="s">
        <v>560</v>
      </c>
      <c r="AB32" s="1" t="s">
        <v>648</v>
      </c>
      <c r="AC32" s="1" t="s">
        <v>649</v>
      </c>
      <c r="AD32" s="1" t="s">
        <v>612</v>
      </c>
      <c r="AE32" s="1" t="s">
        <v>650</v>
      </c>
      <c r="AL32" s="2"/>
      <c r="AO32" s="2" t="s">
        <v>651</v>
      </c>
      <c r="AP32" s="2" t="s">
        <v>652</v>
      </c>
      <c r="AU32" s="7" t="s">
        <v>94</v>
      </c>
      <c r="AV32" s="8" t="s">
        <v>528</v>
      </c>
      <c r="AW32" s="7" t="s">
        <v>300</v>
      </c>
      <c r="AX32" s="7" t="s">
        <v>599</v>
      </c>
      <c r="AY32" s="7" t="s">
        <v>486</v>
      </c>
    </row>
    <row r="33" spans="12:51" x14ac:dyDescent="0.5">
      <c r="L33" s="1" t="s">
        <v>653</v>
      </c>
      <c r="M33" s="1" t="s">
        <v>653</v>
      </c>
      <c r="N33" s="1" t="s">
        <v>654</v>
      </c>
      <c r="O33" s="1" t="s">
        <v>556</v>
      </c>
      <c r="P33" s="1" t="s">
        <v>304</v>
      </c>
      <c r="Q33" s="1" t="s">
        <v>480</v>
      </c>
      <c r="S33" s="1" t="s">
        <v>653</v>
      </c>
      <c r="T33" s="1" t="s">
        <v>653</v>
      </c>
      <c r="U33" s="1" t="s">
        <v>654</v>
      </c>
      <c r="V33" s="1" t="s">
        <v>556</v>
      </c>
      <c r="W33" s="1" t="s">
        <v>304</v>
      </c>
      <c r="X33" s="1" t="s">
        <v>480</v>
      </c>
      <c r="Y33" s="1" t="s">
        <v>655</v>
      </c>
      <c r="Z33" s="1" t="s">
        <v>656</v>
      </c>
      <c r="AA33" s="1" t="s">
        <v>305</v>
      </c>
      <c r="AB33" s="1" t="s">
        <v>571</v>
      </c>
      <c r="AC33" s="1" t="s">
        <v>582</v>
      </c>
      <c r="AD33" s="1" t="s">
        <v>313</v>
      </c>
      <c r="AE33" s="1" t="s">
        <v>657</v>
      </c>
      <c r="AO33" s="2" t="s">
        <v>658</v>
      </c>
      <c r="AP33" s="2" t="s">
        <v>659</v>
      </c>
      <c r="AU33" s="7" t="s">
        <v>511</v>
      </c>
      <c r="AV33" s="7" t="s">
        <v>471</v>
      </c>
      <c r="AW33" s="8" t="s">
        <v>594</v>
      </c>
      <c r="AX33" s="7" t="s">
        <v>479</v>
      </c>
      <c r="AY33" s="7" t="s">
        <v>513</v>
      </c>
    </row>
    <row r="34" spans="12:51" x14ac:dyDescent="0.5">
      <c r="L34" s="1" t="s">
        <v>642</v>
      </c>
      <c r="M34" s="1" t="s">
        <v>612</v>
      </c>
      <c r="N34" s="1" t="s">
        <v>585</v>
      </c>
      <c r="O34" s="1" t="s">
        <v>86</v>
      </c>
      <c r="P34" s="1" t="s">
        <v>305</v>
      </c>
      <c r="Q34" s="1" t="s">
        <v>605</v>
      </c>
      <c r="S34" s="1" t="s">
        <v>642</v>
      </c>
      <c r="T34" s="1" t="s">
        <v>86</v>
      </c>
      <c r="U34" s="1" t="s">
        <v>585</v>
      </c>
      <c r="V34" s="1" t="s">
        <v>86</v>
      </c>
      <c r="W34" s="1" t="s">
        <v>305</v>
      </c>
      <c r="X34" s="1" t="s">
        <v>605</v>
      </c>
      <c r="Y34" s="1" t="s">
        <v>304</v>
      </c>
      <c r="Z34" s="1" t="s">
        <v>574</v>
      </c>
      <c r="AA34" s="1" t="s">
        <v>660</v>
      </c>
      <c r="AB34" s="1" t="s">
        <v>661</v>
      </c>
      <c r="AC34" s="1" t="s">
        <v>662</v>
      </c>
      <c r="AD34" s="1" t="s">
        <v>621</v>
      </c>
      <c r="AE34" s="1" t="s">
        <v>86</v>
      </c>
      <c r="AO34" s="2" t="s">
        <v>663</v>
      </c>
      <c r="AP34" s="2" t="s">
        <v>664</v>
      </c>
      <c r="AU34" s="7" t="s">
        <v>607</v>
      </c>
      <c r="AV34" s="7" t="s">
        <v>506</v>
      </c>
      <c r="AW34" s="6" t="s">
        <v>546</v>
      </c>
      <c r="AX34" s="7" t="s">
        <v>564</v>
      </c>
      <c r="AY34" s="7" t="s">
        <v>541</v>
      </c>
    </row>
    <row r="35" spans="12:51" x14ac:dyDescent="0.5">
      <c r="L35" s="1" t="s">
        <v>665</v>
      </c>
      <c r="M35" s="1" t="s">
        <v>666</v>
      </c>
      <c r="N35" s="1" t="s">
        <v>667</v>
      </c>
      <c r="O35" s="1" t="s">
        <v>663</v>
      </c>
      <c r="P35" s="1" t="s">
        <v>525</v>
      </c>
      <c r="Q35" s="1" t="s">
        <v>579</v>
      </c>
      <c r="S35" s="1" t="s">
        <v>665</v>
      </c>
      <c r="T35" s="1" t="s">
        <v>612</v>
      </c>
      <c r="U35" s="1" t="s">
        <v>667</v>
      </c>
      <c r="V35" s="1" t="s">
        <v>663</v>
      </c>
      <c r="W35" s="1" t="s">
        <v>525</v>
      </c>
      <c r="X35" s="1" t="s">
        <v>579</v>
      </c>
      <c r="Y35" s="1" t="s">
        <v>305</v>
      </c>
      <c r="Z35" s="1" t="s">
        <v>435</v>
      </c>
      <c r="AA35" s="1" t="s">
        <v>668</v>
      </c>
      <c r="AB35" s="1" t="s">
        <v>669</v>
      </c>
      <c r="AC35" s="1" t="s">
        <v>665</v>
      </c>
      <c r="AD35" s="1" t="s">
        <v>100</v>
      </c>
      <c r="AE35" s="1" t="s">
        <v>621</v>
      </c>
      <c r="AO35" s="2" t="s">
        <v>515</v>
      </c>
      <c r="AP35" s="2" t="s">
        <v>543</v>
      </c>
      <c r="AU35" s="7" t="s">
        <v>525</v>
      </c>
      <c r="AV35" s="8" t="s">
        <v>523</v>
      </c>
      <c r="AW35" s="5" t="s">
        <v>94</v>
      </c>
      <c r="AX35" s="8" t="s">
        <v>567</v>
      </c>
      <c r="AY35" s="7" t="s">
        <v>480</v>
      </c>
    </row>
    <row r="36" spans="12:51" x14ac:dyDescent="0.5">
      <c r="L36" s="1" t="s">
        <v>556</v>
      </c>
      <c r="M36" s="1" t="s">
        <v>384</v>
      </c>
      <c r="N36" s="1" t="s">
        <v>597</v>
      </c>
      <c r="O36" s="1" t="s">
        <v>670</v>
      </c>
      <c r="P36" s="1" t="s">
        <v>638</v>
      </c>
      <c r="Q36" s="1" t="s">
        <v>299</v>
      </c>
      <c r="S36" s="1" t="s">
        <v>556</v>
      </c>
      <c r="T36" s="1" t="s">
        <v>666</v>
      </c>
      <c r="U36" s="1" t="s">
        <v>597</v>
      </c>
      <c r="V36" s="1" t="s">
        <v>670</v>
      </c>
      <c r="W36" s="1" t="s">
        <v>638</v>
      </c>
      <c r="X36" s="1" t="s">
        <v>299</v>
      </c>
      <c r="Y36" s="1" t="s">
        <v>592</v>
      </c>
      <c r="Z36" s="1" t="s">
        <v>671</v>
      </c>
      <c r="AA36" s="1" t="s">
        <v>672</v>
      </c>
      <c r="AB36" s="1" t="s">
        <v>387</v>
      </c>
      <c r="AC36" s="1" t="s">
        <v>621</v>
      </c>
      <c r="AE36" s="1" t="s">
        <v>673</v>
      </c>
      <c r="AP36" s="2" t="s">
        <v>628</v>
      </c>
      <c r="AU36" s="7" t="s">
        <v>535</v>
      </c>
      <c r="AV36" s="7" t="s">
        <v>486</v>
      </c>
      <c r="AW36" s="7" t="s">
        <v>511</v>
      </c>
      <c r="AX36" s="8" t="s">
        <v>570</v>
      </c>
      <c r="AY36" s="7" t="s">
        <v>579</v>
      </c>
    </row>
    <row r="37" spans="12:51" x14ac:dyDescent="0.5">
      <c r="L37" s="1" t="s">
        <v>674</v>
      </c>
      <c r="M37" s="1" t="s">
        <v>614</v>
      </c>
      <c r="N37" s="1" t="s">
        <v>675</v>
      </c>
      <c r="P37" s="1" t="s">
        <v>545</v>
      </c>
      <c r="Q37" s="1" t="s">
        <v>566</v>
      </c>
      <c r="S37" s="1" t="s">
        <v>674</v>
      </c>
      <c r="T37" s="1" t="s">
        <v>384</v>
      </c>
      <c r="U37" s="1" t="s">
        <v>675</v>
      </c>
      <c r="W37" s="1" t="s">
        <v>545</v>
      </c>
      <c r="X37" s="1" t="s">
        <v>566</v>
      </c>
      <c r="Y37" s="1" t="s">
        <v>676</v>
      </c>
      <c r="Z37" s="1" t="s">
        <v>677</v>
      </c>
      <c r="AA37" s="1" t="s">
        <v>545</v>
      </c>
      <c r="AB37" s="1" t="s">
        <v>622</v>
      </c>
      <c r="AC37" s="1" t="s">
        <v>571</v>
      </c>
      <c r="AE37" s="1" t="s">
        <v>613</v>
      </c>
      <c r="AP37" s="2" t="s">
        <v>678</v>
      </c>
      <c r="AU37" s="7" t="s">
        <v>545</v>
      </c>
      <c r="AV37" s="7" t="s">
        <v>297</v>
      </c>
      <c r="AW37" s="8" t="s">
        <v>607</v>
      </c>
      <c r="AX37" s="8" t="s">
        <v>493</v>
      </c>
      <c r="AY37" s="7" t="s">
        <v>566</v>
      </c>
    </row>
    <row r="38" spans="12:51" x14ac:dyDescent="0.5">
      <c r="L38" s="1" t="s">
        <v>679</v>
      </c>
      <c r="M38" s="1" t="s">
        <v>621</v>
      </c>
      <c r="N38" s="1" t="s">
        <v>86</v>
      </c>
      <c r="P38" s="1" t="s">
        <v>680</v>
      </c>
      <c r="Q38" s="1" t="s">
        <v>300</v>
      </c>
      <c r="S38" s="1" t="s">
        <v>679</v>
      </c>
      <c r="T38" s="1" t="s">
        <v>614</v>
      </c>
      <c r="U38" s="1" t="s">
        <v>86</v>
      </c>
      <c r="W38" s="1" t="s">
        <v>680</v>
      </c>
      <c r="X38" s="1" t="s">
        <v>300</v>
      </c>
      <c r="Y38" s="1" t="s">
        <v>681</v>
      </c>
      <c r="Z38" s="1" t="s">
        <v>556</v>
      </c>
      <c r="AA38" s="1" t="s">
        <v>682</v>
      </c>
      <c r="AB38" s="1" t="s">
        <v>395</v>
      </c>
      <c r="AC38" s="1" t="s">
        <v>683</v>
      </c>
      <c r="AE38" s="1" t="s">
        <v>683</v>
      </c>
      <c r="AP38" s="2" t="s">
        <v>684</v>
      </c>
      <c r="AU38" s="7" t="s">
        <v>608</v>
      </c>
      <c r="AV38" s="5" t="s">
        <v>513</v>
      </c>
      <c r="AW38" s="5" t="s">
        <v>545</v>
      </c>
      <c r="AX38" s="8" t="s">
        <v>581</v>
      </c>
      <c r="AY38" s="7" t="s">
        <v>616</v>
      </c>
    </row>
    <row r="39" spans="12:51" x14ac:dyDescent="0.5">
      <c r="L39" s="1" t="s">
        <v>86</v>
      </c>
      <c r="M39" s="1" t="s">
        <v>663</v>
      </c>
      <c r="N39" s="1" t="s">
        <v>666</v>
      </c>
      <c r="P39" s="1" t="s">
        <v>685</v>
      </c>
      <c r="Q39" s="1" t="s">
        <v>300</v>
      </c>
      <c r="S39" s="1" t="s">
        <v>86</v>
      </c>
      <c r="T39" s="1" t="s">
        <v>621</v>
      </c>
      <c r="U39" s="1" t="s">
        <v>666</v>
      </c>
      <c r="W39" s="1" t="s">
        <v>685</v>
      </c>
      <c r="X39" s="1" t="s">
        <v>300</v>
      </c>
      <c r="Y39" s="1" t="s">
        <v>686</v>
      </c>
      <c r="Z39" s="1" t="s">
        <v>679</v>
      </c>
      <c r="AA39" s="1" t="s">
        <v>524</v>
      </c>
      <c r="AB39" s="1" t="s">
        <v>635</v>
      </c>
      <c r="AC39" s="1" t="s">
        <v>58</v>
      </c>
      <c r="AE39" s="1" t="s">
        <v>641</v>
      </c>
      <c r="AP39" s="2" t="s">
        <v>533</v>
      </c>
      <c r="AU39" s="7" t="s">
        <v>524</v>
      </c>
      <c r="AV39" s="6" t="s">
        <v>521</v>
      </c>
      <c r="AW39" s="8" t="s">
        <v>598</v>
      </c>
      <c r="AX39" s="8" t="s">
        <v>472</v>
      </c>
      <c r="AY39" s="7" t="s">
        <v>625</v>
      </c>
    </row>
    <row r="40" spans="12:51" x14ac:dyDescent="0.5">
      <c r="L40" s="1" t="s">
        <v>612</v>
      </c>
      <c r="M40" s="1" t="s">
        <v>491</v>
      </c>
      <c r="N40" s="1" t="s">
        <v>313</v>
      </c>
      <c r="P40" s="1" t="s">
        <v>676</v>
      </c>
      <c r="Q40" s="1" t="s">
        <v>687</v>
      </c>
      <c r="S40" s="1" t="s">
        <v>612</v>
      </c>
      <c r="T40" s="1" t="s">
        <v>663</v>
      </c>
      <c r="U40" s="1" t="s">
        <v>313</v>
      </c>
      <c r="W40" s="1" t="s">
        <v>676</v>
      </c>
      <c r="X40" s="1" t="s">
        <v>687</v>
      </c>
      <c r="Y40" s="1" t="s">
        <v>686</v>
      </c>
      <c r="Z40" s="1" t="s">
        <v>614</v>
      </c>
      <c r="AA40" s="1" t="s">
        <v>617</v>
      </c>
      <c r="AB40" s="1" t="s">
        <v>688</v>
      </c>
      <c r="AC40" s="1" t="s">
        <v>689</v>
      </c>
      <c r="AP40" s="2" t="s">
        <v>690</v>
      </c>
      <c r="AU40" s="7" t="s">
        <v>544</v>
      </c>
      <c r="AV40" s="8" t="s">
        <v>496</v>
      </c>
      <c r="AW40" s="7" t="s">
        <v>510</v>
      </c>
      <c r="AX40" s="8" t="s">
        <v>590</v>
      </c>
      <c r="AY40" s="7" t="s">
        <v>359</v>
      </c>
    </row>
    <row r="41" spans="12:51" x14ac:dyDescent="0.5">
      <c r="L41" s="1" t="s">
        <v>476</v>
      </c>
      <c r="M41" s="1" t="s">
        <v>316</v>
      </c>
      <c r="N41" s="1" t="s">
        <v>633</v>
      </c>
      <c r="P41" s="1" t="s">
        <v>574</v>
      </c>
      <c r="Q41" s="1" t="s">
        <v>691</v>
      </c>
      <c r="S41" s="1" t="s">
        <v>476</v>
      </c>
      <c r="T41" s="1" t="s">
        <v>491</v>
      </c>
      <c r="U41" s="1" t="s">
        <v>633</v>
      </c>
      <c r="W41" s="1" t="s">
        <v>574</v>
      </c>
      <c r="X41" s="1" t="s">
        <v>691</v>
      </c>
      <c r="Y41" s="1" t="s">
        <v>622</v>
      </c>
      <c r="Z41" s="1" t="s">
        <v>692</v>
      </c>
      <c r="AA41" s="1" t="s">
        <v>656</v>
      </c>
      <c r="AB41" s="1" t="s">
        <v>582</v>
      </c>
      <c r="AP41" s="2" t="s">
        <v>693</v>
      </c>
      <c r="AU41" s="7" t="s">
        <v>624</v>
      </c>
      <c r="AV41" s="7" t="s">
        <v>516</v>
      </c>
      <c r="AW41" s="8" t="s">
        <v>574</v>
      </c>
      <c r="AX41" s="7" t="s">
        <v>475</v>
      </c>
      <c r="AY41" s="7" t="s">
        <v>302</v>
      </c>
    </row>
    <row r="42" spans="12:51" x14ac:dyDescent="0.5">
      <c r="L42" s="1" t="s">
        <v>614</v>
      </c>
      <c r="M42" s="1" t="s">
        <v>588</v>
      </c>
      <c r="N42" s="1" t="s">
        <v>58</v>
      </c>
      <c r="P42" s="1" t="s">
        <v>435</v>
      </c>
      <c r="Q42" s="1" t="s">
        <v>664</v>
      </c>
      <c r="S42" s="1" t="s">
        <v>614</v>
      </c>
      <c r="T42" s="1" t="s">
        <v>316</v>
      </c>
      <c r="U42" s="1" t="s">
        <v>58</v>
      </c>
      <c r="W42" s="1" t="s">
        <v>435</v>
      </c>
      <c r="X42" s="1" t="s">
        <v>664</v>
      </c>
      <c r="Y42" s="1" t="s">
        <v>585</v>
      </c>
      <c r="AA42" s="1" t="s">
        <v>574</v>
      </c>
      <c r="AB42" s="1" t="s">
        <v>694</v>
      </c>
      <c r="AP42" s="2" t="s">
        <v>642</v>
      </c>
      <c r="AU42" s="7" t="s">
        <v>565</v>
      </c>
      <c r="AV42" s="5" t="s">
        <v>480</v>
      </c>
      <c r="AW42" s="7" t="s">
        <v>308</v>
      </c>
      <c r="AX42" s="8" t="s">
        <v>466</v>
      </c>
      <c r="AY42" s="7" t="s">
        <v>94</v>
      </c>
    </row>
    <row r="43" spans="12:51" x14ac:dyDescent="0.5">
      <c r="L43" s="1" t="s">
        <v>695</v>
      </c>
      <c r="N43" s="1" t="s">
        <v>689</v>
      </c>
      <c r="P43" s="1" t="s">
        <v>686</v>
      </c>
      <c r="Q43" s="1" t="s">
        <v>543</v>
      </c>
      <c r="S43" s="1" t="s">
        <v>695</v>
      </c>
      <c r="T43" s="1" t="s">
        <v>588</v>
      </c>
      <c r="U43" s="1" t="s">
        <v>689</v>
      </c>
      <c r="W43" s="1" t="s">
        <v>686</v>
      </c>
      <c r="X43" s="1" t="s">
        <v>543</v>
      </c>
      <c r="Y43" s="1" t="s">
        <v>696</v>
      </c>
      <c r="AA43" s="1" t="s">
        <v>628</v>
      </c>
      <c r="AB43" s="1" t="s">
        <v>697</v>
      </c>
      <c r="AP43" s="2" t="s">
        <v>698</v>
      </c>
      <c r="AU43" s="7" t="s">
        <v>584</v>
      </c>
      <c r="AV43" s="7" t="s">
        <v>539</v>
      </c>
      <c r="AW43" s="8" t="s">
        <v>654</v>
      </c>
      <c r="AX43" s="8" t="s">
        <v>295</v>
      </c>
      <c r="AY43" s="7" t="s">
        <v>543</v>
      </c>
    </row>
    <row r="44" spans="12:51" x14ac:dyDescent="0.5">
      <c r="L44" s="1" t="s">
        <v>621</v>
      </c>
      <c r="P44" s="1" t="s">
        <v>615</v>
      </c>
      <c r="Q44" s="1" t="s">
        <v>699</v>
      </c>
      <c r="S44" s="1" t="s">
        <v>621</v>
      </c>
      <c r="W44" s="1" t="s">
        <v>615</v>
      </c>
      <c r="X44" s="1" t="s">
        <v>699</v>
      </c>
      <c r="Y44" s="1" t="s">
        <v>642</v>
      </c>
      <c r="AA44" s="1" t="s">
        <v>700</v>
      </c>
      <c r="AB44" s="1" t="s">
        <v>556</v>
      </c>
      <c r="AP44" s="2" t="s">
        <v>621</v>
      </c>
      <c r="AU44" s="7" t="s">
        <v>582</v>
      </c>
      <c r="AV44" s="8" t="s">
        <v>512</v>
      </c>
      <c r="AW44" s="7" t="s">
        <v>585</v>
      </c>
      <c r="AX44" s="8" t="s">
        <v>485</v>
      </c>
      <c r="AY44" s="7" t="s">
        <v>360</v>
      </c>
    </row>
    <row r="45" spans="12:51" x14ac:dyDescent="0.5">
      <c r="L45" s="1" t="s">
        <v>701</v>
      </c>
      <c r="P45" s="1" t="s">
        <v>627</v>
      </c>
      <c r="Q45" s="1" t="s">
        <v>699</v>
      </c>
      <c r="S45" s="1" t="s">
        <v>701</v>
      </c>
      <c r="W45" s="1" t="s">
        <v>627</v>
      </c>
      <c r="X45" s="1" t="s">
        <v>699</v>
      </c>
      <c r="Y45" s="1" t="s">
        <v>702</v>
      </c>
      <c r="AA45" s="1" t="s">
        <v>703</v>
      </c>
      <c r="AB45" s="1" t="s">
        <v>592</v>
      </c>
      <c r="AP45" s="2" t="s">
        <v>559</v>
      </c>
      <c r="AU45" s="7" t="s">
        <v>653</v>
      </c>
      <c r="AV45" s="6" t="s">
        <v>547</v>
      </c>
      <c r="AW45" s="8" t="s">
        <v>667</v>
      </c>
      <c r="AX45" s="7" t="s">
        <v>462</v>
      </c>
      <c r="AY45" s="7" t="s">
        <v>385</v>
      </c>
    </row>
    <row r="46" spans="12:51" x14ac:dyDescent="0.5">
      <c r="P46" s="1" t="s">
        <v>622</v>
      </c>
      <c r="Q46" s="1" t="s">
        <v>628</v>
      </c>
      <c r="W46" s="1" t="s">
        <v>622</v>
      </c>
      <c r="X46" s="1" t="s">
        <v>628</v>
      </c>
      <c r="Y46" s="1" t="s">
        <v>675</v>
      </c>
      <c r="AA46" s="1" t="s">
        <v>686</v>
      </c>
      <c r="AB46" s="1" t="s">
        <v>297</v>
      </c>
      <c r="AP46" s="2" t="s">
        <v>689</v>
      </c>
      <c r="AU46" s="7" t="s">
        <v>86</v>
      </c>
      <c r="AV46" s="5" t="s">
        <v>558</v>
      </c>
      <c r="AW46" s="5" t="s">
        <v>310</v>
      </c>
      <c r="AX46" s="7" t="s">
        <v>523</v>
      </c>
      <c r="AY46" s="7" t="s">
        <v>309</v>
      </c>
    </row>
    <row r="47" spans="12:51" x14ac:dyDescent="0.5">
      <c r="P47" s="1" t="s">
        <v>585</v>
      </c>
      <c r="Q47" s="1" t="s">
        <v>686</v>
      </c>
      <c r="W47" s="1" t="s">
        <v>585</v>
      </c>
      <c r="X47" s="1" t="s">
        <v>686</v>
      </c>
      <c r="Y47" s="1" t="s">
        <v>704</v>
      </c>
      <c r="AA47" s="1" t="s">
        <v>694</v>
      </c>
      <c r="AB47" s="1" t="s">
        <v>705</v>
      </c>
      <c r="AP47" s="2"/>
      <c r="AU47" s="7" t="s">
        <v>612</v>
      </c>
      <c r="AV47" s="7" t="s">
        <v>469</v>
      </c>
      <c r="AW47" s="7" t="s">
        <v>597</v>
      </c>
      <c r="AX47" s="8" t="s">
        <v>486</v>
      </c>
      <c r="AY47" s="7" t="s">
        <v>533</v>
      </c>
    </row>
    <row r="48" spans="12:51" x14ac:dyDescent="0.5">
      <c r="P48" s="1" t="s">
        <v>585</v>
      </c>
      <c r="Q48" s="1" t="s">
        <v>615</v>
      </c>
      <c r="W48" s="1" t="s">
        <v>585</v>
      </c>
      <c r="X48" s="1" t="s">
        <v>615</v>
      </c>
      <c r="Y48" s="1" t="s">
        <v>706</v>
      </c>
      <c r="AA48" s="1" t="s">
        <v>360</v>
      </c>
      <c r="AB48" s="1" t="s">
        <v>318</v>
      </c>
      <c r="AU48" s="7" t="s">
        <v>666</v>
      </c>
      <c r="AV48" s="6" t="s">
        <v>299</v>
      </c>
      <c r="AW48" s="8" t="s">
        <v>675</v>
      </c>
      <c r="AX48" s="7" t="s">
        <v>513</v>
      </c>
      <c r="AY48" s="7" t="s">
        <v>582</v>
      </c>
    </row>
    <row r="49" spans="16:51" x14ac:dyDescent="0.5">
      <c r="P49" s="1" t="s">
        <v>707</v>
      </c>
      <c r="Q49" s="1" t="s">
        <v>708</v>
      </c>
      <c r="W49" s="1" t="s">
        <v>707</v>
      </c>
      <c r="X49" s="1" t="s">
        <v>708</v>
      </c>
      <c r="Y49" s="1" t="s">
        <v>709</v>
      </c>
      <c r="AA49" s="1" t="s">
        <v>654</v>
      </c>
      <c r="AB49" s="1" t="s">
        <v>317</v>
      </c>
      <c r="AU49" s="7" t="s">
        <v>384</v>
      </c>
      <c r="AV49" s="8" t="s">
        <v>566</v>
      </c>
      <c r="AW49" s="7" t="s">
        <v>86</v>
      </c>
      <c r="AX49" s="8" t="s">
        <v>541</v>
      </c>
      <c r="AY49" s="7" t="s">
        <v>400</v>
      </c>
    </row>
    <row r="50" spans="16:51" x14ac:dyDescent="0.5">
      <c r="P50" s="1" t="s">
        <v>310</v>
      </c>
      <c r="Q50" s="1" t="s">
        <v>584</v>
      </c>
      <c r="W50" s="1" t="s">
        <v>310</v>
      </c>
      <c r="X50" s="1" t="s">
        <v>584</v>
      </c>
      <c r="Y50" s="1" t="s">
        <v>316</v>
      </c>
      <c r="AA50" s="1" t="s">
        <v>622</v>
      </c>
      <c r="AB50" s="1" t="s">
        <v>614</v>
      </c>
      <c r="AU50" s="7" t="s">
        <v>614</v>
      </c>
      <c r="AV50" s="7" t="s">
        <v>576</v>
      </c>
      <c r="AW50" s="8" t="s">
        <v>666</v>
      </c>
      <c r="AX50" s="8" t="s">
        <v>480</v>
      </c>
      <c r="AY50" s="7" t="s">
        <v>455</v>
      </c>
    </row>
    <row r="51" spans="16:51" x14ac:dyDescent="0.5">
      <c r="P51" s="1" t="s">
        <v>710</v>
      </c>
      <c r="Q51" s="1" t="s">
        <v>711</v>
      </c>
      <c r="W51" s="1" t="s">
        <v>710</v>
      </c>
      <c r="X51" s="1" t="s">
        <v>711</v>
      </c>
      <c r="Y51" s="1" t="s">
        <v>692</v>
      </c>
      <c r="AA51" s="1" t="s">
        <v>585</v>
      </c>
      <c r="AB51" s="1" t="s">
        <v>642</v>
      </c>
      <c r="AU51" s="7" t="s">
        <v>621</v>
      </c>
      <c r="AV51" s="7" t="s">
        <v>300</v>
      </c>
      <c r="AW51" s="7" t="s">
        <v>313</v>
      </c>
      <c r="AX51" s="8" t="s">
        <v>605</v>
      </c>
      <c r="AY51" s="7" t="s">
        <v>645</v>
      </c>
    </row>
    <row r="52" spans="16:51" x14ac:dyDescent="0.5">
      <c r="P52" s="1" t="s">
        <v>677</v>
      </c>
      <c r="Q52" s="1" t="s">
        <v>698</v>
      </c>
      <c r="W52" s="1" t="s">
        <v>677</v>
      </c>
      <c r="X52" s="1" t="s">
        <v>698</v>
      </c>
      <c r="Y52" s="1" t="s">
        <v>318</v>
      </c>
      <c r="AA52" s="1" t="s">
        <v>712</v>
      </c>
      <c r="AB52" s="1" t="s">
        <v>713</v>
      </c>
      <c r="AU52" s="7" t="s">
        <v>663</v>
      </c>
      <c r="AV52" s="5" t="s">
        <v>538</v>
      </c>
      <c r="AW52" s="6" t="s">
        <v>384</v>
      </c>
      <c r="AX52" s="7" t="s">
        <v>502</v>
      </c>
      <c r="AY52" s="7" t="s">
        <v>650</v>
      </c>
    </row>
    <row r="53" spans="16:51" x14ac:dyDescent="0.5">
      <c r="P53" s="1" t="s">
        <v>584</v>
      </c>
      <c r="Q53" s="1" t="s">
        <v>714</v>
      </c>
      <c r="W53" s="1" t="s">
        <v>584</v>
      </c>
      <c r="X53" s="1" t="s">
        <v>714</v>
      </c>
      <c r="AA53" s="1" t="s">
        <v>310</v>
      </c>
      <c r="AB53" s="1" t="s">
        <v>715</v>
      </c>
      <c r="AU53" s="7" t="s">
        <v>491</v>
      </c>
      <c r="AV53" s="7" t="s">
        <v>594</v>
      </c>
      <c r="AW53" s="5" t="s">
        <v>621</v>
      </c>
      <c r="AX53" s="8" t="s">
        <v>579</v>
      </c>
      <c r="AY53" s="7" t="s">
        <v>556</v>
      </c>
    </row>
    <row r="54" spans="16:51" x14ac:dyDescent="0.5">
      <c r="P54" s="1" t="s">
        <v>696</v>
      </c>
      <c r="Q54" s="1" t="s">
        <v>313</v>
      </c>
      <c r="W54" s="1" t="s">
        <v>696</v>
      </c>
      <c r="X54" s="1" t="s">
        <v>313</v>
      </c>
      <c r="AA54" s="1" t="s">
        <v>97</v>
      </c>
      <c r="AB54" s="1" t="s">
        <v>313</v>
      </c>
      <c r="AU54" s="7" t="s">
        <v>316</v>
      </c>
      <c r="AV54" s="7" t="s">
        <v>511</v>
      </c>
      <c r="AW54" s="6" t="s">
        <v>626</v>
      </c>
      <c r="AX54" s="7" t="s">
        <v>566</v>
      </c>
      <c r="AY54" s="7" t="s">
        <v>86</v>
      </c>
    </row>
    <row r="55" spans="16:51" x14ac:dyDescent="0.5">
      <c r="P55" s="1" t="s">
        <v>312</v>
      </c>
      <c r="Q55" s="1" t="s">
        <v>706</v>
      </c>
      <c r="W55" s="1" t="s">
        <v>312</v>
      </c>
      <c r="X55" s="1" t="s">
        <v>706</v>
      </c>
      <c r="AA55" s="1" t="s">
        <v>716</v>
      </c>
      <c r="AB55" s="1" t="s">
        <v>717</v>
      </c>
      <c r="AU55" s="7" t="s">
        <v>588</v>
      </c>
      <c r="AV55" s="8" t="s">
        <v>607</v>
      </c>
      <c r="AW55" s="8" t="s">
        <v>633</v>
      </c>
      <c r="AX55" s="8" t="s">
        <v>616</v>
      </c>
      <c r="AY55" s="7" t="s">
        <v>384</v>
      </c>
    </row>
    <row r="56" spans="16:51" x14ac:dyDescent="0.5">
      <c r="P56" s="1" t="s">
        <v>455</v>
      </c>
      <c r="Q56" s="1" t="s">
        <v>614</v>
      </c>
      <c r="W56" s="1" t="s">
        <v>455</v>
      </c>
      <c r="X56" s="1" t="s">
        <v>614</v>
      </c>
      <c r="AA56" s="1" t="s">
        <v>597</v>
      </c>
      <c r="AB56" s="1" t="s">
        <v>58</v>
      </c>
      <c r="AU56" s="9"/>
      <c r="AV56" s="6" t="s">
        <v>525</v>
      </c>
      <c r="AW56" s="6" t="s">
        <v>641</v>
      </c>
      <c r="AX56" s="7" t="s">
        <v>625</v>
      </c>
      <c r="AY56" s="7" t="s">
        <v>621</v>
      </c>
    </row>
    <row r="57" spans="16:51" x14ac:dyDescent="0.5">
      <c r="P57" s="1" t="s">
        <v>718</v>
      </c>
      <c r="Q57" s="1" t="s">
        <v>621</v>
      </c>
      <c r="W57" s="1" t="s">
        <v>718</v>
      </c>
      <c r="X57" s="1" t="s">
        <v>621</v>
      </c>
      <c r="AA57" s="1" t="s">
        <v>653</v>
      </c>
      <c r="AB57" s="1" t="s">
        <v>512</v>
      </c>
      <c r="AV57" s="8" t="s">
        <v>592</v>
      </c>
      <c r="AW57" s="7" t="s">
        <v>58</v>
      </c>
      <c r="AX57" s="7" t="s">
        <v>359</v>
      </c>
      <c r="AY57" s="7" t="s">
        <v>673</v>
      </c>
    </row>
    <row r="58" spans="16:51" x14ac:dyDescent="0.5">
      <c r="P58" s="1" t="s">
        <v>313</v>
      </c>
      <c r="Q58" s="1" t="s">
        <v>314</v>
      </c>
      <c r="W58" s="1" t="s">
        <v>313</v>
      </c>
      <c r="X58" s="1" t="s">
        <v>314</v>
      </c>
      <c r="AA58" s="1" t="s">
        <v>312</v>
      </c>
      <c r="AB58" s="1" t="s">
        <v>719</v>
      </c>
      <c r="AV58" s="7" t="s">
        <v>545</v>
      </c>
      <c r="AW58" s="5"/>
      <c r="AX58" s="7" t="s">
        <v>430</v>
      </c>
      <c r="AY58" s="7" t="s">
        <v>641</v>
      </c>
    </row>
    <row r="59" spans="16:51" x14ac:dyDescent="0.5">
      <c r="P59" s="1" t="s">
        <v>706</v>
      </c>
      <c r="Q59" s="1" t="s">
        <v>720</v>
      </c>
      <c r="W59" s="1" t="s">
        <v>706</v>
      </c>
      <c r="X59" s="1" t="s">
        <v>720</v>
      </c>
      <c r="AA59" s="1" t="s">
        <v>455</v>
      </c>
      <c r="AB59" s="1" t="s">
        <v>721</v>
      </c>
      <c r="AU59" s="2"/>
      <c r="AV59" s="7" t="s">
        <v>608</v>
      </c>
      <c r="AW59" s="5"/>
      <c r="AX59" s="7" t="s">
        <v>302</v>
      </c>
      <c r="AY59" s="7" t="s">
        <v>689</v>
      </c>
    </row>
    <row r="60" spans="16:51" x14ac:dyDescent="0.5">
      <c r="P60" s="1" t="s">
        <v>709</v>
      </c>
      <c r="Q60" s="1" t="s">
        <v>683</v>
      </c>
      <c r="W60" s="1" t="s">
        <v>709</v>
      </c>
      <c r="X60" s="1" t="s">
        <v>683</v>
      </c>
      <c r="AA60" s="1" t="s">
        <v>722</v>
      </c>
      <c r="AB60" s="1" t="s">
        <v>723</v>
      </c>
      <c r="AV60" s="8" t="s">
        <v>598</v>
      </c>
      <c r="AW60" s="5"/>
      <c r="AX60" s="7" t="s">
        <v>94</v>
      </c>
      <c r="AY60" s="7"/>
    </row>
    <row r="61" spans="16:51" x14ac:dyDescent="0.5">
      <c r="P61" s="1" t="s">
        <v>515</v>
      </c>
      <c r="Q61" s="1" t="s">
        <v>467</v>
      </c>
      <c r="W61" s="1" t="s">
        <v>515</v>
      </c>
      <c r="X61" s="1" t="s">
        <v>467</v>
      </c>
      <c r="AA61" s="1" t="s">
        <v>665</v>
      </c>
      <c r="AB61" s="1" t="s">
        <v>724</v>
      </c>
      <c r="AV61" s="7" t="s">
        <v>510</v>
      </c>
      <c r="AW61" s="5"/>
      <c r="AX61" s="7" t="s">
        <v>543</v>
      </c>
      <c r="AY61" s="7"/>
    </row>
    <row r="62" spans="16:51" x14ac:dyDescent="0.5">
      <c r="P62" s="1" t="s">
        <v>670</v>
      </c>
      <c r="Q62" s="1" t="s">
        <v>641</v>
      </c>
      <c r="W62" s="1" t="s">
        <v>670</v>
      </c>
      <c r="X62" s="1" t="s">
        <v>641</v>
      </c>
      <c r="AA62" s="1" t="s">
        <v>725</v>
      </c>
      <c r="AB62" s="1" t="s">
        <v>726</v>
      </c>
      <c r="AV62" s="8" t="s">
        <v>574</v>
      </c>
      <c r="AW62" s="5"/>
      <c r="AX62" s="7" t="s">
        <v>360</v>
      </c>
      <c r="AY62" s="7"/>
    </row>
    <row r="63" spans="16:51" x14ac:dyDescent="0.5">
      <c r="P63" s="1" t="s">
        <v>526</v>
      </c>
      <c r="Q63" s="1" t="s">
        <v>317</v>
      </c>
      <c r="W63" s="1" t="s">
        <v>526</v>
      </c>
      <c r="X63" s="1" t="s">
        <v>317</v>
      </c>
      <c r="AA63" s="1" t="s">
        <v>714</v>
      </c>
      <c r="AU63" s="2"/>
      <c r="AV63" s="8" t="s">
        <v>628</v>
      </c>
      <c r="AW63" s="5"/>
      <c r="AX63" s="8" t="s">
        <v>385</v>
      </c>
      <c r="AY63" s="7"/>
    </row>
    <row r="64" spans="16:51" x14ac:dyDescent="0.5">
      <c r="Q64" s="1" t="s">
        <v>689</v>
      </c>
      <c r="X64" s="1" t="s">
        <v>689</v>
      </c>
      <c r="AA64" s="1" t="s">
        <v>727</v>
      </c>
      <c r="AV64" s="7" t="s">
        <v>308</v>
      </c>
      <c r="AW64" s="5"/>
      <c r="AX64" s="7" t="s">
        <v>309</v>
      </c>
      <c r="AY64" s="7"/>
    </row>
    <row r="65" spans="17:51" x14ac:dyDescent="0.5">
      <c r="Q65" s="1" t="s">
        <v>318</v>
      </c>
      <c r="X65" s="1" t="s">
        <v>318</v>
      </c>
      <c r="AA65" s="1" t="s">
        <v>728</v>
      </c>
      <c r="AV65" s="5" t="s">
        <v>606</v>
      </c>
      <c r="AW65" s="5"/>
      <c r="AX65" s="8" t="s">
        <v>533</v>
      </c>
      <c r="AY65" s="7"/>
    </row>
    <row r="66" spans="17:51" x14ac:dyDescent="0.5">
      <c r="Q66" s="1" t="s">
        <v>729</v>
      </c>
      <c r="X66" s="1" t="s">
        <v>729</v>
      </c>
      <c r="AA66" s="1" t="s">
        <v>614</v>
      </c>
      <c r="AV66" s="6" t="s">
        <v>565</v>
      </c>
      <c r="AW66" s="5"/>
      <c r="AX66" s="7" t="s">
        <v>582</v>
      </c>
      <c r="AY66" s="7"/>
    </row>
    <row r="67" spans="17:51" x14ac:dyDescent="0.5">
      <c r="AA67" s="1" t="s">
        <v>730</v>
      </c>
      <c r="AV67" s="8" t="s">
        <v>654</v>
      </c>
      <c r="AW67" s="5"/>
      <c r="AX67" s="7" t="s">
        <v>640</v>
      </c>
      <c r="AY67" s="7"/>
    </row>
    <row r="68" spans="17:51" x14ac:dyDescent="0.5">
      <c r="AA68" s="1" t="s">
        <v>731</v>
      </c>
      <c r="AV68" s="5" t="s">
        <v>622</v>
      </c>
      <c r="AW68" s="5"/>
      <c r="AX68" s="7" t="s">
        <v>400</v>
      </c>
      <c r="AY68" s="7"/>
    </row>
    <row r="69" spans="17:51" x14ac:dyDescent="0.5">
      <c r="AA69" s="1" t="s">
        <v>732</v>
      </c>
      <c r="AV69" s="7" t="s">
        <v>585</v>
      </c>
      <c r="AW69" s="5"/>
      <c r="AX69" s="7" t="s">
        <v>455</v>
      </c>
      <c r="AY69" s="7"/>
    </row>
    <row r="70" spans="17:51" x14ac:dyDescent="0.5">
      <c r="AA70" s="1" t="s">
        <v>733</v>
      </c>
      <c r="AV70" s="8" t="s">
        <v>667</v>
      </c>
      <c r="AW70" s="10"/>
      <c r="AX70" s="7" t="s">
        <v>645</v>
      </c>
      <c r="AY70" s="7"/>
    </row>
    <row r="71" spans="17:51" x14ac:dyDescent="0.5">
      <c r="AA71" s="1" t="s">
        <v>588</v>
      </c>
      <c r="AV71" s="7" t="s">
        <v>310</v>
      </c>
      <c r="AX71" s="7" t="s">
        <v>478</v>
      </c>
      <c r="AY71" s="7"/>
    </row>
    <row r="72" spans="17:51" x14ac:dyDescent="0.5">
      <c r="AV72" s="7" t="s">
        <v>597</v>
      </c>
      <c r="AX72" s="8" t="s">
        <v>650</v>
      </c>
      <c r="AY72" s="7"/>
    </row>
    <row r="73" spans="17:51" x14ac:dyDescent="0.5">
      <c r="AV73" s="8" t="s">
        <v>582</v>
      </c>
      <c r="AX73" s="7" t="s">
        <v>657</v>
      </c>
      <c r="AY73" s="7"/>
    </row>
    <row r="74" spans="17:51" x14ac:dyDescent="0.5">
      <c r="AV74" s="5" t="s">
        <v>634</v>
      </c>
      <c r="AX74" s="8" t="s">
        <v>556</v>
      </c>
      <c r="AY74" s="7"/>
    </row>
    <row r="75" spans="17:51" x14ac:dyDescent="0.5">
      <c r="AV75" s="6" t="s">
        <v>642</v>
      </c>
      <c r="AX75" s="7" t="s">
        <v>86</v>
      </c>
      <c r="AY75" s="7"/>
    </row>
    <row r="76" spans="17:51" x14ac:dyDescent="0.5">
      <c r="AV76" s="5" t="s">
        <v>646</v>
      </c>
      <c r="AX76" s="7" t="s">
        <v>612</v>
      </c>
      <c r="AY76" s="7"/>
    </row>
    <row r="77" spans="17:51" x14ac:dyDescent="0.5">
      <c r="AV77" s="8" t="s">
        <v>675</v>
      </c>
      <c r="AX77" s="8" t="s">
        <v>384</v>
      </c>
      <c r="AY77" s="7"/>
    </row>
    <row r="78" spans="17:51" x14ac:dyDescent="0.5">
      <c r="AV78" s="8" t="s">
        <v>556</v>
      </c>
      <c r="AX78" s="8" t="s">
        <v>619</v>
      </c>
      <c r="AY78" s="7"/>
    </row>
    <row r="79" spans="17:51" x14ac:dyDescent="0.5">
      <c r="AV79" s="7" t="s">
        <v>86</v>
      </c>
      <c r="AX79" s="7" t="s">
        <v>621</v>
      </c>
      <c r="AY79" s="7"/>
    </row>
    <row r="80" spans="17:51" x14ac:dyDescent="0.5">
      <c r="AV80" s="6" t="s">
        <v>651</v>
      </c>
      <c r="AX80" s="7" t="s">
        <v>673</v>
      </c>
      <c r="AY80" s="7"/>
    </row>
    <row r="81" spans="48:51" x14ac:dyDescent="0.5">
      <c r="AV81" s="8" t="s">
        <v>666</v>
      </c>
      <c r="AX81" s="8" t="s">
        <v>571</v>
      </c>
      <c r="AY81" s="8"/>
    </row>
    <row r="82" spans="48:51" x14ac:dyDescent="0.5">
      <c r="AV82" s="5" t="s">
        <v>658</v>
      </c>
      <c r="AX82" s="7" t="s">
        <v>613</v>
      </c>
      <c r="AY82" s="7"/>
    </row>
    <row r="83" spans="48:51" x14ac:dyDescent="0.5">
      <c r="AV83" s="7" t="s">
        <v>313</v>
      </c>
      <c r="AX83" s="8" t="s">
        <v>683</v>
      </c>
      <c r="AY83" s="8"/>
    </row>
    <row r="84" spans="48:51" x14ac:dyDescent="0.5">
      <c r="AV84" s="8" t="s">
        <v>663</v>
      </c>
      <c r="AX84" s="8" t="s">
        <v>467</v>
      </c>
      <c r="AY84" s="7"/>
    </row>
    <row r="85" spans="48:51" x14ac:dyDescent="0.5">
      <c r="AV85" s="5" t="s">
        <v>515</v>
      </c>
      <c r="AX85" s="7" t="s">
        <v>641</v>
      </c>
      <c r="AY85" s="7"/>
    </row>
    <row r="86" spans="48:51" x14ac:dyDescent="0.5">
      <c r="AV86" s="7" t="s">
        <v>670</v>
      </c>
      <c r="AX86" s="11" t="s">
        <v>689</v>
      </c>
      <c r="AY86" s="7"/>
    </row>
    <row r="87" spans="48:51" x14ac:dyDescent="0.5">
      <c r="AV87" s="8" t="s">
        <v>633</v>
      </c>
      <c r="AX87" s="8" t="s">
        <v>318</v>
      </c>
      <c r="AY87" s="11"/>
    </row>
    <row r="88" spans="48:51" x14ac:dyDescent="0.5">
      <c r="AV88" s="7" t="s">
        <v>58</v>
      </c>
      <c r="AX88" s="8"/>
    </row>
    <row r="89" spans="48:51" x14ac:dyDescent="0.5">
      <c r="AV89" s="8"/>
      <c r="AX89" s="8"/>
    </row>
    <row r="90" spans="48:51" x14ac:dyDescent="0.5">
      <c r="AV90" s="8"/>
      <c r="AX90" s="8"/>
    </row>
    <row r="91" spans="48:51" x14ac:dyDescent="0.5">
      <c r="AV91" s="7"/>
      <c r="AX91" s="8"/>
    </row>
    <row r="92" spans="48:51" x14ac:dyDescent="0.5">
      <c r="AV92" s="8"/>
      <c r="AX92" s="11"/>
    </row>
    <row r="93" spans="48:51" x14ac:dyDescent="0.5">
      <c r="AV93" s="8"/>
    </row>
    <row r="94" spans="48:51" x14ac:dyDescent="0.5">
      <c r="AV94" s="8"/>
    </row>
    <row r="95" spans="48:51" x14ac:dyDescent="0.5">
      <c r="AV95" s="8"/>
    </row>
    <row r="96" spans="48:51" x14ac:dyDescent="0.5">
      <c r="AV96" s="8"/>
    </row>
    <row r="97" spans="48:48" x14ac:dyDescent="0.5">
      <c r="AV97" s="7"/>
    </row>
    <row r="98" spans="48:48" x14ac:dyDescent="0.5">
      <c r="AV98" s="8"/>
    </row>
    <row r="99" spans="48:48" x14ac:dyDescent="0.5">
      <c r="AV99" s="8"/>
    </row>
    <row r="100" spans="48:48" x14ac:dyDescent="0.5">
      <c r="AV100" s="8"/>
    </row>
    <row r="101" spans="48:48" x14ac:dyDescent="0.5">
      <c r="AV101" s="8"/>
    </row>
    <row r="102" spans="48:48" x14ac:dyDescent="0.5">
      <c r="AV102" s="8"/>
    </row>
    <row r="103" spans="48:48" x14ac:dyDescent="0.5">
      <c r="AV103" s="6"/>
    </row>
    <row r="104" spans="48:48" x14ac:dyDescent="0.5">
      <c r="AV104" s="8"/>
    </row>
    <row r="105" spans="48:48" x14ac:dyDescent="0.5">
      <c r="AV105" s="8"/>
    </row>
    <row r="106" spans="48:48" x14ac:dyDescent="0.5">
      <c r="AV106" s="8"/>
    </row>
    <row r="107" spans="48:48" x14ac:dyDescent="0.5">
      <c r="AV107" s="8"/>
    </row>
    <row r="108" spans="48:48" x14ac:dyDescent="0.5">
      <c r="AV108" s="11"/>
    </row>
  </sheetData>
  <sortState xmlns:xlrd2="http://schemas.microsoft.com/office/spreadsheetml/2017/richdata2" ref="AU6:AU66">
    <sortCondition ref="AU5:AU66"/>
  </sortState>
  <mergeCells count="10">
    <mergeCell ref="AL3:AN3"/>
    <mergeCell ref="AO3:AQ3"/>
    <mergeCell ref="AT1:AY1"/>
    <mergeCell ref="S1:AG1"/>
    <mergeCell ref="AL1:AQ1"/>
    <mergeCell ref="L2:Q2"/>
    <mergeCell ref="S2:X2"/>
    <mergeCell ref="Y2:AB2"/>
    <mergeCell ref="AC2:AG2"/>
    <mergeCell ref="AL2:AQ2"/>
  </mergeCells>
  <pageMargins left="0.7" right="0.7" top="0.75" bottom="0.75" header="0.3" footer="0.3"/>
  <legacyDrawing r:id="rId1"/>
  <tableParts count="47">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120</vt:i4>
      </vt:variant>
    </vt:vector>
  </HeadingPairs>
  <TitlesOfParts>
    <vt:vector size="127" baseType="lpstr">
      <vt:lpstr>Paso1 Analisis perfil egreso</vt:lpstr>
      <vt:lpstr>Paso 2 Redacción competen</vt:lpstr>
      <vt:lpstr>Paso 3 Redacción RA </vt:lpstr>
      <vt:lpstr>Paso 4 Estrategias mesocurricu</vt:lpstr>
      <vt:lpstr>Paso 5 Estrategias micro</vt:lpstr>
      <vt:lpstr>Taxonomia para Competencias</vt:lpstr>
      <vt:lpstr>Taxonomias para RA</vt:lpstr>
      <vt:lpstr>'Paso 5 Estrategias micro'!actitudinalB</vt:lpstr>
      <vt:lpstr>actitudinalB</vt:lpstr>
      <vt:lpstr>ActitudinalBAK</vt:lpstr>
      <vt:lpstr>'Paso 5 Estrategias micro'!AK</vt:lpstr>
      <vt:lpstr>AK</vt:lpstr>
      <vt:lpstr>'Paso 5 Estrategias micro'!AnálisisAK</vt:lpstr>
      <vt:lpstr>AnálisisAK</vt:lpstr>
      <vt:lpstr>'Paso 5 Estrategias micro'!AnálisisB</vt:lpstr>
      <vt:lpstr>AnálisisB</vt:lpstr>
      <vt:lpstr>'Paso 5 Estrategias micro'!AnálisisBAK</vt:lpstr>
      <vt:lpstr>AnálisisBAK</vt:lpstr>
      <vt:lpstr>'Paso 5 Estrategias micro'!AnalizarLK</vt:lpstr>
      <vt:lpstr>AnalizarLK</vt:lpstr>
      <vt:lpstr>'Paso 5 Estrategias micro'!AplicaciónB</vt:lpstr>
      <vt:lpstr>AplicaciónB</vt:lpstr>
      <vt:lpstr>'Paso 5 Estrategias micro'!AplicaciónBAK</vt:lpstr>
      <vt:lpstr>AplicaciónBAK</vt:lpstr>
      <vt:lpstr>'Paso 5 Estrategias micro'!AplicarLK</vt:lpstr>
      <vt:lpstr>AplicarLK</vt:lpstr>
      <vt:lpstr>'Paso 5 Estrategias micro'!áreasprofesionales</vt:lpstr>
      <vt:lpstr>áreasprofesionales</vt:lpstr>
      <vt:lpstr>'Paso 5 Estrategias micro'!BAK</vt:lpstr>
      <vt:lpstr>BAK</vt:lpstr>
      <vt:lpstr>Bloom</vt:lpstr>
      <vt:lpstr>'Paso 5 Estrategias micro'!CaracterizarBAK</vt:lpstr>
      <vt:lpstr>CaracterizarBAK</vt:lpstr>
      <vt:lpstr>'Paso 5 Estrategias micro'!Cognitivo</vt:lpstr>
      <vt:lpstr>Cognitivo</vt:lpstr>
      <vt:lpstr>'Paso 5 Estrategias micro'!cognitivoB</vt:lpstr>
      <vt:lpstr>cognitivoB</vt:lpstr>
      <vt:lpstr>CognitivoBAK</vt:lpstr>
      <vt:lpstr>competencias</vt:lpstr>
      <vt:lpstr>ComprenderLK</vt:lpstr>
      <vt:lpstr>'Paso 5 Estrategias micro'!ComprensiónAK</vt:lpstr>
      <vt:lpstr>ComprensiónAK</vt:lpstr>
      <vt:lpstr>'Paso 5 Estrategias micro'!ComprensionB</vt:lpstr>
      <vt:lpstr>ComprensionB</vt:lpstr>
      <vt:lpstr>'Paso 5 Estrategias micro'!ComprensiónBAK</vt:lpstr>
      <vt:lpstr>ComprensiónBAK</vt:lpstr>
      <vt:lpstr>'Paso 5 Estrategias micro'!ConceptosLK</vt:lpstr>
      <vt:lpstr>ConceptosLK</vt:lpstr>
      <vt:lpstr>'Paso 5 Estrategias micro'!ConocimientoB</vt:lpstr>
      <vt:lpstr>ConocimientoB</vt:lpstr>
      <vt:lpstr>'Paso 5 Estrategias micro'!ConocimientoBAK</vt:lpstr>
      <vt:lpstr>ConocimientoBAK</vt:lpstr>
      <vt:lpstr>'Paso 5 Estrategias micro'!Conocimientos</vt:lpstr>
      <vt:lpstr>Conocimientos</vt:lpstr>
      <vt:lpstr>'Paso 5 Estrategias micro'!ControlBAK</vt:lpstr>
      <vt:lpstr>ControlBAK</vt:lpstr>
      <vt:lpstr>'Paso 5 Estrategias micro'!CrearLK</vt:lpstr>
      <vt:lpstr>CrearLK</vt:lpstr>
      <vt:lpstr>dominios</vt:lpstr>
      <vt:lpstr>'Paso 5 Estrategias micro'!EvaluaciónB</vt:lpstr>
      <vt:lpstr>EvaluaciónB</vt:lpstr>
      <vt:lpstr>'Paso 5 Estrategias micro'!EvaluaciónBAK</vt:lpstr>
      <vt:lpstr>EvaluaciónBAK</vt:lpstr>
      <vt:lpstr>EvaluarLK</vt:lpstr>
      <vt:lpstr>'Paso 5 Estrategias micro'!HechosLK</vt:lpstr>
      <vt:lpstr>HechosLK</vt:lpstr>
      <vt:lpstr>'Paso 5 Estrategias micro'!ImitaciónBAK</vt:lpstr>
      <vt:lpstr>ImitaciónBAK</vt:lpstr>
      <vt:lpstr>'Paso 5 Estrategias micro'!InformaciónAK</vt:lpstr>
      <vt:lpstr>InformaciónAK</vt:lpstr>
      <vt:lpstr>'Paso 5 Estrategias micro'!LK</vt:lpstr>
      <vt:lpstr>LK</vt:lpstr>
      <vt:lpstr>'Paso 5 Estrategias micro'!ManipulaciónBAK</vt:lpstr>
      <vt:lpstr>ManipulaciónBAK</vt:lpstr>
      <vt:lpstr>'Paso 5 Estrategias micro'!MetacogniciónAK</vt:lpstr>
      <vt:lpstr>MetacogniciónAK</vt:lpstr>
      <vt:lpstr>'Paso 5 Estrategias micro'!MetacogniciónLK</vt:lpstr>
      <vt:lpstr>MetacogniciónLK</vt:lpstr>
      <vt:lpstr>'Paso 5 Estrategias micro'!MetocogniciónAK</vt:lpstr>
      <vt:lpstr>MetocogniciónAK</vt:lpstr>
      <vt:lpstr>ocupacional</vt:lpstr>
      <vt:lpstr>'Paso 5 Estrategias micro'!OrganizarBAK</vt:lpstr>
      <vt:lpstr>OrganizarBAK</vt:lpstr>
      <vt:lpstr>PercepciónBAK</vt:lpstr>
      <vt:lpstr>'Paso 5 Estrategias micro'!poblacionactuacion</vt:lpstr>
      <vt:lpstr>poblacionactuacion</vt:lpstr>
      <vt:lpstr>'Paso 5 Estrategias micro'!poblaciones</vt:lpstr>
      <vt:lpstr>poblaciones</vt:lpstr>
      <vt:lpstr>'Paso 5 Estrategias micro'!poblacionesactuación</vt:lpstr>
      <vt:lpstr>poblacionesactuación</vt:lpstr>
      <vt:lpstr>'Paso 5 Estrategias micro'!PrecisiónBAK</vt:lpstr>
      <vt:lpstr>PrecisiónBAK</vt:lpstr>
      <vt:lpstr>'Paso 5 Estrategias micro'!procedimentalB</vt:lpstr>
      <vt:lpstr>procedimentalB</vt:lpstr>
      <vt:lpstr>ProcedimentalBAK</vt:lpstr>
      <vt:lpstr>'Paso 5 Estrategias micro'!ProcedimientosLK</vt:lpstr>
      <vt:lpstr>ProcedimientosLK</vt:lpstr>
      <vt:lpstr>'Paso 5 Estrategias micro'!ProcesosAK</vt:lpstr>
      <vt:lpstr>ProcesosAK</vt:lpstr>
      <vt:lpstr>'Paso 5 Estrategias micro'!PsicomotorAK</vt:lpstr>
      <vt:lpstr>PsicomotorAK</vt:lpstr>
      <vt:lpstr>RecordarLK</vt:lpstr>
      <vt:lpstr>RecuperaciónAK</vt:lpstr>
      <vt:lpstr>'Paso 5 Estrategias micro'!ResponderBAK</vt:lpstr>
      <vt:lpstr>ResponderBAK</vt:lpstr>
      <vt:lpstr>resultadoaprendizaje</vt:lpstr>
      <vt:lpstr>Saber</vt:lpstr>
      <vt:lpstr>'Paso 5 Estrategias micro'!Saberhacer</vt:lpstr>
      <vt:lpstr>Saberhacer</vt:lpstr>
      <vt:lpstr>'Paso 5 Estrategias micro'!saberser</vt:lpstr>
      <vt:lpstr>saberser</vt:lpstr>
      <vt:lpstr>'Paso 5 Estrategias micro'!SíntesisB</vt:lpstr>
      <vt:lpstr>SíntesisB</vt:lpstr>
      <vt:lpstr>'Paso 5 Estrategias micro'!SíntesisBAK</vt:lpstr>
      <vt:lpstr>SíntesisBAK</vt:lpstr>
      <vt:lpstr>'Paso 5 Estrategias micro'!tareas</vt:lpstr>
      <vt:lpstr>tareas</vt:lpstr>
      <vt:lpstr>'Paso 5 Estrategias micro'!tareasprofesionales</vt:lpstr>
      <vt:lpstr>tareasprofesionales</vt:lpstr>
      <vt:lpstr>'Paso 5 Estrategias micro'!taxonomiasra</vt:lpstr>
      <vt:lpstr>taxonomiasra</vt:lpstr>
      <vt:lpstr>UsoConocimientoAK</vt:lpstr>
      <vt:lpstr>'Paso 5 Estrategias micro'!Valoragregado</vt:lpstr>
      <vt:lpstr>Valoragregado</vt:lpstr>
      <vt:lpstr>'Paso 5 Estrategias micro'!ValorarBAK</vt:lpstr>
      <vt:lpstr>ValorarBAK</vt:lpstr>
      <vt:lpstr>VerbosCompetencias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Maria Isabel Cortes Cortes</cp:lastModifiedBy>
  <cp:revision/>
  <dcterms:created xsi:type="dcterms:W3CDTF">2021-03-03T13:22:18Z</dcterms:created>
  <dcterms:modified xsi:type="dcterms:W3CDTF">2026-04-21T20:19:27Z</dcterms:modified>
  <cp:category/>
  <cp:contentStatus/>
</cp:coreProperties>
</file>