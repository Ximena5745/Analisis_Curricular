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comments5.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5f15395a9ed9a48f/Proyectos_DS/Analisis_Curricular/data/raw/01_FormatosRA_ReformaCurricular/"/>
    </mc:Choice>
  </mc:AlternateContent>
  <xr:revisionPtr revIDLastSave="38" documentId="8_{053CCE77-F395-4194-8BA5-C9DE837FBA90}" xr6:coauthVersionLast="47" xr6:coauthVersionMax="47" xr10:uidLastSave="{406BFF01-077A-4445-A8F0-EAB17381CD10}"/>
  <bookViews>
    <workbookView xWindow="-108" yWindow="-108" windowWidth="23256" windowHeight="12456" firstSheet="4" activeTab="4" xr2:uid="{BD68381A-4EB3-42BA-ADD5-D7B5B6C7E498}"/>
  </bookViews>
  <sheets>
    <sheet name="Paso1 Analisis perfil egreso" sheetId="1" r:id="rId1"/>
    <sheet name="Paso 2 Redacción competen" sheetId="6" r:id="rId2"/>
    <sheet name="Paso 3 Redacción RA " sheetId="5" r:id="rId3"/>
    <sheet name="Paso 4 Estrategias mesocurricu" sheetId="8" r:id="rId4"/>
    <sheet name="Paso 5 Estrategias micro" sheetId="7" r:id="rId5"/>
    <sheet name="Taxonomía para competencias" sheetId="10" r:id="rId6"/>
    <sheet name="Taxonomias para RA" sheetId="9" r:id="rId7"/>
  </sheets>
  <definedNames>
    <definedName name="_xlnm._FilterDatabase" localSheetId="2" hidden="1">'Paso 3 Redacción RA '!$B$2:$C$11</definedName>
    <definedName name="_xlnm._FilterDatabase" localSheetId="4" hidden="1">'Paso 5 Estrategias micro'!$A$2:$P$2</definedName>
    <definedName name="actitudinalB">Tabla5785[ActitudinalB]</definedName>
    <definedName name="ActitudinalBAK">'Taxonomias para RA'!$AC$3:$AG$3</definedName>
    <definedName name="AK">Tabla5987[AK]</definedName>
    <definedName name="AnálisisB">Tabla385280[AnálisisB]</definedName>
    <definedName name="AnálisisBAK">Tabla3865[AnálisisBAK]</definedName>
    <definedName name="AnálisisMK">Tabla99[AnálisisMK]</definedName>
    <definedName name="AnalizarLK">Tabla2129[AnalizarLK]</definedName>
    <definedName name="AplicaciónB">Tabla375179[AplicaciónB]</definedName>
    <definedName name="AplicaciónBAK">Tabla3764[AplicaciónBAK]</definedName>
    <definedName name="AplicarLK">Tabla2028[AplicarLK]</definedName>
    <definedName name="áreasprofesionales">#REF!</definedName>
    <definedName name="BAK">Tabla5886[BAK]</definedName>
    <definedName name="Bloom">'Taxonomias para RA'!$G$3:$I$3</definedName>
    <definedName name="CaracterizarBAK">Tabla4776[CaracterizarBAK]</definedName>
    <definedName name="Cognitivo">'Paso1 Analisis perfil egreso'!$E$3:$E$17</definedName>
    <definedName name="CognitivoAK">'Taxonomias para RA'!$AL$4:$AQ$4</definedName>
    <definedName name="cognitivoB">Tabla5583[CognitivoB]</definedName>
    <definedName name="CognitivoBAK">'Taxonomias para RA'!$S$3:$X$3</definedName>
    <definedName name="competencias">'Paso 2 Redacción competen'!$F$4:$F$8</definedName>
    <definedName name="ComprenderLK">'Taxonomias para RA'!$AM$5:$AM$27</definedName>
    <definedName name="ComprensionB">Tabla365078[ComprensiónB]</definedName>
    <definedName name="ComprensiónBAK">Tabla3663[ComprensiónBAK]</definedName>
    <definedName name="ComprensiónMK">Tabla98[ComprensiónMK]</definedName>
    <definedName name="ConceptosLK">Tabla91[ConceptosAK]</definedName>
    <definedName name="ConocimientoB">Tabla354977[ConocimientoB]</definedName>
    <definedName name="ConocimientoBAK">Tabla3555[ConocimientoBAK]</definedName>
    <definedName name="Conocimientos">'Paso1 Analisis perfil egreso'!$E$3:$E$17</definedName>
    <definedName name="ControlBAK">Tabla4271[ControlBAK]</definedName>
    <definedName name="CrearLK">Tabla2333[CrearLK]</definedName>
    <definedName name="dominios">'Paso1 Analisis perfil egreso'!$E$2:$G$2</definedName>
    <definedName name="EvaluaciónB">Tabla405482[EvaluaciónB]</definedName>
    <definedName name="EvaluaciónBAK">Tabla4067[EvaluaciónBAK]</definedName>
    <definedName name="EvaluarLK">'Taxonomias para RA'!$AP$5:$AP$46</definedName>
    <definedName name="HechosLK">Tabla90[CognitivoAK]</definedName>
    <definedName name="ImitaciónBAK">Tabla1168[ImitaciónBAK]</definedName>
    <definedName name="ManipulaciónBAK">Tabla3069[ManipulaciónBAK]</definedName>
    <definedName name="MetacogniciónLK">Tabla93[MetacogniciónAK]</definedName>
    <definedName name="MetacogniciónMK">Tabla101[MetacogniciónMK]</definedName>
    <definedName name="MetocogniciónAK">Tabla101[MetacogniciónMK]</definedName>
    <definedName name="MK">Tabla6088[MK]</definedName>
    <definedName name="ocupacional">'Paso1 Analisis perfil egreso'!#REF!</definedName>
    <definedName name="OrganizarBAK">Tabla4675[OrganizarBAK]</definedName>
    <definedName name="PercepciónBAK">'Taxonomias para RA'!$AC$4:$AC$40</definedName>
    <definedName name="poblacionactuacion">#REF!</definedName>
    <definedName name="poblaciones">#REF!</definedName>
    <definedName name="poblacionesactuación">#REF!</definedName>
    <definedName name="PrecisiónBAK">Tabla4170[PrecisiónBAK]</definedName>
    <definedName name="procedimentalB">Tabla5684[ProcedimentalB]</definedName>
    <definedName name="ProcedimentalBAK">'Taxonomias para RA'!$Y$3:$AB$3</definedName>
    <definedName name="ProcedimientosMK">Tabla92[ProcedimientosAK]</definedName>
    <definedName name="ProcesosAK">ProcesosMentalesMK[ProcesosMentalesMK]</definedName>
    <definedName name="PsicomotorMK">Tabla96[PsicomotorMK]</definedName>
    <definedName name="RecordarLK">'Taxonomias para RA'!$AL$5:$AL$27</definedName>
    <definedName name="RecuperaciónMK">'Taxonomias para RA'!$BB$5:$BB$27</definedName>
    <definedName name="ResponderBAK">Tabla4473[ResponderBAK]</definedName>
    <definedName name="resultadoaprendizaje">'Paso 3 Redacción RA '!$I$3:$I$22</definedName>
    <definedName name="Saber">'Paso1 Analisis perfil egreso'!$E$3:$E$5</definedName>
    <definedName name="Saberhacer">'Paso1 Analisis perfil egreso'!$F$3:$F$16</definedName>
    <definedName name="saberser">'Paso1 Analisis perfil egreso'!$G$3:$G$16</definedName>
    <definedName name="SíntesisB">Tabla395381[SíntesisB]</definedName>
    <definedName name="SíntesisBAK">Tabla3966[SíntesisBAK]</definedName>
    <definedName name="SistemadelYoMK">Tabla11[SistemadelYoMK]</definedName>
    <definedName name="taxonomiasra">Tabla1715[Taxonomías]</definedName>
    <definedName name="UsoConocimientoMK">'Taxonomias para RA'!$BE$5:$BE$70</definedName>
    <definedName name="ValorarBAK">Tabla4574[ValorarBAK]</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41" i="7" l="1"/>
  <c r="K23" i="7"/>
  <c r="I42" i="7"/>
  <c r="I43" i="7"/>
  <c r="D41" i="7"/>
  <c r="A4" i="7"/>
  <c r="A5" i="7"/>
  <c r="A6" i="7"/>
  <c r="A7" i="7"/>
  <c r="A8" i="7"/>
  <c r="A9" i="7"/>
  <c r="A10" i="7"/>
  <c r="A11" i="7"/>
  <c r="A12" i="7"/>
  <c r="A23" i="7"/>
  <c r="A24" i="7"/>
  <c r="A25" i="7"/>
  <c r="A26" i="7"/>
  <c r="A27" i="7"/>
  <c r="A28" i="7"/>
  <c r="A13" i="7"/>
  <c r="A14" i="7"/>
  <c r="A15" i="7"/>
  <c r="A16" i="7"/>
  <c r="A17" i="7"/>
  <c r="A18" i="7"/>
  <c r="A19" i="7"/>
  <c r="A20" i="7"/>
  <c r="A21" i="7"/>
  <c r="A22" i="7"/>
  <c r="A29" i="7"/>
  <c r="A30" i="7"/>
  <c r="A31" i="7"/>
  <c r="A32" i="7"/>
  <c r="A33" i="7"/>
  <c r="A34" i="7"/>
  <c r="A35" i="7"/>
  <c r="A36" i="7"/>
  <c r="A37" i="7"/>
  <c r="A38" i="7"/>
  <c r="A39" i="7"/>
  <c r="A40" i="7"/>
  <c r="A3" i="7"/>
  <c r="K38" i="7" l="1"/>
  <c r="J38" i="7"/>
  <c r="K36" i="7"/>
  <c r="J36" i="7"/>
  <c r="K32" i="7"/>
  <c r="J32" i="7"/>
  <c r="L32" i="7" s="1"/>
  <c r="K29" i="7"/>
  <c r="J29" i="7"/>
  <c r="K17" i="7"/>
  <c r="J17" i="7"/>
  <c r="J13" i="7"/>
  <c r="K13" i="7"/>
  <c r="J23" i="7"/>
  <c r="K11" i="7"/>
  <c r="J11" i="7"/>
  <c r="K5" i="7"/>
  <c r="J5" i="7"/>
  <c r="L5" i="7" s="1"/>
  <c r="K3" i="7"/>
  <c r="J3" i="7"/>
  <c r="L3" i="7" s="1"/>
  <c r="L36" i="7"/>
  <c r="L11" i="7"/>
  <c r="L17" i="7"/>
  <c r="L23" i="7" l="1"/>
  <c r="L29" i="7"/>
  <c r="L13" i="7"/>
  <c r="L38" i="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C1" authorId="0" shapeId="0" xr:uid="{218BD88B-F04D-48BC-8E64-039B164B6A20}">
      <text>
        <r>
          <rPr>
            <sz val="11"/>
            <color theme="1"/>
            <rFont val="Calibri"/>
            <family val="2"/>
            <scheme val="minor"/>
          </rPr>
          <t>Diana Shirley Velasquez Rojas:
Escriba el perfil del egresado que tiene el programa en su documento maestro o el que se haya ajustado de acuerdo con las tendencias o necesidades del entorno que lo hayan generado.</t>
        </r>
      </text>
    </comment>
    <comment ref="E2" authorId="0" shapeId="0" xr:uid="{8DF8FF82-47F7-4410-B4E7-CB5780418179}">
      <text>
        <r>
          <rPr>
            <b/>
            <sz val="9"/>
            <color indexed="81"/>
            <rFont val="Tahoma"/>
            <family val="2"/>
          </rPr>
          <t>Dir. Currículo:</t>
        </r>
        <r>
          <rPr>
            <sz val="9"/>
            <color indexed="81"/>
            <rFont val="Tahoma"/>
            <family val="2"/>
          </rPr>
          <t xml:space="preserve">
Son los conocimientos generales que caracterizan el saber del egresado.</t>
        </r>
      </text>
    </comment>
    <comment ref="H2" authorId="0" shapeId="0" xr:uid="{A72039D4-C98C-4595-8C98-360D0A6F259A}">
      <text>
        <r>
          <rPr>
            <b/>
            <sz val="9"/>
            <color indexed="81"/>
            <rFont val="Tahoma"/>
            <family val="2"/>
          </rPr>
          <t>Dir. Currículo:</t>
        </r>
        <r>
          <rPr>
            <sz val="9"/>
            <color indexed="81"/>
            <rFont val="Tahoma"/>
            <family val="2"/>
          </rPr>
          <t xml:space="preserve">
Áreas en las que podrá laborar el profesional.</t>
        </r>
      </text>
    </comment>
    <comment ref="I2" authorId="0" shapeId="0" xr:uid="{390007B1-9331-43A4-A6A2-BB67EFB4D8E6}">
      <text>
        <r>
          <rPr>
            <b/>
            <sz val="9"/>
            <color indexed="81"/>
            <rFont val="Tahoma"/>
            <family val="2"/>
          </rPr>
          <t>Dir. Currículo:</t>
        </r>
        <r>
          <rPr>
            <sz val="9"/>
            <color indexed="81"/>
            <rFont val="Tahoma"/>
            <family val="2"/>
          </rPr>
          <t xml:space="preserve">
Tareas potenciales que hará el profesional.</t>
        </r>
      </text>
    </comment>
    <comment ref="J2" authorId="0" shapeId="0" xr:uid="{1FFAE760-D6F1-42B5-82E9-FAA912431422}">
      <text>
        <r>
          <rPr>
            <b/>
            <sz val="9"/>
            <color indexed="81"/>
            <rFont val="Tahoma"/>
            <family val="2"/>
          </rPr>
          <t>Dir. Currículo:</t>
        </r>
        <r>
          <rPr>
            <sz val="9"/>
            <color indexed="81"/>
            <rFont val="Tahoma"/>
            <family val="2"/>
          </rPr>
          <t xml:space="preserve">
Poblaciones o contextos donde podrán laborar los profesionales o dónde podrán ejercer su profesión.</t>
        </r>
      </text>
    </comment>
    <comment ref="K2" authorId="0" shapeId="0" xr:uid="{3F70CE85-896A-4290-870C-86F5F511D8F0}">
      <text>
        <r>
          <rPr>
            <b/>
            <sz val="9"/>
            <color indexed="81"/>
            <rFont val="Tahoma"/>
            <family val="2"/>
          </rPr>
          <t>Dir. Currículo:</t>
        </r>
        <r>
          <rPr>
            <sz val="9"/>
            <color indexed="81"/>
            <rFont val="Tahoma"/>
            <family val="2"/>
          </rPr>
          <t xml:space="preserve">
Elementos diferenciales que caracterizan al egresado.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A2" authorId="0" shapeId="0" xr:uid="{25311C46-2FC3-42D4-A3B5-88FB3744D009}">
      <text>
        <r>
          <rPr>
            <b/>
            <sz val="9"/>
            <color indexed="81"/>
            <rFont val="Tahoma"/>
            <family val="2"/>
          </rPr>
          <t>Dir. Currículo:</t>
        </r>
        <r>
          <rPr>
            <sz val="9"/>
            <color indexed="81"/>
            <rFont val="Tahoma"/>
            <family val="2"/>
          </rPr>
          <t xml:space="preserve">
Recuerde que cada competencia hace referencia a tres dominios que demostrará el estudiante, el cognitivo, el procedimental y el actitudinal o valorativo.
La competencia es lo que demostrará el estudiante en el ámbito profesional y en la academia se implementarán acciones educativas que mostrarán los resultados de lo que el estudiante aprendió y que están orientados a verificar que el estudiante saber, saber hacer y sabe ser en un contexto determinado.</t>
        </r>
      </text>
    </comment>
    <comment ref="B2" authorId="0" shapeId="0" xr:uid="{7140CF9E-D100-4E5C-90C3-42313D04E6B1}">
      <text>
        <r>
          <rPr>
            <b/>
            <sz val="9"/>
            <color indexed="81"/>
            <rFont val="Tahoma"/>
            <family val="2"/>
          </rPr>
          <t>Dir. Currículo:</t>
        </r>
        <r>
          <rPr>
            <sz val="9"/>
            <color indexed="81"/>
            <rFont val="Tahoma"/>
            <family val="2"/>
          </rPr>
          <t xml:space="preserve">
Los resultados deben ser concretos, entre más competencias se declaren más resultados se deberán demostrar.</t>
        </r>
      </text>
    </comment>
    <comment ref="C2" authorId="0" shapeId="0" xr:uid="{71C91D79-1C70-4973-8345-EC0D06B65442}">
      <text>
        <r>
          <rPr>
            <b/>
            <sz val="9"/>
            <color indexed="81"/>
            <rFont val="Tahoma"/>
            <family val="2"/>
          </rPr>
          <t>Dir. Currículo:</t>
        </r>
        <r>
          <rPr>
            <sz val="9"/>
            <color indexed="81"/>
            <rFont val="Tahoma"/>
            <family val="2"/>
          </rPr>
          <t xml:space="preserve">
Dado que la competencia se determina por el saber, saber hacer y saber ser, se va a redactar por lo menos un resultado de aprendizaje por cada saber.
Pero puede ocurrir que un resultado sea el mismo para dos o más competencias.</t>
        </r>
      </text>
    </comment>
    <comment ref="D2" authorId="0" shapeId="0" xr:uid="{4EA1BD48-9072-4F8B-8C17-7A54409F3A6B}">
      <text>
        <r>
          <rPr>
            <b/>
            <sz val="9"/>
            <color indexed="81"/>
            <rFont val="Tahoma"/>
            <family val="2"/>
          </rPr>
          <t>Dir. Currículo:</t>
        </r>
        <r>
          <rPr>
            <sz val="9"/>
            <color indexed="81"/>
            <rFont val="Tahoma"/>
            <family val="2"/>
          </rPr>
          <t xml:space="preserve">
El listado despliega, según el saber elegido en la columna C, lo que se escribió en el paso 1 para ese tipo de saber.</t>
        </r>
      </text>
    </comment>
    <comment ref="E2" authorId="0" shapeId="0" xr:uid="{189C3EC2-1514-4019-89E2-899E92CD0DB4}">
      <text>
        <r>
          <rPr>
            <b/>
            <sz val="9"/>
            <color indexed="81"/>
            <rFont val="Tahoma"/>
            <family val="2"/>
          </rPr>
          <t xml:space="preserve">Dir. Currículo:
</t>
        </r>
        <r>
          <rPr>
            <sz val="9"/>
            <color indexed="81"/>
            <rFont val="Tahoma"/>
            <family val="2"/>
          </rPr>
          <t>Se elije según los conocimientos que se tienen sobre ellas, la más empleada es la de Bloom, pero existen muchas otras.
Si requiere emplear una distinta puede adaptar el formato a sus necesidades.</t>
        </r>
      </text>
    </comment>
    <comment ref="F2" authorId="0" shapeId="0" xr:uid="{3C6787FC-5463-4833-8BE4-AF8F90510697}">
      <text>
        <r>
          <rPr>
            <b/>
            <sz val="9"/>
            <color indexed="81"/>
            <rFont val="Tahoma"/>
            <family val="2"/>
          </rPr>
          <t>Dir. Currículo:</t>
        </r>
        <r>
          <rPr>
            <sz val="9"/>
            <color indexed="81"/>
            <rFont val="Tahoma"/>
            <family val="2"/>
          </rPr>
          <t xml:space="preserve">
En la columna C se indicó el saber que se trabajará por lo que aquí se debe elegir el dominio que debe alcanzar el estudiante.
Recuerde, el saber corresponde al dominio cognitivo en alguna taxonomía, el saber hacer hace referencia al dominio procedimental y el saber ser al dominio actitudinal.</t>
        </r>
      </text>
    </comment>
    <comment ref="G2" authorId="0" shapeId="0" xr:uid="{9224DA72-3F2C-4C5C-BF71-F42A4DB09567}">
      <text>
        <r>
          <rPr>
            <b/>
            <sz val="9"/>
            <color indexed="81"/>
            <rFont val="Tahoma"/>
            <family val="2"/>
          </rPr>
          <t>Dir. Currículo:</t>
        </r>
        <r>
          <rPr>
            <sz val="9"/>
            <color indexed="81"/>
            <rFont val="Tahoma"/>
            <family val="2"/>
          </rPr>
          <t xml:space="preserve">
Las taxonomías se clasifican en niveles, por eso, al elegirlo en la columna E, las filas los despliegan y se selecciona según la coherencia de éste con el dominio por desarrollará. Elegir el nivel permite que en la columna H aparezcan los verbos recomendados.</t>
        </r>
      </text>
    </comment>
    <comment ref="H2" authorId="0" shapeId="0" xr:uid="{AC4EFDC9-F052-42E3-B096-C8C6DA737167}">
      <text>
        <r>
          <rPr>
            <b/>
            <sz val="9"/>
            <color indexed="81"/>
            <rFont val="Tahoma"/>
            <family val="2"/>
          </rPr>
          <t>Dir. Currículo:</t>
        </r>
        <r>
          <rPr>
            <sz val="9"/>
            <color indexed="81"/>
            <rFont val="Tahoma"/>
            <family val="2"/>
          </rPr>
          <t xml:space="preserve">
En las celdas se despliegan los verbos sugeridos para la categoría seleccionada en la columna G.</t>
        </r>
      </text>
    </comment>
    <comment ref="I2" authorId="0" shapeId="0" xr:uid="{6C037D87-33E8-4C70-A592-AA6328FE8FC5}">
      <text>
        <r>
          <rPr>
            <b/>
            <sz val="9"/>
            <color indexed="81"/>
            <rFont val="Tahoma"/>
            <family val="2"/>
          </rPr>
          <t>Dir. Currículo:</t>
        </r>
        <r>
          <rPr>
            <sz val="9"/>
            <color indexed="81"/>
            <rFont val="Tahoma"/>
            <family val="2"/>
          </rPr>
          <t xml:space="preserve">
En las filas de esta columna articule las columnas H y D en una oración que comience por el verbo (col. H), que recaiga sobre el objeto conceptual (col. D) y termine con un complemento de oración, conocida como condición de contexto, que indique para qué, como, con qué, o lo que considere conveniente para dar cierre al resultado de aprendizaje.</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2" authorId="0" shapeId="0" xr:uid="{A1D01EBE-B905-4F1B-A730-93AE4E887D7A}">
      <text>
        <r>
          <rPr>
            <b/>
            <sz val="9"/>
            <color indexed="81"/>
            <rFont val="Tahoma"/>
            <family val="2"/>
          </rPr>
          <t>Dir. Currículo:</t>
        </r>
        <r>
          <rPr>
            <sz val="9"/>
            <color indexed="81"/>
            <rFont val="Tahoma"/>
            <family val="2"/>
          </rPr>
          <t xml:space="preserve">
Escriba las estrategias que el programa emplea para evaluar los resultados de aprendizaje. Se sugiere contrastar con las declaradas en el documento maestro Condición 4.</t>
        </r>
      </text>
    </comment>
    <comment ref="D2" authorId="0" shapeId="0" xr:uid="{C6C22895-F658-4BDB-9A52-176D8B7219E5}">
      <text>
        <r>
          <rPr>
            <b/>
            <sz val="9"/>
            <color indexed="81"/>
            <rFont val="Tahoma"/>
            <family val="2"/>
          </rPr>
          <t>Dir. Currículo:</t>
        </r>
        <r>
          <rPr>
            <sz val="9"/>
            <color indexed="81"/>
            <rFont val="Tahoma"/>
            <family val="2"/>
          </rPr>
          <t xml:space="preserve">
Los indicadores de logro, indican cómo cada estrategia contribuye al resultado de aprendizaje y serán aquellos a los que el programa apuntará para ser alcanzados por los estudiantes.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E1" authorId="0" shapeId="0" xr:uid="{5A4FA51A-E64C-4DA0-8526-EBB4BDEB2B61}">
      <text>
        <r>
          <rPr>
            <b/>
            <sz val="9"/>
            <color indexed="81"/>
            <rFont val="Tahoma"/>
            <family val="2"/>
          </rPr>
          <t>Dir. Currículo:</t>
        </r>
        <r>
          <rPr>
            <sz val="9"/>
            <color indexed="81"/>
            <rFont val="Tahoma"/>
            <family val="2"/>
          </rPr>
          <t xml:space="preserve">
Los indicadores de logro, indican cómo cada asignatura o módulo contribuye a los resultados de aprendizaje del programa y serán aquellos a los que las evaluaciones y los docentes deberán apuntar para que sean alcanzados por los estudiantes.</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Diana Shirley Velasquez Rojas</author>
  </authors>
  <commentList>
    <comment ref="BG4" authorId="0" shapeId="0" xr:uid="{9607C37A-C8B3-44AC-90C2-DDC4836F9013}">
      <text>
        <r>
          <rPr>
            <b/>
            <sz val="9"/>
            <color indexed="81"/>
            <rFont val="Tahoma"/>
            <family val="2"/>
          </rPr>
          <t>Dir. Currículo:</t>
        </r>
        <r>
          <rPr>
            <sz val="9"/>
            <color indexed="81"/>
            <rFont val="Tahoma"/>
            <family val="2"/>
          </rPr>
          <t xml:space="preserve">
Hay cuatro tipos de pensamiento del sistema del yo que son relevantes para la Nueva Taxonomía: (1) examinar la importancia, (2) examinar la eficacia, (3) examinar la respuesta emocional y (4) examinar la motivación general.</t>
        </r>
      </text>
    </comment>
  </commentList>
</comments>
</file>

<file path=xl/sharedStrings.xml><?xml version="1.0" encoding="utf-8"?>
<sst xmlns="http://schemas.openxmlformats.org/spreadsheetml/2006/main" count="2365" uniqueCount="661">
  <si>
    <t>[Escribir el nombre del programa]</t>
  </si>
  <si>
    <t>[Escribir la modalidad: presencial o virtual]</t>
  </si>
  <si>
    <t>[Escribir el perfil profesional del egresado.]</t>
  </si>
  <si>
    <t>[Escribir el perfil ocupacional del egresado.]</t>
  </si>
  <si>
    <r>
      <rPr>
        <b/>
        <sz val="11"/>
        <color theme="0"/>
        <rFont val="Gill Sans MT"/>
        <family val="2"/>
      </rPr>
      <t>Componentes fundamentales para definir competencias</t>
    </r>
    <r>
      <rPr>
        <b/>
        <sz val="8"/>
        <color theme="0"/>
        <rFont val="Gill Sans MT"/>
        <family val="2"/>
      </rPr>
      <t xml:space="preserve">
</t>
    </r>
    <r>
      <rPr>
        <sz val="8"/>
        <color theme="0"/>
        <rFont val="Gill Sans MT"/>
        <family val="2"/>
      </rPr>
      <t>[Listar las palabras clave, no armar oraciones, respecto qué debe saber el egresado en las categorías de Saber -conocimientos, hechos, teorías-, Saber hacer -técnicas, procedimientos, metodologías-, y Saber ser -valores, condiciones. Esta información se estructura a partir del perfil profesional y cada saber hacer depende del saber ubicado a su izquierda, lo mismo ocurre con el saber ser.]</t>
    </r>
  </si>
  <si>
    <r>
      <rPr>
        <b/>
        <sz val="11"/>
        <color theme="0"/>
        <rFont val="Gill Sans MT"/>
        <family val="2"/>
      </rPr>
      <t>Componentes fundamentales de la ocupación laboral del profesional</t>
    </r>
    <r>
      <rPr>
        <b/>
        <sz val="8"/>
        <color theme="0"/>
        <rFont val="Gill Sans MT"/>
        <family val="2"/>
      </rPr>
      <t xml:space="preserve">
</t>
    </r>
    <r>
      <rPr>
        <sz val="8"/>
        <color theme="0"/>
        <rFont val="Gill Sans MT"/>
        <family val="2"/>
      </rPr>
      <t>[Listar, según lo escrito en el perfil ocupacional, en qué áreas, qué tareas potenciales y en qué poblaciones o contextos podrá laborar el profesional. Esta información es un listado general no requiere dependencia horizontal]</t>
    </r>
  </si>
  <si>
    <r>
      <rPr>
        <b/>
        <sz val="11"/>
        <color theme="0"/>
        <rFont val="Gill Sans MT"/>
        <family val="2"/>
      </rPr>
      <t>Diferencial (valor agregado) del profesional</t>
    </r>
    <r>
      <rPr>
        <b/>
        <sz val="8"/>
        <color theme="0"/>
        <rFont val="Gill Sans MT"/>
        <family val="2"/>
      </rPr>
      <t xml:space="preserve">
</t>
    </r>
    <r>
      <rPr>
        <sz val="8"/>
        <color theme="0"/>
        <rFont val="Gill Sans MT"/>
        <family val="2"/>
      </rPr>
      <t>[Listar, según lo escrito en los perfiles, los elementos que son diferenciales y generan un valor agregado al egresado. Debe ser disciplinar, asociado al perfil, ¿qué es lo que lo hace diferente a otros perfiles similares.]</t>
    </r>
  </si>
  <si>
    <t>Programa</t>
  </si>
  <si>
    <t>Modalidad</t>
  </si>
  <si>
    <t>Perfil profesional</t>
  </si>
  <si>
    <t>Perfil ocupacional</t>
  </si>
  <si>
    <t>Saber</t>
  </si>
  <si>
    <t>Saberhacer</t>
  </si>
  <si>
    <t>Saberser</t>
  </si>
  <si>
    <t>ÁreasProfesionales</t>
  </si>
  <si>
    <t>TareasProfesionales</t>
  </si>
  <si>
    <t>PoblacionesActuacion</t>
  </si>
  <si>
    <t>ValorAgregado</t>
  </si>
  <si>
    <t>Especialización en Neuropsicología Escolar</t>
  </si>
  <si>
    <t xml:space="preserve">Presencial </t>
  </si>
  <si>
    <t>Ser especialistas capacitados para actuar con criterio ético, competitividad y eficiencia en la evaluación e intervención de las dificultades infantiles asociadas con el aprendizaje escolar, con el fin de gestar, orientar, desarrollar e implementar estrategias que promuevan la inclusión y la equidad en la educación escolar de niños, niñas y adolescentes.</t>
  </si>
  <si>
    <t xml:space="preserve">El Especialista en Neuropsicología Escolar estará capacitado para gestar estrategias con equipos interdisciplinarios, que permitan abordar problemas de neurodesarrollo en el ámbito escolar y que contribuyan al desarrollo exitoso de las actividades académicas o formativas de niños, niñas y adolescentes. </t>
  </si>
  <si>
    <t>Neuropsicología y neurodesarrollo</t>
  </si>
  <si>
    <t>para caracterizar las capacidades superiores, las dificultades cognitivas o comportamientos de los niños, niñas y adolescentes</t>
  </si>
  <si>
    <t>con una postura ética que respete las condiciones de la población, según el alcance del ejercicio profesional y las posibilidades de participación interdisciplinar.</t>
  </si>
  <si>
    <t>Director(a) de gestión escolar/Coordinador(a) de gestión escolar/Gestor(a) de procesos escolares/Líder de apoyo pedagógico escolar/Asesor(a) neuropsicológico(a) educativo(a)/Consultor(a) en neuropsicología aplicada a la educación/Asesor(a) en evaluación y análisis de procesos cognitivos escolares/Consultor(a) en intervención educativa con enfoque neuropsicológico/Gestor(a) de proyectos educativos con enfoque neuropsicológico/Profesional especializado en bienestar y salud mental escolar/Asesor(a) en sistematización de prácticas educativas/Capacitador(a) en estrategias neuroeducativas</t>
  </si>
  <si>
    <t>Orientar y planear estrategias desde el marco de la neuropsicología escolar/Desarrollar y aplicar estrategias desde el marco de la neuropsicología escolar/Contribuir al desarrollo de actividades académicas y formativas que promuevan la inclusión escolar/Integrar los saberes de los actores del equipo de apoyo interdisciplinar/Analizar procesos cognitivos y de aprendizaje en contextos escolares para orientar decisiones pedagógicas/Asesorar a docentes, directivos y equipos de orientación en temas de neuropsicología del aprendizaje/Diseñar y orientar planes de apoyo al aprendizaje con enfoque neuropsicológico/Acompañar y hacer seguimiento a estrategias pedagógicas diferenciadas/Orientar procesos de educación inclusiva y formulación de ajustes razonables//Brindar consultoría especializada a instituciones educativas/Participar en proyectos de investigación aplicada en neuropsicología escolar/Diseñar y desarrollar procesos de formación y capacitación docente.</t>
  </si>
  <si>
    <t>Espacios educativos de educación inicial, básica y media/Entidades sin ánimo de lucro/Instituciones educativas públicas y privadas con enfoque inclusivo/Equipos de orientación escolar y apoyo psicoeducativo/Gabinetes psicopedagógicos y servicios de apoyo educativo/Programas institucionales de inclusión y atención a la diversidad/Fundaciones y organizaciones sociales con proyectos educativos/Centros y proyectos de investigación educativa y neuro educativa/Consultorías y programas de acompañamiento pedagógico especializado.</t>
  </si>
  <si>
    <t>Especialización centrada en la neuropsicología aplicada al contexto escolar, con énfasis en inclusión y adaptación curricular. Integra un abordaje interdisciplinar para la atención de las dificultades asociadas al aprendizaje.</t>
  </si>
  <si>
    <t>Neuroeducación</t>
  </si>
  <si>
    <t>para diseñar o desarrollar intervenciones escolares,</t>
  </si>
  <si>
    <t>con una visión interdisciplinar de éstas áreas, teniendo en cuenta los programas de estimulación cognitiva, así como las condiciones de inclusión y equidad para la educación de niños, niñas y adolescentes.</t>
  </si>
  <si>
    <t xml:space="preserve">
Herramientas y técnicas de evaluación e intervención</t>
  </si>
  <si>
    <t>para diseñar estrategias que favorezcan el desarrollo cognitivo, social y emocional de niños, niñas y adolescentes</t>
  </si>
  <si>
    <t xml:space="preserve">enmarcadas en la neuropsicología escolar, que promuevan la inclusión y la equidad </t>
  </si>
  <si>
    <t>Elementos para redactar las competencias que desarrollará el programa</t>
  </si>
  <si>
    <t>[Enumerar las competencias que se van a declarar.]</t>
  </si>
  <si>
    <t>[A partir de la celda B2 dar clic sobre el ícono de lista desplegable y elegir el verbo que considere adecuado.]</t>
  </si>
  <si>
    <t>[A partir de la celda C2 dar clic sobre la lista desplegable y elegir el saber extraído del perfil de egreso.]</t>
  </si>
  <si>
    <t>[Escribir para qué se abordará el saber elegido. Se sugiere apoyarse en el saber hacer.]</t>
  </si>
  <si>
    <t>[Escribir la condición describiendo los referentes, parámetros, principios, requerimientos o retos que se necesitan para alcanzar las características del perfil en el contexto donde el egresado se desenvolverá.]</t>
  </si>
  <si>
    <t>[Articular los componentes. Iniciar con el verbo, continuar con el objeto conceptual, luego la finalidad y condición de contexto o referencia; estos últimos no requieren un orden particular.]</t>
  </si>
  <si>
    <t>[Escribir el tipo de competencia del perfil: Específica (si es del bloque Disciplinar para pregrado o de los componentes para el caso de posgrado) o Genérica (si aplica bloque institucional pregrado)]</t>
  </si>
  <si>
    <t>No.</t>
  </si>
  <si>
    <t>Verbo competencia</t>
  </si>
  <si>
    <t>Objeto conceptual</t>
  </si>
  <si>
    <t>Finalidad</t>
  </si>
  <si>
    <t>Condición de contexto o referencia</t>
  </si>
  <si>
    <t>Redacción competencia</t>
  </si>
  <si>
    <t>Tipo competencia</t>
  </si>
  <si>
    <t>Valorar</t>
  </si>
  <si>
    <t xml:space="preserve">Valorar los procesos neuropsicológicos y los antecedentes de neurodesarrollo para caracterizar las capacidades superiores, las dificultades cognitivas o comportamientos de los niños, niñas y adolescentes, con una postura ética que respete las condiciones de la población, según el alcance del ejercicio profesional y las posibilidades de participación interdisciplinar. </t>
  </si>
  <si>
    <t>Específica</t>
  </si>
  <si>
    <t>Dominar</t>
  </si>
  <si>
    <t>Dominar los componentes de la neuroeducación para diseñar o desarrollar intervenciones escolares, con una visión interdisciplinar de éstas áreas, teniendo en cuenta los programas de estimulación cognitiva, así como las condiciones de inclusión y equidad para la educación de niños, niñas y adolescentes.</t>
  </si>
  <si>
    <t>Implementar</t>
  </si>
  <si>
    <t>enmarcadas en la neuropsicología escolar, que promuevan la inclusión y la equidad.</t>
  </si>
  <si>
    <t>Implementar herramientas y técnicas de evaluación e intervención, enmarcadas en la neuropsicología escolar, que promuevan la inclusión y la equidad para diseñar estrategias que favorezcan el desarrollo cognitivo, social y emocional de niños, niñas y adolescentes.</t>
  </si>
  <si>
    <t>[A partir de la celda A2 dar clic en la lista desplegable y seleccionar la competencia redactada en el paso 2.]</t>
  </si>
  <si>
    <t>[Enumerar los resultados de aprendizaje que se van a declarar.]</t>
  </si>
  <si>
    <t>[A partir de la celda C2, dar clic en la lista desplegable y elegir el tipo de dominio a tratar en el resultado de aprendizaje.]</t>
  </si>
  <si>
    <t>[A partir de la cela D2, dar clic en la lista desplegable y elegir el saber correspondiente al dominio.]</t>
  </si>
  <si>
    <t>[A partir de la celda E2, dar clic en la lista desplegable y elegir la  taxonomía que se considere adecuada, solo se elige una para todos los saberes.]</t>
  </si>
  <si>
    <t>[A partir de la celda F2, dar clic en la lista desplegable y elegir el dominio que se considera adecuado.]</t>
  </si>
  <si>
    <t>[A partir de la celda G2, dar clic en la lista desplegable y elegir el nivel del dominio que se considera adecuado.]</t>
  </si>
  <si>
    <t>[A partir de la celda H2, dar clic en la lista desplegable y elegir el verbo que se considera adecuado.]</t>
  </si>
  <si>
    <t>[Iniciar con el verbo elegido (columna H), en infinitivo, luego el objeto sobre el cual recae la acción (columna D) y finalmente la condición de contexto (académico, disciplinar, social u otro).]</t>
  </si>
  <si>
    <t>Competencia por desarrollar</t>
  </si>
  <si>
    <t>Número de resultado</t>
  </si>
  <si>
    <t>TipoSaber</t>
  </si>
  <si>
    <t>SaberAsociado</t>
  </si>
  <si>
    <t>Taxonomía</t>
  </si>
  <si>
    <t>Dominio Asociado</t>
  </si>
  <si>
    <t>Nivel Dominio</t>
  </si>
  <si>
    <t>Verbo RA</t>
  </si>
  <si>
    <t>Resultados Aprendizaje</t>
  </si>
  <si>
    <t>MK</t>
  </si>
  <si>
    <t>InformaciónMK</t>
  </si>
  <si>
    <t>AnálisisMK</t>
  </si>
  <si>
    <t>Clasificar</t>
  </si>
  <si>
    <t xml:space="preserve">Clasifica los desempeños de las funciones neuropsicológicas, así como los antecedentes de neurodesarrollo en los niños, niñas y adolescentes para detectar los posibles cambios cognitivos y de comportamientos tomando en cuenta los fundamentos de la neuroeducación. </t>
  </si>
  <si>
    <t>ProcesosMentalesMK</t>
  </si>
  <si>
    <t>UsoConocimientoMK</t>
  </si>
  <si>
    <t>Usar</t>
  </si>
  <si>
    <t xml:space="preserve">Usa estrategias de entrevista neuropsicológica y pruebas cognitivas para describir el desarrollo de niños, niñas y adolescentes a nivel escolar, según el contexto en el que se requiera. </t>
  </si>
  <si>
    <t>PsicomotorMK</t>
  </si>
  <si>
    <t>MetacogniciónMK</t>
  </si>
  <si>
    <t>Interpretar</t>
  </si>
  <si>
    <t>Interpreta informes interdisciplinares asociados a la caracterización neuropsicológica de niños, niñas y adolescentes (terapia ocupacional, neurología, fonoaudiología, fisioterapia, neuropsicología clínica, entre otros), a nivel escolar, desde una postura ética que respete las condiciones de la población.</t>
  </si>
  <si>
    <t>Diseñar</t>
  </si>
  <si>
    <t xml:space="preserve">Diseña estrategias de intervención a nivel educativo, para la estimulación de funciones cognitivas de niños, niñas y adolescentes, atendiendo la individualidad y necesidad de estos. </t>
  </si>
  <si>
    <t>Establecer</t>
  </si>
  <si>
    <t xml:space="preserve">Establece procesos de inclusión o programas de intervención neuropsicológica escolar, según corresponda, acordes con la individualidad y necesidad de niños, niñas y adolescentes para favorecer el desarrollo cognitivo, social y emocional de estos.  </t>
  </si>
  <si>
    <t>ComprensiónMK</t>
  </si>
  <si>
    <t>Identificar</t>
  </si>
  <si>
    <t xml:space="preserve">Identifica las herramientas y técnicas de evaluación e intervención neuropsicológica escolar para reconocer el perfil de desarrollo cognitivo y socioemocial de los niños, niñas y adolescentes. </t>
  </si>
  <si>
    <t>[A partir de la celda A3 despliegue el(los) resultado(s) de aprendizaje y elegir aquel (aquellos)  al(a los) que se contribuye desde la estrategia.]</t>
  </si>
  <si>
    <t>[Escribir el nombre de la estrategia a desarrollar. Participación de los estudiantes en cursos, talleres, seminarios, conferencias, pruebas estandarizadas, investigaciones, actividades o experiencias, cuerpos académicos, redes, comunidades, la elaboración de textos y materiales, así como las publicaciones, entre otros.]</t>
  </si>
  <si>
    <t>[Describir la(s) estrategia(s) definidas por el programa.]</t>
  </si>
  <si>
    <t>[Escribir los indicadores de impacto de la estrategia. Se sugieren indicadores como: Valora el nivel de contribución de la estrategia a los resultados de aprendizaje; Número de estudiantes que participan en la estrategia; Número de veces que se realiza la estrategia, entre otros.]</t>
  </si>
  <si>
    <t>[Escribir las acciones de retroalimentación que usará el programa para comunicar a los estudiantes sobre el alcance de sus resultados de aprendizaje.]</t>
  </si>
  <si>
    <t>[Escribir, para cada indicador con qué instrumento se recogerá información para evidenciar el (los) impacto (s) declarados. Encuesta, lista de asistencia, informe, entre otros.]</t>
  </si>
  <si>
    <t>Resultado de aprendizaje</t>
  </si>
  <si>
    <t>Estrategia del programa</t>
  </si>
  <si>
    <t>Descripción</t>
  </si>
  <si>
    <t>Indicador de Impacto de la Estrategia</t>
  </si>
  <si>
    <t>Acciones de retroalimentación para los estudiantes</t>
  </si>
  <si>
    <t>Instrumentos de medición</t>
  </si>
  <si>
    <t>Conversatorio de Neuropsicología Escolar</t>
  </si>
  <si>
    <t xml:space="preserve">El conversatorio de Neuropsicología Escolar, es una actividad donde se presentaran 12 autores del libro Neuropsicología Escolar, durante el conversatorio los autores hablaran sobre los capítulos de libro y presentaran estrategias basadas en la teoría y experiencia para el abordaje de las necesidades educativas actuales y rol del egresado de la especialización en los diferentes campos de acción. Asimismo, este se expondrá a los participantes (estudiantes, egresados y externos), análisis de caso para el ejercicio interdisciplinar.  </t>
  </si>
  <si>
    <t>Valora el nivel de contribución de la estrategia a los resultados de aprendizaje del programa, en una escala de 1 a 5.</t>
  </si>
  <si>
    <t>Informar a los estudiantes sobre los temas transversales, de actualización o que afectan la disciplina o amplían el saber de la misma.</t>
  </si>
  <si>
    <t>Encuesta</t>
  </si>
  <si>
    <t>Número de estudiantes y graduados que participan en la estrategia.</t>
  </si>
  <si>
    <t>Listado</t>
  </si>
  <si>
    <t>Número de veces que se realiza la estrategia en el tiempo que determine el programa.</t>
  </si>
  <si>
    <t>Video, folleto, memorias, boletines, informe o reporte</t>
  </si>
  <si>
    <t xml:space="preserve">Congreso Internacional de Neuropsicología de la Educación </t>
  </si>
  <si>
    <t>Evento académico que busca actualizar a los estudiantes o interesados en los temas de Neuropsicología y Educación.</t>
  </si>
  <si>
    <t>Informar y formar a los estudiantes sobre  temas transversales, de actualización que afectan la disciplina o amplían el saber de la misma.</t>
  </si>
  <si>
    <t>Número de estudiantes que participan en la estrategia.</t>
  </si>
  <si>
    <t>Sociedad Colombiana de Neuropsicología</t>
  </si>
  <si>
    <t>Congresos y relacionamiento con el gremio.</t>
  </si>
  <si>
    <t>Foro de Directores de Programas de Neuropsicología Escolar</t>
  </si>
  <si>
    <t>Conversatorios en el marco del Congreso Internacional de Neuropsicología de la Educación a través de los cuales se buscan identificar los retos en la formación académica de los estudiantes del campo referido.</t>
  </si>
  <si>
    <t>[Estas celdas se diligencian automáticamente. No ajustar.]</t>
  </si>
  <si>
    <t>[A partir de la celda A3 despliegue el(los) resultado(s) de aprendizaje y elija aquel (aquellos) al(a los) que se contribuye desde la asignatura o módulo).]</t>
  </si>
  <si>
    <t>[Escribir el semestre en el que se cursa la asignatura o módulo.]</t>
  </si>
  <si>
    <t>[Escribir el nombre de la asignatura o módulo que contribuye al logro del resultado de aprendizaje.]</t>
  </si>
  <si>
    <t>[Redactar los indicadores iniciando con el verbo en presente indicativo, luego el objeto conceptual y finalmente el complemento de oración (que indique una condición o finalidad, con, para, de, entre otros conectores).]</t>
  </si>
  <si>
    <t> [Escribir la tipología: T (teórico), P (Práctico), TP (Teórico Práctico)]</t>
  </si>
  <si>
    <t>[Marcar con X el bloque o componente al que pertenece la asignatura o módulo. Por favor ajustar para posgrado, eliminar una columna y ubicar los títulos C.Fundamentación y C.Profundización.]</t>
  </si>
  <si>
    <t>[Escribir el número de créditos de la asignatura o módulo]</t>
  </si>
  <si>
    <t>[Escribir el número de horas de trabajo directo: 16*# o 12*#, para presencial o virtual, según sea el caso.]</t>
  </si>
  <si>
    <t>[Escribir el número de horas de trabajo independiente: 32*# columna J o 36*# columna J, para presencial o virtual, respectivamente.]</t>
  </si>
  <si>
    <t>[Escribir la suma de los números de horas de las dos celdas anteriores.]</t>
  </si>
  <si>
    <t>[Escribir el nombre de los cuatro núcleos temáticos que abordará la asignatura o el módulo.]</t>
  </si>
  <si>
    <t>[Escribir las lecturas, talleres, análisis, referentes, etc., que realiza el estudiante, clasificadas en trabajo directo e independiente.]</t>
  </si>
  <si>
    <t xml:space="preserve">[Escribir las actividades de evaluación que se emplean para identificar el alcance del (de los) indicador(es) de logro(s).] </t>
  </si>
  <si>
    <t>[Escribir las acciones de retroalimentación que se emplearán en la asignatura o módulo, para retroalimentar a los estudiantes respecto al alcance de los indicadores de logro. Recordar que son cuatro acciones: informar, formar, prevenir y ayudar a tomar decisiones e indique cómo.]</t>
  </si>
  <si>
    <t>Tipo de Saber</t>
  </si>
  <si>
    <t>Semestre</t>
  </si>
  <si>
    <t>Nombre asignatura o módulo</t>
  </si>
  <si>
    <t>Indicadores de logro asignatura o módulo</t>
  </si>
  <si>
    <t>Tipología</t>
  </si>
  <si>
    <t>C.Profundización</t>
  </si>
  <si>
    <t>Créditos</t>
  </si>
  <si>
    <t>Número de horas trabajo directo</t>
  </si>
  <si>
    <t>Número de horas trabajo independiente</t>
  </si>
  <si>
    <t>Total de horas</t>
  </si>
  <si>
    <t>Núcleos temáticos</t>
  </si>
  <si>
    <t>Actividades de aprendizaje</t>
  </si>
  <si>
    <t>Actividades de evaluación</t>
  </si>
  <si>
    <t>Acciones de retroalimentación</t>
  </si>
  <si>
    <t>I</t>
  </si>
  <si>
    <t>Fundamentos del Sistema Nervioso</t>
  </si>
  <si>
    <t xml:space="preserve">Reconoce las estructuras cerebrales y sus funciones para identificar alteraciones en un caso o contexto asociado a la neuropsicología escolar.
Valora el comportamiento humano con el funcionamiento cerebral en una fase preliminar para identificar el funcionamiento cognitivo en el contexto escolar. </t>
  </si>
  <si>
    <t>T</t>
  </si>
  <si>
    <t>X</t>
  </si>
  <si>
    <t>1. Comunicación celular
2. Neuroanatomía
3. Sistemas funcionales
4. Cronobiología</t>
  </si>
  <si>
    <t>Las actividades pueden varias entre estas u otras:
Trabajo directo 
Sincrónico
Clases magistrales activas/Estudios de caso/Lectura de artículos científicos/Cuadernillo de ejercicios prácticos/
Asincrónico
Mensajería a través de Teams, Drive o Correo electrónico
Trabajo independiente
Lecturas complementarias (en segunda lengua)/Talleres/Uso de recursos audiovisuales y tecnológicos</t>
  </si>
  <si>
    <t>Las actividades pueden varias entre estas u otras:
Evaluación formativa
Preguntas intercaladas/Mapas mentales/Resúmenes/Cartillas didácticas
Evaluación sumativa
Controles de lectura/Lecturas complementarias/Quiz/Parcial/Exposiciones o sustentaciones/Ensayos/Documentos escritos</t>
  </si>
  <si>
    <t xml:space="preserve">Las acciones retroalimentación varían entre las siguientes, según las condiciones que identifique el tutor.
Formar: donde se crean las condiciones para que los estudiantes adquieran conocimientos, habilidades, actitudes, aptitudes y destrezas. Además, debe promover su desarrollo integral y debe acompañarlos en las situaciones académicas que enfrenten durante el desarrollo de un módulo o una asignatura.  
Informar: para que los estudiantes identifiquen los cambios que pueden afectarlos directa o indirectamente tanto en el aula de clase como en otros espacios. 
Prevenir: con el fin de anticiparse a las situaciones académicas que pueden representar dificultad para los estudiantes. Esto se logra a través de la interacción individual con los estudiantes y del completo conocimiento del contexto educativo en que el tutor se desenvuelve.
Ayudar a decidir: donde se orienta a los estudiantes para que tomen la mejor decisión ante una situación concreta. El objetivo es que el estudiante fortalezca su autonomía y la toma de decisiones responsable. </t>
  </si>
  <si>
    <t xml:space="preserve"> </t>
  </si>
  <si>
    <t>Neuropsicología del Desarrollo</t>
  </si>
  <si>
    <t xml:space="preserve">Identifica los hitos de desarrollo en la primera infancia, infancia intermedia, infancia tardía, adolescencia, adultez y envejecimiento relacionando el comportamiento motor con el desarrollo y maduración cerebral y la cognición, para hacer evaluaciones de estos aspectos en casos prácticos.
Reconoce los signos neurológicos blandos de un niño o una niña en edad escolar analizando la escala de exploración estandarizada para elaborar informes en los cuales se exponen resultados y recomendaciones concretas de intervención y apoyo en función de los hallazgos.  </t>
  </si>
  <si>
    <t>TP</t>
  </si>
  <si>
    <t>1.	Introducción a la neuropsicología del desarrollo
2.	Neuromaduración: periodo pre – perinatal y postnatal 
3.	Desarrollo cognitivo y maduración cerebral
4.	Alteraciones atípicas del neurodesarrollo</t>
  </si>
  <si>
    <t>Modelos Pedagógicos Contemporáneos</t>
  </si>
  <si>
    <t>Reconoce los principales modelos pedagógicos desde una perspectiva histórica para identificar prácticas innovadoras aplicadas al contexto escolar.</t>
  </si>
  <si>
    <t>1. Injerencia de los modelos pedagógicos
2. Interpretación de los modelos pedagógicos contemporáneos
3. Modelos pedagógicos y rutas de formación
4. Realidades del Sistema Educativo</t>
  </si>
  <si>
    <t>Motivación y Emoción, Cerebro Social</t>
  </si>
  <si>
    <t>Describe la diferencia funcionales y neuroanatomías entre emoción y sentimiento, para formular estrategias educativas en el aula de clase.
Identifica las técnicas de motivación para plantear propuestas de implementación en el contexto escolar.</t>
  </si>
  <si>
    <t>1. Emociones y sentimientos. Circuitos cerebrales para las emociones
2. Motivación y circuito de recompensa cerebral
3.Teoría de la Mente, empatía y conducta social
4. Inteligencia emocional, Intervención neuroeducativa</t>
  </si>
  <si>
    <t xml:space="preserve">Las actividades pueden varias entre estas u otras:
Ensayo según el núcleo temático. 
Programador y Creación de clase utilizando estrategias de motivación y aprendizaje, siendo socializado y presentado. 
Formato de Metacognición.
Análisis de la RAE de articulo en ingles.
Esquematización y síntesis del núcleo temático. 
Aprender a Aprender, análisis propio. 
Asociación de ideas. </t>
  </si>
  <si>
    <t>Trastornos del Neurodesarrollo y Comportamiento</t>
  </si>
  <si>
    <t xml:space="preserve">Describe los principales trastornos del neurodesarrollo y comportamiento para detectar en el contexto escolar los casos que requiere apoyo en diferenciación y una posible remisión. 
Identifica casos con dificultades de comportamiento, para formular estrategias de intervención en contextos educativos. </t>
  </si>
  <si>
    <t>1. Tipo y origen de los Trastornos del Neurodesarrollo y comportamiento
2. Alteraciones genéticas subyacentes. Alteraciones cerebrales en los TTN
3.Neuropsicología de los TTN. Psiquiatría infantil. Síndrome de Down, X frágil, TEAF, TDAH, TEA, TEL, discapacidad Intelectual, etc
4.Intervención neuroeducativa</t>
  </si>
  <si>
    <t>Trastornos Específicos del Aprendizaje</t>
  </si>
  <si>
    <t xml:space="preserve">Describe los principales trastornos específicos del aprendizaje para detectar en el contexto escolar los casos que requieren apoyo en diferenciación y una posible remisión. 
Formula estrategias de intervención en un caso de Trastorno especifico del aprendizaje, teniendo en cuenta alternativas de estimulación cognitiva, para la  aplicación en contextos educativos. </t>
  </si>
  <si>
    <t xml:space="preserve">1. Contexto conceptual, epistemológico y metodológico de las habilidades de académicas y las dificultades de aprendizaje
2. Neuropsicología del lenguaje, detección, evaluación e intervención de las dificultades de aprendizaje en contexto clínico y escolar
3. Dificultades en el aprendizaje de la lectura (dislexia), asociado a la intervención de las dificultades de aprendizaje en contexto clínico y escolar
4. Dificultades en el aprendizaje de la escritura y calculo (digrafía y discalculia) asociado a la intervención de las dificultades de aprendizaje en contexto clínico y escolar
</t>
  </si>
  <si>
    <t>Necesidades Educativas Diversas e Inclusión</t>
  </si>
  <si>
    <t>Identifica los referentes conceptuales, normativos y técnicos de la inclusión y equidad en la educación, para promover propuestas de escenarios educativos inclusivos. 
Diseña propuestas institucionales concretas para generar acciones orientadas a favorecer la inclusión y la equidad en la educación en las instituciones educativas.</t>
  </si>
  <si>
    <t xml:space="preserve">
1.	Evolución del concepto de la Inclusión y Equidad en la Educación
2.	La Inclusión y Equidad en la Educación en Colombia
3.	Decreto 1421 de 2017: Apoyos pedagógicos y ajustes razonables
4.	Los agentes educativos implicados en la inclusión y equidad en la educación
</t>
  </si>
  <si>
    <t>Herramientas de Evaluación Neuropsicológica  en Contexto Escolar</t>
  </si>
  <si>
    <t>Describe los principios de la evaluación neuropsicológica, para realizar informes y diagnósticos pedagógicos.
Aplica los paradigmas de evaluación neuropsicológica infantil en el análisis de casos que se presentan en el contexto escolar para proponer soluciones a los diferentes ajustes requeridos en un grupo de estudiantes.</t>
  </si>
  <si>
    <t xml:space="preserve">1. Introducción a la evaluación neuropsicológica
2. Inteligencia
3. Informes de evaluación
4. Evaluación y observación de las funciones cognitivas
</t>
  </si>
  <si>
    <t xml:space="preserve">Las actividades pueden varias entre estas u otras:
Estudio de Caso
Taller de análisis de Herramientas de evaluación.  
Descripción de modelos de informes Neuropsicológicos. </t>
  </si>
  <si>
    <t>Formar a través del estudio de casos, de la clase magistral, de la lectura de artículos sobre los avances o los temas que se requieren abordar alrededor de los núcleos temáticos.</t>
  </si>
  <si>
    <t xml:space="preserve">Técnicas de Intervención en Neuroeducación </t>
  </si>
  <si>
    <t>Describe las principales técnicas de intervención en neuroeducación para definir  procesos de seguimiento y diferenciación en el contexto escolar. 
Identifica desde los constructos teórico práctico los procesos neuropsicológicos básicos para crear un plan de intervención que permita estimular el proceso de aprendizaje en el aula, a partir de las herramientas abordadas en el módulo.</t>
  </si>
  <si>
    <t xml:space="preserve">1. Procesos neuropsicológicos básicos para la prevención y el desarrollo, que favorecen al aprendizaje escolar
2. Tipos de dificultades del aprendizaje, modelos teóricos en intervención y técnicas específicas en neuroeducación
3. Intervenciones centradas en el aula para el abordaje de las dificultades específicas de aprendizaje
4. Intervenciones multimodales y otros tipos de intervención para lograr involucrar a la familia y a los pares dentro del proceso de aprendizaje
</t>
  </si>
  <si>
    <t>Las actividades pueden varias entre estas u otras:
Adaptación de las herramientas de intervención neuropsicológica a los procesos de diferenciación en el contexto escolar.
Creación de cartilla con ejercicios cognitivos aplicado al contexto escolar.</t>
  </si>
  <si>
    <t xml:space="preserve">Estrategias Pedagógicas para la Inclusión y Equidad en la Educación.  </t>
  </si>
  <si>
    <t>Reconoce los principios del Diseño Universal para el Aprendizaje en las planeaciones pedagógicas, para identificar las  característica que permiten el acceso al aprendizaje en igualdad de derechos y en equidad de oportunidades.
Elabora un Plan Individual de Ajustes Razonables a partir de la identificación de las características particulares y necesidades de apoyo del estudiante, para definir trayectorias educativas completas e incluyentes.</t>
  </si>
  <si>
    <t>1.	Valoración institucional - Índice de inclusión
2.	Valoración institucional - Modelo institucional de atención educativa integral desde el enfoque diferencial
3.	Estrategias pedagógicas para la inclusión y equidad en la educación – Diseño Universal para el Aprendizaje DUA
4.	Estrategias pedagógicas para la inclusión y equidad en la educación – Plan Individual de Ajustes Razonables PIAR</t>
  </si>
  <si>
    <t>Total módulos del programa</t>
  </si>
  <si>
    <t>Total créditos programa</t>
  </si>
  <si>
    <t>Total créditos fundamentación</t>
  </si>
  <si>
    <t>Total créditos profundización</t>
  </si>
  <si>
    <t>Verbos Competencias</t>
  </si>
  <si>
    <r>
      <rPr>
        <b/>
        <sz val="11"/>
        <color theme="0"/>
        <rFont val="Calibri"/>
        <family val="2"/>
        <scheme val="minor"/>
      </rPr>
      <t>Observación:</t>
    </r>
    <r>
      <rPr>
        <sz val="11"/>
        <color theme="0"/>
        <rFont val="Calibri"/>
        <family val="2"/>
        <scheme val="minor"/>
      </rPr>
      <t xml:space="preserve"> estos verbos son solo algunos y se pueden agregar tantos como se requieran; solo hay que tener en cuenta que debe estar al nivel de un perfil profesional.</t>
    </r>
  </si>
  <si>
    <t>Actualizar</t>
  </si>
  <si>
    <t>Administrar</t>
  </si>
  <si>
    <t>Aplicar</t>
  </si>
  <si>
    <t>Asegurar</t>
  </si>
  <si>
    <t>Asesorar</t>
  </si>
  <si>
    <t>Auditar</t>
  </si>
  <si>
    <t>Comunicar</t>
  </si>
  <si>
    <t>Conducir</t>
  </si>
  <si>
    <t>Conocer</t>
  </si>
  <si>
    <t>Coordinar</t>
  </si>
  <si>
    <t>Definir</t>
  </si>
  <si>
    <t>Desarrollar</t>
  </si>
  <si>
    <t>Dirigir</t>
  </si>
  <si>
    <t>Evaluar</t>
  </si>
  <si>
    <t>Fiscalizar</t>
  </si>
  <si>
    <t>Formular</t>
  </si>
  <si>
    <t>Generar</t>
  </si>
  <si>
    <t>Gestionar</t>
  </si>
  <si>
    <t>Hacer</t>
  </si>
  <si>
    <t>Liderar</t>
  </si>
  <si>
    <t>Modelar</t>
  </si>
  <si>
    <t>Participar</t>
  </si>
  <si>
    <t>Planear</t>
  </si>
  <si>
    <t>Presidir</t>
  </si>
  <si>
    <t>Producir</t>
  </si>
  <si>
    <t>Resolver</t>
  </si>
  <si>
    <t>Sistematizar</t>
  </si>
  <si>
    <t>Supervisar</t>
  </si>
  <si>
    <t>Transformar</t>
  </si>
  <si>
    <t>Validar</t>
  </si>
  <si>
    <t>Verificar</t>
  </si>
  <si>
    <t>Taxonomía de Bloom Adaptada con las propuestas de Anderson y Krathwohl</t>
  </si>
  <si>
    <t>Taxonomía de Anderson y Krathwohl (AK)</t>
  </si>
  <si>
    <t>Taxonomía de Marzano y Kendal (MK)</t>
  </si>
  <si>
    <t>Taxonomía de Bloom</t>
  </si>
  <si>
    <t>Cognitivo(BAK)</t>
  </si>
  <si>
    <t>Procedimental(BAK)</t>
  </si>
  <si>
    <t>Actitudinal(BAK)</t>
  </si>
  <si>
    <t>Taxonomías</t>
  </si>
  <si>
    <t>BAK</t>
  </si>
  <si>
    <t>AK</t>
  </si>
  <si>
    <t>CognitivoB</t>
  </si>
  <si>
    <t>ProcedimentalB</t>
  </si>
  <si>
    <t>ActitudinalB</t>
  </si>
  <si>
    <t>ConocimientoB</t>
  </si>
  <si>
    <t>ComprensiónB</t>
  </si>
  <si>
    <t>AplicaciónB</t>
  </si>
  <si>
    <t>AnálisisB</t>
  </si>
  <si>
    <t>SíntesisB</t>
  </si>
  <si>
    <t>EvaluaciónB</t>
  </si>
  <si>
    <t>ConocimientoBAK</t>
  </si>
  <si>
    <t>ComprensiónBAK</t>
  </si>
  <si>
    <t>AplicaciónBAK</t>
  </si>
  <si>
    <t>AnálisisBAK</t>
  </si>
  <si>
    <t>SíntesisBAK</t>
  </si>
  <si>
    <t>EvaluaciónBAK</t>
  </si>
  <si>
    <t>ImitaciónBAK</t>
  </si>
  <si>
    <t>ManipulaciónBAK</t>
  </si>
  <si>
    <t>PrecisiónBAK</t>
  </si>
  <si>
    <t>ControlBAK</t>
  </si>
  <si>
    <t>PercepciónBAK</t>
  </si>
  <si>
    <t>ResponderBAK</t>
  </si>
  <si>
    <t>ValorarBAK</t>
  </si>
  <si>
    <t>OrganizarBAK</t>
  </si>
  <si>
    <t>CaracterizarBAK</t>
  </si>
  <si>
    <t>CognitivoInf(AK)</t>
  </si>
  <si>
    <t>CognitivoSup(AK)</t>
  </si>
  <si>
    <t>Procedimental(AK)</t>
  </si>
  <si>
    <t>Actitudinal(AK)</t>
  </si>
  <si>
    <t>Bloom</t>
  </si>
  <si>
    <t>CognitivoBAK</t>
  </si>
  <si>
    <t>HechosAK</t>
  </si>
  <si>
    <t>Adquirir</t>
  </si>
  <si>
    <t>Aislar</t>
  </si>
  <si>
    <t>Adaptar</t>
  </si>
  <si>
    <t>Aconsejar</t>
  </si>
  <si>
    <t>Ajustar</t>
  </si>
  <si>
    <t>Direccionar</t>
  </si>
  <si>
    <t>Disponer</t>
  </si>
  <si>
    <t>Remover</t>
  </si>
  <si>
    <t>Aprobar</t>
  </si>
  <si>
    <t>Adoptar</t>
  </si>
  <si>
    <t>Extraer</t>
  </si>
  <si>
    <t>Negociar</t>
  </si>
  <si>
    <t>RecordarLK</t>
  </si>
  <si>
    <t>ComprenderLK</t>
  </si>
  <si>
    <t>AplicarLK</t>
  </si>
  <si>
    <t>AnalizarLK</t>
  </si>
  <si>
    <t>EvaluarLK</t>
  </si>
  <si>
    <t>CrearLK</t>
  </si>
  <si>
    <t>RecuperaciónMK</t>
  </si>
  <si>
    <t>SistemadelYoMK</t>
  </si>
  <si>
    <t>ProcedimentalBAK</t>
  </si>
  <si>
    <t>ConceptosAK</t>
  </si>
  <si>
    <t>Buscar</t>
  </si>
  <si>
    <t>Bosquejar</t>
  </si>
  <si>
    <t>Calisificar</t>
  </si>
  <si>
    <t>Analizar</t>
  </si>
  <si>
    <t>Adjuntar</t>
  </si>
  <si>
    <t>Desmontar</t>
  </si>
  <si>
    <t>Quitar</t>
  </si>
  <si>
    <t>Autorizar</t>
  </si>
  <si>
    <t>Resumir</t>
  </si>
  <si>
    <t>Ofrecer</t>
  </si>
  <si>
    <t>Afirmar</t>
  </si>
  <si>
    <t>Actuar</t>
  </si>
  <si>
    <t>Agrupar</t>
  </si>
  <si>
    <t>Aceptar</t>
  </si>
  <si>
    <t>ActitudinalBAK</t>
  </si>
  <si>
    <t>ProcedimientoslAK</t>
  </si>
  <si>
    <t>Citar</t>
  </si>
  <si>
    <t>Comentar</t>
  </si>
  <si>
    <t>Combinar</t>
  </si>
  <si>
    <t>Calcular</t>
  </si>
  <si>
    <t>Arreglar</t>
  </si>
  <si>
    <t>Agregar</t>
  </si>
  <si>
    <t>Modificar</t>
  </si>
  <si>
    <t>Dramatizar</t>
  </si>
  <si>
    <t>Apalancar</t>
  </si>
  <si>
    <t>Suprimir</t>
  </si>
  <si>
    <t>Demostrar</t>
  </si>
  <si>
    <t>Promover</t>
  </si>
  <si>
    <t>Comparar</t>
  </si>
  <si>
    <t>Añadir</t>
  </si>
  <si>
    <t>Elaborar</t>
  </si>
  <si>
    <t>Adelantar</t>
  </si>
  <si>
    <t>MetacogniciónAK</t>
  </si>
  <si>
    <t>Consignar</t>
  </si>
  <si>
    <t>Componer</t>
  </si>
  <si>
    <t>Categorizar</t>
  </si>
  <si>
    <t>Alinear</t>
  </si>
  <si>
    <t>Concretar</t>
  </si>
  <si>
    <t>Docificar</t>
  </si>
  <si>
    <t>Levantar</t>
  </si>
  <si>
    <t>Eliminar</t>
  </si>
  <si>
    <t>Comportarse bajo condiciones</t>
  </si>
  <si>
    <t>Copiar</t>
  </si>
  <si>
    <t>Contrastar</t>
  </si>
  <si>
    <t>Asumir</t>
  </si>
  <si>
    <t>Apoyar</t>
  </si>
  <si>
    <t>Maximizar</t>
  </si>
  <si>
    <t>Afinar</t>
  </si>
  <si>
    <t>Decir</t>
  </si>
  <si>
    <t>Convertir</t>
  </si>
  <si>
    <t>Articular</t>
  </si>
  <si>
    <t>Arbitrar</t>
  </si>
  <si>
    <t>Dibujar</t>
  </si>
  <si>
    <t>Estimular</t>
  </si>
  <si>
    <t>Retirar</t>
  </si>
  <si>
    <t>Ratificar</t>
  </si>
  <si>
    <t>Fomentar</t>
  </si>
  <si>
    <t>Completar</t>
  </si>
  <si>
    <t>Buscar similitudes</t>
  </si>
  <si>
    <t>Argumentar</t>
  </si>
  <si>
    <t>Mejorar</t>
  </si>
  <si>
    <t>Agradecer</t>
  </si>
  <si>
    <t>Criticar</t>
  </si>
  <si>
    <t>Construir</t>
  </si>
  <si>
    <t>Considerar</t>
  </si>
  <si>
    <t>Aumentar</t>
  </si>
  <si>
    <t>Trazar</t>
  </si>
  <si>
    <t>Localizar</t>
  </si>
  <si>
    <t>Extirpar</t>
  </si>
  <si>
    <t>Manejar</t>
  </si>
  <si>
    <t>Apreciar</t>
  </si>
  <si>
    <t>Anticipar</t>
  </si>
  <si>
    <t>Discutir</t>
  </si>
  <si>
    <t>Conectar</t>
  </si>
  <si>
    <t>Cambiar</t>
  </si>
  <si>
    <t>Minimizar</t>
  </si>
  <si>
    <t>Ambicionar</t>
  </si>
  <si>
    <t>Deletrear</t>
  </si>
  <si>
    <t>Dar ejemplos</t>
  </si>
  <si>
    <t>Ubicar</t>
  </si>
  <si>
    <t>Disipar</t>
  </si>
  <si>
    <t>Guiar</t>
  </si>
  <si>
    <t>Comprender</t>
  </si>
  <si>
    <t>Proponer</t>
  </si>
  <si>
    <t>Acabar</t>
  </si>
  <si>
    <t>Ejemplificar</t>
  </si>
  <si>
    <t xml:space="preserve">Construir </t>
  </si>
  <si>
    <t>Centrarse</t>
  </si>
  <si>
    <t>Anhelar</t>
  </si>
  <si>
    <t>CognitivoAK</t>
  </si>
  <si>
    <t>ProcedimientosAK</t>
  </si>
  <si>
    <t>Debatir</t>
  </si>
  <si>
    <t>Determinar</t>
  </si>
  <si>
    <t>Atar</t>
  </si>
  <si>
    <t>Encontrar</t>
  </si>
  <si>
    <t>Realizar</t>
  </si>
  <si>
    <t>Hablar</t>
  </si>
  <si>
    <t>Defender</t>
  </si>
  <si>
    <t>Terminar</t>
  </si>
  <si>
    <t xml:space="preserve">Duplicar </t>
  </si>
  <si>
    <t>Esquematizar</t>
  </si>
  <si>
    <t>Pensar</t>
  </si>
  <si>
    <t>RecordarAK</t>
  </si>
  <si>
    <t>Describir</t>
  </si>
  <si>
    <t>Cuestionar</t>
  </si>
  <si>
    <t>Computar</t>
  </si>
  <si>
    <t>Perforar</t>
  </si>
  <si>
    <t>Colocar</t>
  </si>
  <si>
    <t>Reproducir</t>
  </si>
  <si>
    <t>Emplear</t>
  </si>
  <si>
    <t>Estimar</t>
  </si>
  <si>
    <t>Proteger</t>
  </si>
  <si>
    <t>Contextualizar</t>
  </si>
  <si>
    <t>Elegir</t>
  </si>
  <si>
    <t>Explicar</t>
  </si>
  <si>
    <t>Correlacionar</t>
  </si>
  <si>
    <t>Compilar</t>
  </si>
  <si>
    <t xml:space="preserve">Planear </t>
  </si>
  <si>
    <t>ComprenderAK</t>
  </si>
  <si>
    <t>ComprendeAK</t>
  </si>
  <si>
    <t>Desplegar</t>
  </si>
  <si>
    <t>Discriminar</t>
  </si>
  <si>
    <t>Concluir</t>
  </si>
  <si>
    <t>Calificar</t>
  </si>
  <si>
    <t>Organizar</t>
  </si>
  <si>
    <t>Ejercitar</t>
  </si>
  <si>
    <t>Traducir</t>
  </si>
  <si>
    <t>Cooperar</t>
  </si>
  <si>
    <t>Tasar</t>
  </si>
  <si>
    <t>Escribir</t>
  </si>
  <si>
    <t>Expresar</t>
  </si>
  <si>
    <t>Descomponer</t>
  </si>
  <si>
    <t>AplicarAK</t>
  </si>
  <si>
    <t>Enseñar</t>
  </si>
  <si>
    <t>Deducir</t>
  </si>
  <si>
    <t>Censurar</t>
  </si>
  <si>
    <t>Ordenar</t>
  </si>
  <si>
    <t>Hallar</t>
  </si>
  <si>
    <t>Entregar</t>
  </si>
  <si>
    <t>Admitir</t>
  </si>
  <si>
    <t>Colaborar</t>
  </si>
  <si>
    <t>Aspirar</t>
  </si>
  <si>
    <t>Leer</t>
  </si>
  <si>
    <t>Generalizar</t>
  </si>
  <si>
    <t>Diferenciar</t>
  </si>
  <si>
    <t>Reescribir</t>
  </si>
  <si>
    <t>Asistir</t>
  </si>
  <si>
    <t>AnalizarAK</t>
  </si>
  <si>
    <t>Situar</t>
  </si>
  <si>
    <t>Actuar recíprocamente</t>
  </si>
  <si>
    <t>Listar</t>
  </si>
  <si>
    <t>Ilustrar</t>
  </si>
  <si>
    <t>Distinguir</t>
  </si>
  <si>
    <t>Convencer</t>
  </si>
  <si>
    <t>Simplificar</t>
  </si>
  <si>
    <t>EvaluarAK</t>
  </si>
  <si>
    <t>Duplicar</t>
  </si>
  <si>
    <t>Detectar</t>
  </si>
  <si>
    <t>Crear</t>
  </si>
  <si>
    <t>Acordar</t>
  </si>
  <si>
    <t>Bajar</t>
  </si>
  <si>
    <t>Obrar recíprocamente</t>
  </si>
  <si>
    <t>Discernir</t>
  </si>
  <si>
    <t>Inferir</t>
  </si>
  <si>
    <t>Dividir</t>
  </si>
  <si>
    <t>Suponer</t>
  </si>
  <si>
    <t>Atender</t>
  </si>
  <si>
    <t>CrearAK</t>
  </si>
  <si>
    <t>Etiquetar</t>
  </si>
  <si>
    <t>Diagramar</t>
  </si>
  <si>
    <t>Decidir</t>
  </si>
  <si>
    <t>Manipular</t>
  </si>
  <si>
    <t>Reparar</t>
  </si>
  <si>
    <t>Recitar</t>
  </si>
  <si>
    <t>Creer</t>
  </si>
  <si>
    <t>Percibir</t>
  </si>
  <si>
    <t>Memorizar</t>
  </si>
  <si>
    <t xml:space="preserve">Informar </t>
  </si>
  <si>
    <t>Entrevistar</t>
  </si>
  <si>
    <t>Sustituir</t>
  </si>
  <si>
    <t>Examinar</t>
  </si>
  <si>
    <t>Emparejar</t>
  </si>
  <si>
    <t>Conformar</t>
  </si>
  <si>
    <t>Armar</t>
  </si>
  <si>
    <t>Ser partidario de</t>
  </si>
  <si>
    <t>Juzgar</t>
  </si>
  <si>
    <t>Mostrar</t>
  </si>
  <si>
    <t>Hacer uso</t>
  </si>
  <si>
    <t>Teorizar</t>
  </si>
  <si>
    <t>Derivar</t>
  </si>
  <si>
    <t>Constrastar</t>
  </si>
  <si>
    <t>Ensamblar</t>
  </si>
  <si>
    <t>Medir</t>
  </si>
  <si>
    <t>Reemplazar</t>
  </si>
  <si>
    <t>Enumerar</t>
  </si>
  <si>
    <t>Cuidar</t>
  </si>
  <si>
    <t>Reconocer</t>
  </si>
  <si>
    <t>Nombrar</t>
  </si>
  <si>
    <t>Encuestar</t>
  </si>
  <si>
    <t>Testar</t>
  </si>
  <si>
    <t>Grabar</t>
  </si>
  <si>
    <t>Exponer</t>
  </si>
  <si>
    <t>Contabilizar</t>
  </si>
  <si>
    <t>Reunir</t>
  </si>
  <si>
    <t>Ejecutar</t>
  </si>
  <si>
    <t>Racionar</t>
  </si>
  <si>
    <t>Preguntar</t>
  </si>
  <si>
    <t>Narrar</t>
  </si>
  <si>
    <t>Observar</t>
  </si>
  <si>
    <t>Controlar</t>
  </si>
  <si>
    <t>Explorar</t>
  </si>
  <si>
    <t>Separer</t>
  </si>
  <si>
    <t>Reponer</t>
  </si>
  <si>
    <t>Interrogar</t>
  </si>
  <si>
    <t>Referir</t>
  </si>
  <si>
    <t>Servir</t>
  </si>
  <si>
    <t>Omitir</t>
  </si>
  <si>
    <t>Parafrasear</t>
  </si>
  <si>
    <t>Visualizar</t>
  </si>
  <si>
    <t>Aunar</t>
  </si>
  <si>
    <t>Estructurar</t>
  </si>
  <si>
    <t>Desempeñar</t>
  </si>
  <si>
    <t>Corregir</t>
  </si>
  <si>
    <t>Edificar</t>
  </si>
  <si>
    <t>Publicar</t>
  </si>
  <si>
    <t>Preocuparse de o por</t>
  </si>
  <si>
    <t>Cumplir</t>
  </si>
  <si>
    <t>Rastrear</t>
  </si>
  <si>
    <t>Predecir</t>
  </si>
  <si>
    <t>Encajar</t>
  </si>
  <si>
    <t>Repartir</t>
  </si>
  <si>
    <t>Asisitir</t>
  </si>
  <si>
    <t>Ejercer</t>
  </si>
  <si>
    <t>Inspeccionar</t>
  </si>
  <si>
    <t>Descubrir</t>
  </si>
  <si>
    <t>Experimentar</t>
  </si>
  <si>
    <t>Mezclar</t>
  </si>
  <si>
    <t>Seleccionar</t>
  </si>
  <si>
    <t>Relacionar</t>
  </si>
  <si>
    <t>Practicar</t>
  </si>
  <si>
    <t>Investigar</t>
  </si>
  <si>
    <t>Constatar</t>
  </si>
  <si>
    <t>Mostar</t>
  </si>
  <si>
    <t>Culminar</t>
  </si>
  <si>
    <t>Preparar</t>
  </si>
  <si>
    <t>Acceder</t>
  </si>
  <si>
    <t>Porcionar</t>
  </si>
  <si>
    <t>Correr</t>
  </si>
  <si>
    <t>Escoger</t>
  </si>
  <si>
    <t>Motivar</t>
  </si>
  <si>
    <t>Compartir</t>
  </si>
  <si>
    <t>Indicar</t>
  </si>
  <si>
    <t>Inventariar</t>
  </si>
  <si>
    <t>Llevar</t>
  </si>
  <si>
    <t>Ocupar</t>
  </si>
  <si>
    <t>Relatar</t>
  </si>
  <si>
    <t>Soportar</t>
  </si>
  <si>
    <t>Revisar</t>
  </si>
  <si>
    <t>Numerar</t>
  </si>
  <si>
    <t>Convocar</t>
  </si>
  <si>
    <t>Revelar</t>
  </si>
  <si>
    <t>Repetir</t>
  </si>
  <si>
    <t>Mover</t>
  </si>
  <si>
    <t>Seguir</t>
  </si>
  <si>
    <t>Contar</t>
  </si>
  <si>
    <t>Unir</t>
  </si>
  <si>
    <t>Exteriorizar</t>
  </si>
  <si>
    <t>Simular</t>
  </si>
  <si>
    <t>Obtener</t>
  </si>
  <si>
    <t>Estudiar</t>
  </si>
  <si>
    <t>Comprobar</t>
  </si>
  <si>
    <t>Maniobrar</t>
  </si>
  <si>
    <t>Trasladar</t>
  </si>
  <si>
    <t>Informar</t>
  </si>
  <si>
    <t>Transferir</t>
  </si>
  <si>
    <t>Priorizar</t>
  </si>
  <si>
    <t>Extender</t>
  </si>
  <si>
    <t>Figurar</t>
  </si>
  <si>
    <t>Escuchar</t>
  </si>
  <si>
    <t>Probar</t>
  </si>
  <si>
    <t>Esculpir</t>
  </si>
  <si>
    <t>Anotar</t>
  </si>
  <si>
    <t>Razonar</t>
  </si>
  <si>
    <t>Hipotetizar</t>
  </si>
  <si>
    <t>Emitir</t>
  </si>
  <si>
    <t>Entallar</t>
  </si>
  <si>
    <t>Proporcionar</t>
  </si>
  <si>
    <t>Reorganizar</t>
  </si>
  <si>
    <t>Influir</t>
  </si>
  <si>
    <t>Presentar</t>
  </si>
  <si>
    <t>Operar</t>
  </si>
  <si>
    <t>Registrar</t>
  </si>
  <si>
    <t>Abrir</t>
  </si>
  <si>
    <t>Resaltar</t>
  </si>
  <si>
    <t>Innovar</t>
  </si>
  <si>
    <t>Limpiar</t>
  </si>
  <si>
    <t>Destapar</t>
  </si>
  <si>
    <t>Coser</t>
  </si>
  <si>
    <t>Contribuir</t>
  </si>
  <si>
    <t>Separar</t>
  </si>
  <si>
    <t>Justificar</t>
  </si>
  <si>
    <t>Reportar</t>
  </si>
  <si>
    <t>Patronar</t>
  </si>
  <si>
    <t>Filtrar</t>
  </si>
  <si>
    <t>Instalar</t>
  </si>
  <si>
    <t>Comenzar</t>
  </si>
  <si>
    <t>Soldar</t>
  </si>
  <si>
    <t>Provocar</t>
  </si>
  <si>
    <t>Subdividir</t>
  </si>
  <si>
    <t>Poner</t>
  </si>
  <si>
    <t>Recordar</t>
  </si>
  <si>
    <t>Recoger</t>
  </si>
  <si>
    <t>Opinar</t>
  </si>
  <si>
    <t>Introducir</t>
  </si>
  <si>
    <t>Recaudar</t>
  </si>
  <si>
    <t>Impulsar</t>
  </si>
  <si>
    <t>Originar</t>
  </si>
  <si>
    <t>Inventar</t>
  </si>
  <si>
    <t>Juntar</t>
  </si>
  <si>
    <t>Finalizar</t>
  </si>
  <si>
    <t>Ampliar</t>
  </si>
  <si>
    <t>Ensanchar</t>
  </si>
  <si>
    <t>Persuadir</t>
  </si>
  <si>
    <t>Formar</t>
  </si>
  <si>
    <t>Cotejar</t>
  </si>
  <si>
    <t>Premiar</t>
  </si>
  <si>
    <t>Repasar</t>
  </si>
  <si>
    <t>Rotular</t>
  </si>
  <si>
    <t>Empaquetar</t>
  </si>
  <si>
    <t>Balancear</t>
  </si>
  <si>
    <t>Recomendar</t>
  </si>
  <si>
    <t>Marcar</t>
  </si>
  <si>
    <t>Envasar</t>
  </si>
  <si>
    <t>Subrayar</t>
  </si>
  <si>
    <t>Pintar</t>
  </si>
  <si>
    <t>Cortar</t>
  </si>
  <si>
    <t>Recortar</t>
  </si>
  <si>
    <t>Sincronizar</t>
  </si>
  <si>
    <t>Bailar</t>
  </si>
  <si>
    <t>Perfeccionar</t>
  </si>
  <si>
    <t>Peritar</t>
  </si>
  <si>
    <t>Planificar</t>
  </si>
  <si>
    <t>Pronosticar</t>
  </si>
  <si>
    <t>Señalar</t>
  </si>
  <si>
    <t>Difundir</t>
  </si>
  <si>
    <t>Tocar</t>
  </si>
  <si>
    <t>Transmitir</t>
  </si>
  <si>
    <t>Representar</t>
  </si>
  <si>
    <t>Tapizar</t>
  </si>
  <si>
    <t>Entrenar</t>
  </si>
  <si>
    <t>Proyectar</t>
  </si>
  <si>
    <t>Sacar</t>
  </si>
  <si>
    <t>Utilizar</t>
  </si>
  <si>
    <t>Sugerir</t>
  </si>
  <si>
    <t>Imprimir</t>
  </si>
  <si>
    <t>Ponderar</t>
  </si>
  <si>
    <t>Estampar</t>
  </si>
  <si>
    <t>Mecanizar</t>
  </si>
  <si>
    <t>Industrializar</t>
  </si>
  <si>
    <t>Codificar</t>
  </si>
  <si>
    <t>Fabricar</t>
  </si>
  <si>
    <t>Vincular</t>
  </si>
  <si>
    <t>Reducir</t>
  </si>
  <si>
    <t>Mitigar</t>
  </si>
  <si>
    <t>C.Fundamentación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</si>
</sst>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9" x14ac:knownFonts="1">
    <font>
      <sz val="11"/>
      <color theme="1"/>
      <name val="Calibri"/>
      <family val="2"/>
      <scheme val="minor"/>
    </font>
    <font>
      <sz val="9"/>
      <color indexed="81"/>
      <name val="Tahoma"/>
      <family val="2"/>
    </font>
    <font>
      <b/>
      <sz val="9"/>
      <color indexed="81"/>
      <name val="Tahoma"/>
      <family val="2"/>
    </font>
    <font>
      <sz val="11"/>
      <color theme="1"/>
      <name val="Gill Sans MT"/>
      <family val="2"/>
    </font>
    <font>
      <sz val="11"/>
      <color rgb="FF000000"/>
      <name val="Gill Sans MT"/>
      <family val="2"/>
    </font>
    <font>
      <b/>
      <sz val="11"/>
      <color theme="0"/>
      <name val="Gill Sans MT"/>
      <family val="2"/>
    </font>
    <font>
      <sz val="11"/>
      <color theme="0"/>
      <name val="Gill Sans MT"/>
      <family val="2"/>
    </font>
    <font>
      <b/>
      <sz val="11"/>
      <name val="Gill Sans MT"/>
      <family val="2"/>
    </font>
    <font>
      <b/>
      <sz val="9"/>
      <color theme="0"/>
      <name val="Gill Sans MT"/>
      <family val="2"/>
    </font>
    <font>
      <sz val="11"/>
      <name val="Gill Sans MT"/>
      <family val="2"/>
    </font>
    <font>
      <sz val="8"/>
      <color theme="0"/>
      <name val="Gill Sans MT"/>
      <family val="2"/>
    </font>
    <font>
      <b/>
      <sz val="11"/>
      <color theme="0"/>
      <name val="Calibri"/>
      <family val="2"/>
      <scheme val="minor"/>
    </font>
    <font>
      <sz val="11"/>
      <color theme="0"/>
      <name val="Calibri"/>
      <family val="2"/>
      <scheme val="minor"/>
    </font>
    <font>
      <b/>
      <sz val="11"/>
      <color rgb="FFFFFFFF"/>
      <name val="Gill Sans MT"/>
      <family val="2"/>
    </font>
    <font>
      <sz val="8"/>
      <color rgb="FFFFFFFF"/>
      <name val="Gill Sans MT"/>
      <family val="2"/>
    </font>
    <font>
      <b/>
      <sz val="8"/>
      <color theme="0"/>
      <name val="Gill Sans MT"/>
      <family val="2"/>
    </font>
    <font>
      <sz val="8"/>
      <color rgb="FF000000"/>
      <name val="Gill Sans MT"/>
      <family val="2"/>
    </font>
    <font>
      <b/>
      <sz val="11"/>
      <color rgb="FF000000"/>
      <name val="Gill Sans MT"/>
      <family val="2"/>
    </font>
    <font>
      <sz val="8"/>
      <name val="Gill Sans MT"/>
      <family val="2"/>
    </font>
  </fonts>
  <fills count="9">
    <fill>
      <patternFill patternType="none"/>
    </fill>
    <fill>
      <patternFill patternType="gray125"/>
    </fill>
    <fill>
      <patternFill patternType="solid">
        <fgColor rgb="FF0F385A"/>
        <bgColor indexed="64"/>
      </patternFill>
    </fill>
    <fill>
      <patternFill patternType="solid">
        <fgColor rgb="FF1FB2DE"/>
        <bgColor indexed="64"/>
      </patternFill>
    </fill>
    <fill>
      <patternFill patternType="solid">
        <fgColor theme="4"/>
        <bgColor indexed="64"/>
      </patternFill>
    </fill>
    <fill>
      <patternFill patternType="solid">
        <fgColor theme="4" tint="0.79998168889431442"/>
        <bgColor theme="4" tint="0.79998168889431442"/>
      </patternFill>
    </fill>
    <fill>
      <patternFill patternType="solid">
        <fgColor rgb="FF0F385A"/>
        <bgColor rgb="FF000000"/>
      </patternFill>
    </fill>
    <fill>
      <patternFill patternType="solid">
        <fgColor rgb="FFDDEBF7"/>
        <bgColor rgb="FF000000"/>
      </patternFill>
    </fill>
    <fill>
      <patternFill patternType="solid">
        <fgColor rgb="FF1FB2DE"/>
        <bgColor rgb="FF000000"/>
      </patternFill>
    </fill>
  </fills>
  <borders count="28">
    <border>
      <left/>
      <right/>
      <top/>
      <bottom/>
      <diagonal/>
    </border>
    <border>
      <left style="thin">
        <color auto="1"/>
      </left>
      <right style="thin">
        <color auto="1"/>
      </right>
      <top style="thin">
        <color auto="1"/>
      </top>
      <bottom style="thin">
        <color auto="1"/>
      </bottom>
      <diagonal/>
    </border>
    <border>
      <left style="thin">
        <color rgb="FF1FB2DE"/>
      </left>
      <right style="thin">
        <color rgb="FF1FB2DE"/>
      </right>
      <top style="thin">
        <color rgb="FF1FB2DE"/>
      </top>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bottom style="medium">
        <color rgb="FF000000"/>
      </bottom>
      <diagonal/>
    </border>
    <border>
      <left style="thin">
        <color rgb="FF1FB2DE"/>
      </left>
      <right style="thin">
        <color rgb="FF1FB2DE"/>
      </right>
      <top/>
      <bottom style="thin">
        <color rgb="FF1FB2DE"/>
      </bottom>
      <diagonal/>
    </border>
    <border>
      <left/>
      <right/>
      <top style="thin">
        <color auto="1"/>
      </top>
      <bottom/>
      <diagonal/>
    </border>
    <border>
      <left/>
      <right/>
      <top style="medium">
        <color rgb="FF000000"/>
      </top>
      <bottom/>
      <diagonal/>
    </border>
    <border>
      <left style="thin">
        <color auto="1"/>
      </left>
      <right style="thin">
        <color auto="1"/>
      </right>
      <top style="thin">
        <color auto="1"/>
      </top>
      <bottom/>
      <diagonal/>
    </border>
    <border>
      <left style="thin">
        <color rgb="FF1FB2DE"/>
      </left>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rgb="FF1FB2DE"/>
      </left>
      <right style="thin">
        <color rgb="FF1FB2DE"/>
      </right>
      <top/>
      <bottom/>
      <diagonal/>
    </border>
    <border>
      <left style="thin">
        <color rgb="FF1FB2DE"/>
      </left>
      <right style="thin">
        <color rgb="FF1FB2DE"/>
      </right>
      <top style="medium">
        <color indexed="64"/>
      </top>
      <bottom/>
      <diagonal/>
    </border>
    <border>
      <left style="thin">
        <color rgb="FF1FB2DE"/>
      </left>
      <right style="thin">
        <color auto="1"/>
      </right>
      <top style="thin">
        <color auto="1"/>
      </top>
      <bottom/>
      <diagonal/>
    </border>
  </borders>
  <cellStyleXfs count="1">
    <xf numFmtId="0" fontId="0" fillId="0" borderId="0"/>
  </cellStyleXfs>
  <cellXfs count="121">
    <xf numFmtId="0" fontId="0" fillId="0" borderId="0" xfId="0"/>
    <xf numFmtId="0" fontId="3" fillId="0" borderId="0" xfId="0" applyFont="1"/>
    <xf numFmtId="0" fontId="4" fillId="0" borderId="0" xfId="0" applyFont="1" applyAlignment="1">
      <alignment vertical="center"/>
    </xf>
    <xf numFmtId="0" fontId="3" fillId="0" borderId="0" xfId="0" applyFont="1" applyAlignment="1">
      <alignment wrapText="1"/>
    </xf>
    <xf numFmtId="0" fontId="3" fillId="0" borderId="0" xfId="0" applyFont="1" applyAlignment="1">
      <alignment horizontal="left" wrapText="1"/>
    </xf>
    <xf numFmtId="0" fontId="3" fillId="0" borderId="0" xfId="0" applyFont="1" applyAlignment="1">
      <alignment vertical="center" wrapText="1"/>
    </xf>
    <xf numFmtId="0" fontId="3" fillId="0" borderId="0" xfId="0" applyFont="1" applyAlignment="1">
      <alignment horizontal="left"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horizontal="center"/>
    </xf>
    <xf numFmtId="0" fontId="4" fillId="0" borderId="0" xfId="0" applyFont="1" applyAlignment="1">
      <alignment horizontal="center" vertical="center"/>
    </xf>
    <xf numFmtId="0" fontId="6" fillId="0" borderId="0" xfId="0" applyFont="1" applyAlignment="1">
      <alignment horizontal="center" vertical="center"/>
    </xf>
    <xf numFmtId="0" fontId="6" fillId="0" borderId="0" xfId="0" applyFont="1" applyAlignment="1">
      <alignment vertical="center"/>
    </xf>
    <xf numFmtId="0" fontId="4" fillId="5" borderId="3" xfId="0" applyFont="1" applyFill="1" applyBorder="1" applyAlignment="1">
      <alignment vertical="center"/>
    </xf>
    <xf numFmtId="0" fontId="4" fillId="0" borderId="3" xfId="0" applyFont="1" applyBorder="1" applyAlignment="1">
      <alignment vertical="center"/>
    </xf>
    <xf numFmtId="0" fontId="3" fillId="5" borderId="3" xfId="0" applyFont="1" applyFill="1" applyBorder="1"/>
    <xf numFmtId="0" fontId="3" fillId="0" borderId="3" xfId="0" applyFont="1" applyBorder="1"/>
    <xf numFmtId="0" fontId="3" fillId="5" borderId="4" xfId="0" applyFont="1" applyFill="1" applyBorder="1"/>
    <xf numFmtId="0" fontId="4" fillId="5" borderId="4" xfId="0" applyFont="1" applyFill="1" applyBorder="1" applyAlignment="1">
      <alignment vertical="center"/>
    </xf>
    <xf numFmtId="0" fontId="3" fillId="0" borderId="4" xfId="0" applyFont="1" applyBorder="1"/>
    <xf numFmtId="0" fontId="0" fillId="0" borderId="0" xfId="0" applyAlignment="1">
      <alignment wrapText="1"/>
    </xf>
    <xf numFmtId="0" fontId="3" fillId="0" borderId="8" xfId="0" applyFont="1" applyBorder="1" applyAlignment="1">
      <alignment horizontal="center" vertical="center" wrapText="1"/>
    </xf>
    <xf numFmtId="0" fontId="3" fillId="0" borderId="9" xfId="0" applyFont="1" applyBorder="1" applyAlignment="1">
      <alignment horizontal="left" vertical="center" wrapText="1"/>
    </xf>
    <xf numFmtId="0" fontId="3" fillId="0" borderId="10" xfId="0" applyFont="1" applyBorder="1" applyAlignment="1">
      <alignment horizontal="left" vertical="center" wrapText="1"/>
    </xf>
    <xf numFmtId="0" fontId="3" fillId="0" borderId="11" xfId="0" applyFont="1" applyBorder="1" applyAlignment="1">
      <alignment horizontal="center" vertical="center" wrapText="1"/>
    </xf>
    <xf numFmtId="0" fontId="3" fillId="0" borderId="13" xfId="0" applyFont="1" applyBorder="1" applyAlignment="1">
      <alignment horizontal="center" vertical="center" wrapText="1"/>
    </xf>
    <xf numFmtId="0" fontId="3" fillId="0" borderId="14" xfId="0" applyFont="1" applyBorder="1" applyAlignment="1">
      <alignment horizontal="left" vertical="center" wrapText="1"/>
    </xf>
    <xf numFmtId="0" fontId="3" fillId="0" borderId="15" xfId="0" applyFont="1" applyBorder="1" applyAlignment="1">
      <alignment horizontal="left" vertical="center" wrapText="1"/>
    </xf>
    <xf numFmtId="0" fontId="12" fillId="2" borderId="0" xfId="0" applyFont="1" applyFill="1" applyAlignment="1">
      <alignment wrapText="1"/>
    </xf>
    <xf numFmtId="0" fontId="4" fillId="0" borderId="0" xfId="0" applyFont="1" applyAlignment="1">
      <alignment vertical="center" wrapText="1"/>
    </xf>
    <xf numFmtId="0" fontId="4" fillId="0" borderId="0" xfId="0" applyFont="1" applyAlignment="1">
      <alignment wrapText="1"/>
    </xf>
    <xf numFmtId="0" fontId="3" fillId="0" borderId="0" xfId="0" applyFont="1" applyAlignment="1">
      <alignment vertical="center"/>
    </xf>
    <xf numFmtId="0" fontId="4" fillId="0" borderId="12" xfId="0" applyFont="1" applyBorder="1" applyAlignment="1">
      <alignment horizontal="left" vertical="center" wrapText="1"/>
    </xf>
    <xf numFmtId="0" fontId="4" fillId="0" borderId="15" xfId="0" applyFont="1" applyBorder="1" applyAlignment="1">
      <alignment horizontal="left" vertical="center" wrapText="1"/>
    </xf>
    <xf numFmtId="0" fontId="4" fillId="0" borderId="0" xfId="0" applyFont="1" applyAlignment="1">
      <alignment horizontal="left" vertical="center" wrapText="1"/>
    </xf>
    <xf numFmtId="0" fontId="14" fillId="6" borderId="1"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3" fillId="6" borderId="1" xfId="0" applyFont="1" applyFill="1" applyBorder="1" applyAlignment="1">
      <alignment horizontal="center" vertical="center" wrapText="1"/>
    </xf>
    <xf numFmtId="0" fontId="8" fillId="2" borderId="1" xfId="0" applyFont="1" applyFill="1" applyBorder="1" applyAlignment="1">
      <alignment horizontal="center" vertical="center" wrapText="1"/>
    </xf>
    <xf numFmtId="0" fontId="3" fillId="0" borderId="16" xfId="0" applyFont="1" applyBorder="1" applyAlignment="1">
      <alignment vertical="center" wrapText="1"/>
    </xf>
    <xf numFmtId="0" fontId="5" fillId="2" borderId="17" xfId="0" applyFont="1" applyFill="1" applyBorder="1" applyAlignment="1">
      <alignment horizontal="center" vertical="center" wrapText="1"/>
    </xf>
    <xf numFmtId="0" fontId="13" fillId="6" borderId="2"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7" fillId="3" borderId="20" xfId="0" applyFont="1" applyFill="1" applyBorder="1" applyAlignment="1">
      <alignment horizontal="center" vertical="center" wrapText="1"/>
    </xf>
    <xf numFmtId="0" fontId="7" fillId="3"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6" fillId="8" borderId="7" xfId="0" applyFont="1" applyFill="1" applyBorder="1" applyAlignment="1">
      <alignment horizontal="center" vertical="center" wrapText="1"/>
    </xf>
    <xf numFmtId="0" fontId="17" fillId="7" borderId="23" xfId="0" applyFont="1" applyFill="1" applyBorder="1" applyAlignment="1">
      <alignment horizontal="center" vertical="center" wrapText="1"/>
    </xf>
    <xf numFmtId="0" fontId="17" fillId="8" borderId="24" xfId="0" applyFont="1" applyFill="1" applyBorder="1" applyAlignment="1">
      <alignment horizontal="center" vertical="center" wrapText="1"/>
    </xf>
    <xf numFmtId="0" fontId="13" fillId="6" borderId="24" xfId="0" applyFont="1" applyFill="1" applyBorder="1" applyAlignment="1">
      <alignment horizontal="center" vertical="center" wrapText="1"/>
    </xf>
    <xf numFmtId="0" fontId="3" fillId="0" borderId="18" xfId="0" applyFont="1" applyBorder="1" applyAlignment="1">
      <alignment vertical="center"/>
    </xf>
    <xf numFmtId="0" fontId="3" fillId="0" borderId="18" xfId="0" applyFont="1" applyBorder="1" applyAlignment="1">
      <alignment vertical="center" wrapText="1"/>
    </xf>
    <xf numFmtId="0" fontId="4" fillId="0" borderId="18" xfId="0" applyFont="1" applyBorder="1" applyAlignment="1">
      <alignment wrapText="1"/>
    </xf>
    <xf numFmtId="0" fontId="3" fillId="0" borderId="18" xfId="0" applyFont="1" applyBorder="1" applyAlignment="1">
      <alignment horizontal="left" vertical="center" wrapText="1"/>
    </xf>
    <xf numFmtId="0" fontId="3" fillId="0" borderId="26" xfId="0" applyFont="1" applyBorder="1" applyAlignment="1">
      <alignment vertical="center" wrapText="1"/>
    </xf>
    <xf numFmtId="0" fontId="3" fillId="0" borderId="25" xfId="0" applyFont="1" applyBorder="1" applyAlignment="1">
      <alignment vertical="center" wrapText="1"/>
    </xf>
    <xf numFmtId="0" fontId="16" fillId="8" borderId="1" xfId="0" applyFont="1" applyFill="1" applyBorder="1" applyAlignment="1">
      <alignment horizontal="center" vertical="center" wrapText="1"/>
    </xf>
    <xf numFmtId="0" fontId="18" fillId="8" borderId="1" xfId="0" applyFont="1" applyFill="1" applyBorder="1" applyAlignment="1">
      <alignment horizontal="center" vertical="center" wrapText="1"/>
    </xf>
    <xf numFmtId="0" fontId="17" fillId="8" borderId="1" xfId="0" applyFont="1" applyFill="1" applyBorder="1" applyAlignment="1">
      <alignment horizontal="center" vertical="center" wrapText="1"/>
    </xf>
    <xf numFmtId="0" fontId="7" fillId="8" borderId="1" xfId="0" applyFont="1" applyFill="1" applyBorder="1" applyAlignment="1">
      <alignment horizontal="center" vertical="center" wrapText="1"/>
    </xf>
    <xf numFmtId="0" fontId="9" fillId="0" borderId="18" xfId="0" applyFont="1" applyBorder="1" applyAlignment="1">
      <alignment horizontal="left" vertical="center" wrapText="1"/>
    </xf>
    <xf numFmtId="0" fontId="9" fillId="0" borderId="0" xfId="0" applyFont="1" applyAlignment="1">
      <alignment horizontal="left" vertical="center" wrapText="1"/>
    </xf>
    <xf numFmtId="0" fontId="3" fillId="0" borderId="14" xfId="0" applyFont="1" applyBorder="1" applyAlignment="1">
      <alignment vertical="center" wrapText="1"/>
    </xf>
    <xf numFmtId="0" fontId="9" fillId="0" borderId="14" xfId="0" applyFont="1" applyBorder="1" applyAlignment="1">
      <alignment horizontal="left" vertical="center" wrapText="1"/>
    </xf>
    <xf numFmtId="0" fontId="3" fillId="0" borderId="14" xfId="0" applyFont="1" applyBorder="1" applyAlignment="1">
      <alignment vertical="center"/>
    </xf>
    <xf numFmtId="0" fontId="3" fillId="0" borderId="9" xfId="0" applyFont="1" applyBorder="1" applyAlignment="1">
      <alignment vertical="center" wrapText="1"/>
    </xf>
    <xf numFmtId="0" fontId="9" fillId="0" borderId="9" xfId="0" applyFont="1" applyBorder="1" applyAlignment="1">
      <alignment horizontal="left" vertical="center" wrapText="1"/>
    </xf>
    <xf numFmtId="0" fontId="3" fillId="0" borderId="9" xfId="0" applyFont="1" applyBorder="1" applyAlignment="1">
      <alignment vertical="center"/>
    </xf>
    <xf numFmtId="0" fontId="4" fillId="0" borderId="9" xfId="0" applyFont="1" applyBorder="1" applyAlignment="1">
      <alignment vertical="center" wrapText="1"/>
    </xf>
    <xf numFmtId="0" fontId="3" fillId="0" borderId="19" xfId="0" applyFont="1" applyBorder="1" applyAlignment="1">
      <alignment vertical="center" wrapText="1"/>
    </xf>
    <xf numFmtId="0" fontId="7" fillId="3" borderId="27" xfId="0" applyFont="1" applyFill="1" applyBorder="1" applyAlignment="1">
      <alignment horizontal="center" vertical="center" wrapText="1"/>
    </xf>
    <xf numFmtId="0" fontId="4" fillId="0" borderId="18" xfId="0" applyFont="1" applyBorder="1" applyAlignment="1">
      <alignment vertical="center" wrapText="1"/>
    </xf>
    <xf numFmtId="0" fontId="4" fillId="0" borderId="0" xfId="0" applyFont="1" applyAlignment="1">
      <alignment vertical="center" wrapText="1"/>
    </xf>
    <xf numFmtId="0" fontId="4" fillId="0" borderId="14" xfId="0" applyFont="1" applyBorder="1" applyAlignment="1">
      <alignment vertical="center" wrapText="1"/>
    </xf>
    <xf numFmtId="0" fontId="4" fillId="0" borderId="18" xfId="0" applyFont="1" applyBorder="1" applyAlignment="1">
      <alignment vertical="center" wrapText="1"/>
    </xf>
    <xf numFmtId="0" fontId="4" fillId="0" borderId="0" xfId="0" applyFont="1" applyAlignment="1">
      <alignment horizontal="left" vertical="center" wrapText="1"/>
    </xf>
    <xf numFmtId="0" fontId="4" fillId="0" borderId="14" xfId="0" applyFont="1" applyBorder="1" applyAlignment="1">
      <alignment horizontal="left" vertical="center" wrapText="1"/>
    </xf>
    <xf numFmtId="0" fontId="3" fillId="0" borderId="19" xfId="0" applyFont="1" applyBorder="1" applyAlignment="1">
      <alignment vertical="center" wrapText="1"/>
    </xf>
    <xf numFmtId="0" fontId="3" fillId="0" borderId="0" xfId="0" applyFont="1" applyAlignment="1">
      <alignment vertical="center" wrapText="1"/>
    </xf>
    <xf numFmtId="0" fontId="3" fillId="0" borderId="14" xfId="0" applyFont="1" applyBorder="1" applyAlignment="1">
      <alignment vertical="center" wrapText="1"/>
    </xf>
    <xf numFmtId="0" fontId="3" fillId="0" borderId="9" xfId="0" applyFont="1" applyBorder="1" applyAlignment="1">
      <alignment vertical="center" wrapText="1"/>
    </xf>
    <xf numFmtId="0" fontId="3" fillId="0" borderId="0" xfId="0" applyFont="1" applyAlignment="1">
      <alignment horizontal="left" vertical="center" wrapText="1"/>
    </xf>
    <xf numFmtId="0" fontId="3" fillId="0" borderId="16" xfId="0" applyFont="1" applyBorder="1" applyAlignment="1">
      <alignment horizontal="left" vertical="center" wrapText="1"/>
    </xf>
    <xf numFmtId="0" fontId="3" fillId="0" borderId="0" xfId="0" applyFont="1" applyAlignment="1">
      <alignment horizontal="center" vertical="center" wrapText="1"/>
    </xf>
    <xf numFmtId="0" fontId="3" fillId="0" borderId="14"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18" xfId="0" applyFont="1" applyBorder="1" applyAlignment="1">
      <alignment horizontal="left" vertical="center" wrapText="1"/>
    </xf>
    <xf numFmtId="0" fontId="3" fillId="0" borderId="14" xfId="0" applyFont="1" applyBorder="1" applyAlignment="1">
      <alignment horizontal="left" vertical="center" wrapText="1"/>
    </xf>
    <xf numFmtId="0" fontId="4" fillId="0" borderId="18"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0" xfId="0" applyFont="1" applyAlignment="1">
      <alignment horizontal="center" vertical="center" wrapText="1"/>
    </xf>
    <xf numFmtId="0" fontId="4" fillId="0" borderId="18" xfId="0" applyFont="1" applyBorder="1" applyAlignment="1">
      <alignment horizontal="left" vertical="center" wrapText="1"/>
    </xf>
    <xf numFmtId="0" fontId="4" fillId="0" borderId="9" xfId="0" applyFont="1" applyBorder="1" applyAlignment="1">
      <alignment horizontal="center" vertical="center" wrapText="1"/>
    </xf>
    <xf numFmtId="0" fontId="4" fillId="0" borderId="16"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9" xfId="0" applyFont="1" applyBorder="1" applyAlignment="1">
      <alignment vertical="center" wrapText="1"/>
    </xf>
    <xf numFmtId="0" fontId="3" fillId="0" borderId="9" xfId="0" applyFont="1" applyBorder="1" applyAlignment="1">
      <alignment horizontal="center" vertical="center" wrapText="1"/>
    </xf>
    <xf numFmtId="0" fontId="3" fillId="0" borderId="9" xfId="0" applyFont="1" applyBorder="1" applyAlignment="1">
      <alignment horizontal="left" vertical="center" wrapText="1"/>
    </xf>
    <xf numFmtId="0" fontId="3" fillId="0" borderId="19" xfId="0" applyFont="1" applyBorder="1" applyAlignment="1">
      <alignment horizontal="left" vertical="center" wrapText="1"/>
    </xf>
    <xf numFmtId="0" fontId="3" fillId="0" borderId="16" xfId="0" applyFont="1" applyBorder="1" applyAlignment="1">
      <alignment vertical="center" wrapText="1"/>
    </xf>
    <xf numFmtId="0" fontId="4" fillId="0" borderId="14" xfId="0" applyFont="1" applyBorder="1" applyAlignment="1">
      <alignment vertical="center"/>
    </xf>
    <xf numFmtId="0" fontId="3" fillId="0" borderId="19" xfId="0" applyFont="1" applyBorder="1" applyAlignment="1">
      <alignment horizontal="center" vertical="center" wrapText="1"/>
    </xf>
    <xf numFmtId="0" fontId="9" fillId="0" borderId="9" xfId="0" applyFont="1" applyBorder="1" applyAlignment="1">
      <alignment horizontal="left" vertical="center" wrapText="1"/>
    </xf>
    <xf numFmtId="0" fontId="9" fillId="0" borderId="0" xfId="0" applyFont="1" applyAlignment="1">
      <alignment horizontal="left" vertical="center" wrapText="1"/>
    </xf>
    <xf numFmtId="0" fontId="9" fillId="0" borderId="14" xfId="0" applyFont="1" applyBorder="1" applyAlignment="1">
      <alignment horizontal="left" vertical="center" wrapText="1"/>
    </xf>
    <xf numFmtId="0" fontId="4" fillId="0" borderId="9" xfId="0" applyFont="1" applyBorder="1" applyAlignment="1">
      <alignment horizontal="center" vertical="center"/>
    </xf>
    <xf numFmtId="0" fontId="4" fillId="0" borderId="0" xfId="0" applyFont="1" applyAlignment="1">
      <alignment horizontal="center" vertical="center"/>
    </xf>
    <xf numFmtId="0" fontId="4" fillId="0" borderId="14" xfId="0" applyFont="1" applyBorder="1" applyAlignment="1">
      <alignment horizontal="center" vertical="center"/>
    </xf>
    <xf numFmtId="0" fontId="3" fillId="0" borderId="16" xfId="0" applyFont="1" applyBorder="1" applyAlignment="1">
      <alignment horizontal="center" vertical="center" wrapText="1"/>
    </xf>
    <xf numFmtId="0" fontId="14" fillId="6" borderId="5" xfId="0" applyFont="1" applyFill="1" applyBorder="1" applyAlignment="1">
      <alignment horizontal="center" vertical="center" wrapText="1"/>
    </xf>
    <xf numFmtId="0" fontId="14" fillId="6" borderId="7"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13" fillId="6" borderId="21" xfId="0" applyFont="1" applyFill="1" applyBorder="1" applyAlignment="1">
      <alignment horizontal="center" vertical="center" wrapText="1"/>
    </xf>
    <xf numFmtId="0" fontId="13" fillId="6" borderId="22" xfId="0" applyFont="1" applyFill="1" applyBorder="1" applyAlignment="1">
      <alignment horizontal="center" vertical="center" wrapText="1"/>
    </xf>
    <xf numFmtId="0" fontId="9" fillId="0" borderId="18" xfId="0" applyFont="1" applyBorder="1" applyAlignment="1">
      <alignment horizontal="left" vertical="center" wrapText="1"/>
    </xf>
    <xf numFmtId="0" fontId="3" fillId="0" borderId="0" xfId="0" applyFont="1" applyAlignment="1">
      <alignment horizontal="center"/>
    </xf>
    <xf numFmtId="0" fontId="5" fillId="4" borderId="1" xfId="0" applyFont="1" applyFill="1" applyBorder="1" applyAlignment="1">
      <alignment horizontal="center"/>
    </xf>
    <xf numFmtId="0" fontId="5" fillId="4" borderId="5" xfId="0" applyFont="1" applyFill="1" applyBorder="1" applyAlignment="1">
      <alignment horizontal="center"/>
    </xf>
    <xf numFmtId="0" fontId="5" fillId="4" borderId="6" xfId="0" applyFont="1" applyFill="1" applyBorder="1" applyAlignment="1">
      <alignment horizontal="center"/>
    </xf>
    <xf numFmtId="0" fontId="5" fillId="4" borderId="7" xfId="0" applyFont="1" applyFill="1" applyBorder="1" applyAlignment="1">
      <alignment horizontal="center"/>
    </xf>
  </cellXfs>
  <cellStyles count="1">
    <cellStyle name="Normal" xfId="0" builtinId="0"/>
  </cellStyles>
  <dxfs count="187">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font>
        <b val="0"/>
        <i val="0"/>
        <strike val="0"/>
        <condense val="0"/>
        <extend val="0"/>
        <outline val="0"/>
        <shadow val="0"/>
        <u val="none"/>
        <vertAlign val="baseline"/>
        <sz val="11"/>
        <color theme="1"/>
        <name val="Gill Sans MT"/>
        <family val="2"/>
        <scheme val="none"/>
      </font>
      <fill>
        <patternFill patternType="solid">
          <fgColor theme="4" tint="0.79998168889431442"/>
          <bgColor theme="4" tint="0.79998168889431442"/>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border diagonalUp="0" diagonalDown="0">
        <left style="thin">
          <color theme="4" tint="0.39997558519241921"/>
        </left>
        <right style="thin">
          <color theme="4" tint="0.39997558519241921"/>
        </right>
        <top style="thin">
          <color theme="4" tint="0.39997558519241921"/>
        </top>
        <bottom style="thin">
          <color theme="4" tint="0.39997558519241921"/>
        </bottom>
        <vertical/>
        <horizontal/>
      </border>
    </dxf>
    <dxf>
      <border outline="0">
        <bottom style="thin">
          <color theme="4" tint="0.39997558519241921"/>
        </bottom>
      </border>
    </dxf>
    <dxf>
      <font>
        <b val="0"/>
        <i val="0"/>
        <strike val="0"/>
        <condense val="0"/>
        <extend val="0"/>
        <outline val="0"/>
        <shadow val="0"/>
        <u val="none"/>
        <vertAlign val="baseline"/>
        <sz val="11"/>
        <color rgb="FF000000"/>
        <name val="Gill Sans MT"/>
        <family val="2"/>
        <scheme val="none"/>
      </font>
      <fill>
        <patternFill patternType="solid">
          <fgColor theme="4" tint="0.79998168889431442"/>
          <bgColor theme="4" tint="0.79998168889431442"/>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fill>
        <patternFill patternType="none">
          <fgColor indexed="64"/>
          <bgColor indexed="65"/>
        </patternFill>
      </fill>
      <alignment horizontal="general" vertical="bottom" textRotation="0" wrapText="0" indent="0" justifyLastLine="0" shrinkToFit="0" readingOrder="0"/>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rgb="FF000000"/>
        <name val="Gill Sans MT"/>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0"/>
        <name val="Gill Sans MT"/>
        <family val="2"/>
        <scheme val="none"/>
      </font>
      <alignment horizontal="center" vertical="center" textRotation="0" wrapText="0" indent="0" justifyLastLine="0" shrinkToFit="0" readingOrder="0"/>
    </dxf>
    <dxf>
      <font>
        <strike val="0"/>
        <outline val="0"/>
        <shadow val="0"/>
        <u val="none"/>
        <vertAlign val="baseline"/>
        <sz val="11"/>
        <name val="Gill Sans MT"/>
        <family val="2"/>
        <scheme val="none"/>
      </font>
    </dxf>
    <dxf>
      <font>
        <strike val="0"/>
        <outline val="0"/>
        <shadow val="0"/>
        <u val="none"/>
        <vertAlign val="baseline"/>
        <sz val="11"/>
        <name val="Gill Sans MT"/>
        <family val="2"/>
        <scheme val="none"/>
      </font>
    </dxf>
    <dxf>
      <font>
        <b val="0"/>
        <i val="0"/>
        <strike val="0"/>
        <condense val="0"/>
        <extend val="0"/>
        <outline val="0"/>
        <shadow val="0"/>
        <u val="none"/>
        <vertAlign val="baseline"/>
        <sz val="11"/>
        <color theme="1"/>
        <name val="Gill Sans MT"/>
        <family val="2"/>
        <scheme val="none"/>
      </font>
      <alignment horizontal="general" vertical="bottom" textRotation="0" wrapText="0" indent="0" justifyLastLine="0" shrinkToFit="0" readingOrder="0"/>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font>
        <strike val="0"/>
        <outline val="0"/>
        <shadow val="0"/>
        <u val="none"/>
        <vertAlign val="baseline"/>
        <sz val="11"/>
        <color theme="1"/>
        <name val="Gill Sans MT"/>
        <family val="2"/>
        <scheme val="none"/>
      </font>
    </dxf>
    <dxf>
      <border outline="0">
        <bottom style="thin">
          <color indexed="64"/>
        </bottom>
      </border>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font>
        <strike val="0"/>
        <outline val="0"/>
        <shadow val="0"/>
        <u val="none"/>
        <vertAlign val="baseline"/>
        <name val="Gill Sans MT"/>
        <family val="2"/>
        <scheme val="none"/>
      </font>
      <alignment horizontal="left" vertical="center" textRotation="0" wrapText="1" indent="0" justifyLastLine="0" shrinkToFit="0" readingOrder="0"/>
    </dxf>
    <dxf>
      <border outline="0">
        <bottom style="thin">
          <color indexed="64"/>
        </bottom>
      </border>
    </dxf>
    <dxf>
      <alignment textRotation="0" wrapText="1" indent="0" justifyLastLine="0" shrinkToFit="0" readingOrder="0"/>
    </dxf>
    <dxf>
      <alignment textRotation="0" wrapText="1" indent="0" justifyLastLine="0" shrinkToFit="0" readingOrder="0"/>
    </dxf>
    <dxf>
      <fill>
        <patternFill>
          <bgColor theme="8" tint="0.79998168889431442"/>
        </patternFill>
      </fill>
      <border>
        <left style="thin">
          <color auto="1"/>
        </left>
        <right style="thin">
          <color auto="1"/>
        </right>
        <top style="thin">
          <color auto="1"/>
        </top>
        <bottom style="thin">
          <color auto="1"/>
        </bottom>
      </border>
    </dxf>
    <dxf>
      <fill>
        <patternFill patternType="none">
          <bgColor auto="1"/>
        </patternFill>
      </fill>
    </dxf>
    <dxf>
      <fill>
        <patternFill>
          <bgColor theme="4"/>
        </patternFill>
      </fill>
      <border>
        <left style="thin">
          <color auto="1"/>
        </left>
        <right style="thin">
          <color auto="1"/>
        </right>
        <top style="thin">
          <color auto="1"/>
        </top>
        <bottom style="thin">
          <color auto="1"/>
        </bottom>
        <vertical style="thin">
          <color auto="1"/>
        </vertical>
        <horizontal style="thin">
          <color auto="1"/>
        </horizontal>
      </border>
    </dxf>
  </dxfs>
  <tableStyles count="3" defaultTableStyle="TableStyleMedium2" defaultPivotStyle="PivotStyleLight16">
    <tableStyle name="Estilo de tabla 1" pivot="0" count="1" xr9:uid="{D31AC5D5-9EFB-4153-9086-9AA6037B7BF8}">
      <tableStyleElement type="headerRow" dxfId="186"/>
    </tableStyle>
    <tableStyle name="Estilo de tabla 2" pivot="0" count="1" xr9:uid="{C6F8D6C6-DD7E-42E8-8328-19C722F9F97F}">
      <tableStyleElement type="wholeTable" dxfId="185"/>
    </tableStyle>
    <tableStyle name="Estilo de tabla 3" pivot="0" count="1" xr9:uid="{BD8219D8-F95E-4ADD-BD98-5883EDA7E91C}">
      <tableStyleElement type="headerRow" dxfId="184"/>
    </tableStyle>
  </tableStyles>
  <colors>
    <mruColors>
      <color rgb="FF0F385A"/>
      <color rgb="FF1FB2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CB5A09AE-6E0A-4423-97CC-BCC9323C6106}" name="SaberAsociado" displayName="SaberAsociado" ref="F2:F120" totalsRowShown="0" dataDxfId="183">
  <autoFilter ref="F2:F120" xr:uid="{6B33C6A0-281A-4523-9649-F45582F44E0C}"/>
  <tableColumns count="1">
    <tableColumn id="3" xr3:uid="{B7FC7E80-C7B1-4229-BEAF-800B454B3882}" name="Dominio Asociado" dataDxfId="182"/>
  </tableColumns>
  <tableStyleInfo name="Estilo de tabla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1098305F-8A4D-4BE0-A8B1-478669C9DCB9}" name="Tabla12" displayName="Tabla12" ref="H2:H114" totalsRowShown="0" headerRowBorderDxfId="181">
  <autoFilter ref="H2:H114" xr:uid="{7C50D4E7-0DFF-4894-9E61-F39A34DAFD72}"/>
  <tableColumns count="1">
    <tableColumn id="1" xr3:uid="{F7D209E5-9AF4-408D-8167-9707EA0697F8}" name="Verbo RA"/>
  </tableColumns>
  <tableStyleInfo name="Estilo de tabla 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12563B45-CE29-48EF-9D3B-31E724AE7765}" name="Tabla9" displayName="Tabla9" ref="D2:D90" totalsRowShown="0" dataDxfId="180">
  <autoFilter ref="D2:D90" xr:uid="{E001AE7B-5064-4EB7-83F0-1C544267599C}"/>
  <tableColumns count="1">
    <tableColumn id="1" xr3:uid="{48705DDE-8493-49D5-A3A1-1B7D4B085126}" name="SaberAsociado" dataDxfId="179"/>
  </tableColumns>
  <tableStyleInfo name="Estilo de tabla 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9C44B81-8C70-44B8-A2BE-7F8C288A1AC3}" name="Tabla16" displayName="Tabla16" ref="E2:E122" totalsRowShown="0" dataDxfId="178">
  <autoFilter ref="E2:E122" xr:uid="{A3898B0A-1279-465E-8035-7106AF2AC148}"/>
  <tableColumns count="1">
    <tableColumn id="1" xr3:uid="{FD585748-2261-4744-ADA8-357C741929BD}" name="Taxonomía" dataDxfId="177"/>
  </tableColumns>
  <tableStyleInfo name="Estilo de tabla 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7717B72-A629-4F09-A351-BFDC9826E9B5}" name="Tabla61" displayName="Tabla61" ref="G2:G124" totalsRowShown="0" headerRowBorderDxfId="176">
  <autoFilter ref="G2:G124" xr:uid="{3D91F508-9088-4259-AFFC-438B7E0623C9}"/>
  <tableColumns count="1">
    <tableColumn id="1" xr3:uid="{2BEB68A7-F832-4685-B57B-954AA13A51B3}" name="Nivel Dominio"/>
  </tableColumns>
  <tableStyleInfo name="Estilo de tabla 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2" xr:uid="{B2A92B26-EF0C-4878-B50A-6837C8B938F9}" name="Tabla33103" displayName="Tabla33103" ref="B1:B37" totalsRowShown="0" headerRowDxfId="175" dataDxfId="174">
  <autoFilter ref="B1:B37" xr:uid="{B2A92B26-EF0C-4878-B50A-6837C8B938F9}"/>
  <sortState xmlns:xlrd2="http://schemas.microsoft.com/office/spreadsheetml/2017/richdata2" ref="B2:B37">
    <sortCondition ref="B1:B37"/>
  </sortState>
  <tableColumns count="1">
    <tableColumn id="1" xr3:uid="{29152045-E0EB-4BF0-98F0-61C280340B30}" name="Verbos Competencias" dataDxfId="173"/>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48FC5A9A-4920-4623-A07A-3CF9371DCF4A}" name="Tabla1715" displayName="Tabla1715" ref="A3:A7" totalsRowShown="0" headerRowDxfId="172" dataDxfId="171">
  <autoFilter ref="A3:A7" xr:uid="{48FC5A9A-4920-4623-A07A-3CF9371DCF4A}"/>
  <tableColumns count="1">
    <tableColumn id="1" xr3:uid="{63D540FA-82EB-4145-8DC7-B519D8CD7CC0}" name="Taxonomías" dataDxfId="170"/>
  </tableColumns>
  <tableStyleInfo name="Estilo de tabla 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59BF92EC-A277-4656-A963-5B1EAB7D46D6}" name="Tabla1816" displayName="Tabla1816" ref="AL4:AL32" totalsRowShown="0" headerRowDxfId="169" dataDxfId="168">
  <autoFilter ref="AL4:AL32" xr:uid="{59BF92EC-A277-4656-A963-5B1EAB7D46D6}"/>
  <sortState xmlns:xlrd2="http://schemas.microsoft.com/office/spreadsheetml/2017/richdata2" ref="AL5:AL32">
    <sortCondition ref="AL5:AL32"/>
  </sortState>
  <tableColumns count="1">
    <tableColumn id="1" xr3:uid="{F4C3BEC3-A8BA-43A6-AF00-06D2C8E04D5E}" name="RecordarLK" dataDxfId="16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3A057E8-BC14-4481-9B47-B7A94BC9D97A}" name="Tabla1926" displayName="Tabla1926" ref="AM4:AM28" totalsRowShown="0" headerRowDxfId="166" dataDxfId="165">
  <autoFilter ref="AM4:AM28" xr:uid="{B3A057E8-BC14-4481-9B47-B7A94BC9D97A}"/>
  <sortState xmlns:xlrd2="http://schemas.microsoft.com/office/spreadsheetml/2017/richdata2" ref="AM5:AM28">
    <sortCondition ref="AM5:AM28"/>
  </sortState>
  <tableColumns count="1">
    <tableColumn id="1" xr3:uid="{22C36FE7-AAEE-4B9D-8345-61BDDF16672A}" name="ComprenderLK" dataDxfId="164"/>
  </tableColumns>
  <tableStyleInfo name="TableStyleMedium2"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CD6709B3-878C-4665-A64F-6617D841DAF8}" name="Tabla2028" displayName="Tabla2028" ref="AN4:AN31" totalsRowShown="0" headerRowDxfId="163" dataDxfId="162">
  <autoFilter ref="AN4:AN31" xr:uid="{CD6709B3-878C-4665-A64F-6617D841DAF8}"/>
  <sortState xmlns:xlrd2="http://schemas.microsoft.com/office/spreadsheetml/2017/richdata2" ref="AN5:AN31">
    <sortCondition ref="AN5:AN31"/>
  </sortState>
  <tableColumns count="1">
    <tableColumn id="1" xr3:uid="{E0748E34-505E-4B6C-88AD-69D1650A1458}" name="AplicarLK" dataDxfId="161"/>
  </tableColumns>
  <tableStyleInfo name="TableStyleMedium2"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C6F0B0E8-A8D0-4F61-A40D-B1423DE7B813}" name="Tabla2129" displayName="Tabla2129" ref="AO4:AO35" totalsRowShown="0" headerRowDxfId="160" dataDxfId="159">
  <autoFilter ref="AO4:AO35" xr:uid="{C6F0B0E8-A8D0-4F61-A40D-B1423DE7B813}"/>
  <sortState xmlns:xlrd2="http://schemas.microsoft.com/office/spreadsheetml/2017/richdata2" ref="AO5:AO35">
    <sortCondition ref="AO5:AO35"/>
  </sortState>
  <tableColumns count="1">
    <tableColumn id="1" xr3:uid="{4EC3AE28-DA86-4BC0-BF7B-BF5699537101}" name="AnalizarLK" dataDxfId="158"/>
  </tableColumns>
  <tableStyleInfo name="TableStyleMedium2"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7847CBB9-9D6E-4D0E-8127-07F853DB7AC6}" name="Tabla2230" displayName="Tabla2230" ref="AP4:AP47" totalsRowShown="0" headerRowDxfId="157" dataDxfId="156">
  <autoFilter ref="AP4:AP47" xr:uid="{7847CBB9-9D6E-4D0E-8127-07F853DB7AC6}"/>
  <sortState xmlns:xlrd2="http://schemas.microsoft.com/office/spreadsheetml/2017/richdata2" ref="AP5:AP47">
    <sortCondition ref="AP5:AP47"/>
  </sortState>
  <tableColumns count="1">
    <tableColumn id="1" xr3:uid="{47FDF88B-30DA-4104-BC28-92F05B1464DC}" name="EvaluarLK" dataDxfId="155"/>
  </tableColumns>
  <tableStyleInfo name="TableStyleMedium2"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1D29FBDA-C4C7-4802-9945-B1136AA1A5B6}" name="Tabla2333" displayName="Tabla2333" ref="AQ4:AQ21" totalsRowShown="0" headerRowDxfId="154" dataDxfId="153">
  <autoFilter ref="AQ4:AQ21" xr:uid="{1D29FBDA-C4C7-4802-9945-B1136AA1A5B6}"/>
  <sortState xmlns:xlrd2="http://schemas.microsoft.com/office/spreadsheetml/2017/richdata2" ref="AQ5:AQ21">
    <sortCondition ref="AQ5:AQ21"/>
  </sortState>
  <tableColumns count="1">
    <tableColumn id="1" xr3:uid="{695E3FF0-9053-4D06-82E6-12950FD1BCA1}" name="CrearLK" dataDxfId="152"/>
  </tableColumns>
  <tableStyleInfo name="TableStyleMedium2"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F8CECA1C-3082-403C-A916-A3F7860E419B}" name="Tabla3555" displayName="Tabla3555" ref="S3:S45" totalsRowShown="0" headerRowDxfId="151" dataDxfId="150">
  <autoFilter ref="S3:S45" xr:uid="{F8CECA1C-3082-403C-A916-A3F7860E419B}"/>
  <sortState xmlns:xlrd2="http://schemas.microsoft.com/office/spreadsheetml/2017/richdata2" ref="S4:S45">
    <sortCondition ref="S4:S45"/>
  </sortState>
  <tableColumns count="1">
    <tableColumn id="1" xr3:uid="{E8288FDF-6DC1-467B-8083-3BB5E5966D23}" name="ConocimientoBAK" dataDxfId="149"/>
  </tableColumns>
  <tableStyleInfo name="TableStyleMedium2"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91DAFDAE-F212-4BAF-BC19-DDD22FBAA62D}" name="Tabla3663" displayName="Tabla3663" ref="T3:T42" totalsRowShown="0" headerRowDxfId="148" dataDxfId="147">
  <autoFilter ref="T3:T42" xr:uid="{91DAFDAE-F212-4BAF-BC19-DDD22FBAA62D}"/>
  <sortState xmlns:xlrd2="http://schemas.microsoft.com/office/spreadsheetml/2017/richdata2" ref="T4:T42">
    <sortCondition ref="T4:T42"/>
  </sortState>
  <tableColumns count="1">
    <tableColumn id="1" xr3:uid="{BE0B8AE9-98EE-44F6-8C48-260F8C2558A0}" name="ComprensiónBAK" dataDxfId="146"/>
  </tableColumns>
  <tableStyleInfo name="TableStyleMedium2"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B1A040A9-8CFD-4596-8FBC-27FD56392945}" name="Tabla3764" displayName="Tabla3764" ref="U3:U43" totalsRowShown="0" headerRowDxfId="145" dataDxfId="144">
  <autoFilter ref="U3:U43" xr:uid="{B1A040A9-8CFD-4596-8FBC-27FD56392945}"/>
  <sortState xmlns:xlrd2="http://schemas.microsoft.com/office/spreadsheetml/2017/richdata2" ref="U4:U43">
    <sortCondition ref="U4:U43"/>
  </sortState>
  <tableColumns count="1">
    <tableColumn id="1" xr3:uid="{37523E1E-21F0-4AD5-AE5F-B4C6B322C81C}" name="AplicaciónBAK" dataDxfId="143"/>
  </tableColumns>
  <tableStyleInfo name="TableStyleMedium2"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2AA761F5-FCA1-4A0B-90D8-1C642DDF1D1A}" name="Tabla3865" displayName="Tabla3865" ref="V3:V36" totalsRowShown="0" headerRowDxfId="142" dataDxfId="141">
  <autoFilter ref="V3:V36" xr:uid="{2AA761F5-FCA1-4A0B-90D8-1C642DDF1D1A}"/>
  <sortState xmlns:xlrd2="http://schemas.microsoft.com/office/spreadsheetml/2017/richdata2" ref="V4:V36">
    <sortCondition ref="V4:V36"/>
  </sortState>
  <tableColumns count="1">
    <tableColumn id="1" xr3:uid="{AF14FE7A-A899-43F9-A3C0-8119863088B1}" name="AnálisisBAK" dataDxfId="140"/>
  </tableColumns>
  <tableStyleInfo name="TableStyleMedium2"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F6A45780-86A0-4428-88DB-1A555C4970E6}" name="Tabla3966" displayName="Tabla3966" ref="W3:W63" totalsRowShown="0" headerRowDxfId="139" dataDxfId="138">
  <autoFilter ref="W3:W63" xr:uid="{F6A45780-86A0-4428-88DB-1A555C4970E6}"/>
  <sortState xmlns:xlrd2="http://schemas.microsoft.com/office/spreadsheetml/2017/richdata2" ref="W4:W63">
    <sortCondition ref="W4:W63"/>
  </sortState>
  <tableColumns count="1">
    <tableColumn id="1" xr3:uid="{8D1F3CAA-A929-411E-B3AB-90C77CB5BC14}" name="SíntesisBAK" dataDxfId="137"/>
  </tableColumns>
  <tableStyleInfo name="TableStyleMedium2"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3245156A-EE8E-4F9F-B3E3-F1F013A29E6E}" name="Tabla4067" displayName="Tabla4067" ref="X3:X66" totalsRowShown="0" headerRowDxfId="136" dataDxfId="135">
  <autoFilter ref="X3:X66" xr:uid="{3245156A-EE8E-4F9F-B3E3-F1F013A29E6E}"/>
  <sortState xmlns:xlrd2="http://schemas.microsoft.com/office/spreadsheetml/2017/richdata2" ref="X4:X66">
    <sortCondition ref="X4:X66"/>
  </sortState>
  <tableColumns count="1">
    <tableColumn id="1" xr3:uid="{D08EDAAB-166E-48F7-9B09-46F65D2F2270}" name="EvaluaciónBAK" dataDxfId="134"/>
  </tableColumns>
  <tableStyleInfo name="TableStyleMedium2"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C46EE9B-0911-4522-BB5D-1931406AB4AB}" name="Tabla1168" displayName="Tabla1168" ref="Y3:Y52" totalsRowShown="0" headerRowDxfId="133" dataDxfId="132">
  <autoFilter ref="Y3:Y52" xr:uid="{0C46EE9B-0911-4522-BB5D-1931406AB4AB}"/>
  <tableColumns count="1">
    <tableColumn id="1" xr3:uid="{CDE7758F-9A83-44EB-B2E4-CC670F5593B8}" name="ImitaciónBAK" dataDxfId="131"/>
  </tableColumns>
  <tableStyleInfo name="TableStyleMedium2"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300A78DD-9219-4A2F-A2DA-93669B9B6AF3}" name="Tabla3069" displayName="Tabla3069" ref="Z3:Z40" totalsRowShown="0" headerRowDxfId="130" dataDxfId="129">
  <autoFilter ref="Z3:Z40" xr:uid="{300A78DD-9219-4A2F-A2DA-93669B9B6AF3}"/>
  <tableColumns count="1">
    <tableColumn id="1" xr3:uid="{3C407CCE-B486-4656-BA81-116BE1090143}" name="ManipulaciónBAK" dataDxfId="128"/>
  </tableColumns>
  <tableStyleInfo name="TableStyleMedium2"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6877FA86-1F49-4E2D-9448-AFF0346B8BB8}" name="Tabla4170" displayName="Tabla4170" ref="AA3:AA68" totalsRowShown="0" headerRowDxfId="127" dataDxfId="126">
  <autoFilter ref="AA3:AA68" xr:uid="{6877FA86-1F49-4E2D-9448-AFF0346B8BB8}"/>
  <tableColumns count="1">
    <tableColumn id="1" xr3:uid="{D21AF291-1BAF-43EA-AFD3-DAFB2D955E09}" name="PrecisiónBAK" dataDxfId="125"/>
  </tableColumns>
  <tableStyleInfo name="TableStyleMedium2"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FD38FA61-1361-4EA5-A764-8E58B96581E9}" name="Tabla4271" displayName="Tabla4271" ref="AB3:AB62" totalsRowShown="0" headerRowDxfId="124" dataDxfId="123">
  <autoFilter ref="AB3:AB62" xr:uid="{FD38FA61-1361-4EA5-A764-8E58B96581E9}"/>
  <tableColumns count="1">
    <tableColumn id="1" xr3:uid="{982D722A-3D7A-4AAD-A2DF-5EE8DF5E4D9D}" name="ControlBAK" dataDxfId="122"/>
  </tableColumns>
  <tableStyleInfo name="TableStyleMedium2"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503448E5-D0D5-4B82-B461-0CD544CE9D23}" name="Tabla4372" displayName="Tabla4372" ref="AC3:AC43" totalsRowShown="0" headerRowDxfId="121" dataDxfId="120">
  <autoFilter ref="AC3:AC43" xr:uid="{503448E5-D0D5-4B82-B461-0CD544CE9D23}"/>
  <tableColumns count="1">
    <tableColumn id="1" xr3:uid="{03441D59-E383-407F-99E2-74596636CEF0}" name="PercepciónBAK" dataDxfId="119"/>
  </tableColumns>
  <tableStyleInfo name="TableStyleMedium2"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8B46976-D2F4-4AEA-B0BA-6ECF06521BA8}" name="Tabla4473" displayName="Tabla4473" ref="AD3:AD33" totalsRowShown="0" headerRowDxfId="118" dataDxfId="117">
  <autoFilter ref="AD3:AD33" xr:uid="{08B46976-D2F4-4AEA-B0BA-6ECF06521BA8}"/>
  <tableColumns count="1">
    <tableColumn id="1" xr3:uid="{0C49A45E-6C59-4AAB-BD6C-F53324766649}" name="ResponderBAK" dataDxfId="116"/>
  </tableColumns>
  <tableStyleInfo name="TableStyleMedium2"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3" xr:uid="{49448539-0C4F-43C9-9924-5A219B16757C}" name="Tabla4574" displayName="Tabla4574" ref="AE3:AE38" totalsRowShown="0" headerRowDxfId="115" dataDxfId="114">
  <autoFilter ref="AE3:AE38" xr:uid="{49448539-0C4F-43C9-9924-5A219B16757C}"/>
  <tableColumns count="1">
    <tableColumn id="1" xr3:uid="{E2890547-6570-4474-811E-70109D5F5465}" name="ValorarBAK" dataDxfId="113"/>
  </tableColumns>
  <tableStyleInfo name="TableStyleMedium2"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4" xr:uid="{21E76DB2-0E8B-466D-A413-2ABD524DDEEA}" name="Tabla4675" displayName="Tabla4675" ref="AF3:AF29" totalsRowShown="0" headerRowDxfId="112" dataDxfId="111">
  <autoFilter ref="AF3:AF29" xr:uid="{21E76DB2-0E8B-466D-A413-2ABD524DDEEA}"/>
  <tableColumns count="1">
    <tableColumn id="1" xr3:uid="{674DA899-A4D0-4618-B839-C8613BA61338}" name="OrganizarBAK" dataDxfId="110"/>
  </tableColumns>
  <tableStyleInfo name="TableStyleMedium2"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5" xr:uid="{835318B2-CEAD-4A84-8E6B-21115489F3F9}" name="Tabla4776" displayName="Tabla4776" ref="AG3:AG29" totalsRowShown="0" headerRowDxfId="109" dataDxfId="108">
  <autoFilter ref="AG3:AG29" xr:uid="{835318B2-CEAD-4A84-8E6B-21115489F3F9}"/>
  <tableColumns count="1">
    <tableColumn id="1" xr3:uid="{C98AB4FD-C9CE-4966-B509-E36C390C09C7}" name="CaracterizarBAK" dataDxfId="107"/>
  </tableColumns>
  <tableStyleInfo name="TableStyleMedium2"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6" xr:uid="{9E4643CC-87B6-4485-9E83-A8ED35E11905}" name="Tabla354977" displayName="Tabla354977" ref="L3:L45" totalsRowShown="0" headerRowDxfId="106" dataDxfId="105">
  <autoFilter ref="L3:L45" xr:uid="{9E4643CC-87B6-4485-9E83-A8ED35E11905}"/>
  <sortState xmlns:xlrd2="http://schemas.microsoft.com/office/spreadsheetml/2017/richdata2" ref="L4:L45">
    <sortCondition ref="L4:L45"/>
  </sortState>
  <tableColumns count="1">
    <tableColumn id="1" xr3:uid="{29725637-71B1-4F7E-96A8-CB90D5C646B2}" name="ConocimientoB" dataDxfId="104"/>
  </tableColumns>
  <tableStyleInfo name="TableStyleMedium2"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7" xr:uid="{C726BD4C-A167-44A9-8F1B-6936952A7A59}" name="Tabla365078" displayName="Tabla365078" ref="M3:M42" totalsRowShown="0" headerRowDxfId="103" dataDxfId="102">
  <autoFilter ref="M3:M42" xr:uid="{C726BD4C-A167-44A9-8F1B-6936952A7A59}"/>
  <sortState xmlns:xlrd2="http://schemas.microsoft.com/office/spreadsheetml/2017/richdata2" ref="M4:M42">
    <sortCondition ref="M4:M42"/>
  </sortState>
  <tableColumns count="1">
    <tableColumn id="1" xr3:uid="{302CEF3F-D9B7-44E2-B341-CAA4B0E1BEB1}" name="ComprensiónB" dataDxfId="101"/>
  </tableColumns>
  <tableStyleInfo name="TableStyleMedium2"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85965F80-D722-4217-9624-BAE055366227}" name="Tabla375179" displayName="Tabla375179" ref="N3:N43" totalsRowShown="0" headerRowDxfId="100" dataDxfId="99">
  <autoFilter ref="N3:N43" xr:uid="{85965F80-D722-4217-9624-BAE055366227}"/>
  <sortState xmlns:xlrd2="http://schemas.microsoft.com/office/spreadsheetml/2017/richdata2" ref="N4:N43">
    <sortCondition ref="N4:N43"/>
  </sortState>
  <tableColumns count="1">
    <tableColumn id="1" xr3:uid="{8CDFD0B2-187A-490F-B898-52C789C626A8}" name="AplicaciónB" dataDxfId="98"/>
  </tableColumns>
  <tableStyleInfo name="TableStyleMedium2"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9" xr:uid="{4F44782F-9CE2-445E-8EAA-F5D6BC4CE9FF}" name="Tabla385280" displayName="Tabla385280" ref="O3:O36" totalsRowShown="0" headerRowDxfId="97" dataDxfId="96">
  <autoFilter ref="O3:O36" xr:uid="{4F44782F-9CE2-445E-8EAA-F5D6BC4CE9FF}"/>
  <sortState xmlns:xlrd2="http://schemas.microsoft.com/office/spreadsheetml/2017/richdata2" ref="O4:O36">
    <sortCondition ref="O4:O36"/>
  </sortState>
  <tableColumns count="1">
    <tableColumn id="1" xr3:uid="{7941CE9F-DC23-4AFF-A5EC-374F0F21BBEB}" name="AnálisisB" dataDxfId="95"/>
  </tableColumns>
  <tableStyleInfo name="TableStyleMedium2"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0" xr:uid="{8357A631-F2AC-40DB-8ACA-80F00DED06A3}" name="Tabla395381" displayName="Tabla395381" ref="P3:P63" totalsRowShown="0" headerRowDxfId="94" dataDxfId="93">
  <autoFilter ref="P3:P63" xr:uid="{8357A631-F2AC-40DB-8ACA-80F00DED06A3}"/>
  <sortState xmlns:xlrd2="http://schemas.microsoft.com/office/spreadsheetml/2017/richdata2" ref="P4:P63">
    <sortCondition ref="P4:P63"/>
  </sortState>
  <tableColumns count="1">
    <tableColumn id="1" xr3:uid="{E9C49887-DB96-4751-9494-F1CFAE7E02AD}" name="SíntesisB" dataDxfId="92"/>
  </tableColumns>
  <tableStyleInfo name="TableStyleMedium2"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1" xr:uid="{141F631B-4F40-430C-9880-8A1F264F50D0}" name="Tabla405482" displayName="Tabla405482" ref="Q3:Q66" totalsRowShown="0" headerRowDxfId="91" dataDxfId="90">
  <autoFilter ref="Q3:Q66" xr:uid="{141F631B-4F40-430C-9880-8A1F264F50D0}"/>
  <sortState xmlns:xlrd2="http://schemas.microsoft.com/office/spreadsheetml/2017/richdata2" ref="Q4:Q66">
    <sortCondition ref="Q4:Q66"/>
  </sortState>
  <tableColumns count="1">
    <tableColumn id="1" xr3:uid="{42FB5979-4CFB-474A-948A-4C9E2A15A2FA}" name="EvaluaciónB" dataDxfId="89"/>
  </tableColumns>
  <tableStyleInfo name="TableStyleMedium2"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7" xr:uid="{284779C2-7F70-4C90-85C0-9E3404733D87}" name="Tabla6088" displayName="Tabla6088" ref="E3:E6" totalsRowShown="0" headerRowDxfId="88" dataDxfId="87">
  <autoFilter ref="E3:E6" xr:uid="{284779C2-7F70-4C90-85C0-9E3404733D87}"/>
  <tableColumns count="1">
    <tableColumn id="1" xr3:uid="{CE47A420-A4CC-4416-8E2B-4A40C2078194}" name="MK" dataDxfId="86"/>
  </tableColumns>
  <tableStyleInfo name="Estilo de tabla 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6" xr:uid="{0359C141-9677-47C3-845D-242D3C20A7BD}" name="Tabla5987" displayName="Tabla5987" ref="D3:D7" totalsRowShown="0" headerRowDxfId="85" dataDxfId="84">
  <autoFilter ref="D3:D7" xr:uid="{0359C141-9677-47C3-845D-242D3C20A7BD}"/>
  <tableColumns count="1">
    <tableColumn id="1" xr3:uid="{027F3234-EBF7-434A-A95C-3D90248F7600}" name="AK" dataDxfId="83"/>
  </tableColumns>
  <tableStyleInfo name="Estilo de tabla 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5" xr:uid="{60F5C8CF-3F5B-45A8-90A3-91960BC0CC3F}" name="Tabla5886" displayName="Tabla5886" ref="C3:C6" totalsRowShown="0" headerRowDxfId="82" dataDxfId="81">
  <autoFilter ref="C3:C6" xr:uid="{60F5C8CF-3F5B-45A8-90A3-91960BC0CC3F}"/>
  <tableColumns count="1">
    <tableColumn id="1" xr3:uid="{7261A279-5B41-48E2-A232-E66D4B2C997C}" name="BAK" dataDxfId="80"/>
  </tableColumns>
  <tableStyleInfo name="Estilo de tabla 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4" xr:uid="{46409B6B-E133-4AC9-A20A-4A73C6DBD813}" name="Tabla5785" displayName="Tabla5785" ref="I3:I9" totalsRowShown="0" headerRowDxfId="79" dataDxfId="78">
  <autoFilter ref="I3:I9" xr:uid="{46409B6B-E133-4AC9-A20A-4A73C6DBD813}"/>
  <tableColumns count="1">
    <tableColumn id="1" xr3:uid="{12B3014A-6B1D-4C6D-9FA4-0161E9656EA6}" name="ActitudinalB" dataDxfId="77"/>
  </tableColumns>
  <tableStyleInfo name="Estilo de tabla 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3" xr:uid="{4FBECC47-261F-41D0-B554-ADEA02FBDD3E}" name="Tabla5684" displayName="Tabla5684" ref="H3:H9" totalsRowShown="0" headerRowDxfId="76" dataDxfId="75">
  <autoFilter ref="H3:H9" xr:uid="{4FBECC47-261F-41D0-B554-ADEA02FBDD3E}"/>
  <tableColumns count="1">
    <tableColumn id="1" xr3:uid="{D263AD73-E936-424B-80A9-E791CCE4D60C}" name="ProcedimentalB" dataDxfId="74"/>
  </tableColumns>
  <tableStyleInfo name="Estilo de tabla 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2" xr:uid="{E7A59938-F7EA-457A-87F1-AA0873A8FDA8}" name="Tabla5583" displayName="Tabla5583" ref="G3:G9" totalsRowShown="0" headerRowDxfId="73" dataDxfId="72">
  <autoFilter ref="G3:G9" xr:uid="{E7A59938-F7EA-457A-87F1-AA0873A8FDA8}"/>
  <tableColumns count="1">
    <tableColumn id="1" xr3:uid="{9BE87125-AAAE-4780-B69A-FA583B2B341A}" name="CognitivoB" dataDxfId="71"/>
  </tableColumns>
  <tableStyleInfo name="Estilo de tabla 1"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0" xr:uid="{FB5563E9-3423-496B-A7C6-740A8638246F}" name="Tabla90" displayName="Tabla90" ref="G11:G17" totalsRowShown="0" headerRowDxfId="70" dataDxfId="69">
  <autoFilter ref="G11:G17" xr:uid="{FB5563E9-3423-496B-A7C6-740A8638246F}"/>
  <tableColumns count="1">
    <tableColumn id="1" xr3:uid="{D2F8054E-C594-43A9-96F5-5294D078E620}" name="CognitivoAK" dataDxfId="68"/>
  </tableColumns>
  <tableStyleInfo name="Estilo de tabla 1"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1" xr:uid="{5235961D-4B2F-4CB8-AC75-46CF8A859099}" name="Tabla91" displayName="Tabla91" ref="H11:H17" totalsRowShown="0" headerRowDxfId="67" dataDxfId="66">
  <autoFilter ref="H11:H17" xr:uid="{5235961D-4B2F-4CB8-AC75-46CF8A859099}"/>
  <tableColumns count="1">
    <tableColumn id="1" xr3:uid="{DF3A0232-2B49-4FF7-B62E-7F56B2A16095}" name="ConceptosAK" dataDxfId="65"/>
  </tableColumns>
  <tableStyleInfo name="Estilo de tabla 1"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2" xr:uid="{74EFBE03-70FE-4E61-AF1A-7CAE74394FB0}" name="Tabla92" displayName="Tabla92" ref="I11:I17" totalsRowShown="0" headerRowDxfId="64" dataDxfId="63">
  <autoFilter ref="I11:I17" xr:uid="{74EFBE03-70FE-4E61-AF1A-7CAE74394FB0}"/>
  <tableColumns count="1">
    <tableColumn id="1" xr3:uid="{02D20833-4DB8-415C-A919-A0178DA3CC95}" name="ProcedimientosAK" dataDxfId="62"/>
  </tableColumns>
  <tableStyleInfo name="Estilo de tabla 1"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3" xr:uid="{01D445B2-006B-45B1-9326-AB65B144ABD8}" name="Tabla93" displayName="Tabla93" ref="J11:J17" totalsRowShown="0" headerRowDxfId="61" dataDxfId="60">
  <autoFilter ref="J11:J17" xr:uid="{01D445B2-006B-45B1-9326-AB65B144ABD8}"/>
  <tableColumns count="1">
    <tableColumn id="1" xr3:uid="{B548BB39-2B40-4E98-AE24-D564B24A0831}" name="MetacogniciónAK" dataDxfId="59"/>
  </tableColumns>
  <tableStyleInfo name="Estilo de tabla 1"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4" xr:uid="{8F99EDF7-BECB-4CB8-94CB-15DEF8DBE8E0}" name="InformaciónMK" displayName="InformaciónMK" ref="G19:G25" totalsRowShown="0" headerRowDxfId="58" dataDxfId="57">
  <autoFilter ref="G19:G25" xr:uid="{8F99EDF7-BECB-4CB8-94CB-15DEF8DBE8E0}"/>
  <tableColumns count="1">
    <tableColumn id="1" xr3:uid="{995D4B7F-2557-48EF-AE97-D4FE09E63D59}" name="InformaciónMK" dataDxfId="56"/>
  </tableColumns>
  <tableStyleInfo name="Estilo de tabla 1"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5" xr:uid="{DFB0C1EA-F7F7-4443-9626-BCD7D06ACAA7}" name="ProcesosMentalesMK" displayName="ProcesosMentalesMK" ref="H19:H25" totalsRowShown="0" headerRowDxfId="55" dataDxfId="54">
  <autoFilter ref="H19:H25" xr:uid="{DFB0C1EA-F7F7-4443-9626-BCD7D06ACAA7}"/>
  <tableColumns count="1">
    <tableColumn id="1" xr3:uid="{977268A2-A618-4E2F-BE67-44E018AA2B3D}" name="ProcesosMentalesMK" dataDxfId="53"/>
  </tableColumns>
  <tableStyleInfo name="Estilo de tabla 1"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6" xr:uid="{AC2042AB-A078-4FDF-91CA-322668C40EBE}" name="Tabla96" displayName="Tabla96" ref="I19:I25" totalsRowShown="0" headerRowDxfId="52" dataDxfId="51">
  <autoFilter ref="I19:I25" xr:uid="{AC2042AB-A078-4FDF-91CA-322668C40EBE}"/>
  <tableColumns count="1">
    <tableColumn id="1" xr3:uid="{AAE35896-9168-4715-8D56-25997B0AB9C8}" name="PsicomotorMK" dataDxfId="50"/>
  </tableColumns>
  <tableStyleInfo name="Estilo de tabla 1"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7" xr:uid="{538ED7E5-6B58-402B-94DF-D07C13DE2D9E}" name="Tabla97" displayName="Tabla97" ref="BB4:BB28" totalsRowShown="0" headerRowDxfId="49" dataDxfId="48" tableBorderDxfId="47">
  <autoFilter ref="BB4:BB28" xr:uid="{538ED7E5-6B58-402B-94DF-D07C13DE2D9E}"/>
  <sortState xmlns:xlrd2="http://schemas.microsoft.com/office/spreadsheetml/2017/richdata2" ref="BB5:BB28">
    <sortCondition ref="BB5:BB28"/>
  </sortState>
  <tableColumns count="1">
    <tableColumn id="1" xr3:uid="{BBBA71C3-D37D-42D2-B57F-3792E560AED8}" name="RecuperaciónMK" dataDxfId="46"/>
  </tableColumns>
  <tableStyleInfo name="TableStyleMedium2"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8" xr:uid="{0217E0C4-2DD9-4417-BE26-3FF0FF3F395D}" name="Tabla98" displayName="Tabla98" ref="BC4:BC56" totalsRowShown="0" headerRowDxfId="45" dataDxfId="44">
  <autoFilter ref="BC4:BC56" xr:uid="{0217E0C4-2DD9-4417-BE26-3FF0FF3F395D}"/>
  <sortState xmlns:xlrd2="http://schemas.microsoft.com/office/spreadsheetml/2017/richdata2" ref="BC5:BC56">
    <sortCondition ref="BC5:BC56"/>
  </sortState>
  <tableColumns count="1">
    <tableColumn id="1" xr3:uid="{EEF7A2C9-904A-475E-B946-D75F88E5CF1A}" name="ComprensiónMK" dataDxfId="43"/>
  </tableColumns>
  <tableStyleInfo name="TableStyleMedium2"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9" xr:uid="{522023D2-447B-4863-8827-33272C577B77}" name="Tabla99" displayName="Tabla99" ref="BD4:BD108" totalsRowShown="0" headerRowDxfId="42" dataDxfId="41" tableBorderDxfId="40">
  <autoFilter ref="BD4:BD108" xr:uid="{522023D2-447B-4863-8827-33272C577B77}"/>
  <sortState xmlns:xlrd2="http://schemas.microsoft.com/office/spreadsheetml/2017/richdata2" ref="BD5:BD108">
    <sortCondition ref="BD5:BD108"/>
  </sortState>
  <tableColumns count="1">
    <tableColumn id="1" xr3:uid="{9344A526-D889-455B-8393-6E992E4F8707}" name="AnálisisMK" dataDxfId="39"/>
  </tableColumns>
  <tableStyleInfo name="TableStyleMedium2"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0" xr:uid="{6AB46F11-6BD0-4EBD-B99F-F1D1FC283558}" name="Tabla100" displayName="Tabla100" ref="BE4:BE70" totalsRowShown="0" headerRowDxfId="38" dataDxfId="37" tableBorderDxfId="36">
  <autoFilter ref="BE4:BE70" xr:uid="{6AB46F11-6BD0-4EBD-B99F-F1D1FC283558}"/>
  <sortState xmlns:xlrd2="http://schemas.microsoft.com/office/spreadsheetml/2017/richdata2" ref="BE5:BE70">
    <sortCondition ref="BE5:BE70"/>
  </sortState>
  <tableColumns count="1">
    <tableColumn id="1" xr3:uid="{9B864D54-9851-4B93-B3C8-06FA6FD5E1D3}" name="UsoConocimientoMK" dataDxfId="35"/>
  </tableColumns>
  <tableStyleInfo name="TableStyleMedium2"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1" xr:uid="{5C094C7C-8551-4EC0-B36D-BC7DA6369C48}" name="Tabla101" displayName="Tabla101" ref="BF4:BF92" totalsRowShown="0" headerRowDxfId="34" dataDxfId="33" tableBorderDxfId="32">
  <autoFilter ref="BF4:BF92" xr:uid="{5C094C7C-8551-4EC0-B36D-BC7DA6369C48}"/>
  <sortState xmlns:xlrd2="http://schemas.microsoft.com/office/spreadsheetml/2017/richdata2" ref="BF5:BF92">
    <sortCondition ref="BF5:BF92"/>
  </sortState>
  <tableColumns count="1">
    <tableColumn id="1" xr3:uid="{02A922E1-8BFE-426F-8C44-897F7B4F7498}" name="MetacogniciónMK" dataDxfId="31"/>
  </tableColumns>
  <tableStyleInfo name="TableStyleMedium2"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E028CBBA-0913-46A4-9A7A-1484F73BB293}" name="Tabla11" displayName="Tabla11" ref="BG4:BG87" totalsRowShown="0" headerRowDxfId="30" dataDxfId="29" tableBorderDxfId="28">
  <autoFilter ref="BG4:BG87" xr:uid="{E028CBBA-0913-46A4-9A7A-1484F73BB293}"/>
  <tableColumns count="1">
    <tableColumn id="1" xr3:uid="{0478638C-EFB5-452E-960C-8B4E2E4D8F5A}" name="SistemadelYoMK" dataDxfId="27"/>
  </tableColumns>
  <tableStyleInfo name="TableStyleMedium2"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93AEC37-2B83-41E3-AA53-B1C4C9AAFED6}" name="Tabla11682" displayName="Tabla11682" ref="AR4:AR53" totalsRowShown="0" headerRowDxfId="26" dataDxfId="25">
  <autoFilter ref="AR4:AR53" xr:uid="{A93AEC37-2B83-41E3-AA53-B1C4C9AAFED6}"/>
  <tableColumns count="1">
    <tableColumn id="1" xr3:uid="{BC599931-18FB-493B-998F-5EBFDA26F99A}" name="ImitaciónBAK" dataDxfId="24"/>
  </tableColumns>
  <tableStyleInfo name="TableStyleMedium2"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F6786D6-3072-4AED-9E96-46E6FBDF3D96}" name="Tabla30694" displayName="Tabla30694" ref="AS4:AS41" totalsRowShown="0" headerRowDxfId="23" dataDxfId="22">
  <autoFilter ref="AS4:AS41" xr:uid="{5F6786D6-3072-4AED-9E96-46E6FBDF3D96}"/>
  <tableColumns count="1">
    <tableColumn id="1" xr3:uid="{7541B21B-5B3A-458E-99AA-6AC7DBF28BEC}" name="ManipulaciónBAK" dataDxfId="21"/>
  </tableColumns>
  <tableStyleInfo name="TableStyleMedium2"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BA139879-F39C-4F39-932E-1A47FC0092F6}" name="Tabla41706" displayName="Tabla41706" ref="AT4:AT69" totalsRowShown="0" headerRowDxfId="20" dataDxfId="19">
  <autoFilter ref="AT4:AT69" xr:uid="{BA139879-F39C-4F39-932E-1A47FC0092F6}"/>
  <tableColumns count="1">
    <tableColumn id="1" xr3:uid="{CEE9D729-59A2-41C0-AF9F-CCA72DF4F138}" name="PrecisiónBAK" dataDxfId="18"/>
  </tableColumns>
  <tableStyleInfo name="TableStyleMedium2" showFirstColumn="0" showLastColumn="0" showRowStripes="1"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D6BCE83-DCD0-4239-95CE-6A6A7A146442}" name="Tabla42717" displayName="Tabla42717" ref="AU4:AU63" totalsRowShown="0" headerRowDxfId="17" dataDxfId="16">
  <autoFilter ref="AU4:AU63" xr:uid="{9D6BCE83-DCD0-4239-95CE-6A6A7A146442}"/>
  <tableColumns count="1">
    <tableColumn id="1" xr3:uid="{A6259F30-12C1-4C84-9ECA-D290C3094A76}" name="ControlBAK" dataDxfId="15"/>
  </tableColumns>
  <tableStyleInfo name="TableStyleMedium2" showFirstColumn="0" showLastColumn="0" showRowStripes="1"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13318784-679D-484B-A0F4-4662B63A05DE}" name="Tabla437218" displayName="Tabla437218" ref="AV4:AV44" totalsRowShown="0" headerRowDxfId="14" dataDxfId="13">
  <autoFilter ref="AV4:AV44" xr:uid="{13318784-679D-484B-A0F4-4662B63A05DE}"/>
  <tableColumns count="1">
    <tableColumn id="1" xr3:uid="{30F45F34-6591-419F-827C-BF81F08B96E2}" name="PercepciónBAK" dataDxfId="12"/>
  </tableColumns>
  <tableStyleInfo name="TableStyleMedium2" showFirstColumn="0" showLastColumn="0" showRowStripes="1"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721176BB-02DC-4671-9FA9-797A042C6481}" name="Tabla447319" displayName="Tabla447319" ref="AW4:AW34" totalsRowShown="0" headerRowDxfId="11" dataDxfId="10">
  <autoFilter ref="AW4:AW34" xr:uid="{721176BB-02DC-4671-9FA9-797A042C6481}"/>
  <tableColumns count="1">
    <tableColumn id="1" xr3:uid="{F605F378-67F2-4F23-8E79-B8A90607E39A}" name="ResponderBAK" dataDxfId="9"/>
  </tableColumns>
  <tableStyleInfo name="TableStyleMedium2" showFirstColumn="0" showLastColumn="0" showRowStripes="1"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26EE921D-2080-42C6-AD5D-D4AB16D41154}" name="Tabla457420" displayName="Tabla457420" ref="AX4:AX39" totalsRowShown="0" headerRowDxfId="8" dataDxfId="7">
  <autoFilter ref="AX4:AX39" xr:uid="{26EE921D-2080-42C6-AD5D-D4AB16D41154}"/>
  <tableColumns count="1">
    <tableColumn id="1" xr3:uid="{686D7ECA-9035-4891-94AC-7D1EEE0CA2FF}" name="ValorarBAK" dataDxfId="6"/>
  </tableColumns>
  <tableStyleInfo name="TableStyleMedium2" showFirstColumn="0" showLastColumn="0" showRowStripes="1"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C2FD5F7B-4A17-40C0-AA00-7F903470FD5C}" name="Tabla467521" displayName="Tabla467521" ref="AY4:AY30" totalsRowShown="0" headerRowDxfId="5" dataDxfId="4">
  <autoFilter ref="AY4:AY30" xr:uid="{C2FD5F7B-4A17-40C0-AA00-7F903470FD5C}"/>
  <tableColumns count="1">
    <tableColumn id="1" xr3:uid="{D6CB45EB-499A-4E4F-AC0E-DC20DF7271A5}" name="OrganizarBAK" dataDxfId="3"/>
  </tableColumns>
  <tableStyleInfo name="TableStyleMedium2" showFirstColumn="0" showLastColumn="0" showRowStripes="1"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F6D5E08D-ACF9-4A74-B1D2-CD9F4DF55DB1}" name="Tabla477622" displayName="Tabla477622" ref="AZ4:AZ30" totalsRowShown="0" headerRowDxfId="2" dataDxfId="1">
  <autoFilter ref="AZ4:AZ30" xr:uid="{F6D5E08D-ACF9-4A74-B1D2-CD9F4DF55DB1}"/>
  <tableColumns count="1">
    <tableColumn id="1" xr3:uid="{016529B9-A15E-4EE4-B1CE-6BB660F0619F}" name="CaracterizarBAK" dataDxfId="0"/>
  </tableColumns>
  <tableStyleInfo name="TableStyleMedium2" showFirstColumn="0" showLastColumn="0" showRowStripes="1" showColumnStripes="0"/>
</table>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table" Target="../tables/table1.xml"/><Relationship Id="rId7" Type="http://schemas.openxmlformats.org/officeDocument/2006/relationships/table" Target="../tables/table5.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6" Type="http://schemas.openxmlformats.org/officeDocument/2006/relationships/table" Target="../tables/table4.xml"/><Relationship Id="rId5" Type="http://schemas.openxmlformats.org/officeDocument/2006/relationships/table" Target="../tables/table3.xml"/><Relationship Id="rId4"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3" Type="http://schemas.openxmlformats.org/officeDocument/2006/relationships/table" Target="../tables/table18.xml"/><Relationship Id="rId18" Type="http://schemas.openxmlformats.org/officeDocument/2006/relationships/table" Target="../tables/table23.xml"/><Relationship Id="rId26" Type="http://schemas.openxmlformats.org/officeDocument/2006/relationships/table" Target="../tables/table31.xml"/><Relationship Id="rId39" Type="http://schemas.openxmlformats.org/officeDocument/2006/relationships/table" Target="../tables/table44.xml"/><Relationship Id="rId21" Type="http://schemas.openxmlformats.org/officeDocument/2006/relationships/table" Target="../tables/table26.xml"/><Relationship Id="rId34" Type="http://schemas.openxmlformats.org/officeDocument/2006/relationships/table" Target="../tables/table39.xml"/><Relationship Id="rId42" Type="http://schemas.openxmlformats.org/officeDocument/2006/relationships/table" Target="../tables/table47.xml"/><Relationship Id="rId47" Type="http://schemas.openxmlformats.org/officeDocument/2006/relationships/table" Target="../tables/table52.xml"/><Relationship Id="rId50" Type="http://schemas.openxmlformats.org/officeDocument/2006/relationships/table" Target="../tables/table55.xml"/><Relationship Id="rId55" Type="http://schemas.openxmlformats.org/officeDocument/2006/relationships/table" Target="../tables/table60.xml"/><Relationship Id="rId7" Type="http://schemas.openxmlformats.org/officeDocument/2006/relationships/table" Target="../tables/table12.xml"/><Relationship Id="rId2" Type="http://schemas.openxmlformats.org/officeDocument/2006/relationships/table" Target="../tables/table7.xml"/><Relationship Id="rId16" Type="http://schemas.openxmlformats.org/officeDocument/2006/relationships/table" Target="../tables/table21.xml"/><Relationship Id="rId29" Type="http://schemas.openxmlformats.org/officeDocument/2006/relationships/table" Target="../tables/table34.xml"/><Relationship Id="rId11" Type="http://schemas.openxmlformats.org/officeDocument/2006/relationships/table" Target="../tables/table16.xml"/><Relationship Id="rId24" Type="http://schemas.openxmlformats.org/officeDocument/2006/relationships/table" Target="../tables/table29.xml"/><Relationship Id="rId32" Type="http://schemas.openxmlformats.org/officeDocument/2006/relationships/table" Target="../tables/table37.xml"/><Relationship Id="rId37" Type="http://schemas.openxmlformats.org/officeDocument/2006/relationships/table" Target="../tables/table42.xml"/><Relationship Id="rId40" Type="http://schemas.openxmlformats.org/officeDocument/2006/relationships/table" Target="../tables/table45.xml"/><Relationship Id="rId45" Type="http://schemas.openxmlformats.org/officeDocument/2006/relationships/table" Target="../tables/table50.xml"/><Relationship Id="rId53" Type="http://schemas.openxmlformats.org/officeDocument/2006/relationships/table" Target="../tables/table58.xml"/><Relationship Id="rId58" Type="http://schemas.openxmlformats.org/officeDocument/2006/relationships/comments" Target="../comments5.xml"/><Relationship Id="rId5" Type="http://schemas.openxmlformats.org/officeDocument/2006/relationships/table" Target="../tables/table10.xml"/><Relationship Id="rId19" Type="http://schemas.openxmlformats.org/officeDocument/2006/relationships/table" Target="../tables/table24.xml"/><Relationship Id="rId4" Type="http://schemas.openxmlformats.org/officeDocument/2006/relationships/table" Target="../tables/table9.xml"/><Relationship Id="rId9" Type="http://schemas.openxmlformats.org/officeDocument/2006/relationships/table" Target="../tables/table14.xml"/><Relationship Id="rId14" Type="http://schemas.openxmlformats.org/officeDocument/2006/relationships/table" Target="../tables/table19.xml"/><Relationship Id="rId22" Type="http://schemas.openxmlformats.org/officeDocument/2006/relationships/table" Target="../tables/table27.xml"/><Relationship Id="rId27" Type="http://schemas.openxmlformats.org/officeDocument/2006/relationships/table" Target="../tables/table32.xml"/><Relationship Id="rId30" Type="http://schemas.openxmlformats.org/officeDocument/2006/relationships/table" Target="../tables/table35.xml"/><Relationship Id="rId35" Type="http://schemas.openxmlformats.org/officeDocument/2006/relationships/table" Target="../tables/table40.xml"/><Relationship Id="rId43" Type="http://schemas.openxmlformats.org/officeDocument/2006/relationships/table" Target="../tables/table48.xml"/><Relationship Id="rId48" Type="http://schemas.openxmlformats.org/officeDocument/2006/relationships/table" Target="../tables/table53.xml"/><Relationship Id="rId56" Type="http://schemas.openxmlformats.org/officeDocument/2006/relationships/table" Target="../tables/table61.xml"/><Relationship Id="rId8" Type="http://schemas.openxmlformats.org/officeDocument/2006/relationships/table" Target="../tables/table13.xml"/><Relationship Id="rId51" Type="http://schemas.openxmlformats.org/officeDocument/2006/relationships/table" Target="../tables/table56.xml"/><Relationship Id="rId3" Type="http://schemas.openxmlformats.org/officeDocument/2006/relationships/table" Target="../tables/table8.xml"/><Relationship Id="rId12" Type="http://schemas.openxmlformats.org/officeDocument/2006/relationships/table" Target="../tables/table17.xml"/><Relationship Id="rId17" Type="http://schemas.openxmlformats.org/officeDocument/2006/relationships/table" Target="../tables/table22.xml"/><Relationship Id="rId25" Type="http://schemas.openxmlformats.org/officeDocument/2006/relationships/table" Target="../tables/table30.xml"/><Relationship Id="rId33" Type="http://schemas.openxmlformats.org/officeDocument/2006/relationships/table" Target="../tables/table38.xml"/><Relationship Id="rId38" Type="http://schemas.openxmlformats.org/officeDocument/2006/relationships/table" Target="../tables/table43.xml"/><Relationship Id="rId46" Type="http://schemas.openxmlformats.org/officeDocument/2006/relationships/table" Target="../tables/table51.xml"/><Relationship Id="rId20" Type="http://schemas.openxmlformats.org/officeDocument/2006/relationships/table" Target="../tables/table25.xml"/><Relationship Id="rId41" Type="http://schemas.openxmlformats.org/officeDocument/2006/relationships/table" Target="../tables/table46.xml"/><Relationship Id="rId54" Type="http://schemas.openxmlformats.org/officeDocument/2006/relationships/table" Target="../tables/table59.xml"/><Relationship Id="rId1" Type="http://schemas.openxmlformats.org/officeDocument/2006/relationships/vmlDrawing" Target="../drawings/vmlDrawing5.vml"/><Relationship Id="rId6" Type="http://schemas.openxmlformats.org/officeDocument/2006/relationships/table" Target="../tables/table11.xml"/><Relationship Id="rId15" Type="http://schemas.openxmlformats.org/officeDocument/2006/relationships/table" Target="../tables/table20.xml"/><Relationship Id="rId23" Type="http://schemas.openxmlformats.org/officeDocument/2006/relationships/table" Target="../tables/table28.xml"/><Relationship Id="rId28" Type="http://schemas.openxmlformats.org/officeDocument/2006/relationships/table" Target="../tables/table33.xml"/><Relationship Id="rId36" Type="http://schemas.openxmlformats.org/officeDocument/2006/relationships/table" Target="../tables/table41.xml"/><Relationship Id="rId49" Type="http://schemas.openxmlformats.org/officeDocument/2006/relationships/table" Target="../tables/table54.xml"/><Relationship Id="rId57" Type="http://schemas.openxmlformats.org/officeDocument/2006/relationships/table" Target="../tables/table62.xml"/><Relationship Id="rId10" Type="http://schemas.openxmlformats.org/officeDocument/2006/relationships/table" Target="../tables/table15.xml"/><Relationship Id="rId31" Type="http://schemas.openxmlformats.org/officeDocument/2006/relationships/table" Target="../tables/table36.xml"/><Relationship Id="rId44" Type="http://schemas.openxmlformats.org/officeDocument/2006/relationships/table" Target="../tables/table49.xml"/><Relationship Id="rId52" Type="http://schemas.openxmlformats.org/officeDocument/2006/relationships/table" Target="../tables/table5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7EDF-246F-4EE0-BFE4-7EACACD45C48}">
  <dimension ref="A1:K22"/>
  <sheetViews>
    <sheetView zoomScaleNormal="100" workbookViewId="0"/>
  </sheetViews>
  <sheetFormatPr baseColWidth="10" defaultColWidth="76.21875" defaultRowHeight="18" x14ac:dyDescent="0.5"/>
  <cols>
    <col min="1" max="1" width="19.77734375" style="3" customWidth="1"/>
    <col min="2" max="2" width="16.77734375" style="3" customWidth="1"/>
    <col min="3" max="4" width="37.77734375" style="3" customWidth="1"/>
    <col min="5" max="5" width="27.44140625" style="3" customWidth="1"/>
    <col min="6" max="6" width="32.77734375" customWidth="1"/>
    <col min="7" max="7" width="38" customWidth="1"/>
    <col min="8" max="8" width="48" style="3" customWidth="1"/>
    <col min="9" max="9" width="72.21875" style="3" customWidth="1"/>
    <col min="10" max="10" width="40.44140625" style="3" customWidth="1"/>
    <col min="11" max="11" width="53.21875" style="3" customWidth="1"/>
    <col min="12" max="16384" width="76.21875" style="3"/>
  </cols>
  <sheetData>
    <row r="1" spans="1:11" ht="54" x14ac:dyDescent="0.5">
      <c r="A1" s="35" t="s">
        <v>0</v>
      </c>
      <c r="B1" s="35" t="s">
        <v>1</v>
      </c>
      <c r="C1" s="35" t="s">
        <v>2</v>
      </c>
      <c r="D1" s="35" t="s">
        <v>3</v>
      </c>
      <c r="E1" s="112" t="s">
        <v>4</v>
      </c>
      <c r="F1" s="112"/>
      <c r="G1" s="112"/>
      <c r="H1" s="112" t="s">
        <v>5</v>
      </c>
      <c r="I1" s="112"/>
      <c r="J1" s="112"/>
      <c r="K1" s="42" t="s">
        <v>6</v>
      </c>
    </row>
    <row r="2" spans="1:11" s="4" customFormat="1" x14ac:dyDescent="0.5">
      <c r="A2" s="43" t="s">
        <v>7</v>
      </c>
      <c r="B2" s="43" t="s">
        <v>8</v>
      </c>
      <c r="C2" s="43" t="s">
        <v>9</v>
      </c>
      <c r="D2" s="43" t="s">
        <v>10</v>
      </c>
      <c r="E2" s="44" t="s">
        <v>11</v>
      </c>
      <c r="F2" s="44" t="s">
        <v>12</v>
      </c>
      <c r="G2" s="44" t="s">
        <v>13</v>
      </c>
      <c r="H2" s="45" t="s">
        <v>14</v>
      </c>
      <c r="I2" s="45" t="s">
        <v>15</v>
      </c>
      <c r="J2" s="45" t="s">
        <v>16</v>
      </c>
      <c r="K2" s="71" t="s">
        <v>17</v>
      </c>
    </row>
    <row r="3" spans="1:11" s="6" customFormat="1" ht="69" customHeight="1" x14ac:dyDescent="0.3">
      <c r="A3" s="86" t="s">
        <v>18</v>
      </c>
      <c r="B3" s="86" t="s">
        <v>19</v>
      </c>
      <c r="C3" s="87" t="s">
        <v>20</v>
      </c>
      <c r="D3" s="87" t="s">
        <v>21</v>
      </c>
      <c r="E3" s="72" t="s">
        <v>22</v>
      </c>
      <c r="F3" s="29" t="s">
        <v>23</v>
      </c>
      <c r="G3" s="29" t="s">
        <v>24</v>
      </c>
      <c r="H3" s="87" t="s">
        <v>25</v>
      </c>
      <c r="I3" s="87" t="s">
        <v>26</v>
      </c>
      <c r="J3" s="87" t="s">
        <v>27</v>
      </c>
      <c r="K3" s="86" t="s">
        <v>28</v>
      </c>
    </row>
    <row r="4" spans="1:11" s="6" customFormat="1" ht="90" x14ac:dyDescent="0.3">
      <c r="A4" s="84"/>
      <c r="B4" s="84"/>
      <c r="C4" s="82"/>
      <c r="D4" s="82"/>
      <c r="E4" s="6" t="s">
        <v>29</v>
      </c>
      <c r="F4" s="29" t="s">
        <v>30</v>
      </c>
      <c r="G4" s="29" t="s">
        <v>31</v>
      </c>
      <c r="H4" s="82"/>
      <c r="I4" s="82"/>
      <c r="J4" s="82"/>
      <c r="K4" s="84"/>
    </row>
    <row r="5" spans="1:11" s="6" customFormat="1" ht="72" x14ac:dyDescent="0.5">
      <c r="A5" s="84"/>
      <c r="B5" s="84"/>
      <c r="C5" s="82"/>
      <c r="D5" s="82"/>
      <c r="E5" s="6" t="s">
        <v>32</v>
      </c>
      <c r="F5" s="30" t="s">
        <v>33</v>
      </c>
      <c r="G5" s="29" t="s">
        <v>34</v>
      </c>
      <c r="H5" s="82"/>
      <c r="I5" s="82"/>
      <c r="J5" s="82"/>
      <c r="K5" s="84"/>
    </row>
    <row r="6" spans="1:11" x14ac:dyDescent="0.5">
      <c r="A6" s="5"/>
      <c r="B6" s="5"/>
      <c r="C6" s="5"/>
      <c r="D6" s="5"/>
      <c r="E6" s="4"/>
      <c r="F6" s="4"/>
      <c r="G6" s="1"/>
    </row>
    <row r="7" spans="1:11" x14ac:dyDescent="0.5">
      <c r="A7" s="5"/>
      <c r="B7" s="5"/>
      <c r="C7" s="7"/>
      <c r="D7" s="7"/>
      <c r="E7" s="5"/>
      <c r="F7" s="4"/>
      <c r="G7" s="1"/>
      <c r="H7" s="4"/>
    </row>
    <row r="8" spans="1:11" x14ac:dyDescent="0.5">
      <c r="A8" s="5"/>
      <c r="B8" s="5"/>
      <c r="C8" s="7"/>
      <c r="D8" s="7"/>
      <c r="E8" s="5"/>
      <c r="F8" s="4"/>
      <c r="G8" s="1"/>
      <c r="H8" s="4"/>
    </row>
    <row r="9" spans="1:11" x14ac:dyDescent="0.5">
      <c r="A9" s="5"/>
      <c r="B9" s="5"/>
      <c r="C9" s="7"/>
      <c r="D9" s="7"/>
      <c r="E9" s="5"/>
      <c r="F9" s="4"/>
      <c r="G9" s="1"/>
    </row>
    <row r="10" spans="1:11" x14ac:dyDescent="0.5">
      <c r="A10" s="5"/>
      <c r="B10" s="5"/>
      <c r="C10" s="7"/>
      <c r="D10" s="7"/>
      <c r="E10" s="4"/>
      <c r="F10" s="4"/>
      <c r="G10" s="1"/>
    </row>
    <row r="11" spans="1:11" x14ac:dyDescent="0.5">
      <c r="A11" s="5"/>
      <c r="B11" s="5"/>
      <c r="C11" s="7"/>
      <c r="D11" s="7"/>
      <c r="E11" s="4"/>
      <c r="F11" s="4"/>
      <c r="G11" s="1"/>
    </row>
    <row r="12" spans="1:11" x14ac:dyDescent="0.5">
      <c r="A12" s="5"/>
      <c r="B12" s="5"/>
      <c r="C12" s="7"/>
      <c r="D12" s="7"/>
      <c r="E12" s="4"/>
      <c r="F12" s="4"/>
      <c r="G12" s="1"/>
    </row>
    <row r="13" spans="1:11" x14ac:dyDescent="0.5">
      <c r="A13" s="5"/>
      <c r="B13" s="5"/>
      <c r="C13" s="7"/>
      <c r="D13" s="7"/>
      <c r="E13" s="4"/>
      <c r="F13" s="4"/>
      <c r="G13" s="1"/>
    </row>
    <row r="14" spans="1:11" x14ac:dyDescent="0.5">
      <c r="A14" s="5"/>
      <c r="B14" s="5"/>
      <c r="C14" s="5"/>
      <c r="E14" s="4"/>
      <c r="F14" s="4"/>
      <c r="G14" s="1"/>
    </row>
    <row r="15" spans="1:11" x14ac:dyDescent="0.5">
      <c r="A15" s="5"/>
      <c r="B15" s="5"/>
      <c r="C15" s="5"/>
      <c r="E15" s="4"/>
      <c r="F15" s="4"/>
    </row>
    <row r="16" spans="1:11" x14ac:dyDescent="0.5">
      <c r="A16" s="5"/>
      <c r="B16" s="5"/>
      <c r="C16" s="5"/>
      <c r="E16" s="4"/>
      <c r="F16" s="4"/>
    </row>
    <row r="17" spans="1:5" x14ac:dyDescent="0.5">
      <c r="A17" s="5"/>
      <c r="B17" s="5"/>
      <c r="C17" s="5"/>
      <c r="E17" s="4"/>
    </row>
    <row r="18" spans="1:5" x14ac:dyDescent="0.5">
      <c r="A18" s="5"/>
      <c r="B18" s="5"/>
      <c r="C18" s="5"/>
    </row>
    <row r="19" spans="1:5" x14ac:dyDescent="0.5">
      <c r="A19" s="5"/>
      <c r="B19" s="5"/>
      <c r="C19" s="5"/>
    </row>
    <row r="20" spans="1:5" x14ac:dyDescent="0.5">
      <c r="A20" s="5"/>
      <c r="B20" s="5"/>
      <c r="C20" s="5"/>
    </row>
    <row r="21" spans="1:5" x14ac:dyDescent="0.5">
      <c r="A21" s="5"/>
      <c r="B21" s="5"/>
      <c r="C21" s="5"/>
    </row>
    <row r="22" spans="1:5" x14ac:dyDescent="0.5">
      <c r="A22" s="5"/>
      <c r="B22" s="5"/>
      <c r="C22" s="5"/>
    </row>
  </sheetData>
  <mergeCells count="10">
    <mergeCell ref="A3:A5"/>
    <mergeCell ref="K3:K5"/>
    <mergeCell ref="H1:J1"/>
    <mergeCell ref="E1:G1"/>
    <mergeCell ref="H3:H5"/>
    <mergeCell ref="I3:I5"/>
    <mergeCell ref="J3:J5"/>
    <mergeCell ref="B3:B5"/>
    <mergeCell ref="C3:C5"/>
    <mergeCell ref="D3:D5"/>
  </mergeCell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C1850E-A9C8-4F69-8E80-DEAF9721FFBF}">
  <dimension ref="A1:G8"/>
  <sheetViews>
    <sheetView zoomScaleNormal="100" workbookViewId="0">
      <selection sqref="A1:G1"/>
    </sheetView>
  </sheetViews>
  <sheetFormatPr baseColWidth="10" defaultColWidth="11.44140625" defaultRowHeight="18" x14ac:dyDescent="0.5"/>
  <cols>
    <col min="1" max="1" width="19" style="3" customWidth="1"/>
    <col min="2" max="2" width="24" style="3" customWidth="1"/>
    <col min="3" max="3" width="25.21875" style="3" customWidth="1"/>
    <col min="4" max="4" width="33.21875" style="3" customWidth="1"/>
    <col min="5" max="5" width="43.21875" style="3" customWidth="1"/>
    <col min="6" max="6" width="80.77734375" style="3" customWidth="1"/>
    <col min="7" max="7" width="43.21875" style="3" customWidth="1"/>
    <col min="8" max="16384" width="11.44140625" style="3"/>
  </cols>
  <sheetData>
    <row r="1" spans="1:7" x14ac:dyDescent="0.5">
      <c r="A1" s="113" t="s">
        <v>35</v>
      </c>
      <c r="B1" s="114"/>
      <c r="C1" s="114"/>
      <c r="D1" s="114"/>
      <c r="E1" s="114"/>
      <c r="F1" s="114"/>
      <c r="G1" s="114"/>
    </row>
    <row r="2" spans="1:7" ht="48" x14ac:dyDescent="0.5">
      <c r="A2" s="46" t="s">
        <v>36</v>
      </c>
      <c r="B2" s="47" t="s">
        <v>37</v>
      </c>
      <c r="C2" s="47" t="s">
        <v>38</v>
      </c>
      <c r="D2" s="47" t="s">
        <v>39</v>
      </c>
      <c r="E2" s="47" t="s">
        <v>40</v>
      </c>
      <c r="F2" s="36" t="s">
        <v>41</v>
      </c>
      <c r="G2" s="36" t="s">
        <v>42</v>
      </c>
    </row>
    <row r="3" spans="1:7" x14ac:dyDescent="0.5">
      <c r="A3" s="48" t="s">
        <v>43</v>
      </c>
      <c r="B3" s="49" t="s">
        <v>44</v>
      </c>
      <c r="C3" s="49" t="s">
        <v>45</v>
      </c>
      <c r="D3" s="49" t="s">
        <v>46</v>
      </c>
      <c r="E3" s="49" t="s">
        <v>47</v>
      </c>
      <c r="F3" s="50" t="s">
        <v>48</v>
      </c>
      <c r="G3" s="50" t="s">
        <v>49</v>
      </c>
    </row>
    <row r="4" spans="1:7" s="5" customFormat="1" ht="72" x14ac:dyDescent="0.5">
      <c r="A4" s="7">
        <v>1</v>
      </c>
      <c r="B4" s="51" t="s">
        <v>50</v>
      </c>
      <c r="C4" s="52" t="s">
        <v>22</v>
      </c>
      <c r="D4" s="53" t="s">
        <v>23</v>
      </c>
      <c r="E4" s="53" t="s">
        <v>24</v>
      </c>
      <c r="F4" s="54" t="s">
        <v>51</v>
      </c>
      <c r="G4" s="7" t="s">
        <v>52</v>
      </c>
    </row>
    <row r="5" spans="1:7" s="5" customFormat="1" ht="90" x14ac:dyDescent="0.5">
      <c r="A5" s="7">
        <v>2</v>
      </c>
      <c r="B5" s="31" t="s">
        <v>53</v>
      </c>
      <c r="C5" s="5" t="s">
        <v>29</v>
      </c>
      <c r="D5" s="29" t="s">
        <v>30</v>
      </c>
      <c r="E5" s="30" t="s">
        <v>31</v>
      </c>
      <c r="F5" s="6" t="s">
        <v>54</v>
      </c>
      <c r="G5" s="7" t="s">
        <v>52</v>
      </c>
    </row>
    <row r="6" spans="1:7" s="5" customFormat="1" ht="72" x14ac:dyDescent="0.3">
      <c r="A6" s="7">
        <v>3</v>
      </c>
      <c r="B6" s="31" t="s">
        <v>55</v>
      </c>
      <c r="C6" s="5" t="s">
        <v>32</v>
      </c>
      <c r="D6" s="29" t="s">
        <v>33</v>
      </c>
      <c r="E6" s="29" t="s">
        <v>56</v>
      </c>
      <c r="F6" s="6" t="s">
        <v>57</v>
      </c>
      <c r="G6" s="7" t="s">
        <v>52</v>
      </c>
    </row>
    <row r="7" spans="1:7" x14ac:dyDescent="0.5">
      <c r="B7"/>
      <c r="D7" s="4"/>
      <c r="E7"/>
    </row>
    <row r="8" spans="1:7" x14ac:dyDescent="0.5">
      <c r="B8"/>
    </row>
  </sheetData>
  <mergeCells count="1">
    <mergeCell ref="A1:G1"/>
  </mergeCells>
  <dataValidations count="2">
    <dataValidation type="list" allowBlank="1" showInputMessage="1" showErrorMessage="1" sqref="C4:C8" xr:uid="{296160A6-FB03-49EA-93B2-DD1CAF2E1EB2}">
      <formula1>Conocimientos</formula1>
    </dataValidation>
    <dataValidation type="list" allowBlank="1" showInputMessage="1" showErrorMessage="1" sqref="B4:B8" xr:uid="{7FF6EE86-2F70-4AF5-821E-634C08680A10}">
      <formula1>Verboscompetencias</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AAF649-42F4-466A-BE11-44357078F961}">
  <dimension ref="A1:J124"/>
  <sheetViews>
    <sheetView zoomScaleNormal="100" workbookViewId="0"/>
  </sheetViews>
  <sheetFormatPr baseColWidth="10" defaultColWidth="11.44140625" defaultRowHeight="18" x14ac:dyDescent="0.5"/>
  <cols>
    <col min="1" max="1" width="81.21875" style="6" customWidth="1"/>
    <col min="2" max="2" width="16.77734375" style="7" customWidth="1"/>
    <col min="3" max="3" width="19.21875" style="6" customWidth="1"/>
    <col min="4" max="4" width="38.77734375" style="6" customWidth="1"/>
    <col min="5" max="5" width="22" style="6" customWidth="1"/>
    <col min="6" max="6" width="19.5546875" style="6" customWidth="1"/>
    <col min="7" max="7" width="20.21875" style="8" customWidth="1"/>
    <col min="8" max="8" width="18.21875" style="1" customWidth="1"/>
    <col min="9" max="9" width="72" customWidth="1"/>
    <col min="10" max="10" width="43.21875" style="6" customWidth="1"/>
    <col min="11" max="16384" width="11.44140625" style="6"/>
  </cols>
  <sheetData>
    <row r="1" spans="1:10" ht="60" x14ac:dyDescent="0.3">
      <c r="A1" s="35" t="s">
        <v>58</v>
      </c>
      <c r="B1" s="35" t="s">
        <v>59</v>
      </c>
      <c r="C1" s="57" t="s">
        <v>60</v>
      </c>
      <c r="D1" s="58" t="s">
        <v>61</v>
      </c>
      <c r="E1" s="58" t="s">
        <v>62</v>
      </c>
      <c r="F1" s="57" t="s">
        <v>63</v>
      </c>
      <c r="G1" s="57" t="s">
        <v>64</v>
      </c>
      <c r="H1" s="57" t="s">
        <v>65</v>
      </c>
      <c r="I1" s="35" t="s">
        <v>66</v>
      </c>
      <c r="J1" s="34"/>
    </row>
    <row r="2" spans="1:10" ht="36.6" thickBot="1" x14ac:dyDescent="0.35">
      <c r="A2" s="37" t="s">
        <v>67</v>
      </c>
      <c r="B2" s="37" t="s">
        <v>68</v>
      </c>
      <c r="C2" s="59" t="s">
        <v>69</v>
      </c>
      <c r="D2" s="60" t="s">
        <v>70</v>
      </c>
      <c r="E2" s="60" t="s">
        <v>71</v>
      </c>
      <c r="F2" s="59" t="s">
        <v>72</v>
      </c>
      <c r="G2" s="59" t="s">
        <v>73</v>
      </c>
      <c r="H2" s="59" t="s">
        <v>74</v>
      </c>
      <c r="I2" s="37" t="s">
        <v>75</v>
      </c>
      <c r="J2" s="34"/>
    </row>
    <row r="3" spans="1:10" ht="72" x14ac:dyDescent="0.3">
      <c r="A3" s="55" t="s">
        <v>51</v>
      </c>
      <c r="B3" s="21">
        <v>1</v>
      </c>
      <c r="C3" s="22" t="s">
        <v>11</v>
      </c>
      <c r="D3" s="22" t="s">
        <v>22</v>
      </c>
      <c r="E3" s="22" t="s">
        <v>76</v>
      </c>
      <c r="F3" s="66" t="s">
        <v>77</v>
      </c>
      <c r="G3" s="68" t="s">
        <v>78</v>
      </c>
      <c r="H3" s="68" t="s">
        <v>79</v>
      </c>
      <c r="I3" s="23" t="s">
        <v>80</v>
      </c>
    </row>
    <row r="4" spans="1:10" ht="72" x14ac:dyDescent="0.3">
      <c r="A4" s="56" t="s">
        <v>51</v>
      </c>
      <c r="B4" s="24">
        <v>3</v>
      </c>
      <c r="C4" s="6" t="s">
        <v>12</v>
      </c>
      <c r="D4" s="6" t="s">
        <v>23</v>
      </c>
      <c r="E4" s="6" t="s">
        <v>76</v>
      </c>
      <c r="F4" s="5" t="s">
        <v>81</v>
      </c>
      <c r="G4" s="31" t="s">
        <v>82</v>
      </c>
      <c r="H4" s="31" t="s">
        <v>83</v>
      </c>
      <c r="I4" s="32" t="s">
        <v>84</v>
      </c>
    </row>
    <row r="5" spans="1:10" ht="72.599999999999994" thickBot="1" x14ac:dyDescent="0.35">
      <c r="A5" s="56" t="s">
        <v>51</v>
      </c>
      <c r="B5" s="25">
        <v>5</v>
      </c>
      <c r="C5" s="6" t="s">
        <v>13</v>
      </c>
      <c r="D5" s="26" t="s">
        <v>24</v>
      </c>
      <c r="E5" s="26" t="s">
        <v>76</v>
      </c>
      <c r="F5" s="63" t="s">
        <v>85</v>
      </c>
      <c r="G5" s="65" t="s">
        <v>86</v>
      </c>
      <c r="H5" s="65" t="s">
        <v>87</v>
      </c>
      <c r="I5" s="33" t="s">
        <v>88</v>
      </c>
    </row>
    <row r="6" spans="1:10" ht="72" x14ac:dyDescent="0.3">
      <c r="A6" s="55" t="s">
        <v>54</v>
      </c>
      <c r="B6" s="21">
        <v>1</v>
      </c>
      <c r="C6" s="22" t="s">
        <v>11</v>
      </c>
      <c r="D6" s="22" t="s">
        <v>29</v>
      </c>
      <c r="E6" s="22" t="s">
        <v>76</v>
      </c>
      <c r="F6" s="66" t="s">
        <v>77</v>
      </c>
      <c r="G6" s="68" t="s">
        <v>78</v>
      </c>
      <c r="H6" s="68" t="s">
        <v>79</v>
      </c>
      <c r="I6" s="23" t="s">
        <v>80</v>
      </c>
    </row>
    <row r="7" spans="1:10" ht="72" x14ac:dyDescent="0.3">
      <c r="A7" s="56" t="s">
        <v>54</v>
      </c>
      <c r="B7" s="24">
        <v>4</v>
      </c>
      <c r="C7" s="6" t="s">
        <v>12</v>
      </c>
      <c r="D7" s="6" t="s">
        <v>30</v>
      </c>
      <c r="E7" s="6" t="s">
        <v>76</v>
      </c>
      <c r="F7" s="5" t="s">
        <v>85</v>
      </c>
      <c r="G7" s="31" t="s">
        <v>82</v>
      </c>
      <c r="H7" s="31" t="s">
        <v>89</v>
      </c>
      <c r="I7" s="32" t="s">
        <v>90</v>
      </c>
    </row>
    <row r="8" spans="1:10" ht="90.6" thickBot="1" x14ac:dyDescent="0.35">
      <c r="A8" s="56" t="s">
        <v>54</v>
      </c>
      <c r="B8" s="25">
        <v>6</v>
      </c>
      <c r="C8" s="6" t="s">
        <v>13</v>
      </c>
      <c r="D8" s="26" t="s">
        <v>31</v>
      </c>
      <c r="E8" s="26" t="s">
        <v>76</v>
      </c>
      <c r="F8" s="63" t="s">
        <v>77</v>
      </c>
      <c r="G8" s="65" t="s">
        <v>86</v>
      </c>
      <c r="H8" s="65" t="s">
        <v>91</v>
      </c>
      <c r="I8" s="27" t="s">
        <v>92</v>
      </c>
    </row>
    <row r="9" spans="1:10" ht="54" x14ac:dyDescent="0.3">
      <c r="A9" s="55" t="s">
        <v>57</v>
      </c>
      <c r="B9" s="21">
        <v>2</v>
      </c>
      <c r="C9" s="22" t="s">
        <v>11</v>
      </c>
      <c r="D9" s="22" t="s">
        <v>32</v>
      </c>
      <c r="E9" s="22" t="s">
        <v>76</v>
      </c>
      <c r="F9" s="66" t="s">
        <v>85</v>
      </c>
      <c r="G9" s="68" t="s">
        <v>93</v>
      </c>
      <c r="H9" s="68" t="s">
        <v>94</v>
      </c>
      <c r="I9" s="23" t="s">
        <v>95</v>
      </c>
    </row>
    <row r="10" spans="1:10" ht="54" x14ac:dyDescent="0.3">
      <c r="A10" s="56" t="s">
        <v>57</v>
      </c>
      <c r="B10" s="24">
        <v>4</v>
      </c>
      <c r="C10" s="6" t="s">
        <v>12</v>
      </c>
      <c r="D10" s="6" t="s">
        <v>33</v>
      </c>
      <c r="E10" s="6" t="s">
        <v>76</v>
      </c>
      <c r="F10" s="5" t="s">
        <v>85</v>
      </c>
      <c r="G10" s="31" t="s">
        <v>82</v>
      </c>
      <c r="H10" s="31" t="s">
        <v>89</v>
      </c>
      <c r="I10" s="32" t="s">
        <v>90</v>
      </c>
    </row>
    <row r="11" spans="1:10" ht="54.6" thickBot="1" x14ac:dyDescent="0.35">
      <c r="A11" s="56" t="s">
        <v>57</v>
      </c>
      <c r="B11" s="25">
        <v>6</v>
      </c>
      <c r="C11" s="6" t="s">
        <v>13</v>
      </c>
      <c r="D11" s="26" t="s">
        <v>34</v>
      </c>
      <c r="E11" s="26" t="s">
        <v>76</v>
      </c>
      <c r="F11" s="63" t="s">
        <v>77</v>
      </c>
      <c r="G11" s="65" t="s">
        <v>86</v>
      </c>
      <c r="H11" s="65" t="s">
        <v>91</v>
      </c>
      <c r="I11" s="33" t="s">
        <v>92</v>
      </c>
    </row>
    <row r="12" spans="1:10" x14ac:dyDescent="0.5">
      <c r="A12" s="55"/>
      <c r="C12" s="22"/>
      <c r="F12" s="3"/>
      <c r="G12" s="1"/>
      <c r="I12" s="1"/>
    </row>
    <row r="13" spans="1:10" x14ac:dyDescent="0.3">
      <c r="A13" s="56"/>
      <c r="F13" s="20"/>
      <c r="G13"/>
      <c r="H13"/>
    </row>
    <row r="14" spans="1:10" x14ac:dyDescent="0.3">
      <c r="A14" s="56"/>
      <c r="F14" s="20"/>
      <c r="G14"/>
      <c r="H14"/>
    </row>
    <row r="15" spans="1:10" x14ac:dyDescent="0.3">
      <c r="A15" s="56"/>
      <c r="F15" s="20"/>
      <c r="G15"/>
      <c r="H15"/>
    </row>
    <row r="16" spans="1:10" x14ac:dyDescent="0.3">
      <c r="A16" s="56"/>
      <c r="F16" s="20"/>
      <c r="G16"/>
      <c r="H16"/>
    </row>
    <row r="17" spans="1:8" x14ac:dyDescent="0.3">
      <c r="A17" s="56"/>
      <c r="F17" s="20"/>
      <c r="G17"/>
      <c r="H17"/>
    </row>
    <row r="18" spans="1:8" x14ac:dyDescent="0.3">
      <c r="A18" s="56"/>
      <c r="F18" s="20"/>
      <c r="G18"/>
      <c r="H18"/>
    </row>
    <row r="19" spans="1:8" x14ac:dyDescent="0.3">
      <c r="F19" s="20"/>
      <c r="G19"/>
      <c r="H19"/>
    </row>
    <row r="20" spans="1:8" x14ac:dyDescent="0.3">
      <c r="F20" s="20"/>
      <c r="G20"/>
      <c r="H20"/>
    </row>
    <row r="21" spans="1:8" x14ac:dyDescent="0.3">
      <c r="F21" s="20"/>
      <c r="G21"/>
      <c r="H21"/>
    </row>
    <row r="22" spans="1:8" x14ac:dyDescent="0.3">
      <c r="F22" s="20"/>
      <c r="G22"/>
      <c r="H22"/>
    </row>
    <row r="23" spans="1:8" x14ac:dyDescent="0.3">
      <c r="F23" s="20"/>
      <c r="G23"/>
      <c r="H23"/>
    </row>
    <row r="24" spans="1:8" x14ac:dyDescent="0.3">
      <c r="F24" s="20"/>
      <c r="G24"/>
      <c r="H24"/>
    </row>
    <row r="25" spans="1:8" x14ac:dyDescent="0.3">
      <c r="F25" s="20"/>
      <c r="G25"/>
      <c r="H25"/>
    </row>
    <row r="26" spans="1:8" x14ac:dyDescent="0.3">
      <c r="F26" s="20"/>
      <c r="G26"/>
      <c r="H26"/>
    </row>
    <row r="27" spans="1:8" x14ac:dyDescent="0.3">
      <c r="F27" s="20"/>
      <c r="G27"/>
      <c r="H27"/>
    </row>
    <row r="28" spans="1:8" x14ac:dyDescent="0.3">
      <c r="F28" s="20"/>
      <c r="G28"/>
      <c r="H28"/>
    </row>
    <row r="29" spans="1:8" x14ac:dyDescent="0.3">
      <c r="F29" s="20"/>
      <c r="G29"/>
      <c r="H29"/>
    </row>
    <row r="30" spans="1:8" x14ac:dyDescent="0.3">
      <c r="F30" s="20"/>
      <c r="G30"/>
      <c r="H30"/>
    </row>
    <row r="31" spans="1:8" x14ac:dyDescent="0.3">
      <c r="F31" s="20"/>
      <c r="G31"/>
      <c r="H31"/>
    </row>
    <row r="32" spans="1:8" x14ac:dyDescent="0.3">
      <c r="F32" s="20"/>
      <c r="G32"/>
      <c r="H32"/>
    </row>
    <row r="33" spans="6:8" x14ac:dyDescent="0.3">
      <c r="F33" s="20"/>
      <c r="G33"/>
      <c r="H33"/>
    </row>
    <row r="34" spans="6:8" x14ac:dyDescent="0.3">
      <c r="F34" s="20"/>
      <c r="G34"/>
      <c r="H34"/>
    </row>
    <row r="35" spans="6:8" x14ac:dyDescent="0.3">
      <c r="F35" s="20"/>
      <c r="G35"/>
      <c r="H35"/>
    </row>
    <row r="36" spans="6:8" x14ac:dyDescent="0.3">
      <c r="F36" s="20"/>
      <c r="G36"/>
      <c r="H36"/>
    </row>
    <row r="37" spans="6:8" x14ac:dyDescent="0.3">
      <c r="F37" s="20"/>
      <c r="G37"/>
      <c r="H37"/>
    </row>
    <row r="38" spans="6:8" x14ac:dyDescent="0.3">
      <c r="F38" s="20"/>
      <c r="G38"/>
      <c r="H38"/>
    </row>
    <row r="39" spans="6:8" x14ac:dyDescent="0.3">
      <c r="F39" s="20"/>
      <c r="G39"/>
      <c r="H39"/>
    </row>
    <row r="40" spans="6:8" x14ac:dyDescent="0.3">
      <c r="F40" s="20"/>
      <c r="G40"/>
      <c r="H40"/>
    </row>
    <row r="41" spans="6:8" x14ac:dyDescent="0.3">
      <c r="F41" s="20"/>
      <c r="G41"/>
      <c r="H41"/>
    </row>
    <row r="42" spans="6:8" x14ac:dyDescent="0.3">
      <c r="F42" s="20"/>
      <c r="G42"/>
      <c r="H42"/>
    </row>
    <row r="43" spans="6:8" x14ac:dyDescent="0.3">
      <c r="F43" s="20"/>
      <c r="G43"/>
      <c r="H43"/>
    </row>
    <row r="44" spans="6:8" x14ac:dyDescent="0.3">
      <c r="F44" s="20"/>
      <c r="G44"/>
      <c r="H44"/>
    </row>
    <row r="45" spans="6:8" x14ac:dyDescent="0.3">
      <c r="F45" s="20"/>
      <c r="G45"/>
      <c r="H45"/>
    </row>
    <row r="46" spans="6:8" x14ac:dyDescent="0.3">
      <c r="F46" s="20"/>
      <c r="G46"/>
      <c r="H46"/>
    </row>
    <row r="47" spans="6:8" x14ac:dyDescent="0.3">
      <c r="F47" s="20"/>
      <c r="G47"/>
      <c r="H47"/>
    </row>
    <row r="48" spans="6:8" x14ac:dyDescent="0.3">
      <c r="F48" s="20"/>
      <c r="G48"/>
      <c r="H48"/>
    </row>
    <row r="49" spans="6:8" x14ac:dyDescent="0.3">
      <c r="F49" s="20"/>
      <c r="G49"/>
      <c r="H49"/>
    </row>
    <row r="50" spans="6:8" x14ac:dyDescent="0.3">
      <c r="F50" s="20"/>
      <c r="G50"/>
      <c r="H50"/>
    </row>
    <row r="51" spans="6:8" x14ac:dyDescent="0.3">
      <c r="F51" s="20"/>
      <c r="G51"/>
      <c r="H51"/>
    </row>
    <row r="52" spans="6:8" x14ac:dyDescent="0.3">
      <c r="F52" s="20"/>
      <c r="G52"/>
      <c r="H52"/>
    </row>
    <row r="53" spans="6:8" x14ac:dyDescent="0.3">
      <c r="F53" s="20"/>
      <c r="G53"/>
      <c r="H53"/>
    </row>
    <row r="54" spans="6:8" x14ac:dyDescent="0.3">
      <c r="F54" s="20"/>
      <c r="G54"/>
      <c r="H54"/>
    </row>
    <row r="55" spans="6:8" x14ac:dyDescent="0.3">
      <c r="F55" s="20"/>
      <c r="G55"/>
      <c r="H55"/>
    </row>
    <row r="56" spans="6:8" x14ac:dyDescent="0.3">
      <c r="F56" s="20"/>
      <c r="G56"/>
      <c r="H56"/>
    </row>
    <row r="57" spans="6:8" x14ac:dyDescent="0.3">
      <c r="F57" s="20"/>
      <c r="G57"/>
      <c r="H57"/>
    </row>
    <row r="58" spans="6:8" x14ac:dyDescent="0.3">
      <c r="F58" s="20"/>
      <c r="G58"/>
      <c r="H58"/>
    </row>
    <row r="59" spans="6:8" x14ac:dyDescent="0.3">
      <c r="F59" s="20"/>
      <c r="G59"/>
      <c r="H59"/>
    </row>
    <row r="60" spans="6:8" x14ac:dyDescent="0.3">
      <c r="F60" s="20"/>
      <c r="G60"/>
      <c r="H60"/>
    </row>
    <row r="61" spans="6:8" x14ac:dyDescent="0.3">
      <c r="F61" s="20"/>
      <c r="G61"/>
      <c r="H61"/>
    </row>
    <row r="62" spans="6:8" x14ac:dyDescent="0.3">
      <c r="F62" s="20"/>
      <c r="G62"/>
      <c r="H62"/>
    </row>
    <row r="63" spans="6:8" x14ac:dyDescent="0.3">
      <c r="F63" s="20"/>
      <c r="G63"/>
      <c r="H63"/>
    </row>
    <row r="64" spans="6:8" x14ac:dyDescent="0.3">
      <c r="F64" s="20"/>
      <c r="G64"/>
      <c r="H64"/>
    </row>
    <row r="65" spans="6:8" x14ac:dyDescent="0.3">
      <c r="F65" s="20"/>
      <c r="G65"/>
      <c r="H65"/>
    </row>
    <row r="66" spans="6:8" x14ac:dyDescent="0.3">
      <c r="F66" s="20"/>
      <c r="G66"/>
      <c r="H66"/>
    </row>
    <row r="67" spans="6:8" x14ac:dyDescent="0.3">
      <c r="F67" s="20"/>
      <c r="G67"/>
      <c r="H67"/>
    </row>
    <row r="68" spans="6:8" x14ac:dyDescent="0.3">
      <c r="F68" s="20"/>
      <c r="G68"/>
      <c r="H68"/>
    </row>
    <row r="69" spans="6:8" x14ac:dyDescent="0.3">
      <c r="F69" s="20"/>
      <c r="G69"/>
      <c r="H69"/>
    </row>
    <row r="70" spans="6:8" x14ac:dyDescent="0.3">
      <c r="F70" s="20"/>
      <c r="G70"/>
      <c r="H70"/>
    </row>
    <row r="71" spans="6:8" x14ac:dyDescent="0.3">
      <c r="F71" s="20"/>
      <c r="G71"/>
      <c r="H71"/>
    </row>
    <row r="72" spans="6:8" x14ac:dyDescent="0.3">
      <c r="F72" s="20"/>
      <c r="G72"/>
      <c r="H72"/>
    </row>
    <row r="73" spans="6:8" x14ac:dyDescent="0.3">
      <c r="F73" s="20"/>
      <c r="G73"/>
      <c r="H73"/>
    </row>
    <row r="74" spans="6:8" x14ac:dyDescent="0.3">
      <c r="F74" s="20"/>
      <c r="G74"/>
      <c r="H74"/>
    </row>
    <row r="75" spans="6:8" x14ac:dyDescent="0.3">
      <c r="F75" s="20"/>
      <c r="G75"/>
      <c r="H75"/>
    </row>
    <row r="76" spans="6:8" x14ac:dyDescent="0.3">
      <c r="F76" s="20"/>
      <c r="G76"/>
      <c r="H76"/>
    </row>
    <row r="77" spans="6:8" x14ac:dyDescent="0.3">
      <c r="F77" s="20"/>
      <c r="G77"/>
      <c r="H77"/>
    </row>
    <row r="78" spans="6:8" x14ac:dyDescent="0.3">
      <c r="F78" s="20"/>
      <c r="G78"/>
      <c r="H78"/>
    </row>
    <row r="79" spans="6:8" x14ac:dyDescent="0.3">
      <c r="F79" s="20"/>
      <c r="G79"/>
      <c r="H79"/>
    </row>
    <row r="80" spans="6:8" x14ac:dyDescent="0.3">
      <c r="F80" s="20"/>
      <c r="G80"/>
      <c r="H80"/>
    </row>
    <row r="81" spans="6:8" x14ac:dyDescent="0.3">
      <c r="F81" s="20"/>
      <c r="G81"/>
      <c r="H81"/>
    </row>
    <row r="82" spans="6:8" x14ac:dyDescent="0.3">
      <c r="F82" s="20"/>
      <c r="G82"/>
      <c r="H82"/>
    </row>
    <row r="83" spans="6:8" x14ac:dyDescent="0.3">
      <c r="F83" s="20"/>
      <c r="G83"/>
      <c r="H83"/>
    </row>
    <row r="84" spans="6:8" x14ac:dyDescent="0.3">
      <c r="F84" s="20"/>
      <c r="G84"/>
      <c r="H84"/>
    </row>
    <row r="85" spans="6:8" x14ac:dyDescent="0.3">
      <c r="F85" s="20"/>
      <c r="G85"/>
      <c r="H85"/>
    </row>
    <row r="86" spans="6:8" x14ac:dyDescent="0.3">
      <c r="F86" s="20"/>
      <c r="G86"/>
      <c r="H86"/>
    </row>
    <row r="87" spans="6:8" x14ac:dyDescent="0.3">
      <c r="F87" s="20"/>
      <c r="G87"/>
      <c r="H87"/>
    </row>
    <row r="88" spans="6:8" x14ac:dyDescent="0.3">
      <c r="F88" s="20"/>
      <c r="G88"/>
      <c r="H88"/>
    </row>
    <row r="89" spans="6:8" x14ac:dyDescent="0.3">
      <c r="F89" s="20"/>
      <c r="G89"/>
      <c r="H89"/>
    </row>
    <row r="90" spans="6:8" x14ac:dyDescent="0.3">
      <c r="F90" s="20"/>
      <c r="G90"/>
      <c r="H90"/>
    </row>
    <row r="91" spans="6:8" x14ac:dyDescent="0.3">
      <c r="F91" s="20"/>
      <c r="G91"/>
      <c r="H91"/>
    </row>
    <row r="92" spans="6:8" x14ac:dyDescent="0.3">
      <c r="F92" s="20"/>
      <c r="G92"/>
      <c r="H92"/>
    </row>
    <row r="93" spans="6:8" x14ac:dyDescent="0.3">
      <c r="F93" s="20"/>
      <c r="G93"/>
      <c r="H93"/>
    </row>
    <row r="94" spans="6:8" x14ac:dyDescent="0.3">
      <c r="F94" s="20"/>
      <c r="G94"/>
      <c r="H94"/>
    </row>
    <row r="95" spans="6:8" x14ac:dyDescent="0.3">
      <c r="F95" s="20"/>
      <c r="G95"/>
      <c r="H95"/>
    </row>
    <row r="96" spans="6:8" x14ac:dyDescent="0.3">
      <c r="F96" s="20"/>
      <c r="G96"/>
      <c r="H96"/>
    </row>
    <row r="97" spans="6:8" x14ac:dyDescent="0.3">
      <c r="F97" s="20"/>
      <c r="G97"/>
      <c r="H97"/>
    </row>
    <row r="98" spans="6:8" x14ac:dyDescent="0.3">
      <c r="F98" s="20"/>
      <c r="G98"/>
      <c r="H98"/>
    </row>
    <row r="99" spans="6:8" x14ac:dyDescent="0.3">
      <c r="F99" s="20"/>
      <c r="G99"/>
      <c r="H99"/>
    </row>
    <row r="100" spans="6:8" x14ac:dyDescent="0.3">
      <c r="F100" s="20"/>
      <c r="G100"/>
      <c r="H100"/>
    </row>
    <row r="101" spans="6:8" x14ac:dyDescent="0.3">
      <c r="F101" s="20"/>
      <c r="G101"/>
      <c r="H101"/>
    </row>
    <row r="102" spans="6:8" x14ac:dyDescent="0.3">
      <c r="F102" s="20"/>
      <c r="G102"/>
      <c r="H102"/>
    </row>
    <row r="103" spans="6:8" x14ac:dyDescent="0.3">
      <c r="F103" s="20"/>
      <c r="G103"/>
      <c r="H103"/>
    </row>
    <row r="104" spans="6:8" x14ac:dyDescent="0.3">
      <c r="F104" s="20"/>
      <c r="G104"/>
      <c r="H104"/>
    </row>
    <row r="105" spans="6:8" x14ac:dyDescent="0.3">
      <c r="F105" s="20"/>
      <c r="G105"/>
      <c r="H105"/>
    </row>
    <row r="106" spans="6:8" x14ac:dyDescent="0.3">
      <c r="F106" s="20"/>
      <c r="G106"/>
      <c r="H106"/>
    </row>
    <row r="107" spans="6:8" x14ac:dyDescent="0.3">
      <c r="F107" s="20"/>
      <c r="G107"/>
      <c r="H107"/>
    </row>
    <row r="108" spans="6:8" x14ac:dyDescent="0.3">
      <c r="F108" s="20"/>
      <c r="G108"/>
      <c r="H108"/>
    </row>
    <row r="109" spans="6:8" x14ac:dyDescent="0.3">
      <c r="F109" s="20"/>
      <c r="G109"/>
      <c r="H109"/>
    </row>
    <row r="110" spans="6:8" x14ac:dyDescent="0.3">
      <c r="F110" s="20"/>
      <c r="G110"/>
      <c r="H110"/>
    </row>
    <row r="111" spans="6:8" x14ac:dyDescent="0.3">
      <c r="F111" s="20"/>
      <c r="G111"/>
      <c r="H111"/>
    </row>
    <row r="112" spans="6:8" x14ac:dyDescent="0.3">
      <c r="F112" s="20"/>
      <c r="G112"/>
      <c r="H112"/>
    </row>
    <row r="113" spans="6:8" x14ac:dyDescent="0.3">
      <c r="F113" s="20"/>
      <c r="G113"/>
      <c r="H113"/>
    </row>
    <row r="114" spans="6:8" x14ac:dyDescent="0.3">
      <c r="F114" s="20"/>
      <c r="G114"/>
      <c r="H114"/>
    </row>
    <row r="115" spans="6:8" x14ac:dyDescent="0.5">
      <c r="F115" s="20"/>
      <c r="G115"/>
    </row>
    <row r="116" spans="6:8" x14ac:dyDescent="0.5">
      <c r="F116" s="20"/>
      <c r="G116"/>
    </row>
    <row r="117" spans="6:8" x14ac:dyDescent="0.5">
      <c r="F117" s="20"/>
      <c r="G117"/>
    </row>
    <row r="118" spans="6:8" x14ac:dyDescent="0.5">
      <c r="F118" s="20"/>
      <c r="G118"/>
    </row>
    <row r="119" spans="6:8" x14ac:dyDescent="0.5">
      <c r="F119" s="20"/>
      <c r="G119"/>
    </row>
    <row r="120" spans="6:8" x14ac:dyDescent="0.5">
      <c r="F120" s="20"/>
      <c r="G120"/>
    </row>
    <row r="121" spans="6:8" x14ac:dyDescent="0.5">
      <c r="G121"/>
    </row>
    <row r="122" spans="6:8" x14ac:dyDescent="0.5">
      <c r="G122"/>
    </row>
    <row r="123" spans="6:8" x14ac:dyDescent="0.5">
      <c r="G123"/>
    </row>
    <row r="124" spans="6:8" x14ac:dyDescent="0.5">
      <c r="G124"/>
    </row>
  </sheetData>
  <autoFilter ref="B2:C11" xr:uid="{94AAF649-42F4-466A-BE11-44357078F961}"/>
  <dataValidations count="9">
    <dataValidation type="list" allowBlank="1" showInputMessage="1" showErrorMessage="1" sqref="C3:C18" xr:uid="{3EEE3B63-C572-46CF-960D-B5C131832E7C}">
      <formula1>dominios</formula1>
    </dataValidation>
    <dataValidation type="list" allowBlank="1" showInputMessage="1" showErrorMessage="1" sqref="A3:A18" xr:uid="{C75ACEBC-F466-42F9-8994-B0B52F0BD49B}">
      <formula1>competencias</formula1>
    </dataValidation>
    <dataValidation type="list" allowBlank="1" showInputMessage="1" showErrorMessage="1" sqref="F3:F120" xr:uid="{A67273FC-D6BC-4601-A146-88AA40CB5471}">
      <formula1>INDIRECT($E3)</formula1>
    </dataValidation>
    <dataValidation type="list" allowBlank="1" showInputMessage="1" showErrorMessage="1" sqref="H3:H114" xr:uid="{BD1A6CDA-7283-4262-9F88-FE80565918E8}">
      <formula1>INDIRECT($G3)</formula1>
    </dataValidation>
    <dataValidation type="list" allowBlank="1" showInputMessage="1" showErrorMessage="1" sqref="G3:G124" xr:uid="{5A5167AA-8E05-4C2B-AB93-AFCCFC818F7C}">
      <formula1>INDIRECT($F3)</formula1>
    </dataValidation>
    <dataValidation type="list" allowBlank="1" showInputMessage="1" showErrorMessage="1" sqref="G125" xr:uid="{0672F913-2951-4A69-81CA-17D84AE0F8F1}">
      <formula1>INDIRECT($E8)</formula1>
    </dataValidation>
    <dataValidation type="list" allowBlank="1" showInputMessage="1" showErrorMessage="1" promptTitle="Taxonomías" prompt="De la lista elija la taxonomía que considere pertinente para establecer los verbos de los resultados de aprendizaje._x000a_B: Taxonomía de Bloom_x000a_BAK: Taxonomía según Anderson y Krathwohl_x000a_LK: Taxonomía según Lors y Krathwohl_x000a_AK: Taxonomía según Anderson y Kendal" sqref="E121:E122" xr:uid="{2AA66EB6-1D02-4905-911D-6322AD215A8E}">
      <formula1>taxonomiasra</formula1>
    </dataValidation>
    <dataValidation type="list" allowBlank="1" showInputMessage="1" showErrorMessage="1" promptTitle="Taxonomías" prompt="De la lista elija la taxonomía que considere pertinente para establecer los verbos de los resultados de aprendizaje._x000a_B: Tax. de Bloom_x000a_BAK: Tax. Bloom según Anderson y Krathwohl_x000a_AK: Tax. según Anderson y Krathwohl_x000a_MK: Tax. según Marzano y Kendal" sqref="E3:E120" xr:uid="{EFFF541A-9FA7-4D87-BD80-7B4D10675962}">
      <formula1>taxonomiasra</formula1>
    </dataValidation>
    <dataValidation type="list" allowBlank="1" showInputMessage="1" showErrorMessage="1" sqref="D3:D90" xr:uid="{8B694A6C-2F9D-4256-9525-279EF56F94F5}">
      <formula1>INDIRECT($C3)</formula1>
    </dataValidation>
  </dataValidations>
  <pageMargins left="0.7" right="0.7" top="0.75" bottom="0.75" header="0.3" footer="0.3"/>
  <pageSetup orientation="portrait" r:id="rId1"/>
  <legacyDrawing r:id="rId2"/>
  <tableParts count="5">
    <tablePart r:id="rId3"/>
    <tablePart r:id="rId4"/>
    <tablePart r:id="rId5"/>
    <tablePart r:id="rId6"/>
    <tablePart r:id="rId7"/>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26B80-E6B4-4ED4-A764-E59AF4E18393}">
  <dimension ref="A1:F26"/>
  <sheetViews>
    <sheetView zoomScaleNormal="100" workbookViewId="0"/>
  </sheetViews>
  <sheetFormatPr baseColWidth="10" defaultColWidth="11.44140625" defaultRowHeight="18" x14ac:dyDescent="0.3"/>
  <cols>
    <col min="1" max="1" width="61.77734375" style="31" customWidth="1"/>
    <col min="2" max="2" width="52.21875" style="31" customWidth="1"/>
    <col min="3" max="3" width="45.77734375" style="31" customWidth="1"/>
    <col min="4" max="4" width="51.44140625" style="31" customWidth="1"/>
    <col min="5" max="5" width="39.21875" style="31" customWidth="1"/>
    <col min="6" max="6" width="36" style="31" customWidth="1"/>
    <col min="7" max="16384" width="11.44140625" style="31"/>
  </cols>
  <sheetData>
    <row r="1" spans="1:6" ht="48" x14ac:dyDescent="0.3">
      <c r="A1" s="35" t="s">
        <v>96</v>
      </c>
      <c r="B1" s="35" t="s">
        <v>97</v>
      </c>
      <c r="C1" s="35" t="s">
        <v>98</v>
      </c>
      <c r="D1" s="35" t="s">
        <v>99</v>
      </c>
      <c r="E1" s="35" t="s">
        <v>100</v>
      </c>
      <c r="F1" s="35" t="s">
        <v>101</v>
      </c>
    </row>
    <row r="2" spans="1:6" ht="36" x14ac:dyDescent="0.3">
      <c r="A2" s="37" t="s">
        <v>102</v>
      </c>
      <c r="B2" s="37" t="s">
        <v>103</v>
      </c>
      <c r="C2" s="37" t="s">
        <v>104</v>
      </c>
      <c r="D2" s="37" t="s">
        <v>105</v>
      </c>
      <c r="E2" s="37" t="s">
        <v>106</v>
      </c>
      <c r="F2" s="37" t="s">
        <v>107</v>
      </c>
    </row>
    <row r="3" spans="1:6" ht="72" x14ac:dyDescent="0.3">
      <c r="A3" s="52" t="s">
        <v>80</v>
      </c>
      <c r="B3" s="89" t="s">
        <v>108</v>
      </c>
      <c r="C3" s="115" t="s">
        <v>109</v>
      </c>
      <c r="D3" s="61" t="s">
        <v>110</v>
      </c>
      <c r="E3" s="86" t="s">
        <v>111</v>
      </c>
      <c r="F3" s="51" t="s">
        <v>112</v>
      </c>
    </row>
    <row r="4" spans="1:6" ht="54" x14ac:dyDescent="0.3">
      <c r="A4" s="5" t="s">
        <v>84</v>
      </c>
      <c r="B4" s="91"/>
      <c r="C4" s="104"/>
      <c r="D4" s="62" t="s">
        <v>113</v>
      </c>
      <c r="E4" s="84"/>
      <c r="F4" s="31" t="s">
        <v>114</v>
      </c>
    </row>
    <row r="5" spans="1:6" ht="90" x14ac:dyDescent="0.3">
      <c r="A5" s="5" t="s">
        <v>88</v>
      </c>
      <c r="B5" s="91"/>
      <c r="C5" s="104"/>
      <c r="D5" s="62" t="s">
        <v>115</v>
      </c>
      <c r="E5" s="84"/>
      <c r="F5" s="5" t="s">
        <v>116</v>
      </c>
    </row>
    <row r="6" spans="1:6" ht="54" x14ac:dyDescent="0.3">
      <c r="A6" s="5" t="s">
        <v>90</v>
      </c>
      <c r="B6" s="91"/>
      <c r="C6" s="104"/>
      <c r="D6" s="62"/>
      <c r="E6" s="84"/>
    </row>
    <row r="7" spans="1:6" ht="72" x14ac:dyDescent="0.3">
      <c r="A7" s="5" t="s">
        <v>92</v>
      </c>
      <c r="B7" s="91"/>
      <c r="C7" s="104"/>
      <c r="D7" s="62"/>
      <c r="E7" s="84"/>
    </row>
    <row r="8" spans="1:6" ht="54.6" thickBot="1" x14ac:dyDescent="0.35">
      <c r="A8" s="63" t="s">
        <v>95</v>
      </c>
      <c r="B8" s="90"/>
      <c r="C8" s="105"/>
      <c r="D8" s="64"/>
      <c r="E8" s="85"/>
      <c r="F8" s="65"/>
    </row>
    <row r="9" spans="1:6" ht="72" x14ac:dyDescent="0.3">
      <c r="A9" s="66" t="s">
        <v>80</v>
      </c>
      <c r="B9" s="93" t="s">
        <v>117</v>
      </c>
      <c r="C9" s="103" t="s">
        <v>118</v>
      </c>
      <c r="D9" s="67" t="s">
        <v>110</v>
      </c>
      <c r="E9" s="97" t="s">
        <v>119</v>
      </c>
      <c r="F9" s="68" t="s">
        <v>112</v>
      </c>
    </row>
    <row r="10" spans="1:6" ht="54" x14ac:dyDescent="0.3">
      <c r="A10" s="5" t="s">
        <v>84</v>
      </c>
      <c r="B10" s="91"/>
      <c r="C10" s="104"/>
      <c r="D10" s="62" t="s">
        <v>120</v>
      </c>
      <c r="E10" s="84"/>
      <c r="F10" s="31" t="s">
        <v>114</v>
      </c>
    </row>
    <row r="11" spans="1:6" ht="90" x14ac:dyDescent="0.3">
      <c r="A11" s="5" t="s">
        <v>88</v>
      </c>
      <c r="B11" s="91"/>
      <c r="C11" s="104"/>
      <c r="D11" s="62" t="s">
        <v>115</v>
      </c>
      <c r="E11" s="84"/>
      <c r="F11" s="5" t="s">
        <v>116</v>
      </c>
    </row>
    <row r="12" spans="1:6" ht="54" x14ac:dyDescent="0.3">
      <c r="A12" s="5" t="s">
        <v>90</v>
      </c>
      <c r="B12" s="91"/>
      <c r="C12" s="104"/>
      <c r="D12" s="62"/>
      <c r="E12" s="84"/>
    </row>
    <row r="13" spans="1:6" ht="72" x14ac:dyDescent="0.3">
      <c r="A13" s="5" t="s">
        <v>92</v>
      </c>
      <c r="B13" s="91"/>
      <c r="C13" s="104"/>
      <c r="D13" s="62"/>
      <c r="E13" s="84"/>
    </row>
    <row r="14" spans="1:6" ht="54.6" thickBot="1" x14ac:dyDescent="0.35">
      <c r="A14" s="63" t="s">
        <v>95</v>
      </c>
      <c r="B14" s="90"/>
      <c r="C14" s="105"/>
      <c r="D14" s="64"/>
      <c r="E14" s="85"/>
      <c r="F14" s="65"/>
    </row>
    <row r="15" spans="1:6" ht="72" x14ac:dyDescent="0.3">
      <c r="A15" s="66" t="s">
        <v>80</v>
      </c>
      <c r="B15" s="93" t="s">
        <v>121</v>
      </c>
      <c r="C15" s="103" t="s">
        <v>122</v>
      </c>
      <c r="D15" s="67" t="s">
        <v>110</v>
      </c>
      <c r="E15" s="97" t="s">
        <v>119</v>
      </c>
      <c r="F15" s="68" t="s">
        <v>112</v>
      </c>
    </row>
    <row r="16" spans="1:6" ht="54" x14ac:dyDescent="0.3">
      <c r="A16" s="5" t="s">
        <v>84</v>
      </c>
      <c r="B16" s="91"/>
      <c r="C16" s="104"/>
      <c r="D16" s="62" t="s">
        <v>120</v>
      </c>
      <c r="E16" s="84"/>
      <c r="F16" s="31" t="s">
        <v>114</v>
      </c>
    </row>
    <row r="17" spans="1:6" ht="90" x14ac:dyDescent="0.3">
      <c r="A17" s="5" t="s">
        <v>88</v>
      </c>
      <c r="B17" s="91"/>
      <c r="C17" s="104"/>
      <c r="D17" s="62" t="s">
        <v>115</v>
      </c>
      <c r="E17" s="84"/>
      <c r="F17" s="5" t="s">
        <v>116</v>
      </c>
    </row>
    <row r="18" spans="1:6" ht="54" x14ac:dyDescent="0.3">
      <c r="A18" s="5" t="s">
        <v>90</v>
      </c>
      <c r="B18" s="91"/>
      <c r="C18" s="104"/>
      <c r="D18" s="62"/>
      <c r="E18" s="84"/>
    </row>
    <row r="19" spans="1:6" ht="72" x14ac:dyDescent="0.3">
      <c r="A19" s="5" t="s">
        <v>92</v>
      </c>
      <c r="B19" s="91"/>
      <c r="C19" s="104"/>
      <c r="D19" s="62"/>
      <c r="E19" s="84"/>
    </row>
    <row r="20" spans="1:6" ht="54.6" thickBot="1" x14ac:dyDescent="0.35">
      <c r="A20" s="63" t="s">
        <v>95</v>
      </c>
      <c r="B20" s="90"/>
      <c r="C20" s="105"/>
      <c r="D20" s="64"/>
      <c r="E20" s="85"/>
      <c r="F20" s="65"/>
    </row>
    <row r="21" spans="1:6" ht="72" x14ac:dyDescent="0.3">
      <c r="A21" s="66" t="s">
        <v>80</v>
      </c>
      <c r="B21" s="93" t="s">
        <v>123</v>
      </c>
      <c r="C21" s="103" t="s">
        <v>124</v>
      </c>
      <c r="D21" s="67" t="s">
        <v>110</v>
      </c>
      <c r="E21" s="97" t="s">
        <v>119</v>
      </c>
      <c r="F21" s="68" t="s">
        <v>112</v>
      </c>
    </row>
    <row r="22" spans="1:6" ht="54" x14ac:dyDescent="0.3">
      <c r="A22" s="5" t="s">
        <v>84</v>
      </c>
      <c r="B22" s="91"/>
      <c r="C22" s="104"/>
      <c r="D22" s="62" t="s">
        <v>120</v>
      </c>
      <c r="E22" s="84"/>
      <c r="F22" s="31" t="s">
        <v>114</v>
      </c>
    </row>
    <row r="23" spans="1:6" ht="90" x14ac:dyDescent="0.3">
      <c r="A23" s="5" t="s">
        <v>88</v>
      </c>
      <c r="B23" s="91"/>
      <c r="C23" s="104"/>
      <c r="D23" s="62" t="s">
        <v>115</v>
      </c>
      <c r="E23" s="84"/>
      <c r="F23" s="5" t="s">
        <v>116</v>
      </c>
    </row>
    <row r="24" spans="1:6" ht="54" x14ac:dyDescent="0.3">
      <c r="A24" s="5" t="s">
        <v>90</v>
      </c>
      <c r="B24" s="91"/>
      <c r="C24" s="104"/>
      <c r="D24" s="62"/>
      <c r="E24" s="84"/>
    </row>
    <row r="25" spans="1:6" ht="72" x14ac:dyDescent="0.3">
      <c r="A25" s="5" t="s">
        <v>92</v>
      </c>
      <c r="B25" s="91"/>
      <c r="C25" s="104"/>
      <c r="D25" s="62"/>
      <c r="E25" s="84"/>
    </row>
    <row r="26" spans="1:6" ht="54.6" thickBot="1" x14ac:dyDescent="0.35">
      <c r="A26" s="63" t="s">
        <v>95</v>
      </c>
      <c r="B26" s="90"/>
      <c r="C26" s="105"/>
      <c r="D26" s="64"/>
      <c r="E26" s="85"/>
      <c r="F26" s="65"/>
    </row>
  </sheetData>
  <mergeCells count="12">
    <mergeCell ref="E3:E8"/>
    <mergeCell ref="E9:E14"/>
    <mergeCell ref="E15:E20"/>
    <mergeCell ref="E21:E26"/>
    <mergeCell ref="B21:B26"/>
    <mergeCell ref="C21:C26"/>
    <mergeCell ref="B3:B8"/>
    <mergeCell ref="C3:C8"/>
    <mergeCell ref="B9:B14"/>
    <mergeCell ref="C9:C14"/>
    <mergeCell ref="B15:B20"/>
    <mergeCell ref="C15:C20"/>
  </mergeCells>
  <dataValidations count="1">
    <dataValidation type="list" allowBlank="1" showInputMessage="1" showErrorMessage="1" sqref="A3:A26" xr:uid="{D048ED25-334D-4F32-B2A7-D11385F03FF6}">
      <formula1>resultadoaprendizaje</formula1>
    </dataValidation>
  </dataValidation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248250-C92C-4D02-A0C3-2CB27C341894}">
  <dimension ref="A1:Q43"/>
  <sheetViews>
    <sheetView tabSelected="1" topLeftCell="C1" zoomScaleNormal="100" workbookViewId="0">
      <selection activeCell="G3" sqref="G3:G4"/>
    </sheetView>
  </sheetViews>
  <sheetFormatPr baseColWidth="10" defaultColWidth="11.44140625" defaultRowHeight="18" x14ac:dyDescent="0.3"/>
  <cols>
    <col min="1" max="1" width="12.77734375" style="5" customWidth="1"/>
    <col min="2" max="2" width="64.21875" style="5" customWidth="1"/>
    <col min="3" max="3" width="17.21875" style="5" customWidth="1"/>
    <col min="4" max="4" width="22.77734375" style="5" customWidth="1"/>
    <col min="5" max="5" width="60.5546875" style="5" customWidth="1"/>
    <col min="6" max="6" width="14" style="5" customWidth="1"/>
    <col min="7" max="7" width="16.77734375" style="7" customWidth="1"/>
    <col min="8" max="8" width="19.21875" style="7" customWidth="1"/>
    <col min="9" max="9" width="12.77734375" style="7" customWidth="1"/>
    <col min="10" max="10" width="21.21875" style="7" customWidth="1"/>
    <col min="11" max="11" width="25.5546875" style="7" customWidth="1"/>
    <col min="12" max="12" width="14.44140625" style="7" customWidth="1"/>
    <col min="13" max="13" width="43.77734375" style="5" customWidth="1"/>
    <col min="14" max="14" width="65.5546875" style="5" bestFit="1" customWidth="1"/>
    <col min="15" max="15" width="53" style="5" customWidth="1"/>
    <col min="16" max="16" width="95.21875" style="5" customWidth="1"/>
    <col min="17" max="16384" width="11.44140625" style="5"/>
  </cols>
  <sheetData>
    <row r="1" spans="1:17" ht="48" x14ac:dyDescent="0.3">
      <c r="A1" s="35" t="s">
        <v>125</v>
      </c>
      <c r="B1" s="35" t="s">
        <v>126</v>
      </c>
      <c r="C1" s="35" t="s">
        <v>127</v>
      </c>
      <c r="D1" s="35" t="s">
        <v>128</v>
      </c>
      <c r="E1" s="35" t="s">
        <v>129</v>
      </c>
      <c r="F1" s="35" t="s">
        <v>130</v>
      </c>
      <c r="G1" s="110" t="s">
        <v>131</v>
      </c>
      <c r="H1" s="111"/>
      <c r="I1" s="35" t="s">
        <v>132</v>
      </c>
      <c r="J1" s="35" t="s">
        <v>133</v>
      </c>
      <c r="K1" s="35" t="s">
        <v>134</v>
      </c>
      <c r="L1" s="35" t="s">
        <v>135</v>
      </c>
      <c r="M1" s="35" t="s">
        <v>136</v>
      </c>
      <c r="N1" s="35" t="s">
        <v>137</v>
      </c>
      <c r="O1" s="35" t="s">
        <v>138</v>
      </c>
      <c r="P1" s="35" t="s">
        <v>139</v>
      </c>
    </row>
    <row r="2" spans="1:17" ht="36" x14ac:dyDescent="0.3">
      <c r="A2" s="37" t="s">
        <v>140</v>
      </c>
      <c r="B2" s="37" t="s">
        <v>102</v>
      </c>
      <c r="C2" s="37" t="s">
        <v>141</v>
      </c>
      <c r="D2" s="37" t="s">
        <v>142</v>
      </c>
      <c r="E2" s="37" t="s">
        <v>143</v>
      </c>
      <c r="F2" s="37" t="s">
        <v>144</v>
      </c>
      <c r="G2" s="38" t="s">
        <v>660</v>
      </c>
      <c r="H2" s="38" t="s">
        <v>145</v>
      </c>
      <c r="I2" s="37" t="s">
        <v>146</v>
      </c>
      <c r="J2" s="37" t="s">
        <v>147</v>
      </c>
      <c r="K2" s="37" t="s">
        <v>148</v>
      </c>
      <c r="L2" s="37" t="s">
        <v>149</v>
      </c>
      <c r="M2" s="37" t="s">
        <v>150</v>
      </c>
      <c r="N2" s="37" t="s">
        <v>151</v>
      </c>
      <c r="O2" s="37" t="s">
        <v>152</v>
      </c>
      <c r="P2" s="37" t="s">
        <v>153</v>
      </c>
    </row>
    <row r="3" spans="1:17" ht="72" x14ac:dyDescent="0.3">
      <c r="A3" s="52" t="str">
        <f>_xlfn.XLOOKUP(B3,'Paso 3 Redacción RA '!I$3:I$11,'Paso 3 Redacción RA '!C$3:C$11,,0,1)</f>
        <v>Saber</v>
      </c>
      <c r="B3" s="52" t="s">
        <v>80</v>
      </c>
      <c r="C3" s="86" t="s">
        <v>154</v>
      </c>
      <c r="D3" s="86" t="s">
        <v>155</v>
      </c>
      <c r="E3" s="87" t="s">
        <v>156</v>
      </c>
      <c r="F3" s="86" t="s">
        <v>157</v>
      </c>
      <c r="G3" s="89" t="s">
        <v>158</v>
      </c>
      <c r="H3" s="89"/>
      <c r="I3" s="89">
        <v>2</v>
      </c>
      <c r="J3" s="89">
        <f>I3*12</f>
        <v>24</v>
      </c>
      <c r="K3" s="89">
        <f>I3*36</f>
        <v>72</v>
      </c>
      <c r="L3" s="89">
        <f>SUM(J3:K3)</f>
        <v>96</v>
      </c>
      <c r="M3" s="92" t="s">
        <v>159</v>
      </c>
      <c r="N3" s="75" t="s">
        <v>160</v>
      </c>
      <c r="O3" s="75" t="s">
        <v>161</v>
      </c>
      <c r="P3" s="75" t="s">
        <v>162</v>
      </c>
      <c r="Q3" s="5" t="s">
        <v>163</v>
      </c>
    </row>
    <row r="4" spans="1:17" ht="54.6" thickBot="1" x14ac:dyDescent="0.35">
      <c r="A4" s="63" t="str">
        <f>_xlfn.XLOOKUP(B4,'Paso 3 Redacción RA '!I$3:I$11,'Paso 3 Redacción RA '!C$3:C$11,,0,1)</f>
        <v>Saberhacer</v>
      </c>
      <c r="B4" s="63" t="s">
        <v>84</v>
      </c>
      <c r="C4" s="85"/>
      <c r="D4" s="85"/>
      <c r="E4" s="88"/>
      <c r="F4" s="85"/>
      <c r="G4" s="90"/>
      <c r="H4" s="90"/>
      <c r="I4" s="90"/>
      <c r="J4" s="90"/>
      <c r="K4" s="90"/>
      <c r="L4" s="90"/>
      <c r="M4" s="77"/>
      <c r="N4" s="74"/>
      <c r="O4" s="74"/>
      <c r="P4" s="74"/>
    </row>
    <row r="5" spans="1:17" ht="72" x14ac:dyDescent="0.3">
      <c r="A5" s="5" t="str">
        <f>_xlfn.XLOOKUP(B5,'Paso 3 Redacción RA '!I$3:I$11,'Paso 3 Redacción RA '!C$3:C$11,,0,1)</f>
        <v>Saber</v>
      </c>
      <c r="B5" s="5" t="s">
        <v>80</v>
      </c>
      <c r="C5" s="84" t="s">
        <v>154</v>
      </c>
      <c r="D5" s="84" t="s">
        <v>164</v>
      </c>
      <c r="E5" s="79" t="s">
        <v>165</v>
      </c>
      <c r="F5" s="84" t="s">
        <v>166</v>
      </c>
      <c r="G5" s="91" t="s">
        <v>158</v>
      </c>
      <c r="H5" s="91"/>
      <c r="I5" s="91">
        <v>2</v>
      </c>
      <c r="J5" s="91">
        <f>12*I5</f>
        <v>24</v>
      </c>
      <c r="K5" s="91">
        <f>36*I5</f>
        <v>72</v>
      </c>
      <c r="L5" s="91">
        <f>SUM(J5:K10)</f>
        <v>96</v>
      </c>
      <c r="M5" s="76" t="s">
        <v>167</v>
      </c>
      <c r="N5" s="73" t="s">
        <v>160</v>
      </c>
      <c r="O5" s="73" t="s">
        <v>161</v>
      </c>
      <c r="P5" s="73" t="s">
        <v>162</v>
      </c>
    </row>
    <row r="6" spans="1:17" ht="54" x14ac:dyDescent="0.3">
      <c r="A6" s="5" t="str">
        <f>_xlfn.XLOOKUP(B6,'Paso 3 Redacción RA '!I$3:I$11,'Paso 3 Redacción RA '!C$3:C$11,,0,1)</f>
        <v>Saberhacer</v>
      </c>
      <c r="B6" s="5" t="s">
        <v>84</v>
      </c>
      <c r="C6" s="84"/>
      <c r="D6" s="84"/>
      <c r="E6" s="79"/>
      <c r="F6" s="84"/>
      <c r="G6" s="91"/>
      <c r="H6" s="91"/>
      <c r="I6" s="91"/>
      <c r="J6" s="91"/>
      <c r="K6" s="91"/>
      <c r="L6" s="91"/>
      <c r="M6" s="76"/>
      <c r="N6" s="73"/>
      <c r="O6" s="73"/>
      <c r="P6" s="73"/>
    </row>
    <row r="7" spans="1:17" ht="90" x14ac:dyDescent="0.3">
      <c r="A7" s="5" t="str">
        <f>_xlfn.XLOOKUP(B7,'Paso 3 Redacción RA '!I$3:I$11,'Paso 3 Redacción RA '!C$3:C$11,,0,1)</f>
        <v>Saberser</v>
      </c>
      <c r="B7" s="5" t="s">
        <v>88</v>
      </c>
      <c r="C7" s="84"/>
      <c r="D7" s="84"/>
      <c r="E7" s="79"/>
      <c r="F7" s="84"/>
      <c r="G7" s="91"/>
      <c r="H7" s="91"/>
      <c r="I7" s="91"/>
      <c r="J7" s="91"/>
      <c r="K7" s="91"/>
      <c r="L7" s="91"/>
      <c r="M7" s="76"/>
      <c r="N7" s="73"/>
      <c r="O7" s="73"/>
      <c r="P7" s="73"/>
    </row>
    <row r="8" spans="1:17" ht="54" x14ac:dyDescent="0.3">
      <c r="A8" s="5" t="str">
        <f>_xlfn.XLOOKUP(B8,'Paso 3 Redacción RA '!I$3:I$11,'Paso 3 Redacción RA '!C$3:C$11,,0,1)</f>
        <v>Saberhacer</v>
      </c>
      <c r="B8" s="5" t="s">
        <v>90</v>
      </c>
      <c r="C8" s="84"/>
      <c r="D8" s="84"/>
      <c r="E8" s="79"/>
      <c r="F8" s="84"/>
      <c r="G8" s="91"/>
      <c r="H8" s="91"/>
      <c r="I8" s="91"/>
      <c r="J8" s="91"/>
      <c r="K8" s="91"/>
      <c r="L8" s="91"/>
      <c r="M8" s="76"/>
      <c r="N8" s="73"/>
      <c r="O8" s="73"/>
      <c r="P8" s="73"/>
    </row>
    <row r="9" spans="1:17" ht="72" x14ac:dyDescent="0.3">
      <c r="A9" s="5" t="str">
        <f>_xlfn.XLOOKUP(B9,'Paso 3 Redacción RA '!I$3:I$11,'Paso 3 Redacción RA '!C$3:C$11,,0,1)</f>
        <v>Saberser</v>
      </c>
      <c r="B9" s="5" t="s">
        <v>92</v>
      </c>
      <c r="C9" s="84"/>
      <c r="D9" s="84"/>
      <c r="E9" s="79"/>
      <c r="F9" s="84"/>
      <c r="G9" s="91"/>
      <c r="H9" s="91"/>
      <c r="I9" s="91"/>
      <c r="J9" s="91"/>
      <c r="K9" s="91"/>
      <c r="L9" s="91"/>
      <c r="M9" s="76"/>
      <c r="N9" s="73"/>
      <c r="O9" s="73"/>
      <c r="P9" s="73"/>
    </row>
    <row r="10" spans="1:17" ht="54.6" thickBot="1" x14ac:dyDescent="0.35">
      <c r="A10" s="63" t="str">
        <f>_xlfn.XLOOKUP(B10,'Paso 3 Redacción RA '!I$3:I$11,'Paso 3 Redacción RA '!C$3:C$11,,0,1)</f>
        <v>Saber</v>
      </c>
      <c r="B10" s="63" t="s">
        <v>95</v>
      </c>
      <c r="C10" s="85"/>
      <c r="D10" s="85"/>
      <c r="E10" s="80"/>
      <c r="F10" s="85"/>
      <c r="G10" s="90"/>
      <c r="H10" s="90"/>
      <c r="I10" s="90"/>
      <c r="J10" s="90"/>
      <c r="K10" s="90"/>
      <c r="L10" s="90"/>
      <c r="M10" s="77"/>
      <c r="N10" s="74"/>
      <c r="O10" s="74"/>
      <c r="P10" s="74"/>
    </row>
    <row r="11" spans="1:17" ht="54" x14ac:dyDescent="0.3">
      <c r="A11" s="66" t="str">
        <f>_xlfn.XLOOKUP(B11,'Paso 3 Redacción RA '!I$3:I$11,'Paso 3 Redacción RA '!C$3:C$11,,0,1)</f>
        <v>Saberhacer</v>
      </c>
      <c r="B11" s="66" t="s">
        <v>90</v>
      </c>
      <c r="C11" s="97" t="s">
        <v>154</v>
      </c>
      <c r="D11" s="97" t="s">
        <v>168</v>
      </c>
      <c r="E11" s="98" t="s">
        <v>169</v>
      </c>
      <c r="F11" s="97" t="s">
        <v>166</v>
      </c>
      <c r="G11" s="93" t="s">
        <v>158</v>
      </c>
      <c r="H11" s="93"/>
      <c r="I11" s="93">
        <v>2</v>
      </c>
      <c r="J11" s="93">
        <f>12*I11</f>
        <v>24</v>
      </c>
      <c r="K11" s="93">
        <f>36*I11</f>
        <v>72</v>
      </c>
      <c r="L11" s="93">
        <f>SUM(J11:K11)</f>
        <v>96</v>
      </c>
      <c r="M11" s="96" t="s">
        <v>170</v>
      </c>
      <c r="N11" s="96" t="s">
        <v>160</v>
      </c>
      <c r="O11" s="96" t="s">
        <v>161</v>
      </c>
      <c r="P11" s="96" t="s">
        <v>162</v>
      </c>
    </row>
    <row r="12" spans="1:17" ht="72.599999999999994" thickBot="1" x14ac:dyDescent="0.35">
      <c r="A12" s="63" t="str">
        <f>_xlfn.XLOOKUP(B12,'Paso 3 Redacción RA '!I$3:I$11,'Paso 3 Redacción RA '!C$3:C$11,,0,1)</f>
        <v>Saberser</v>
      </c>
      <c r="B12" s="63" t="s">
        <v>92</v>
      </c>
      <c r="C12" s="85"/>
      <c r="D12" s="85"/>
      <c r="E12" s="88"/>
      <c r="F12" s="85"/>
      <c r="G12" s="90"/>
      <c r="H12" s="90"/>
      <c r="I12" s="90"/>
      <c r="J12" s="90"/>
      <c r="K12" s="90"/>
      <c r="L12" s="90"/>
      <c r="M12" s="74"/>
      <c r="N12" s="74"/>
      <c r="O12" s="74"/>
      <c r="P12" s="74"/>
    </row>
    <row r="13" spans="1:17" ht="90" x14ac:dyDescent="0.3">
      <c r="A13" s="66" t="str">
        <f>_xlfn.XLOOKUP(B13,'Paso 3 Redacción RA '!I$3:I$11,'Paso 3 Redacción RA '!C$3:C$11,,0,1)</f>
        <v>Saberser</v>
      </c>
      <c r="B13" s="69" t="s">
        <v>88</v>
      </c>
      <c r="C13" s="97" t="s">
        <v>154</v>
      </c>
      <c r="D13" s="97" t="s">
        <v>171</v>
      </c>
      <c r="E13" s="98" t="s">
        <v>172</v>
      </c>
      <c r="F13" s="97" t="s">
        <v>166</v>
      </c>
      <c r="G13" s="97"/>
      <c r="H13" s="93" t="s">
        <v>158</v>
      </c>
      <c r="I13" s="106">
        <v>3</v>
      </c>
      <c r="J13" s="93">
        <f>12*I13</f>
        <v>36</v>
      </c>
      <c r="K13" s="93">
        <f>36*I13</f>
        <v>108</v>
      </c>
      <c r="L13" s="93">
        <f>SUM(J13:K16)</f>
        <v>144</v>
      </c>
      <c r="M13" s="103" t="s">
        <v>173</v>
      </c>
      <c r="N13" s="81" t="s">
        <v>160</v>
      </c>
      <c r="O13" s="81" t="s">
        <v>174</v>
      </c>
      <c r="P13" s="81" t="s">
        <v>162</v>
      </c>
    </row>
    <row r="14" spans="1:17" ht="54" x14ac:dyDescent="0.3">
      <c r="A14" s="5" t="str">
        <f>_xlfn.XLOOKUP(B14,'Paso 3 Redacción RA '!I$3:I$11,'Paso 3 Redacción RA '!C$3:C$11,,0,1)</f>
        <v>Saberhacer</v>
      </c>
      <c r="B14" s="5" t="s">
        <v>90</v>
      </c>
      <c r="C14" s="84"/>
      <c r="D14" s="84"/>
      <c r="E14" s="82"/>
      <c r="F14" s="84"/>
      <c r="G14" s="84"/>
      <c r="H14" s="91"/>
      <c r="I14" s="107"/>
      <c r="J14" s="91"/>
      <c r="K14" s="91"/>
      <c r="L14" s="91"/>
      <c r="M14" s="104"/>
      <c r="N14" s="79"/>
      <c r="O14" s="79"/>
      <c r="P14" s="79"/>
    </row>
    <row r="15" spans="1:17" ht="72" x14ac:dyDescent="0.3">
      <c r="A15" s="5" t="str">
        <f>_xlfn.XLOOKUP(B15,'Paso 3 Redacción RA '!I$3:I$11,'Paso 3 Redacción RA '!C$3:C$11,,0,1)</f>
        <v>Saberser</v>
      </c>
      <c r="B15" s="5" t="s">
        <v>92</v>
      </c>
      <c r="C15" s="84"/>
      <c r="D15" s="84"/>
      <c r="E15" s="82"/>
      <c r="F15" s="84"/>
      <c r="G15" s="84"/>
      <c r="H15" s="91"/>
      <c r="I15" s="107"/>
      <c r="J15" s="91"/>
      <c r="K15" s="91"/>
      <c r="L15" s="91"/>
      <c r="M15" s="104"/>
      <c r="N15" s="79"/>
      <c r="O15" s="79"/>
      <c r="P15" s="79"/>
    </row>
    <row r="16" spans="1:17" ht="54.6" thickBot="1" x14ac:dyDescent="0.35">
      <c r="A16" s="63" t="str">
        <f>_xlfn.XLOOKUP(B16,'Paso 3 Redacción RA '!I$3:I$11,'Paso 3 Redacción RA '!C$3:C$11,,0,1)</f>
        <v>Saber</v>
      </c>
      <c r="B16" s="63" t="s">
        <v>95</v>
      </c>
      <c r="C16" s="85"/>
      <c r="D16" s="85"/>
      <c r="E16" s="88"/>
      <c r="F16" s="85"/>
      <c r="G16" s="85"/>
      <c r="H16" s="90"/>
      <c r="I16" s="108"/>
      <c r="J16" s="90"/>
      <c r="K16" s="90"/>
      <c r="L16" s="90"/>
      <c r="M16" s="105"/>
      <c r="N16" s="80"/>
      <c r="O16" s="80"/>
      <c r="P16" s="80"/>
    </row>
    <row r="17" spans="1:16" ht="72" x14ac:dyDescent="0.3">
      <c r="A17" s="5" t="str">
        <f>_xlfn.XLOOKUP(B17,'Paso 3 Redacción RA '!I$3:I$11,'Paso 3 Redacción RA '!C$3:C$11,,0,1)</f>
        <v>Saber</v>
      </c>
      <c r="B17" s="5" t="s">
        <v>80</v>
      </c>
      <c r="C17" s="84" t="s">
        <v>154</v>
      </c>
      <c r="D17" s="84" t="s">
        <v>175</v>
      </c>
      <c r="E17" s="82" t="s">
        <v>176</v>
      </c>
      <c r="F17" s="84" t="s">
        <v>166</v>
      </c>
      <c r="G17" s="84"/>
      <c r="H17" s="84" t="s">
        <v>158</v>
      </c>
      <c r="I17" s="91">
        <v>3</v>
      </c>
      <c r="J17" s="91">
        <f>I17*12</f>
        <v>36</v>
      </c>
      <c r="K17" s="91">
        <f>36*I17</f>
        <v>108</v>
      </c>
      <c r="L17" s="91">
        <f>SUM(J17:K17)</f>
        <v>144</v>
      </c>
      <c r="M17" s="82" t="s">
        <v>177</v>
      </c>
      <c r="N17" s="79" t="s">
        <v>160</v>
      </c>
      <c r="O17" s="79" t="s">
        <v>161</v>
      </c>
      <c r="P17" s="79" t="s">
        <v>162</v>
      </c>
    </row>
    <row r="18" spans="1:16" ht="54" x14ac:dyDescent="0.3">
      <c r="A18" s="5" t="str">
        <f>_xlfn.XLOOKUP(B18,'Paso 3 Redacción RA '!I$3:I$11,'Paso 3 Redacción RA '!C$3:C$11,,0,1)</f>
        <v>Saberhacer</v>
      </c>
      <c r="B18" s="5" t="s">
        <v>84</v>
      </c>
      <c r="C18" s="84"/>
      <c r="D18" s="84"/>
      <c r="E18" s="82"/>
      <c r="F18" s="84"/>
      <c r="G18" s="84"/>
      <c r="H18" s="84"/>
      <c r="I18" s="91"/>
      <c r="J18" s="91"/>
      <c r="K18" s="91"/>
      <c r="L18" s="91"/>
      <c r="M18" s="82"/>
      <c r="N18" s="79"/>
      <c r="O18" s="79"/>
      <c r="P18" s="79"/>
    </row>
    <row r="19" spans="1:16" ht="90" x14ac:dyDescent="0.3">
      <c r="A19" s="5" t="str">
        <f>_xlfn.XLOOKUP(B19,'Paso 3 Redacción RA '!I$3:I$11,'Paso 3 Redacción RA '!C$3:C$11,,0,1)</f>
        <v>Saberser</v>
      </c>
      <c r="B19" s="5" t="s">
        <v>88</v>
      </c>
      <c r="C19" s="84"/>
      <c r="D19" s="84"/>
      <c r="E19" s="82"/>
      <c r="F19" s="84"/>
      <c r="G19" s="84"/>
      <c r="H19" s="84"/>
      <c r="I19" s="91"/>
      <c r="J19" s="91"/>
      <c r="K19" s="91"/>
      <c r="L19" s="91"/>
      <c r="M19" s="82"/>
      <c r="N19" s="79"/>
      <c r="O19" s="79"/>
      <c r="P19" s="79"/>
    </row>
    <row r="20" spans="1:16" ht="54" x14ac:dyDescent="0.3">
      <c r="A20" s="5" t="str">
        <f>_xlfn.XLOOKUP(B20,'Paso 3 Redacción RA '!I$3:I$11,'Paso 3 Redacción RA '!C$3:C$11,,0,1)</f>
        <v>Saberhacer</v>
      </c>
      <c r="B20" s="5" t="s">
        <v>90</v>
      </c>
      <c r="C20" s="84"/>
      <c r="D20" s="84"/>
      <c r="E20" s="82"/>
      <c r="F20" s="84"/>
      <c r="G20" s="84"/>
      <c r="H20" s="84"/>
      <c r="I20" s="91"/>
      <c r="J20" s="91"/>
      <c r="K20" s="91"/>
      <c r="L20" s="91"/>
      <c r="M20" s="82"/>
      <c r="N20" s="79"/>
      <c r="O20" s="79"/>
      <c r="P20" s="79"/>
    </row>
    <row r="21" spans="1:16" ht="72" x14ac:dyDescent="0.3">
      <c r="A21" s="5" t="str">
        <f>_xlfn.XLOOKUP(B21,'Paso 3 Redacción RA '!I$3:I$11,'Paso 3 Redacción RA '!C$3:C$11,,0,1)</f>
        <v>Saberser</v>
      </c>
      <c r="B21" s="5" t="s">
        <v>92</v>
      </c>
      <c r="C21" s="84"/>
      <c r="D21" s="84"/>
      <c r="E21" s="82"/>
      <c r="F21" s="84"/>
      <c r="G21" s="84"/>
      <c r="H21" s="84"/>
      <c r="I21" s="91"/>
      <c r="J21" s="91"/>
      <c r="K21" s="91"/>
      <c r="L21" s="91"/>
      <c r="M21" s="82"/>
      <c r="N21" s="79"/>
      <c r="O21" s="79"/>
      <c r="P21" s="79"/>
    </row>
    <row r="22" spans="1:16" ht="54.6" thickBot="1" x14ac:dyDescent="0.35">
      <c r="A22" s="39" t="str">
        <f>_xlfn.XLOOKUP(B22,'Paso 3 Redacción RA '!I$3:I$11,'Paso 3 Redacción RA '!C$3:C$11,,0,1)</f>
        <v>Saber</v>
      </c>
      <c r="B22" s="39" t="s">
        <v>95</v>
      </c>
      <c r="C22" s="109"/>
      <c r="D22" s="109"/>
      <c r="E22" s="83"/>
      <c r="F22" s="109"/>
      <c r="G22" s="109"/>
      <c r="H22" s="109"/>
      <c r="I22" s="94"/>
      <c r="J22" s="94"/>
      <c r="K22" s="94"/>
      <c r="L22" s="94"/>
      <c r="M22" s="83"/>
      <c r="N22" s="100"/>
      <c r="O22" s="100"/>
      <c r="P22" s="100"/>
    </row>
    <row r="23" spans="1:16" ht="72" x14ac:dyDescent="0.3">
      <c r="A23" s="5" t="str">
        <f>_xlfn.XLOOKUP(B23,'Paso 3 Redacción RA '!I$3:I$11,'Paso 3 Redacción RA '!C$3:C$11,,0,1)</f>
        <v>Saber</v>
      </c>
      <c r="B23" s="70" t="s">
        <v>80</v>
      </c>
      <c r="C23" s="102">
        <v>2</v>
      </c>
      <c r="D23" s="102" t="s">
        <v>178</v>
      </c>
      <c r="E23" s="99" t="s">
        <v>179</v>
      </c>
      <c r="F23" s="102" t="s">
        <v>166</v>
      </c>
      <c r="G23" s="102"/>
      <c r="H23" s="102" t="s">
        <v>158</v>
      </c>
      <c r="I23" s="95">
        <v>2</v>
      </c>
      <c r="J23" s="95">
        <f>I23*12</f>
        <v>24</v>
      </c>
      <c r="K23" s="95">
        <f>36*I23</f>
        <v>72</v>
      </c>
      <c r="L23" s="95">
        <f>SUM(J23:K23)</f>
        <v>96</v>
      </c>
      <c r="M23" s="99" t="s">
        <v>180</v>
      </c>
      <c r="N23" s="78" t="s">
        <v>160</v>
      </c>
      <c r="O23" s="78" t="s">
        <v>161</v>
      </c>
      <c r="P23" s="78" t="s">
        <v>162</v>
      </c>
    </row>
    <row r="24" spans="1:16" ht="54" x14ac:dyDescent="0.3">
      <c r="A24" s="5" t="str">
        <f>_xlfn.XLOOKUP(B24,'Paso 3 Redacción RA '!I$3:I$11,'Paso 3 Redacción RA '!C$3:C$11,,0,1)</f>
        <v>Saberhacer</v>
      </c>
      <c r="B24" s="5" t="s">
        <v>84</v>
      </c>
      <c r="C24" s="84"/>
      <c r="D24" s="84"/>
      <c r="E24" s="82"/>
      <c r="F24" s="84"/>
      <c r="G24" s="84"/>
      <c r="H24" s="84"/>
      <c r="I24" s="91"/>
      <c r="J24" s="91"/>
      <c r="K24" s="91"/>
      <c r="L24" s="91"/>
      <c r="M24" s="82"/>
      <c r="N24" s="79"/>
      <c r="O24" s="79"/>
      <c r="P24" s="79"/>
    </row>
    <row r="25" spans="1:16" ht="90" x14ac:dyDescent="0.3">
      <c r="A25" s="5" t="str">
        <f>_xlfn.XLOOKUP(B25,'Paso 3 Redacción RA '!I$3:I$11,'Paso 3 Redacción RA '!C$3:C$11,,0,1)</f>
        <v>Saberser</v>
      </c>
      <c r="B25" s="5" t="s">
        <v>88</v>
      </c>
      <c r="C25" s="84"/>
      <c r="D25" s="84"/>
      <c r="E25" s="82"/>
      <c r="F25" s="84"/>
      <c r="G25" s="84"/>
      <c r="H25" s="84"/>
      <c r="I25" s="91"/>
      <c r="J25" s="91"/>
      <c r="K25" s="91"/>
      <c r="L25" s="91"/>
      <c r="M25" s="82"/>
      <c r="N25" s="79"/>
      <c r="O25" s="79"/>
      <c r="P25" s="79"/>
    </row>
    <row r="26" spans="1:16" ht="54" x14ac:dyDescent="0.3">
      <c r="A26" s="5" t="str">
        <f>_xlfn.XLOOKUP(B26,'Paso 3 Redacción RA '!I$3:I$11,'Paso 3 Redacción RA '!C$3:C$11,,0,1)</f>
        <v>Saberhacer</v>
      </c>
      <c r="B26" s="5" t="s">
        <v>90</v>
      </c>
      <c r="C26" s="84"/>
      <c r="D26" s="84"/>
      <c r="E26" s="82"/>
      <c r="F26" s="84"/>
      <c r="G26" s="84"/>
      <c r="H26" s="84"/>
      <c r="I26" s="91"/>
      <c r="J26" s="91"/>
      <c r="K26" s="91"/>
      <c r="L26" s="91"/>
      <c r="M26" s="82"/>
      <c r="N26" s="79"/>
      <c r="O26" s="79"/>
      <c r="P26" s="79"/>
    </row>
    <row r="27" spans="1:16" ht="72" x14ac:dyDescent="0.3">
      <c r="A27" s="5" t="str">
        <f>_xlfn.XLOOKUP(B27,'Paso 3 Redacción RA '!I$3:I$11,'Paso 3 Redacción RA '!C$3:C$11,,0,1)</f>
        <v>Saberser</v>
      </c>
      <c r="B27" s="5" t="s">
        <v>92</v>
      </c>
      <c r="C27" s="84"/>
      <c r="D27" s="84"/>
      <c r="E27" s="82"/>
      <c r="F27" s="84"/>
      <c r="G27" s="84"/>
      <c r="H27" s="84"/>
      <c r="I27" s="91"/>
      <c r="J27" s="91"/>
      <c r="K27" s="91"/>
      <c r="L27" s="91"/>
      <c r="M27" s="82"/>
      <c r="N27" s="79"/>
      <c r="O27" s="79"/>
      <c r="P27" s="79"/>
    </row>
    <row r="28" spans="1:16" ht="54.6" thickBot="1" x14ac:dyDescent="0.35">
      <c r="A28" s="63" t="str">
        <f>_xlfn.XLOOKUP(B28,'Paso 3 Redacción RA '!I$3:I$11,'Paso 3 Redacción RA '!C$3:C$11,,0,1)</f>
        <v>Saber</v>
      </c>
      <c r="B28" s="63" t="s">
        <v>95</v>
      </c>
      <c r="C28" s="85"/>
      <c r="D28" s="85"/>
      <c r="E28" s="88"/>
      <c r="F28" s="85"/>
      <c r="G28" s="85"/>
      <c r="H28" s="85"/>
      <c r="I28" s="90"/>
      <c r="J28" s="90"/>
      <c r="K28" s="90"/>
      <c r="L28" s="90"/>
      <c r="M28" s="88"/>
      <c r="N28" s="80"/>
      <c r="O28" s="80"/>
      <c r="P28" s="80"/>
    </row>
    <row r="29" spans="1:16" ht="90" x14ac:dyDescent="0.3">
      <c r="A29" s="66" t="str">
        <f>_xlfn.XLOOKUP(B29,'Paso 3 Redacción RA '!I$3:I$11,'Paso 3 Redacción RA '!C$3:C$11,,0,1)</f>
        <v>Saberser</v>
      </c>
      <c r="B29" s="66" t="s">
        <v>88</v>
      </c>
      <c r="C29" s="97">
        <v>2</v>
      </c>
      <c r="D29" s="97" t="s">
        <v>181</v>
      </c>
      <c r="E29" s="98" t="s">
        <v>182</v>
      </c>
      <c r="F29" s="97" t="s">
        <v>166</v>
      </c>
      <c r="G29" s="97"/>
      <c r="H29" s="97" t="s">
        <v>158</v>
      </c>
      <c r="I29" s="97">
        <v>2</v>
      </c>
      <c r="J29" s="97">
        <f>12*I29</f>
        <v>24</v>
      </c>
      <c r="K29" s="97">
        <f>36*I29</f>
        <v>72</v>
      </c>
      <c r="L29" s="97">
        <f>SUM(J29:K31)</f>
        <v>96</v>
      </c>
      <c r="M29" s="98" t="s">
        <v>183</v>
      </c>
      <c r="N29" s="81" t="s">
        <v>160</v>
      </c>
      <c r="O29" s="81" t="s">
        <v>161</v>
      </c>
      <c r="P29" s="81" t="s">
        <v>162</v>
      </c>
    </row>
    <row r="30" spans="1:16" ht="54" x14ac:dyDescent="0.3">
      <c r="A30" s="5" t="str">
        <f>_xlfn.XLOOKUP(B30,'Paso 3 Redacción RA '!I$3:I$11,'Paso 3 Redacción RA '!C$3:C$11,,0,1)</f>
        <v>Saberhacer</v>
      </c>
      <c r="B30" s="5" t="s">
        <v>90</v>
      </c>
      <c r="C30" s="84"/>
      <c r="D30" s="84"/>
      <c r="E30" s="82"/>
      <c r="F30" s="84"/>
      <c r="G30" s="84"/>
      <c r="H30" s="84"/>
      <c r="I30" s="84"/>
      <c r="J30" s="84"/>
      <c r="K30" s="84"/>
      <c r="L30" s="84"/>
      <c r="M30" s="82"/>
      <c r="N30" s="79"/>
      <c r="O30" s="79"/>
      <c r="P30" s="79"/>
    </row>
    <row r="31" spans="1:16" ht="72.599999999999994" thickBot="1" x14ac:dyDescent="0.35">
      <c r="A31" s="63" t="str">
        <f>_xlfn.XLOOKUP(B31,'Paso 3 Redacción RA '!I$3:I$11,'Paso 3 Redacción RA '!C$3:C$11,,0,1)</f>
        <v>Saberser</v>
      </c>
      <c r="B31" s="63" t="s">
        <v>92</v>
      </c>
      <c r="C31" s="85"/>
      <c r="D31" s="85"/>
      <c r="E31" s="88"/>
      <c r="F31" s="85"/>
      <c r="G31" s="85"/>
      <c r="H31" s="85"/>
      <c r="I31" s="85"/>
      <c r="J31" s="85"/>
      <c r="K31" s="85"/>
      <c r="L31" s="85"/>
      <c r="M31" s="88"/>
      <c r="N31" s="80"/>
      <c r="O31" s="80"/>
      <c r="P31" s="80"/>
    </row>
    <row r="32" spans="1:16" ht="72" x14ac:dyDescent="0.3">
      <c r="A32" s="66" t="str">
        <f>_xlfn.XLOOKUP(B32,'Paso 3 Redacción RA '!I$3:I$11,'Paso 3 Redacción RA '!C$3:C$11,,0,1)</f>
        <v>Saber</v>
      </c>
      <c r="B32" s="66" t="s">
        <v>80</v>
      </c>
      <c r="C32" s="97">
        <v>2</v>
      </c>
      <c r="D32" s="97" t="s">
        <v>184</v>
      </c>
      <c r="E32" s="98" t="s">
        <v>185</v>
      </c>
      <c r="F32" s="97" t="s">
        <v>166</v>
      </c>
      <c r="G32" s="97" t="s">
        <v>158</v>
      </c>
      <c r="H32" s="97"/>
      <c r="I32" s="93">
        <v>3</v>
      </c>
      <c r="J32" s="93">
        <f>I32*12</f>
        <v>36</v>
      </c>
      <c r="K32" s="93">
        <f>I32*36</f>
        <v>108</v>
      </c>
      <c r="L32" s="93">
        <f>SUM(J32:K35)</f>
        <v>144</v>
      </c>
      <c r="M32" s="98" t="s">
        <v>186</v>
      </c>
      <c r="N32" s="81" t="s">
        <v>160</v>
      </c>
      <c r="O32" s="81" t="s">
        <v>187</v>
      </c>
      <c r="P32" s="81" t="s">
        <v>162</v>
      </c>
    </row>
    <row r="33" spans="1:16" ht="54" x14ac:dyDescent="0.3">
      <c r="A33" s="5" t="str">
        <f>_xlfn.XLOOKUP(B33,'Paso 3 Redacción RA '!I$3:I$11,'Paso 3 Redacción RA '!C$3:C$11,,0,1)</f>
        <v>Saberhacer</v>
      </c>
      <c r="B33" s="5" t="s">
        <v>84</v>
      </c>
      <c r="C33" s="84"/>
      <c r="D33" s="84"/>
      <c r="E33" s="82"/>
      <c r="F33" s="84"/>
      <c r="G33" s="84"/>
      <c r="H33" s="84"/>
      <c r="I33" s="91"/>
      <c r="J33" s="91"/>
      <c r="K33" s="91"/>
      <c r="L33" s="91"/>
      <c r="M33" s="82"/>
      <c r="N33" s="79"/>
      <c r="O33" s="79"/>
      <c r="P33" s="79"/>
    </row>
    <row r="34" spans="1:16" ht="90" x14ac:dyDescent="0.3">
      <c r="A34" s="5" t="str">
        <f>_xlfn.XLOOKUP(B34,'Paso 3 Redacción RA '!I$3:I$11,'Paso 3 Redacción RA '!C$3:C$11,,0,1)</f>
        <v>Saberser</v>
      </c>
      <c r="B34" s="5" t="s">
        <v>88</v>
      </c>
      <c r="C34" s="84"/>
      <c r="D34" s="84"/>
      <c r="E34" s="82"/>
      <c r="F34" s="84"/>
      <c r="G34" s="84"/>
      <c r="H34" s="84"/>
      <c r="I34" s="91"/>
      <c r="J34" s="91"/>
      <c r="K34" s="91"/>
      <c r="L34" s="91"/>
      <c r="M34" s="82"/>
      <c r="N34" s="79"/>
      <c r="O34" s="79"/>
      <c r="P34" s="79" t="s">
        <v>188</v>
      </c>
    </row>
    <row r="35" spans="1:16" ht="54.6" thickBot="1" x14ac:dyDescent="0.35">
      <c r="A35" s="63" t="str">
        <f>_xlfn.XLOOKUP(B35,'Paso 3 Redacción RA '!I$3:I$11,'Paso 3 Redacción RA '!C$3:C$11,,0,1)</f>
        <v>Saber</v>
      </c>
      <c r="B35" s="63" t="s">
        <v>95</v>
      </c>
      <c r="C35" s="85"/>
      <c r="D35" s="85"/>
      <c r="E35" s="88"/>
      <c r="F35" s="85"/>
      <c r="G35" s="85"/>
      <c r="H35" s="85"/>
      <c r="I35" s="90"/>
      <c r="J35" s="90"/>
      <c r="K35" s="90"/>
      <c r="L35" s="90"/>
      <c r="M35" s="88"/>
      <c r="N35" s="80"/>
      <c r="O35" s="80"/>
      <c r="P35" s="80"/>
    </row>
    <row r="36" spans="1:16" ht="64.5" customHeight="1" x14ac:dyDescent="0.3">
      <c r="A36" s="66" t="str">
        <f>_xlfn.XLOOKUP(B36,'Paso 3 Redacción RA '!I$3:I$11,'Paso 3 Redacción RA '!C$3:C$11,,0,1)</f>
        <v>Saber</v>
      </c>
      <c r="B36" s="66" t="s">
        <v>80</v>
      </c>
      <c r="C36" s="97">
        <v>2</v>
      </c>
      <c r="D36" s="97" t="s">
        <v>189</v>
      </c>
      <c r="E36" s="98" t="s">
        <v>190</v>
      </c>
      <c r="F36" s="97" t="s">
        <v>166</v>
      </c>
      <c r="G36" s="97"/>
      <c r="H36" s="97" t="s">
        <v>158</v>
      </c>
      <c r="I36" s="93">
        <v>3</v>
      </c>
      <c r="J36" s="93">
        <f>I36*12</f>
        <v>36</v>
      </c>
      <c r="K36" s="93">
        <f>I36*36</f>
        <v>108</v>
      </c>
      <c r="L36" s="93">
        <f>SUM(J36:K36)</f>
        <v>144</v>
      </c>
      <c r="M36" s="98" t="s">
        <v>191</v>
      </c>
      <c r="N36" s="96" t="s">
        <v>160</v>
      </c>
      <c r="O36" s="81" t="s">
        <v>192</v>
      </c>
      <c r="P36" s="81" t="s">
        <v>162</v>
      </c>
    </row>
    <row r="37" spans="1:16" ht="64.5" customHeight="1" thickBot="1" x14ac:dyDescent="0.35">
      <c r="A37" s="63" t="str">
        <f>_xlfn.XLOOKUP(B37,'Paso 3 Redacción RA '!I$3:I$11,'Paso 3 Redacción RA '!C$3:C$11,,0,1)</f>
        <v>Saber</v>
      </c>
      <c r="B37" s="63" t="s">
        <v>95</v>
      </c>
      <c r="C37" s="85"/>
      <c r="D37" s="85"/>
      <c r="E37" s="88"/>
      <c r="F37" s="85"/>
      <c r="G37" s="85"/>
      <c r="H37" s="85"/>
      <c r="I37" s="90"/>
      <c r="J37" s="90"/>
      <c r="K37" s="90"/>
      <c r="L37" s="90"/>
      <c r="M37" s="88"/>
      <c r="N37" s="101"/>
      <c r="O37" s="80"/>
      <c r="P37" s="80"/>
    </row>
    <row r="38" spans="1:16" ht="54" x14ac:dyDescent="0.3">
      <c r="A38" s="5" t="str">
        <f>_xlfn.XLOOKUP(B38,'Paso 3 Redacción RA '!I$3:I$11,'Paso 3 Redacción RA '!C$3:C$11,,0,1)</f>
        <v>Saberhacer</v>
      </c>
      <c r="B38" s="5" t="s">
        <v>90</v>
      </c>
      <c r="C38" s="84">
        <v>2</v>
      </c>
      <c r="D38" s="84" t="s">
        <v>193</v>
      </c>
      <c r="E38" s="82" t="s">
        <v>194</v>
      </c>
      <c r="F38" s="84" t="s">
        <v>166</v>
      </c>
      <c r="G38" s="84"/>
      <c r="H38" s="84" t="s">
        <v>158</v>
      </c>
      <c r="I38" s="91">
        <v>3</v>
      </c>
      <c r="J38" s="91">
        <f>I38*12</f>
        <v>36</v>
      </c>
      <c r="K38" s="91">
        <f>I38*36</f>
        <v>108</v>
      </c>
      <c r="L38" s="91">
        <f>SUM(J38:K38)</f>
        <v>144</v>
      </c>
      <c r="M38" s="82" t="s">
        <v>195</v>
      </c>
      <c r="N38" s="79" t="s">
        <v>160</v>
      </c>
      <c r="O38" s="79" t="s">
        <v>161</v>
      </c>
      <c r="P38" s="79" t="s">
        <v>162</v>
      </c>
    </row>
    <row r="39" spans="1:16" ht="72" x14ac:dyDescent="0.3">
      <c r="A39" s="5" t="str">
        <f>_xlfn.XLOOKUP(B39,'Paso 3 Redacción RA '!I$3:I$11,'Paso 3 Redacción RA '!C$3:C$11,,0,1)</f>
        <v>Saberser</v>
      </c>
      <c r="B39" s="5" t="s">
        <v>92</v>
      </c>
      <c r="C39" s="84"/>
      <c r="D39" s="84"/>
      <c r="E39" s="82"/>
      <c r="F39" s="84"/>
      <c r="G39" s="84"/>
      <c r="H39" s="84"/>
      <c r="I39" s="91"/>
      <c r="J39" s="91"/>
      <c r="K39" s="91"/>
      <c r="L39" s="91"/>
      <c r="M39" s="82"/>
      <c r="N39" s="79"/>
      <c r="O39" s="79"/>
      <c r="P39" s="79"/>
    </row>
    <row r="40" spans="1:16" ht="54" x14ac:dyDescent="0.3">
      <c r="A40" s="39" t="str">
        <f>_xlfn.XLOOKUP(B40,'Paso 3 Redacción RA '!I$3:I$11,'Paso 3 Redacción RA '!C$3:C$11,,0,1)</f>
        <v>Saber</v>
      </c>
      <c r="B40" s="39" t="s">
        <v>95</v>
      </c>
      <c r="C40" s="109"/>
      <c r="D40" s="109"/>
      <c r="E40" s="83"/>
      <c r="F40" s="109"/>
      <c r="G40" s="109"/>
      <c r="H40" s="109"/>
      <c r="I40" s="94"/>
      <c r="J40" s="94"/>
      <c r="K40" s="94"/>
      <c r="L40" s="94"/>
      <c r="M40" s="83"/>
      <c r="N40" s="100"/>
      <c r="O40" s="100"/>
      <c r="P40" s="100"/>
    </row>
    <row r="41" spans="1:16" ht="36" x14ac:dyDescent="0.3">
      <c r="C41" s="40" t="s">
        <v>196</v>
      </c>
      <c r="D41" s="7">
        <f>COUNTA(D3:D40)</f>
        <v>10</v>
      </c>
      <c r="E41" s="6"/>
      <c r="F41" s="6"/>
      <c r="H41" s="40" t="s">
        <v>197</v>
      </c>
      <c r="I41" s="7">
        <f>SUM(I3:I40)</f>
        <v>25</v>
      </c>
      <c r="M41" s="6"/>
      <c r="N41" s="6"/>
      <c r="O41" s="6"/>
      <c r="P41" s="6"/>
    </row>
    <row r="42" spans="1:16" ht="36" x14ac:dyDescent="0.3">
      <c r="H42" s="41" t="s">
        <v>198</v>
      </c>
      <c r="I42" s="7">
        <f>SUM(I3,I5,I11,I32)</f>
        <v>9</v>
      </c>
    </row>
    <row r="43" spans="1:16" ht="36" x14ac:dyDescent="0.3">
      <c r="H43" s="41" t="s">
        <v>199</v>
      </c>
      <c r="I43" s="7">
        <f>SUM(I13,I17,I23,I29,I36,I38)</f>
        <v>16</v>
      </c>
    </row>
  </sheetData>
  <autoFilter ref="A2:P2" xr:uid="{1B248250-C92C-4D02-A0C3-2CB27C341894}"/>
  <mergeCells count="141">
    <mergeCell ref="G1:H1"/>
    <mergeCell ref="F3:F4"/>
    <mergeCell ref="F11:F12"/>
    <mergeCell ref="F5:F10"/>
    <mergeCell ref="F13:F16"/>
    <mergeCell ref="F17:F22"/>
    <mergeCell ref="F23:F28"/>
    <mergeCell ref="F29:F31"/>
    <mergeCell ref="F32:F35"/>
    <mergeCell ref="H5:H10"/>
    <mergeCell ref="C36:C37"/>
    <mergeCell ref="D36:D37"/>
    <mergeCell ref="E36:E37"/>
    <mergeCell ref="G36:G37"/>
    <mergeCell ref="H36:H37"/>
    <mergeCell ref="I36:I37"/>
    <mergeCell ref="J36:J37"/>
    <mergeCell ref="K36:K37"/>
    <mergeCell ref="F36:F37"/>
    <mergeCell ref="C38:C40"/>
    <mergeCell ref="E38:E40"/>
    <mergeCell ref="G38:G40"/>
    <mergeCell ref="H38:H40"/>
    <mergeCell ref="M38:M40"/>
    <mergeCell ref="L38:L40"/>
    <mergeCell ref="K38:K40"/>
    <mergeCell ref="J38:J40"/>
    <mergeCell ref="D38:D40"/>
    <mergeCell ref="I38:I40"/>
    <mergeCell ref="F38:F40"/>
    <mergeCell ref="C17:C22"/>
    <mergeCell ref="D17:D22"/>
    <mergeCell ref="E17:E22"/>
    <mergeCell ref="G17:G22"/>
    <mergeCell ref="H17:H22"/>
    <mergeCell ref="G32:G35"/>
    <mergeCell ref="H32:H35"/>
    <mergeCell ref="I32:I35"/>
    <mergeCell ref="J32:J35"/>
    <mergeCell ref="C32:C35"/>
    <mergeCell ref="D32:D35"/>
    <mergeCell ref="E32:E35"/>
    <mergeCell ref="C29:C31"/>
    <mergeCell ref="D29:D31"/>
    <mergeCell ref="E29:E31"/>
    <mergeCell ref="G29:G31"/>
    <mergeCell ref="H29:H31"/>
    <mergeCell ref="I29:I31"/>
    <mergeCell ref="J29:J31"/>
    <mergeCell ref="C23:C28"/>
    <mergeCell ref="D23:D28"/>
    <mergeCell ref="E23:E28"/>
    <mergeCell ref="G23:G28"/>
    <mergeCell ref="K29:K31"/>
    <mergeCell ref="L29:L31"/>
    <mergeCell ref="I23:I28"/>
    <mergeCell ref="H23:H28"/>
    <mergeCell ref="L13:L16"/>
    <mergeCell ref="M13:M16"/>
    <mergeCell ref="H13:H16"/>
    <mergeCell ref="I13:I16"/>
    <mergeCell ref="J13:J16"/>
    <mergeCell ref="K13:K16"/>
    <mergeCell ref="L11:L12"/>
    <mergeCell ref="M11:M12"/>
    <mergeCell ref="P38:P40"/>
    <mergeCell ref="O38:O40"/>
    <mergeCell ref="N38:N40"/>
    <mergeCell ref="N17:N22"/>
    <mergeCell ref="O17:O22"/>
    <mergeCell ref="P17:P22"/>
    <mergeCell ref="M29:M31"/>
    <mergeCell ref="N29:N31"/>
    <mergeCell ref="M32:M35"/>
    <mergeCell ref="O11:O12"/>
    <mergeCell ref="P11:P12"/>
    <mergeCell ref="L36:L37"/>
    <mergeCell ref="M36:M37"/>
    <mergeCell ref="N36:N37"/>
    <mergeCell ref="O36:O37"/>
    <mergeCell ref="P36:P37"/>
    <mergeCell ref="P32:P35"/>
    <mergeCell ref="O29:O31"/>
    <mergeCell ref="P29:P31"/>
    <mergeCell ref="N32:N35"/>
    <mergeCell ref="O32:O35"/>
    <mergeCell ref="L23:L28"/>
    <mergeCell ref="K32:K35"/>
    <mergeCell ref="L32:L35"/>
    <mergeCell ref="K17:K22"/>
    <mergeCell ref="K23:K28"/>
    <mergeCell ref="J23:J28"/>
    <mergeCell ref="N11:N12"/>
    <mergeCell ref="N23:N28"/>
    <mergeCell ref="N13:N16"/>
    <mergeCell ref="C11:C12"/>
    <mergeCell ref="D11:D12"/>
    <mergeCell ref="E11:E12"/>
    <mergeCell ref="G11:G12"/>
    <mergeCell ref="C13:C16"/>
    <mergeCell ref="D13:D16"/>
    <mergeCell ref="E13:E16"/>
    <mergeCell ref="G13:G16"/>
    <mergeCell ref="H11:H12"/>
    <mergeCell ref="I11:I12"/>
    <mergeCell ref="J11:J12"/>
    <mergeCell ref="K11:K12"/>
    <mergeCell ref="L17:L22"/>
    <mergeCell ref="I17:I22"/>
    <mergeCell ref="J17:J22"/>
    <mergeCell ref="M23:M28"/>
    <mergeCell ref="C5:C10"/>
    <mergeCell ref="D5:D10"/>
    <mergeCell ref="E5:E10"/>
    <mergeCell ref="D3:D4"/>
    <mergeCell ref="E3:E4"/>
    <mergeCell ref="G3:G4"/>
    <mergeCell ref="H3:H4"/>
    <mergeCell ref="I3:I4"/>
    <mergeCell ref="N3:N4"/>
    <mergeCell ref="G5:G10"/>
    <mergeCell ref="C3:C4"/>
    <mergeCell ref="I5:I10"/>
    <mergeCell ref="J5:J10"/>
    <mergeCell ref="K5:K10"/>
    <mergeCell ref="M3:M4"/>
    <mergeCell ref="L5:L10"/>
    <mergeCell ref="J3:J4"/>
    <mergeCell ref="K3:K4"/>
    <mergeCell ref="L3:L4"/>
    <mergeCell ref="P5:P10"/>
    <mergeCell ref="P3:P4"/>
    <mergeCell ref="N5:N10"/>
    <mergeCell ref="M5:M10"/>
    <mergeCell ref="O5:O10"/>
    <mergeCell ref="O3:O4"/>
    <mergeCell ref="O23:O28"/>
    <mergeCell ref="O13:O16"/>
    <mergeCell ref="P13:P16"/>
    <mergeCell ref="M17:M22"/>
    <mergeCell ref="P23:P28"/>
  </mergeCells>
  <dataValidations count="1">
    <dataValidation type="list" allowBlank="1" showInputMessage="1" showErrorMessage="1" sqref="B3:B55" xr:uid="{149936BB-E9F7-467B-9B8A-466861C21273}">
      <formula1>resultadoaprendizaje</formula1>
    </dataValidation>
  </dataValidations>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FCBD-ADC1-40F4-BFE8-98BA12AA9611}">
  <dimension ref="B1:D37"/>
  <sheetViews>
    <sheetView workbookViewId="0">
      <selection activeCell="G5" sqref="G5"/>
    </sheetView>
  </sheetViews>
  <sheetFormatPr baseColWidth="10" defaultColWidth="11.44140625" defaultRowHeight="14.4" x14ac:dyDescent="0.3"/>
  <cols>
    <col min="2" max="2" width="27.21875" customWidth="1"/>
    <col min="4" max="4" width="99.21875" customWidth="1"/>
  </cols>
  <sheetData>
    <row r="1" spans="2:4" ht="31.2" x14ac:dyDescent="0.5">
      <c r="B1" s="1" t="s">
        <v>200</v>
      </c>
      <c r="D1" s="28" t="s">
        <v>201</v>
      </c>
    </row>
    <row r="2" spans="2:4" ht="18" x14ac:dyDescent="0.5">
      <c r="B2" s="1" t="s">
        <v>202</v>
      </c>
    </row>
    <row r="3" spans="2:4" ht="18" x14ac:dyDescent="0.5">
      <c r="B3" s="1" t="s">
        <v>203</v>
      </c>
    </row>
    <row r="4" spans="2:4" ht="18" x14ac:dyDescent="0.5">
      <c r="B4" s="1" t="s">
        <v>204</v>
      </c>
    </row>
    <row r="5" spans="2:4" ht="18" x14ac:dyDescent="0.5">
      <c r="B5" s="1" t="s">
        <v>205</v>
      </c>
    </row>
    <row r="6" spans="2:4" ht="18" x14ac:dyDescent="0.5">
      <c r="B6" s="1" t="s">
        <v>206</v>
      </c>
    </row>
    <row r="7" spans="2:4" ht="18" x14ac:dyDescent="0.5">
      <c r="B7" s="1" t="s">
        <v>207</v>
      </c>
    </row>
    <row r="8" spans="2:4" ht="18" x14ac:dyDescent="0.5">
      <c r="B8" s="1" t="s">
        <v>208</v>
      </c>
    </row>
    <row r="9" spans="2:4" ht="18" x14ac:dyDescent="0.5">
      <c r="B9" s="1" t="s">
        <v>209</v>
      </c>
    </row>
    <row r="10" spans="2:4" ht="18" x14ac:dyDescent="0.5">
      <c r="B10" s="1" t="s">
        <v>210</v>
      </c>
    </row>
    <row r="11" spans="2:4" ht="18" x14ac:dyDescent="0.5">
      <c r="B11" s="1" t="s">
        <v>211</v>
      </c>
    </row>
    <row r="12" spans="2:4" ht="18" x14ac:dyDescent="0.5">
      <c r="B12" s="1" t="s">
        <v>212</v>
      </c>
    </row>
    <row r="13" spans="2:4" ht="18" x14ac:dyDescent="0.5">
      <c r="B13" s="1" t="s">
        <v>213</v>
      </c>
    </row>
    <row r="14" spans="2:4" ht="18" x14ac:dyDescent="0.5">
      <c r="B14" s="1" t="s">
        <v>214</v>
      </c>
    </row>
    <row r="15" spans="2:4" ht="18" x14ac:dyDescent="0.5">
      <c r="B15" s="1" t="s">
        <v>89</v>
      </c>
    </row>
    <row r="16" spans="2:4" ht="18" x14ac:dyDescent="0.5">
      <c r="B16" s="1" t="s">
        <v>53</v>
      </c>
    </row>
    <row r="17" spans="2:2" ht="18" x14ac:dyDescent="0.5">
      <c r="B17" s="1" t="s">
        <v>91</v>
      </c>
    </row>
    <row r="18" spans="2:2" ht="18" x14ac:dyDescent="0.5">
      <c r="B18" s="1" t="s">
        <v>215</v>
      </c>
    </row>
    <row r="19" spans="2:2" ht="18" x14ac:dyDescent="0.5">
      <c r="B19" s="1" t="s">
        <v>216</v>
      </c>
    </row>
    <row r="20" spans="2:2" ht="18" x14ac:dyDescent="0.5">
      <c r="B20" s="1" t="s">
        <v>217</v>
      </c>
    </row>
    <row r="21" spans="2:2" ht="18" x14ac:dyDescent="0.5">
      <c r="B21" s="1" t="s">
        <v>218</v>
      </c>
    </row>
    <row r="22" spans="2:2" ht="18" x14ac:dyDescent="0.5">
      <c r="B22" s="1" t="s">
        <v>219</v>
      </c>
    </row>
    <row r="23" spans="2:2" ht="18" x14ac:dyDescent="0.5">
      <c r="B23" s="1" t="s">
        <v>220</v>
      </c>
    </row>
    <row r="24" spans="2:2" ht="18" x14ac:dyDescent="0.5">
      <c r="B24" s="1" t="s">
        <v>55</v>
      </c>
    </row>
    <row r="25" spans="2:2" ht="18" x14ac:dyDescent="0.5">
      <c r="B25" s="1" t="s">
        <v>221</v>
      </c>
    </row>
    <row r="26" spans="2:2" ht="18" x14ac:dyDescent="0.5">
      <c r="B26" s="1" t="s">
        <v>222</v>
      </c>
    </row>
    <row r="27" spans="2:2" ht="18" x14ac:dyDescent="0.5">
      <c r="B27" s="1" t="s">
        <v>223</v>
      </c>
    </row>
    <row r="28" spans="2:2" ht="18" x14ac:dyDescent="0.5">
      <c r="B28" s="1" t="s">
        <v>224</v>
      </c>
    </row>
    <row r="29" spans="2:2" ht="18" x14ac:dyDescent="0.5">
      <c r="B29" s="1" t="s">
        <v>225</v>
      </c>
    </row>
    <row r="30" spans="2:2" ht="18" x14ac:dyDescent="0.5">
      <c r="B30" s="1" t="s">
        <v>226</v>
      </c>
    </row>
    <row r="31" spans="2:2" ht="18" x14ac:dyDescent="0.5">
      <c r="B31" s="1" t="s">
        <v>227</v>
      </c>
    </row>
    <row r="32" spans="2:2" ht="18" x14ac:dyDescent="0.5">
      <c r="B32" s="1" t="s">
        <v>228</v>
      </c>
    </row>
    <row r="33" spans="2:2" ht="18" x14ac:dyDescent="0.5">
      <c r="B33" s="1" t="s">
        <v>229</v>
      </c>
    </row>
    <row r="34" spans="2:2" ht="18" x14ac:dyDescent="0.5">
      <c r="B34" s="1" t="s">
        <v>230</v>
      </c>
    </row>
    <row r="35" spans="2:2" ht="18" x14ac:dyDescent="0.5">
      <c r="B35" s="1" t="s">
        <v>231</v>
      </c>
    </row>
    <row r="36" spans="2:2" ht="18" x14ac:dyDescent="0.5">
      <c r="B36" s="1" t="s">
        <v>50</v>
      </c>
    </row>
    <row r="37" spans="2:2" ht="18" x14ac:dyDescent="0.5">
      <c r="B37" s="1" t="s">
        <v>232</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7597-49CE-4804-805A-84A20592BE98}">
  <dimension ref="A1:BK108"/>
  <sheetViews>
    <sheetView topLeftCell="AY53" zoomScale="66" workbookViewId="0">
      <selection activeCell="BF90" sqref="BF90"/>
    </sheetView>
  </sheetViews>
  <sheetFormatPr baseColWidth="10" defaultColWidth="11.44140625" defaultRowHeight="18" x14ac:dyDescent="0.5"/>
  <cols>
    <col min="1" max="1" width="20.44140625" style="1" customWidth="1"/>
    <col min="2" max="2" width="14.21875" style="1" customWidth="1"/>
    <col min="3" max="3" width="22.21875" style="1" customWidth="1"/>
    <col min="4" max="4" width="21.5546875" style="1" customWidth="1"/>
    <col min="5" max="5" width="22.77734375" style="1" customWidth="1"/>
    <col min="6" max="6" width="16.77734375" style="1" customWidth="1"/>
    <col min="7" max="7" width="21.77734375" style="1" customWidth="1"/>
    <col min="8" max="8" width="26.21875" style="1" customWidth="1"/>
    <col min="9" max="9" width="25.21875" style="1" customWidth="1"/>
    <col min="10" max="10" width="24.44140625" style="1" customWidth="1"/>
    <col min="11" max="11" width="15.21875" style="1" customWidth="1"/>
    <col min="12" max="17" width="17.77734375" style="1" customWidth="1"/>
    <col min="18" max="18" width="22.5546875" style="1" customWidth="1"/>
    <col min="19" max="33" width="17.44140625" style="1" customWidth="1"/>
    <col min="34" max="36" width="13.21875" style="1" customWidth="1"/>
    <col min="37" max="37" width="14.5546875" style="1" customWidth="1"/>
    <col min="38" max="38" width="23.21875" style="1" bestFit="1" customWidth="1"/>
    <col min="39" max="39" width="18" style="1" customWidth="1"/>
    <col min="40" max="40" width="20.44140625" style="1" bestFit="1" customWidth="1"/>
    <col min="41" max="41" width="21.77734375" style="1" bestFit="1" customWidth="1"/>
    <col min="42" max="42" width="17.44140625" style="1" bestFit="1" customWidth="1"/>
    <col min="43" max="43" width="18.5546875" style="1" bestFit="1" customWidth="1"/>
    <col min="44" max="44" width="16.77734375" style="1" customWidth="1"/>
    <col min="45" max="45" width="26.5546875" style="1" bestFit="1" customWidth="1"/>
    <col min="46" max="46" width="21.5546875" style="1" bestFit="1" customWidth="1"/>
    <col min="47" max="47" width="19.21875" style="1" bestFit="1" customWidth="1"/>
    <col min="48" max="48" width="24.21875" style="1" bestFit="1" customWidth="1"/>
    <col min="49" max="49" width="24.77734375" style="1" bestFit="1" customWidth="1"/>
    <col min="50" max="50" width="23.21875" style="1" bestFit="1" customWidth="1"/>
    <col min="51" max="51" width="22.21875" style="1" bestFit="1" customWidth="1"/>
    <col min="52" max="52" width="32.21875" style="1" bestFit="1" customWidth="1"/>
    <col min="53" max="53" width="13.21875" style="1" customWidth="1"/>
    <col min="54" max="54" width="23.77734375" style="1" customWidth="1"/>
    <col min="55" max="55" width="22.5546875" style="1" customWidth="1"/>
    <col min="56" max="56" width="21.44140625" style="1" customWidth="1"/>
    <col min="57" max="57" width="25" style="1" customWidth="1"/>
    <col min="58" max="58" width="24.77734375" style="1" customWidth="1"/>
    <col min="59" max="59" width="22.77734375" style="1" customWidth="1"/>
    <col min="60" max="63" width="13.21875" style="1" customWidth="1"/>
    <col min="64" max="16384" width="11.44140625" style="1"/>
  </cols>
  <sheetData>
    <row r="1" spans="1:63" x14ac:dyDescent="0.5">
      <c r="S1" s="116" t="s">
        <v>233</v>
      </c>
      <c r="T1" s="116"/>
      <c r="U1" s="116"/>
      <c r="V1" s="116"/>
      <c r="W1" s="116"/>
      <c r="X1" s="116"/>
      <c r="Y1" s="116"/>
      <c r="Z1" s="116"/>
      <c r="AA1" s="116"/>
      <c r="AB1" s="116"/>
      <c r="AC1" s="116"/>
      <c r="AD1" s="116"/>
      <c r="AE1" s="116"/>
      <c r="AF1" s="116"/>
      <c r="AG1" s="116"/>
      <c r="AH1" s="9"/>
      <c r="AI1" s="9"/>
      <c r="AJ1" s="9"/>
      <c r="AL1" s="116" t="s">
        <v>234</v>
      </c>
      <c r="AM1" s="116"/>
      <c r="AN1" s="116"/>
      <c r="AO1" s="116"/>
      <c r="AP1" s="116"/>
      <c r="AQ1" s="116"/>
      <c r="AR1" s="116"/>
      <c r="AS1" s="116"/>
      <c r="AT1" s="116"/>
      <c r="AU1" s="116"/>
      <c r="AV1" s="116"/>
      <c r="AW1" s="116"/>
      <c r="AX1" s="116"/>
      <c r="AY1" s="116"/>
      <c r="AZ1" s="116"/>
      <c r="BA1" s="9"/>
      <c r="BB1" s="116" t="s">
        <v>235</v>
      </c>
      <c r="BC1" s="116"/>
      <c r="BD1" s="116"/>
      <c r="BE1" s="116"/>
      <c r="BF1" s="116"/>
      <c r="BG1" s="116"/>
      <c r="BH1" s="9"/>
      <c r="BK1" s="9"/>
    </row>
    <row r="2" spans="1:63" x14ac:dyDescent="0.5">
      <c r="L2" s="116" t="s">
        <v>236</v>
      </c>
      <c r="M2" s="116"/>
      <c r="N2" s="116"/>
      <c r="O2" s="116"/>
      <c r="P2" s="116"/>
      <c r="Q2" s="116"/>
      <c r="S2" s="117" t="s">
        <v>237</v>
      </c>
      <c r="T2" s="117"/>
      <c r="U2" s="117"/>
      <c r="V2" s="117"/>
      <c r="W2" s="117"/>
      <c r="X2" s="117"/>
      <c r="Y2" s="117" t="s">
        <v>238</v>
      </c>
      <c r="Z2" s="117"/>
      <c r="AA2" s="117"/>
      <c r="AB2" s="117"/>
      <c r="AC2" s="117" t="s">
        <v>239</v>
      </c>
      <c r="AD2" s="117"/>
      <c r="AE2" s="117"/>
      <c r="AF2" s="117"/>
      <c r="AG2" s="117"/>
      <c r="AH2" s="9"/>
      <c r="AI2" s="9"/>
      <c r="AJ2" s="9"/>
      <c r="AL2" s="116"/>
      <c r="AM2" s="116"/>
      <c r="AN2" s="116"/>
      <c r="AO2" s="116"/>
      <c r="AP2" s="116"/>
      <c r="AQ2" s="116"/>
      <c r="AR2" s="9"/>
      <c r="AS2" s="9"/>
      <c r="AT2" s="9"/>
      <c r="AU2" s="9"/>
      <c r="AV2" s="9"/>
      <c r="AW2" s="9"/>
      <c r="AX2" s="9"/>
      <c r="AY2" s="9"/>
      <c r="AZ2" s="9"/>
      <c r="BA2" s="9"/>
      <c r="BB2" s="9"/>
      <c r="BC2" s="9"/>
      <c r="BD2" s="9"/>
      <c r="BE2" s="9"/>
      <c r="BF2" s="9"/>
      <c r="BG2" s="9"/>
      <c r="BH2" s="9"/>
      <c r="BK2" s="9"/>
    </row>
    <row r="3" spans="1:63" x14ac:dyDescent="0.5">
      <c r="A3" s="1" t="s">
        <v>240</v>
      </c>
      <c r="C3" s="1" t="s">
        <v>241</v>
      </c>
      <c r="D3" s="1" t="s">
        <v>242</v>
      </c>
      <c r="E3" s="1" t="s">
        <v>76</v>
      </c>
      <c r="G3" s="1" t="s">
        <v>243</v>
      </c>
      <c r="H3" s="1" t="s">
        <v>244</v>
      </c>
      <c r="I3" s="1" t="s">
        <v>245</v>
      </c>
      <c r="L3" s="1" t="s">
        <v>246</v>
      </c>
      <c r="M3" s="1" t="s">
        <v>247</v>
      </c>
      <c r="N3" s="1" t="s">
        <v>248</v>
      </c>
      <c r="O3" s="1" t="s">
        <v>249</v>
      </c>
      <c r="P3" s="1" t="s">
        <v>250</v>
      </c>
      <c r="Q3" s="1" t="s">
        <v>251</v>
      </c>
      <c r="S3" s="1" t="s">
        <v>252</v>
      </c>
      <c r="T3" s="1" t="s">
        <v>253</v>
      </c>
      <c r="U3" s="1" t="s">
        <v>254</v>
      </c>
      <c r="V3" s="1" t="s">
        <v>255</v>
      </c>
      <c r="W3" s="1" t="s">
        <v>256</v>
      </c>
      <c r="X3" s="1" t="s">
        <v>257</v>
      </c>
      <c r="Y3" s="1" t="s">
        <v>258</v>
      </c>
      <c r="Z3" s="1" t="s">
        <v>259</v>
      </c>
      <c r="AA3" s="1" t="s">
        <v>260</v>
      </c>
      <c r="AB3" s="1" t="s">
        <v>261</v>
      </c>
      <c r="AC3" s="1" t="s">
        <v>262</v>
      </c>
      <c r="AD3" s="1" t="s">
        <v>263</v>
      </c>
      <c r="AE3" s="1" t="s">
        <v>264</v>
      </c>
      <c r="AF3" s="1" t="s">
        <v>265</v>
      </c>
      <c r="AG3" s="1" t="s">
        <v>266</v>
      </c>
      <c r="AL3" s="118" t="s">
        <v>267</v>
      </c>
      <c r="AM3" s="119"/>
      <c r="AN3" s="119"/>
      <c r="AO3" s="118" t="s">
        <v>268</v>
      </c>
      <c r="AP3" s="119"/>
      <c r="AQ3" s="119"/>
      <c r="AR3" s="118" t="s">
        <v>269</v>
      </c>
      <c r="AS3" s="119"/>
      <c r="AT3" s="119"/>
      <c r="AU3" s="120"/>
      <c r="AV3" s="118" t="s">
        <v>270</v>
      </c>
      <c r="AW3" s="119"/>
      <c r="AX3" s="119"/>
      <c r="AY3" s="119"/>
      <c r="AZ3" s="120"/>
      <c r="BA3" s="10"/>
      <c r="BB3" s="10"/>
      <c r="BC3" s="10"/>
      <c r="BD3" s="10"/>
      <c r="BE3" s="10"/>
      <c r="BF3" s="10"/>
      <c r="BG3" s="10"/>
      <c r="BH3" s="10"/>
      <c r="BK3" s="10"/>
    </row>
    <row r="4" spans="1:63" x14ac:dyDescent="0.5">
      <c r="A4" s="1" t="s">
        <v>271</v>
      </c>
      <c r="C4" s="1" t="s">
        <v>272</v>
      </c>
      <c r="D4" s="1" t="s">
        <v>273</v>
      </c>
      <c r="E4" s="1" t="s">
        <v>77</v>
      </c>
      <c r="G4" s="1" t="s">
        <v>246</v>
      </c>
      <c r="H4" s="1" t="s">
        <v>246</v>
      </c>
      <c r="I4" s="1" t="s">
        <v>246</v>
      </c>
      <c r="L4" s="1" t="s">
        <v>274</v>
      </c>
      <c r="M4" s="1" t="s">
        <v>207</v>
      </c>
      <c r="N4" s="1" t="s">
        <v>204</v>
      </c>
      <c r="O4" s="1" t="s">
        <v>275</v>
      </c>
      <c r="P4" s="1" t="s">
        <v>276</v>
      </c>
      <c r="Q4" s="1" t="s">
        <v>277</v>
      </c>
      <c r="S4" s="1" t="s">
        <v>274</v>
      </c>
      <c r="T4" s="1" t="s">
        <v>207</v>
      </c>
      <c r="U4" s="1" t="s">
        <v>204</v>
      </c>
      <c r="V4" s="1" t="s">
        <v>275</v>
      </c>
      <c r="W4" s="1" t="s">
        <v>276</v>
      </c>
      <c r="X4" s="1" t="s">
        <v>277</v>
      </c>
      <c r="Y4" s="1" t="s">
        <v>278</v>
      </c>
      <c r="Z4" s="1" t="s">
        <v>279</v>
      </c>
      <c r="AA4" s="1" t="s">
        <v>280</v>
      </c>
      <c r="AB4" s="1" t="s">
        <v>281</v>
      </c>
      <c r="AC4" s="1" t="s">
        <v>220</v>
      </c>
      <c r="AD4" s="1" t="s">
        <v>282</v>
      </c>
      <c r="AE4" s="1" t="s">
        <v>283</v>
      </c>
      <c r="AF4" s="1" t="s">
        <v>284</v>
      </c>
      <c r="AG4" s="1" t="s">
        <v>285</v>
      </c>
      <c r="AL4" s="11" t="s">
        <v>286</v>
      </c>
      <c r="AM4" s="11" t="s">
        <v>287</v>
      </c>
      <c r="AN4" s="11" t="s">
        <v>288</v>
      </c>
      <c r="AO4" s="11" t="s">
        <v>289</v>
      </c>
      <c r="AP4" s="12" t="s">
        <v>290</v>
      </c>
      <c r="AQ4" s="11" t="s">
        <v>291</v>
      </c>
      <c r="AR4" s="1" t="s">
        <v>258</v>
      </c>
      <c r="AS4" s="1" t="s">
        <v>259</v>
      </c>
      <c r="AT4" s="1" t="s">
        <v>260</v>
      </c>
      <c r="AU4" s="1" t="s">
        <v>261</v>
      </c>
      <c r="AV4" s="1" t="s">
        <v>262</v>
      </c>
      <c r="AW4" s="1" t="s">
        <v>263</v>
      </c>
      <c r="AX4" s="1" t="s">
        <v>264</v>
      </c>
      <c r="AY4" s="1" t="s">
        <v>265</v>
      </c>
      <c r="AZ4" s="1" t="s">
        <v>266</v>
      </c>
      <c r="BA4" s="10"/>
      <c r="BB4" s="1" t="s">
        <v>292</v>
      </c>
      <c r="BC4" s="1" t="s">
        <v>93</v>
      </c>
      <c r="BD4" s="1" t="s">
        <v>78</v>
      </c>
      <c r="BE4" s="1" t="s">
        <v>82</v>
      </c>
      <c r="BF4" s="1" t="s">
        <v>86</v>
      </c>
      <c r="BG4" s="1" t="s">
        <v>293</v>
      </c>
      <c r="BH4" s="10"/>
      <c r="BK4" s="10"/>
    </row>
    <row r="5" spans="1:63" x14ac:dyDescent="0.5">
      <c r="A5" s="1" t="s">
        <v>241</v>
      </c>
      <c r="C5" s="1" t="s">
        <v>294</v>
      </c>
      <c r="D5" s="1" t="s">
        <v>295</v>
      </c>
      <c r="E5" s="1" t="s">
        <v>81</v>
      </c>
      <c r="G5" s="1" t="s">
        <v>247</v>
      </c>
      <c r="H5" s="1" t="s">
        <v>247</v>
      </c>
      <c r="I5" s="1" t="s">
        <v>247</v>
      </c>
      <c r="L5" s="1" t="s">
        <v>296</v>
      </c>
      <c r="M5" s="1" t="s">
        <v>297</v>
      </c>
      <c r="N5" s="1" t="s">
        <v>298</v>
      </c>
      <c r="O5" s="1" t="s">
        <v>299</v>
      </c>
      <c r="P5" s="1" t="s">
        <v>203</v>
      </c>
      <c r="Q5" s="1" t="s">
        <v>300</v>
      </c>
      <c r="S5" s="1" t="s">
        <v>296</v>
      </c>
      <c r="T5" s="1" t="s">
        <v>297</v>
      </c>
      <c r="U5" s="1" t="s">
        <v>298</v>
      </c>
      <c r="V5" s="1" t="s">
        <v>299</v>
      </c>
      <c r="W5" s="1" t="s">
        <v>203</v>
      </c>
      <c r="X5" s="1" t="s">
        <v>300</v>
      </c>
      <c r="Y5" s="1" t="s">
        <v>276</v>
      </c>
      <c r="Z5" s="1" t="s">
        <v>301</v>
      </c>
      <c r="AA5" s="1" t="s">
        <v>224</v>
      </c>
      <c r="AB5" s="1" t="s">
        <v>302</v>
      </c>
      <c r="AC5" s="1" t="s">
        <v>209</v>
      </c>
      <c r="AD5" s="1" t="s">
        <v>303</v>
      </c>
      <c r="AE5" s="1" t="s">
        <v>282</v>
      </c>
      <c r="AF5" s="1" t="s">
        <v>304</v>
      </c>
      <c r="AG5" s="1" t="s">
        <v>305</v>
      </c>
      <c r="AL5" s="2" t="s">
        <v>306</v>
      </c>
      <c r="AM5" s="2" t="s">
        <v>79</v>
      </c>
      <c r="AN5" s="2" t="s">
        <v>307</v>
      </c>
      <c r="AO5" s="2" t="s">
        <v>308</v>
      </c>
      <c r="AP5" s="2" t="s">
        <v>276</v>
      </c>
      <c r="AQ5" s="2" t="s">
        <v>213</v>
      </c>
      <c r="AR5" s="1" t="s">
        <v>278</v>
      </c>
      <c r="AS5" s="1" t="s">
        <v>279</v>
      </c>
      <c r="AT5" s="1" t="s">
        <v>280</v>
      </c>
      <c r="AU5" s="1" t="s">
        <v>281</v>
      </c>
      <c r="AV5" s="1" t="s">
        <v>220</v>
      </c>
      <c r="AW5" s="1" t="s">
        <v>282</v>
      </c>
      <c r="AX5" s="1" t="s">
        <v>283</v>
      </c>
      <c r="AY5" s="1" t="s">
        <v>284</v>
      </c>
      <c r="AZ5" s="1" t="s">
        <v>285</v>
      </c>
      <c r="BA5" s="2"/>
      <c r="BB5" s="13" t="s">
        <v>306</v>
      </c>
      <c r="BC5" s="15" t="s">
        <v>207</v>
      </c>
      <c r="BD5" s="13" t="s">
        <v>308</v>
      </c>
      <c r="BE5" s="13" t="s">
        <v>307</v>
      </c>
      <c r="BF5" s="15" t="s">
        <v>309</v>
      </c>
      <c r="BG5" s="15" t="s">
        <v>309</v>
      </c>
      <c r="BH5" s="2"/>
      <c r="BK5" s="2"/>
    </row>
    <row r="6" spans="1:63" x14ac:dyDescent="0.5">
      <c r="A6" s="1" t="s">
        <v>242</v>
      </c>
      <c r="C6" s="1" t="s">
        <v>310</v>
      </c>
      <c r="D6" s="1" t="s">
        <v>311</v>
      </c>
      <c r="E6" s="1" t="s">
        <v>85</v>
      </c>
      <c r="G6" s="1" t="s">
        <v>248</v>
      </c>
      <c r="H6" s="1" t="s">
        <v>248</v>
      </c>
      <c r="I6" s="1" t="s">
        <v>248</v>
      </c>
      <c r="L6" s="1" t="s">
        <v>312</v>
      </c>
      <c r="M6" s="1" t="s">
        <v>313</v>
      </c>
      <c r="N6" s="1" t="s">
        <v>314</v>
      </c>
      <c r="O6" s="1" t="s">
        <v>315</v>
      </c>
      <c r="P6" s="1" t="s">
        <v>316</v>
      </c>
      <c r="Q6" s="1" t="s">
        <v>317</v>
      </c>
      <c r="S6" s="1" t="s">
        <v>312</v>
      </c>
      <c r="T6" s="1" t="s">
        <v>313</v>
      </c>
      <c r="U6" s="1" t="s">
        <v>314</v>
      </c>
      <c r="V6" s="1" t="s">
        <v>315</v>
      </c>
      <c r="W6" s="1" t="s">
        <v>316</v>
      </c>
      <c r="X6" s="1" t="s">
        <v>317</v>
      </c>
      <c r="Y6" s="1" t="s">
        <v>318</v>
      </c>
      <c r="Z6" s="1" t="s">
        <v>319</v>
      </c>
      <c r="AA6" s="1" t="s">
        <v>320</v>
      </c>
      <c r="AB6" s="1" t="s">
        <v>321</v>
      </c>
      <c r="AC6" s="1" t="s">
        <v>214</v>
      </c>
      <c r="AD6" s="1" t="s">
        <v>322</v>
      </c>
      <c r="AE6" s="1" t="s">
        <v>309</v>
      </c>
      <c r="AF6" s="1" t="s">
        <v>323</v>
      </c>
      <c r="AG6" s="1" t="s">
        <v>209</v>
      </c>
      <c r="AL6" s="2" t="s">
        <v>312</v>
      </c>
      <c r="AM6" s="2" t="s">
        <v>324</v>
      </c>
      <c r="AN6" s="2" t="s">
        <v>308</v>
      </c>
      <c r="AO6" s="2" t="s">
        <v>275</v>
      </c>
      <c r="AP6" s="2" t="s">
        <v>325</v>
      </c>
      <c r="AQ6" s="2" t="s">
        <v>326</v>
      </c>
      <c r="AR6" s="1" t="s">
        <v>276</v>
      </c>
      <c r="AS6" s="1" t="s">
        <v>301</v>
      </c>
      <c r="AT6" s="1" t="s">
        <v>224</v>
      </c>
      <c r="AU6" s="1" t="s">
        <v>302</v>
      </c>
      <c r="AV6" s="1" t="s">
        <v>209</v>
      </c>
      <c r="AW6" s="1" t="s">
        <v>303</v>
      </c>
      <c r="AX6" s="1" t="s">
        <v>282</v>
      </c>
      <c r="AY6" s="1" t="s">
        <v>304</v>
      </c>
      <c r="AZ6" s="1" t="s">
        <v>305</v>
      </c>
      <c r="BA6" s="2"/>
      <c r="BB6" s="14" t="s">
        <v>312</v>
      </c>
      <c r="BC6" s="16" t="s">
        <v>297</v>
      </c>
      <c r="BD6" s="15" t="s">
        <v>275</v>
      </c>
      <c r="BE6" s="14" t="s">
        <v>308</v>
      </c>
      <c r="BF6" s="16" t="s">
        <v>327</v>
      </c>
      <c r="BG6" s="15" t="s">
        <v>283</v>
      </c>
      <c r="BH6" s="2"/>
      <c r="BK6" s="2"/>
    </row>
    <row r="7" spans="1:63" x14ac:dyDescent="0.5">
      <c r="A7" s="1" t="s">
        <v>76</v>
      </c>
      <c r="D7" s="1" t="s">
        <v>328</v>
      </c>
      <c r="G7" s="1" t="s">
        <v>249</v>
      </c>
      <c r="H7" s="1" t="s">
        <v>249</v>
      </c>
      <c r="I7" s="1" t="s">
        <v>249</v>
      </c>
      <c r="L7" s="1" t="s">
        <v>329</v>
      </c>
      <c r="M7" s="1" t="s">
        <v>208</v>
      </c>
      <c r="N7" s="1" t="s">
        <v>330</v>
      </c>
      <c r="O7" s="1" t="s">
        <v>331</v>
      </c>
      <c r="P7" s="1" t="s">
        <v>316</v>
      </c>
      <c r="Q7" s="1" t="s">
        <v>332</v>
      </c>
      <c r="S7" s="1" t="s">
        <v>329</v>
      </c>
      <c r="T7" s="1" t="s">
        <v>208</v>
      </c>
      <c r="U7" s="1" t="s">
        <v>330</v>
      </c>
      <c r="V7" s="1" t="s">
        <v>331</v>
      </c>
      <c r="W7" s="1" t="s">
        <v>316</v>
      </c>
      <c r="X7" s="1" t="s">
        <v>332</v>
      </c>
      <c r="Y7" s="1" t="s">
        <v>333</v>
      </c>
      <c r="Z7" s="1" t="s">
        <v>334</v>
      </c>
      <c r="AA7" s="1" t="s">
        <v>335</v>
      </c>
      <c r="AB7" s="1" t="s">
        <v>336</v>
      </c>
      <c r="AC7" s="1" t="s">
        <v>279</v>
      </c>
      <c r="AD7" s="1" t="s">
        <v>306</v>
      </c>
      <c r="AE7" s="1" t="s">
        <v>306</v>
      </c>
      <c r="AF7" s="1" t="s">
        <v>327</v>
      </c>
      <c r="AG7" s="1" t="s">
        <v>337</v>
      </c>
      <c r="AL7" s="2" t="s">
        <v>338</v>
      </c>
      <c r="AM7" s="2" t="s">
        <v>339</v>
      </c>
      <c r="AN7" s="2" t="s">
        <v>315</v>
      </c>
      <c r="AO7" s="2" t="s">
        <v>340</v>
      </c>
      <c r="AP7" s="2" t="s">
        <v>341</v>
      </c>
      <c r="AQ7" s="2" t="s">
        <v>342</v>
      </c>
      <c r="AR7" s="1" t="s">
        <v>318</v>
      </c>
      <c r="AS7" s="1" t="s">
        <v>319</v>
      </c>
      <c r="AT7" s="1" t="s">
        <v>320</v>
      </c>
      <c r="AU7" s="1" t="s">
        <v>321</v>
      </c>
      <c r="AV7" s="1" t="s">
        <v>214</v>
      </c>
      <c r="AW7" s="1" t="s">
        <v>322</v>
      </c>
      <c r="AX7" s="1" t="s">
        <v>309</v>
      </c>
      <c r="AY7" s="1" t="s">
        <v>323</v>
      </c>
      <c r="AZ7" s="1" t="s">
        <v>209</v>
      </c>
      <c r="BA7" s="2"/>
      <c r="BB7" s="13" t="s">
        <v>338</v>
      </c>
      <c r="BC7" s="1" t="s">
        <v>79</v>
      </c>
      <c r="BD7" s="16" t="s">
        <v>299</v>
      </c>
      <c r="BE7" s="15" t="s">
        <v>204</v>
      </c>
      <c r="BF7" s="15" t="s">
        <v>283</v>
      </c>
      <c r="BG7" s="15" t="s">
        <v>343</v>
      </c>
      <c r="BH7" s="2"/>
      <c r="BK7" s="2"/>
    </row>
    <row r="8" spans="1:63" x14ac:dyDescent="0.5">
      <c r="G8" s="1" t="s">
        <v>250</v>
      </c>
      <c r="H8" s="1" t="s">
        <v>250</v>
      </c>
      <c r="I8" s="1" t="s">
        <v>250</v>
      </c>
      <c r="L8" s="1" t="s">
        <v>344</v>
      </c>
      <c r="M8" s="1" t="s">
        <v>345</v>
      </c>
      <c r="N8" s="1" t="s">
        <v>209</v>
      </c>
      <c r="O8" s="1" t="s">
        <v>324</v>
      </c>
      <c r="P8" s="1" t="s">
        <v>346</v>
      </c>
      <c r="Q8" s="1" t="s">
        <v>347</v>
      </c>
      <c r="S8" s="1" t="s">
        <v>344</v>
      </c>
      <c r="T8" s="1" t="s">
        <v>345</v>
      </c>
      <c r="U8" s="1" t="s">
        <v>209</v>
      </c>
      <c r="V8" s="1" t="s">
        <v>324</v>
      </c>
      <c r="W8" s="1" t="s">
        <v>346</v>
      </c>
      <c r="X8" s="1" t="s">
        <v>347</v>
      </c>
      <c r="Y8" s="1" t="s">
        <v>205</v>
      </c>
      <c r="Z8" s="1" t="s">
        <v>348</v>
      </c>
      <c r="AA8" s="1" t="s">
        <v>349</v>
      </c>
      <c r="AB8" s="1" t="s">
        <v>350</v>
      </c>
      <c r="AC8" s="1" t="s">
        <v>204</v>
      </c>
      <c r="AD8" s="1" t="s">
        <v>205</v>
      </c>
      <c r="AE8" s="1" t="s">
        <v>351</v>
      </c>
      <c r="AF8" s="1" t="s">
        <v>352</v>
      </c>
      <c r="AG8" s="1" t="s">
        <v>353</v>
      </c>
      <c r="AL8" s="2" t="s">
        <v>344</v>
      </c>
      <c r="AM8" s="2" t="s">
        <v>322</v>
      </c>
      <c r="AN8" s="2" t="s">
        <v>331</v>
      </c>
      <c r="AO8" s="2" t="s">
        <v>354</v>
      </c>
      <c r="AP8" s="2" t="s">
        <v>355</v>
      </c>
      <c r="AQ8" s="2" t="s">
        <v>356</v>
      </c>
      <c r="AR8" s="1" t="s">
        <v>333</v>
      </c>
      <c r="AS8" s="1" t="s">
        <v>334</v>
      </c>
      <c r="AT8" s="1" t="s">
        <v>335</v>
      </c>
      <c r="AU8" s="1" t="s">
        <v>336</v>
      </c>
      <c r="AV8" s="1" t="s">
        <v>279</v>
      </c>
      <c r="AW8" s="1" t="s">
        <v>306</v>
      </c>
      <c r="AX8" s="1" t="s">
        <v>306</v>
      </c>
      <c r="AY8" s="1" t="s">
        <v>327</v>
      </c>
      <c r="AZ8" s="1" t="s">
        <v>337</v>
      </c>
      <c r="BA8" s="2"/>
      <c r="BB8" s="14" t="s">
        <v>344</v>
      </c>
      <c r="BC8" s="15" t="s">
        <v>313</v>
      </c>
      <c r="BD8" s="15" t="s">
        <v>204</v>
      </c>
      <c r="BE8" s="13" t="s">
        <v>315</v>
      </c>
      <c r="BF8" s="16" t="s">
        <v>343</v>
      </c>
      <c r="BG8" s="15" t="s">
        <v>357</v>
      </c>
      <c r="BH8" s="2"/>
      <c r="BK8" s="2"/>
    </row>
    <row r="9" spans="1:63" x14ac:dyDescent="0.5">
      <c r="G9" s="1" t="s">
        <v>251</v>
      </c>
      <c r="H9" s="1" t="s">
        <v>251</v>
      </c>
      <c r="I9" s="1" t="s">
        <v>251</v>
      </c>
      <c r="L9" s="1" t="s">
        <v>212</v>
      </c>
      <c r="M9" s="1" t="s">
        <v>358</v>
      </c>
      <c r="N9" s="1" t="s">
        <v>359</v>
      </c>
      <c r="O9" s="1" t="s">
        <v>360</v>
      </c>
      <c r="P9" s="1" t="s">
        <v>361</v>
      </c>
      <c r="Q9" s="1" t="s">
        <v>205</v>
      </c>
      <c r="S9" s="1" t="s">
        <v>212</v>
      </c>
      <c r="T9" s="1" t="s">
        <v>358</v>
      </c>
      <c r="U9" s="1" t="s">
        <v>359</v>
      </c>
      <c r="V9" s="1" t="s">
        <v>360</v>
      </c>
      <c r="W9" s="1" t="s">
        <v>361</v>
      </c>
      <c r="X9" s="1" t="s">
        <v>205</v>
      </c>
      <c r="Y9" s="1" t="s">
        <v>332</v>
      </c>
      <c r="Z9" s="1" t="s">
        <v>362</v>
      </c>
      <c r="AA9" s="1" t="s">
        <v>363</v>
      </c>
      <c r="AB9" s="1" t="s">
        <v>364</v>
      </c>
      <c r="AC9" s="1" t="s">
        <v>365</v>
      </c>
      <c r="AD9" s="1" t="s">
        <v>220</v>
      </c>
      <c r="AE9" s="1" t="s">
        <v>366</v>
      </c>
      <c r="AF9" s="1" t="s">
        <v>367</v>
      </c>
      <c r="AG9" s="1" t="s">
        <v>343</v>
      </c>
      <c r="AL9" s="2" t="s">
        <v>212</v>
      </c>
      <c r="AM9" s="2" t="s">
        <v>368</v>
      </c>
      <c r="AN9" s="2" t="s">
        <v>369</v>
      </c>
      <c r="AO9" s="2" t="s">
        <v>331</v>
      </c>
      <c r="AP9" s="2" t="s">
        <v>370</v>
      </c>
      <c r="AQ9" s="2" t="s">
        <v>371</v>
      </c>
      <c r="AR9" s="1" t="s">
        <v>205</v>
      </c>
      <c r="AS9" s="1" t="s">
        <v>348</v>
      </c>
      <c r="AT9" s="1" t="s">
        <v>349</v>
      </c>
      <c r="AU9" s="1" t="s">
        <v>350</v>
      </c>
      <c r="AV9" s="1" t="s">
        <v>204</v>
      </c>
      <c r="AW9" s="1" t="s">
        <v>205</v>
      </c>
      <c r="AX9" s="1" t="s">
        <v>351</v>
      </c>
      <c r="AY9" s="1" t="s">
        <v>352</v>
      </c>
      <c r="AZ9" s="1" t="s">
        <v>353</v>
      </c>
      <c r="BA9" s="2"/>
      <c r="BB9" s="13" t="s">
        <v>212</v>
      </c>
      <c r="BC9" s="14" t="s">
        <v>324</v>
      </c>
      <c r="BD9" s="15" t="s">
        <v>340</v>
      </c>
      <c r="BE9" s="16" t="s">
        <v>298</v>
      </c>
      <c r="BF9" s="16" t="s">
        <v>306</v>
      </c>
      <c r="BG9" s="16" t="s">
        <v>372</v>
      </c>
      <c r="BH9" s="2"/>
      <c r="BK9" s="2"/>
    </row>
    <row r="10" spans="1:63" x14ac:dyDescent="0.5">
      <c r="L10" s="1" t="s">
        <v>373</v>
      </c>
      <c r="M10" s="1" t="s">
        <v>374</v>
      </c>
      <c r="N10" s="1" t="s">
        <v>322</v>
      </c>
      <c r="O10" s="1" t="s">
        <v>339</v>
      </c>
      <c r="P10" s="1" t="s">
        <v>315</v>
      </c>
      <c r="Q10" s="1" t="s">
        <v>206</v>
      </c>
      <c r="S10" s="1" t="s">
        <v>373</v>
      </c>
      <c r="T10" s="1" t="s">
        <v>374</v>
      </c>
      <c r="U10" s="1" t="s">
        <v>322</v>
      </c>
      <c r="V10" s="1" t="s">
        <v>339</v>
      </c>
      <c r="W10" s="1" t="s">
        <v>315</v>
      </c>
      <c r="X10" s="1" t="s">
        <v>206</v>
      </c>
      <c r="Y10" s="1" t="s">
        <v>299</v>
      </c>
      <c r="Z10" s="1" t="s">
        <v>220</v>
      </c>
      <c r="AA10" s="1" t="s">
        <v>375</v>
      </c>
      <c r="AB10" s="1" t="s">
        <v>376</v>
      </c>
      <c r="AC10" s="1" t="s">
        <v>377</v>
      </c>
      <c r="AD10" s="1" t="s">
        <v>208</v>
      </c>
      <c r="AE10" s="1" t="s">
        <v>378</v>
      </c>
      <c r="AF10" s="1" t="s">
        <v>379</v>
      </c>
      <c r="AG10" s="1" t="s">
        <v>380</v>
      </c>
      <c r="AL10" s="2" t="s">
        <v>373</v>
      </c>
      <c r="AM10" s="2" t="s">
        <v>381</v>
      </c>
      <c r="AN10" s="2" t="s">
        <v>382</v>
      </c>
      <c r="AO10" s="2" t="s">
        <v>383</v>
      </c>
      <c r="AP10" s="2" t="s">
        <v>314</v>
      </c>
      <c r="AQ10" s="2" t="s">
        <v>222</v>
      </c>
      <c r="AR10" s="1" t="s">
        <v>332</v>
      </c>
      <c r="AS10" s="1" t="s">
        <v>362</v>
      </c>
      <c r="AT10" s="1" t="s">
        <v>363</v>
      </c>
      <c r="AU10" s="1" t="s">
        <v>364</v>
      </c>
      <c r="AV10" s="1" t="s">
        <v>365</v>
      </c>
      <c r="AW10" s="1" t="s">
        <v>220</v>
      </c>
      <c r="AX10" s="1" t="s">
        <v>366</v>
      </c>
      <c r="AY10" s="1" t="s">
        <v>367</v>
      </c>
      <c r="AZ10" s="1" t="s">
        <v>343</v>
      </c>
      <c r="BA10" s="2"/>
      <c r="BB10" s="14" t="s">
        <v>373</v>
      </c>
      <c r="BC10" s="16" t="s">
        <v>208</v>
      </c>
      <c r="BD10" s="16" t="s">
        <v>354</v>
      </c>
      <c r="BE10" s="14" t="s">
        <v>331</v>
      </c>
      <c r="BF10" s="16" t="s">
        <v>357</v>
      </c>
      <c r="BG10" s="15" t="s">
        <v>384</v>
      </c>
      <c r="BH10" s="2"/>
      <c r="BK10" s="2"/>
    </row>
    <row r="11" spans="1:63" x14ac:dyDescent="0.5">
      <c r="G11" s="1" t="s">
        <v>385</v>
      </c>
      <c r="H11" s="1" t="s">
        <v>295</v>
      </c>
      <c r="I11" s="1" t="s">
        <v>386</v>
      </c>
      <c r="J11" s="1" t="s">
        <v>328</v>
      </c>
      <c r="L11" s="1" t="s">
        <v>322</v>
      </c>
      <c r="M11" s="1" t="s">
        <v>387</v>
      </c>
      <c r="N11" s="1" t="s">
        <v>388</v>
      </c>
      <c r="O11" s="1" t="s">
        <v>358</v>
      </c>
      <c r="P11" s="1" t="s">
        <v>330</v>
      </c>
      <c r="Q11" s="1" t="s">
        <v>389</v>
      </c>
      <c r="S11" s="1" t="s">
        <v>322</v>
      </c>
      <c r="T11" s="1" t="s">
        <v>387</v>
      </c>
      <c r="U11" s="1" t="s">
        <v>388</v>
      </c>
      <c r="V11" s="1" t="s">
        <v>358</v>
      </c>
      <c r="W11" s="1" t="s">
        <v>330</v>
      </c>
      <c r="X11" s="1" t="s">
        <v>389</v>
      </c>
      <c r="Y11" s="1" t="s">
        <v>204</v>
      </c>
      <c r="Z11" s="1" t="s">
        <v>284</v>
      </c>
      <c r="AA11" s="1" t="s">
        <v>390</v>
      </c>
      <c r="AB11" s="1" t="s">
        <v>220</v>
      </c>
      <c r="AC11" s="1" t="s">
        <v>391</v>
      </c>
      <c r="AD11" s="1" t="s">
        <v>392</v>
      </c>
      <c r="AE11" s="1" t="s">
        <v>357</v>
      </c>
      <c r="AF11" s="1" t="s">
        <v>393</v>
      </c>
      <c r="AG11" s="1" t="s">
        <v>394</v>
      </c>
      <c r="AL11" s="2" t="s">
        <v>395</v>
      </c>
      <c r="AM11" s="2" t="s">
        <v>396</v>
      </c>
      <c r="AN11" s="2" t="s">
        <v>322</v>
      </c>
      <c r="AO11" s="2" t="s">
        <v>324</v>
      </c>
      <c r="AP11" s="2" t="s">
        <v>324</v>
      </c>
      <c r="AQ11" s="2" t="s">
        <v>397</v>
      </c>
      <c r="AR11" s="1" t="s">
        <v>299</v>
      </c>
      <c r="AS11" s="1" t="s">
        <v>220</v>
      </c>
      <c r="AT11" s="1" t="s">
        <v>375</v>
      </c>
      <c r="AU11" s="1" t="s">
        <v>376</v>
      </c>
      <c r="AV11" s="1" t="s">
        <v>377</v>
      </c>
      <c r="AW11" s="1" t="s">
        <v>208</v>
      </c>
      <c r="AX11" s="1" t="s">
        <v>378</v>
      </c>
      <c r="AY11" s="1" t="s">
        <v>379</v>
      </c>
      <c r="AZ11" s="1" t="s">
        <v>380</v>
      </c>
      <c r="BA11" s="2"/>
      <c r="BB11" s="13" t="s">
        <v>395</v>
      </c>
      <c r="BC11" s="13" t="s">
        <v>339</v>
      </c>
      <c r="BD11" s="15" t="s">
        <v>315</v>
      </c>
      <c r="BE11" s="15" t="s">
        <v>314</v>
      </c>
      <c r="BF11" s="16" t="s">
        <v>372</v>
      </c>
      <c r="BG11" s="15" t="s">
        <v>367</v>
      </c>
      <c r="BH11" s="2"/>
      <c r="BK11" s="2"/>
    </row>
    <row r="12" spans="1:63" x14ac:dyDescent="0.5">
      <c r="G12" s="1" t="s">
        <v>398</v>
      </c>
      <c r="H12" s="1" t="s">
        <v>398</v>
      </c>
      <c r="I12" s="1" t="s">
        <v>398</v>
      </c>
      <c r="J12" s="1" t="s">
        <v>398</v>
      </c>
      <c r="L12" s="1" t="s">
        <v>399</v>
      </c>
      <c r="M12" s="1" t="s">
        <v>399</v>
      </c>
      <c r="N12" s="1" t="s">
        <v>348</v>
      </c>
      <c r="O12" s="1" t="s">
        <v>400</v>
      </c>
      <c r="P12" s="1" t="s">
        <v>401</v>
      </c>
      <c r="Q12" s="1" t="s">
        <v>315</v>
      </c>
      <c r="S12" s="1" t="s">
        <v>399</v>
      </c>
      <c r="T12" s="1" t="s">
        <v>399</v>
      </c>
      <c r="U12" s="1" t="s">
        <v>348</v>
      </c>
      <c r="V12" s="1" t="s">
        <v>400</v>
      </c>
      <c r="W12" s="1" t="s">
        <v>401</v>
      </c>
      <c r="X12" s="1" t="s">
        <v>315</v>
      </c>
      <c r="Y12" s="1" t="s">
        <v>316</v>
      </c>
      <c r="Z12" s="1" t="s">
        <v>402</v>
      </c>
      <c r="AA12" s="1" t="s">
        <v>403</v>
      </c>
      <c r="AB12" s="1" t="s">
        <v>404</v>
      </c>
      <c r="AC12" s="1" t="s">
        <v>405</v>
      </c>
      <c r="AD12" s="1" t="s">
        <v>368</v>
      </c>
      <c r="AE12" s="1" t="s">
        <v>406</v>
      </c>
      <c r="AF12" s="1" t="s">
        <v>407</v>
      </c>
      <c r="AG12" s="1" t="s">
        <v>408</v>
      </c>
      <c r="AL12" s="2" t="s">
        <v>409</v>
      </c>
      <c r="AM12" s="2" t="s">
        <v>410</v>
      </c>
      <c r="AN12" s="2" t="s">
        <v>213</v>
      </c>
      <c r="AO12" s="2" t="s">
        <v>411</v>
      </c>
      <c r="AP12" s="2" t="s">
        <v>412</v>
      </c>
      <c r="AQ12" s="2" t="s">
        <v>413</v>
      </c>
      <c r="AR12" s="1" t="s">
        <v>204</v>
      </c>
      <c r="AS12" s="1" t="s">
        <v>284</v>
      </c>
      <c r="AT12" s="1" t="s">
        <v>390</v>
      </c>
      <c r="AU12" s="1" t="s">
        <v>220</v>
      </c>
      <c r="AV12" s="1" t="s">
        <v>391</v>
      </c>
      <c r="AW12" s="1" t="s">
        <v>392</v>
      </c>
      <c r="AX12" s="1" t="s">
        <v>357</v>
      </c>
      <c r="AY12" s="1" t="s">
        <v>393</v>
      </c>
      <c r="AZ12" s="1" t="s">
        <v>394</v>
      </c>
      <c r="BA12" s="2"/>
      <c r="BB12" s="14" t="s">
        <v>409</v>
      </c>
      <c r="BC12" s="15" t="s">
        <v>345</v>
      </c>
      <c r="BD12" s="16" t="s">
        <v>79</v>
      </c>
      <c r="BE12" s="16" t="s">
        <v>330</v>
      </c>
      <c r="BF12" s="15" t="s">
        <v>384</v>
      </c>
      <c r="BG12" s="16" t="s">
        <v>366</v>
      </c>
      <c r="BH12" s="2"/>
      <c r="BK12" s="2"/>
    </row>
    <row r="13" spans="1:63" x14ac:dyDescent="0.5">
      <c r="G13" s="1" t="s">
        <v>414</v>
      </c>
      <c r="H13" s="1" t="s">
        <v>414</v>
      </c>
      <c r="I13" s="1" t="s">
        <v>414</v>
      </c>
      <c r="J13" s="1" t="s">
        <v>415</v>
      </c>
      <c r="L13" s="1" t="s">
        <v>409</v>
      </c>
      <c r="M13" s="1" t="s">
        <v>416</v>
      </c>
      <c r="N13" s="1" t="s">
        <v>417</v>
      </c>
      <c r="O13" s="1" t="s">
        <v>387</v>
      </c>
      <c r="P13" s="1" t="s">
        <v>418</v>
      </c>
      <c r="Q13" s="1" t="s">
        <v>419</v>
      </c>
      <c r="S13" s="1" t="s">
        <v>409</v>
      </c>
      <c r="T13" s="1" t="s">
        <v>416</v>
      </c>
      <c r="U13" s="1" t="s">
        <v>417</v>
      </c>
      <c r="V13" s="1" t="s">
        <v>387</v>
      </c>
      <c r="W13" s="1" t="s">
        <v>418</v>
      </c>
      <c r="X13" s="1" t="s">
        <v>419</v>
      </c>
      <c r="Y13" s="1" t="s">
        <v>420</v>
      </c>
      <c r="Z13" s="1" t="s">
        <v>421</v>
      </c>
      <c r="AA13" s="1" t="s">
        <v>91</v>
      </c>
      <c r="AB13" s="1" t="s">
        <v>422</v>
      </c>
      <c r="AC13" s="1" t="s">
        <v>309</v>
      </c>
      <c r="AD13" s="1" t="s">
        <v>423</v>
      </c>
      <c r="AE13" s="1" t="s">
        <v>424</v>
      </c>
      <c r="AF13" s="1" t="s">
        <v>212</v>
      </c>
      <c r="AG13" s="1" t="s">
        <v>423</v>
      </c>
      <c r="AL13" s="2" t="s">
        <v>425</v>
      </c>
      <c r="AM13" s="2" t="s">
        <v>426</v>
      </c>
      <c r="AN13" s="2" t="s">
        <v>319</v>
      </c>
      <c r="AO13" s="2" t="s">
        <v>427</v>
      </c>
      <c r="AP13" s="2" t="s">
        <v>330</v>
      </c>
      <c r="AQ13" s="2" t="s">
        <v>379</v>
      </c>
      <c r="AR13" s="1" t="s">
        <v>316</v>
      </c>
      <c r="AS13" s="1" t="s">
        <v>402</v>
      </c>
      <c r="AT13" s="1" t="s">
        <v>403</v>
      </c>
      <c r="AU13" s="1" t="s">
        <v>404</v>
      </c>
      <c r="AV13" s="1" t="s">
        <v>405</v>
      </c>
      <c r="AW13" s="1" t="s">
        <v>368</v>
      </c>
      <c r="AX13" s="1" t="s">
        <v>406</v>
      </c>
      <c r="AY13" s="1" t="s">
        <v>407</v>
      </c>
      <c r="AZ13" s="1" t="s">
        <v>408</v>
      </c>
      <c r="BA13" s="2"/>
      <c r="BB13" s="13" t="s">
        <v>425</v>
      </c>
      <c r="BC13" s="16" t="s">
        <v>358</v>
      </c>
      <c r="BD13" s="16" t="s">
        <v>331</v>
      </c>
      <c r="BE13" s="15" t="s">
        <v>209</v>
      </c>
      <c r="BF13" s="16" t="s">
        <v>367</v>
      </c>
      <c r="BG13" s="15" t="s">
        <v>282</v>
      </c>
      <c r="BH13" s="2"/>
      <c r="BK13" s="2"/>
    </row>
    <row r="14" spans="1:63" x14ac:dyDescent="0.5">
      <c r="G14" s="1" t="s">
        <v>428</v>
      </c>
      <c r="H14" s="1" t="s">
        <v>428</v>
      </c>
      <c r="I14" s="1" t="s">
        <v>428</v>
      </c>
      <c r="J14" s="1" t="s">
        <v>428</v>
      </c>
      <c r="L14" s="1" t="s">
        <v>429</v>
      </c>
      <c r="M14" s="1" t="s">
        <v>348</v>
      </c>
      <c r="N14" s="1" t="s">
        <v>89</v>
      </c>
      <c r="O14" s="1" t="s">
        <v>430</v>
      </c>
      <c r="P14" s="1" t="s">
        <v>369</v>
      </c>
      <c r="Q14" s="1" t="s">
        <v>431</v>
      </c>
      <c r="S14" s="1" t="s">
        <v>429</v>
      </c>
      <c r="T14" s="1" t="s">
        <v>348</v>
      </c>
      <c r="U14" s="1" t="s">
        <v>89</v>
      </c>
      <c r="V14" s="1" t="s">
        <v>430</v>
      </c>
      <c r="W14" s="1" t="s">
        <v>369</v>
      </c>
      <c r="X14" s="1" t="s">
        <v>431</v>
      </c>
      <c r="Y14" s="1" t="s">
        <v>432</v>
      </c>
      <c r="Z14" s="1" t="s">
        <v>429</v>
      </c>
      <c r="AA14" s="1" t="s">
        <v>433</v>
      </c>
      <c r="AB14" s="1" t="s">
        <v>434</v>
      </c>
      <c r="AC14" s="1" t="s">
        <v>435</v>
      </c>
      <c r="AD14" s="1" t="s">
        <v>436</v>
      </c>
      <c r="AE14" s="1" t="s">
        <v>437</v>
      </c>
      <c r="AF14" s="1" t="s">
        <v>388</v>
      </c>
      <c r="AG14" s="1" t="s">
        <v>436</v>
      </c>
      <c r="AL14" s="2" t="s">
        <v>438</v>
      </c>
      <c r="AM14" s="2" t="s">
        <v>439</v>
      </c>
      <c r="AN14" s="2" t="s">
        <v>409</v>
      </c>
      <c r="AO14" s="2" t="s">
        <v>440</v>
      </c>
      <c r="AP14" s="2" t="s">
        <v>359</v>
      </c>
      <c r="AQ14" s="2" t="s">
        <v>441</v>
      </c>
      <c r="AR14" s="1" t="s">
        <v>420</v>
      </c>
      <c r="AS14" s="1" t="s">
        <v>421</v>
      </c>
      <c r="AT14" s="1" t="s">
        <v>91</v>
      </c>
      <c r="AU14" s="1" t="s">
        <v>422</v>
      </c>
      <c r="AV14" s="1" t="s">
        <v>309</v>
      </c>
      <c r="AW14" s="1" t="s">
        <v>423</v>
      </c>
      <c r="AX14" s="1" t="s">
        <v>424</v>
      </c>
      <c r="AY14" s="1" t="s">
        <v>212</v>
      </c>
      <c r="AZ14" s="1" t="s">
        <v>423</v>
      </c>
      <c r="BA14" s="2"/>
      <c r="BB14" s="14" t="s">
        <v>438</v>
      </c>
      <c r="BC14" s="15" t="s">
        <v>374</v>
      </c>
      <c r="BD14" s="14" t="s">
        <v>383</v>
      </c>
      <c r="BE14" s="13" t="s">
        <v>369</v>
      </c>
      <c r="BF14" s="16" t="s">
        <v>341</v>
      </c>
      <c r="BG14" s="15" t="s">
        <v>442</v>
      </c>
      <c r="BH14" s="2"/>
      <c r="BK14" s="2"/>
    </row>
    <row r="15" spans="1:63" x14ac:dyDescent="0.5">
      <c r="G15" s="1" t="s">
        <v>443</v>
      </c>
      <c r="H15" s="1" t="s">
        <v>443</v>
      </c>
      <c r="I15" s="1" t="s">
        <v>443</v>
      </c>
      <c r="J15" s="1" t="s">
        <v>443</v>
      </c>
      <c r="L15" s="1" t="s">
        <v>425</v>
      </c>
      <c r="M15" s="1" t="s">
        <v>368</v>
      </c>
      <c r="N15" s="1" t="s">
        <v>319</v>
      </c>
      <c r="O15" s="1" t="s">
        <v>213</v>
      </c>
      <c r="P15" s="1" t="s">
        <v>359</v>
      </c>
      <c r="Q15" s="1" t="s">
        <v>79</v>
      </c>
      <c r="S15" s="1" t="s">
        <v>425</v>
      </c>
      <c r="T15" s="1" t="s">
        <v>368</v>
      </c>
      <c r="U15" s="1" t="s">
        <v>319</v>
      </c>
      <c r="V15" s="1" t="s">
        <v>213</v>
      </c>
      <c r="W15" s="1" t="s">
        <v>359</v>
      </c>
      <c r="X15" s="1" t="s">
        <v>79</v>
      </c>
      <c r="Y15" s="1" t="s">
        <v>280</v>
      </c>
      <c r="Z15" s="1" t="s">
        <v>209</v>
      </c>
      <c r="AA15" s="1" t="s">
        <v>444</v>
      </c>
      <c r="AB15" s="1" t="s">
        <v>209</v>
      </c>
      <c r="AC15" s="1" t="s">
        <v>215</v>
      </c>
      <c r="AD15" s="1" t="s">
        <v>445</v>
      </c>
      <c r="AE15" s="1" t="s">
        <v>372</v>
      </c>
      <c r="AF15" s="1" t="s">
        <v>360</v>
      </c>
      <c r="AG15" s="1" t="s">
        <v>417</v>
      </c>
      <c r="AL15" s="2" t="s">
        <v>446</v>
      </c>
      <c r="AM15" s="2" t="s">
        <v>447</v>
      </c>
      <c r="AN15" s="2" t="s">
        <v>405</v>
      </c>
      <c r="AO15" s="2" t="s">
        <v>448</v>
      </c>
      <c r="AP15" s="2" t="s">
        <v>449</v>
      </c>
      <c r="AQ15" s="2" t="s">
        <v>450</v>
      </c>
      <c r="AR15" s="1" t="s">
        <v>432</v>
      </c>
      <c r="AS15" s="1" t="s">
        <v>429</v>
      </c>
      <c r="AT15" s="1" t="s">
        <v>433</v>
      </c>
      <c r="AU15" s="1" t="s">
        <v>434</v>
      </c>
      <c r="AV15" s="1" t="s">
        <v>435</v>
      </c>
      <c r="AW15" s="1" t="s">
        <v>436</v>
      </c>
      <c r="AX15" s="1" t="s">
        <v>437</v>
      </c>
      <c r="AY15" s="1" t="s">
        <v>388</v>
      </c>
      <c r="AZ15" s="1" t="s">
        <v>436</v>
      </c>
      <c r="BA15" s="2"/>
      <c r="BB15" s="13" t="s">
        <v>446</v>
      </c>
      <c r="BC15" s="16" t="s">
        <v>387</v>
      </c>
      <c r="BD15" s="15" t="s">
        <v>314</v>
      </c>
      <c r="BE15" s="16" t="s">
        <v>359</v>
      </c>
      <c r="BF15" s="16" t="s">
        <v>366</v>
      </c>
      <c r="BG15" s="15" t="s">
        <v>437</v>
      </c>
      <c r="BH15" s="2"/>
      <c r="BK15" s="2"/>
    </row>
    <row r="16" spans="1:63" x14ac:dyDescent="0.5">
      <c r="G16" s="1" t="s">
        <v>451</v>
      </c>
      <c r="H16" s="1" t="s">
        <v>451</v>
      </c>
      <c r="I16" s="1" t="s">
        <v>451</v>
      </c>
      <c r="J16" s="1" t="s">
        <v>451</v>
      </c>
      <c r="L16" s="1" t="s">
        <v>91</v>
      </c>
      <c r="M16" s="1" t="s">
        <v>89</v>
      </c>
      <c r="N16" s="1" t="s">
        <v>452</v>
      </c>
      <c r="O16" s="1" t="s">
        <v>453</v>
      </c>
      <c r="P16" s="1" t="s">
        <v>454</v>
      </c>
      <c r="Q16" s="1" t="s">
        <v>401</v>
      </c>
      <c r="S16" s="1" t="s">
        <v>91</v>
      </c>
      <c r="T16" s="1" t="s">
        <v>89</v>
      </c>
      <c r="U16" s="1" t="s">
        <v>452</v>
      </c>
      <c r="V16" s="1" t="s">
        <v>453</v>
      </c>
      <c r="W16" s="1" t="s">
        <v>454</v>
      </c>
      <c r="X16" s="1" t="s">
        <v>401</v>
      </c>
      <c r="Y16" s="1" t="s">
        <v>455</v>
      </c>
      <c r="Z16" s="1" t="s">
        <v>214</v>
      </c>
      <c r="AA16" s="1" t="s">
        <v>456</v>
      </c>
      <c r="AB16" s="1" t="s">
        <v>279</v>
      </c>
      <c r="AC16" s="1" t="s">
        <v>50</v>
      </c>
      <c r="AD16" s="1" t="s">
        <v>457</v>
      </c>
      <c r="AE16" s="1" t="s">
        <v>384</v>
      </c>
      <c r="AF16" s="1" t="s">
        <v>458</v>
      </c>
      <c r="AG16" s="1" t="s">
        <v>448</v>
      </c>
      <c r="AL16" s="2" t="s">
        <v>363</v>
      </c>
      <c r="AM16" s="2" t="s">
        <v>459</v>
      </c>
      <c r="AN16" s="2" t="s">
        <v>429</v>
      </c>
      <c r="AO16" s="2" t="s">
        <v>460</v>
      </c>
      <c r="AP16" s="2" t="s">
        <v>454</v>
      </c>
      <c r="AQ16" s="2" t="s">
        <v>461</v>
      </c>
      <c r="AR16" s="1" t="s">
        <v>280</v>
      </c>
      <c r="AS16" s="1" t="s">
        <v>209</v>
      </c>
      <c r="AT16" s="1" t="s">
        <v>444</v>
      </c>
      <c r="AU16" s="1" t="s">
        <v>209</v>
      </c>
      <c r="AV16" s="1" t="s">
        <v>215</v>
      </c>
      <c r="AW16" s="1" t="s">
        <v>445</v>
      </c>
      <c r="AX16" s="1" t="s">
        <v>372</v>
      </c>
      <c r="AY16" s="1" t="s">
        <v>360</v>
      </c>
      <c r="AZ16" s="1" t="s">
        <v>417</v>
      </c>
      <c r="BA16" s="2"/>
      <c r="BB16" s="14" t="s">
        <v>363</v>
      </c>
      <c r="BC16" s="14" t="s">
        <v>322</v>
      </c>
      <c r="BD16" s="15" t="s">
        <v>324</v>
      </c>
      <c r="BE16" s="13" t="s">
        <v>322</v>
      </c>
      <c r="BF16" s="16" t="s">
        <v>282</v>
      </c>
      <c r="BG16" s="15" t="s">
        <v>462</v>
      </c>
      <c r="BH16" s="2"/>
      <c r="BK16" s="2"/>
    </row>
    <row r="17" spans="7:63" x14ac:dyDescent="0.5">
      <c r="G17" s="1" t="s">
        <v>463</v>
      </c>
      <c r="H17" s="1" t="s">
        <v>463</v>
      </c>
      <c r="I17" s="1" t="s">
        <v>463</v>
      </c>
      <c r="J17" s="1" t="s">
        <v>463</v>
      </c>
      <c r="L17" s="1" t="s">
        <v>464</v>
      </c>
      <c r="M17" s="1" t="s">
        <v>91</v>
      </c>
      <c r="N17" s="1" t="s">
        <v>409</v>
      </c>
      <c r="O17" s="1" t="s">
        <v>465</v>
      </c>
      <c r="P17" s="1" t="s">
        <v>466</v>
      </c>
      <c r="Q17" s="1" t="s">
        <v>418</v>
      </c>
      <c r="S17" s="1" t="s">
        <v>464</v>
      </c>
      <c r="T17" s="1" t="s">
        <v>91</v>
      </c>
      <c r="U17" s="1" t="s">
        <v>409</v>
      </c>
      <c r="V17" s="1" t="s">
        <v>465</v>
      </c>
      <c r="W17" s="1" t="s">
        <v>466</v>
      </c>
      <c r="X17" s="1" t="s">
        <v>418</v>
      </c>
      <c r="Y17" s="1" t="s">
        <v>219</v>
      </c>
      <c r="Z17" s="1" t="s">
        <v>365</v>
      </c>
      <c r="AA17" s="1" t="s">
        <v>467</v>
      </c>
      <c r="AB17" s="1" t="s">
        <v>468</v>
      </c>
      <c r="AC17" s="1" t="s">
        <v>366</v>
      </c>
      <c r="AD17" s="1" t="s">
        <v>469</v>
      </c>
      <c r="AE17" s="1" t="s">
        <v>470</v>
      </c>
      <c r="AF17" s="1" t="s">
        <v>471</v>
      </c>
      <c r="AG17" s="1" t="s">
        <v>331</v>
      </c>
      <c r="AL17" s="2" t="s">
        <v>472</v>
      </c>
      <c r="AM17" s="2" t="s">
        <v>473</v>
      </c>
      <c r="AN17" s="2" t="s">
        <v>474</v>
      </c>
      <c r="AO17" s="2" t="s">
        <v>409</v>
      </c>
      <c r="AP17" s="2" t="s">
        <v>358</v>
      </c>
      <c r="AQ17" s="2" t="s">
        <v>475</v>
      </c>
      <c r="AR17" s="1" t="s">
        <v>455</v>
      </c>
      <c r="AS17" s="1" t="s">
        <v>214</v>
      </c>
      <c r="AT17" s="1" t="s">
        <v>456</v>
      </c>
      <c r="AU17" s="1" t="s">
        <v>279</v>
      </c>
      <c r="AV17" s="1" t="s">
        <v>50</v>
      </c>
      <c r="AW17" s="1" t="s">
        <v>457</v>
      </c>
      <c r="AX17" s="1" t="s">
        <v>384</v>
      </c>
      <c r="AY17" s="1" t="s">
        <v>458</v>
      </c>
      <c r="AZ17" s="1" t="s">
        <v>448</v>
      </c>
      <c r="BA17" s="2"/>
      <c r="BB17" s="13" t="s">
        <v>472</v>
      </c>
      <c r="BC17" s="15" t="s">
        <v>399</v>
      </c>
      <c r="BD17" s="16" t="s">
        <v>330</v>
      </c>
      <c r="BE17" s="14" t="s">
        <v>213</v>
      </c>
      <c r="BF17" s="16" t="s">
        <v>316</v>
      </c>
      <c r="BG17" s="15" t="s">
        <v>331</v>
      </c>
      <c r="BH17" s="2"/>
      <c r="BK17" s="2"/>
    </row>
    <row r="18" spans="7:63" x14ac:dyDescent="0.5">
      <c r="L18" s="1" t="s">
        <v>476</v>
      </c>
      <c r="M18" s="1" t="s">
        <v>476</v>
      </c>
      <c r="N18" s="1" t="s">
        <v>477</v>
      </c>
      <c r="O18" s="1" t="s">
        <v>440</v>
      </c>
      <c r="P18" s="1" t="s">
        <v>430</v>
      </c>
      <c r="Q18" s="1" t="s">
        <v>478</v>
      </c>
      <c r="S18" s="1" t="s">
        <v>476</v>
      </c>
      <c r="T18" s="1" t="s">
        <v>476</v>
      </c>
      <c r="U18" s="1" t="s">
        <v>477</v>
      </c>
      <c r="V18" s="1" t="s">
        <v>440</v>
      </c>
      <c r="W18" s="1" t="s">
        <v>430</v>
      </c>
      <c r="X18" s="1" t="s">
        <v>478</v>
      </c>
      <c r="Y18" s="1" t="s">
        <v>479</v>
      </c>
      <c r="Z18" s="1" t="s">
        <v>377</v>
      </c>
      <c r="AA18" s="1" t="s">
        <v>365</v>
      </c>
      <c r="AB18" s="1" t="s">
        <v>330</v>
      </c>
      <c r="AC18" s="1" t="s">
        <v>424</v>
      </c>
      <c r="AD18" s="1" t="s">
        <v>344</v>
      </c>
      <c r="AE18" s="1" t="s">
        <v>480</v>
      </c>
      <c r="AF18" s="1" t="s">
        <v>94</v>
      </c>
      <c r="AG18" s="1" t="s">
        <v>481</v>
      </c>
      <c r="AL18" s="2" t="s">
        <v>482</v>
      </c>
      <c r="AM18" s="2" t="s">
        <v>87</v>
      </c>
      <c r="AN18" s="2" t="s">
        <v>483</v>
      </c>
      <c r="AO18" s="2" t="s">
        <v>390</v>
      </c>
      <c r="AP18" s="2" t="s">
        <v>387</v>
      </c>
      <c r="AQ18" s="2" t="s">
        <v>484</v>
      </c>
      <c r="AR18" s="1" t="s">
        <v>219</v>
      </c>
      <c r="AS18" s="1" t="s">
        <v>365</v>
      </c>
      <c r="AT18" s="1" t="s">
        <v>467</v>
      </c>
      <c r="AU18" s="1" t="s">
        <v>468</v>
      </c>
      <c r="AV18" s="1" t="s">
        <v>366</v>
      </c>
      <c r="AW18" s="1" t="s">
        <v>469</v>
      </c>
      <c r="AX18" s="1" t="s">
        <v>470</v>
      </c>
      <c r="AY18" s="1" t="s">
        <v>471</v>
      </c>
      <c r="AZ18" s="1" t="s">
        <v>331</v>
      </c>
      <c r="BA18" s="2"/>
      <c r="BB18" s="14" t="s">
        <v>482</v>
      </c>
      <c r="BC18" s="16" t="s">
        <v>416</v>
      </c>
      <c r="BD18" s="15" t="s">
        <v>209</v>
      </c>
      <c r="BE18" s="13" t="s">
        <v>388</v>
      </c>
      <c r="BF18" s="16" t="s">
        <v>442</v>
      </c>
      <c r="BG18" s="15" t="s">
        <v>79</v>
      </c>
      <c r="BH18" s="2"/>
      <c r="BK18" s="2"/>
    </row>
    <row r="19" spans="7:63" x14ac:dyDescent="0.5">
      <c r="G19" s="1" t="s">
        <v>77</v>
      </c>
      <c r="H19" s="1" t="s">
        <v>81</v>
      </c>
      <c r="I19" s="1" t="s">
        <v>85</v>
      </c>
      <c r="L19" s="1" t="s">
        <v>476</v>
      </c>
      <c r="M19" s="1" t="s">
        <v>410</v>
      </c>
      <c r="N19" s="1" t="s">
        <v>405</v>
      </c>
      <c r="O19" s="1" t="s">
        <v>458</v>
      </c>
      <c r="P19" s="1" t="s">
        <v>485</v>
      </c>
      <c r="Q19" s="1" t="s">
        <v>486</v>
      </c>
      <c r="S19" s="1" t="s">
        <v>476</v>
      </c>
      <c r="T19" s="1" t="s">
        <v>410</v>
      </c>
      <c r="U19" s="1" t="s">
        <v>405</v>
      </c>
      <c r="V19" s="1" t="s">
        <v>458</v>
      </c>
      <c r="W19" s="1" t="s">
        <v>485</v>
      </c>
      <c r="X19" s="1" t="s">
        <v>486</v>
      </c>
      <c r="Y19" s="1" t="s">
        <v>487</v>
      </c>
      <c r="Z19" s="1" t="s">
        <v>476</v>
      </c>
      <c r="AA19" s="1" t="s">
        <v>488</v>
      </c>
      <c r="AB19" s="1" t="s">
        <v>489</v>
      </c>
      <c r="AC19" s="1" t="s">
        <v>406</v>
      </c>
      <c r="AD19" s="1" t="s">
        <v>490</v>
      </c>
      <c r="AE19" s="1" t="s">
        <v>491</v>
      </c>
      <c r="AF19" s="1" t="s">
        <v>492</v>
      </c>
      <c r="AG19" s="1" t="s">
        <v>223</v>
      </c>
      <c r="AL19" s="2" t="s">
        <v>493</v>
      </c>
      <c r="AM19" s="2" t="s">
        <v>482</v>
      </c>
      <c r="AN19" s="2" t="s">
        <v>94</v>
      </c>
      <c r="AO19" s="2" t="s">
        <v>494</v>
      </c>
      <c r="AP19" s="2" t="s">
        <v>466</v>
      </c>
      <c r="AQ19" s="2" t="s">
        <v>495</v>
      </c>
      <c r="AR19" s="1" t="s">
        <v>479</v>
      </c>
      <c r="AS19" s="1" t="s">
        <v>377</v>
      </c>
      <c r="AT19" s="1" t="s">
        <v>365</v>
      </c>
      <c r="AU19" s="1" t="s">
        <v>330</v>
      </c>
      <c r="AV19" s="1" t="s">
        <v>424</v>
      </c>
      <c r="AW19" s="1" t="s">
        <v>344</v>
      </c>
      <c r="AX19" s="1" t="s">
        <v>480</v>
      </c>
      <c r="AY19" s="1" t="s">
        <v>94</v>
      </c>
      <c r="AZ19" s="1" t="s">
        <v>481</v>
      </c>
      <c r="BA19" s="2"/>
      <c r="BB19" s="13" t="s">
        <v>493</v>
      </c>
      <c r="BC19" s="15" t="s">
        <v>348</v>
      </c>
      <c r="BD19" s="16" t="s">
        <v>360</v>
      </c>
      <c r="BE19" s="13" t="s">
        <v>348</v>
      </c>
      <c r="BF19" s="15" t="s">
        <v>437</v>
      </c>
      <c r="BG19" s="15" t="s">
        <v>353</v>
      </c>
      <c r="BH19" s="2"/>
      <c r="BK19" s="2"/>
    </row>
    <row r="20" spans="7:63" x14ac:dyDescent="0.5">
      <c r="G20" s="1" t="s">
        <v>292</v>
      </c>
      <c r="H20" s="1" t="s">
        <v>292</v>
      </c>
      <c r="I20" s="1" t="s">
        <v>292</v>
      </c>
      <c r="L20" s="1" t="s">
        <v>496</v>
      </c>
      <c r="M20" s="1" t="s">
        <v>497</v>
      </c>
      <c r="N20" s="1" t="s">
        <v>396</v>
      </c>
      <c r="O20" s="1" t="s">
        <v>417</v>
      </c>
      <c r="P20" s="1" t="s">
        <v>213</v>
      </c>
      <c r="Q20" s="1" t="s">
        <v>498</v>
      </c>
      <c r="S20" s="1" t="s">
        <v>496</v>
      </c>
      <c r="T20" s="1" t="s">
        <v>497</v>
      </c>
      <c r="U20" s="1" t="s">
        <v>396</v>
      </c>
      <c r="V20" s="1" t="s">
        <v>417</v>
      </c>
      <c r="W20" s="1" t="s">
        <v>213</v>
      </c>
      <c r="X20" s="1" t="s">
        <v>498</v>
      </c>
      <c r="Y20" s="1" t="s">
        <v>499</v>
      </c>
      <c r="Z20" s="1" t="s">
        <v>500</v>
      </c>
      <c r="AA20" s="1" t="s">
        <v>501</v>
      </c>
      <c r="AB20" s="1" t="s">
        <v>475</v>
      </c>
      <c r="AC20" s="1" t="s">
        <v>502</v>
      </c>
      <c r="AD20" s="1" t="s">
        <v>503</v>
      </c>
      <c r="AE20" s="1" t="s">
        <v>462</v>
      </c>
      <c r="AF20" s="1" t="s">
        <v>217</v>
      </c>
      <c r="AG20" s="1" t="s">
        <v>462</v>
      </c>
      <c r="AL20" s="2" t="s">
        <v>504</v>
      </c>
      <c r="AM20" s="2" t="s">
        <v>504</v>
      </c>
      <c r="AN20" s="2" t="s">
        <v>87</v>
      </c>
      <c r="AO20" s="2" t="s">
        <v>91</v>
      </c>
      <c r="AP20" s="2" t="s">
        <v>430</v>
      </c>
      <c r="AQ20" s="2" t="s">
        <v>230</v>
      </c>
      <c r="AR20" s="1" t="s">
        <v>487</v>
      </c>
      <c r="AS20" s="1" t="s">
        <v>476</v>
      </c>
      <c r="AT20" s="1" t="s">
        <v>488</v>
      </c>
      <c r="AU20" s="1" t="s">
        <v>489</v>
      </c>
      <c r="AV20" s="1" t="s">
        <v>406</v>
      </c>
      <c r="AW20" s="1" t="s">
        <v>490</v>
      </c>
      <c r="AX20" s="1" t="s">
        <v>491</v>
      </c>
      <c r="AY20" s="1" t="s">
        <v>492</v>
      </c>
      <c r="AZ20" s="1" t="s">
        <v>223</v>
      </c>
      <c r="BA20" s="2"/>
      <c r="BB20" s="14" t="s">
        <v>504</v>
      </c>
      <c r="BC20" s="13" t="s">
        <v>368</v>
      </c>
      <c r="BD20" s="16" t="s">
        <v>359</v>
      </c>
      <c r="BE20" s="13" t="s">
        <v>417</v>
      </c>
      <c r="BF20" s="15" t="s">
        <v>462</v>
      </c>
      <c r="BG20" s="15" t="s">
        <v>378</v>
      </c>
      <c r="BH20" s="2"/>
      <c r="BK20" s="2"/>
    </row>
    <row r="21" spans="7:63" x14ac:dyDescent="0.5">
      <c r="G21" s="1" t="s">
        <v>93</v>
      </c>
      <c r="H21" s="1" t="s">
        <v>93</v>
      </c>
      <c r="I21" s="1" t="s">
        <v>93</v>
      </c>
      <c r="L21" s="1" t="s">
        <v>220</v>
      </c>
      <c r="M21" s="1" t="s">
        <v>426</v>
      </c>
      <c r="N21" s="1" t="s">
        <v>406</v>
      </c>
      <c r="O21" s="1" t="s">
        <v>448</v>
      </c>
      <c r="P21" s="1" t="s">
        <v>399</v>
      </c>
      <c r="Q21" s="1" t="s">
        <v>505</v>
      </c>
      <c r="S21" s="1" t="s">
        <v>220</v>
      </c>
      <c r="T21" s="1" t="s">
        <v>426</v>
      </c>
      <c r="U21" s="1" t="s">
        <v>406</v>
      </c>
      <c r="V21" s="1" t="s">
        <v>448</v>
      </c>
      <c r="W21" s="1" t="s">
        <v>399</v>
      </c>
      <c r="X21" s="1" t="s">
        <v>505</v>
      </c>
      <c r="Y21" s="1" t="s">
        <v>359</v>
      </c>
      <c r="Z21" s="1" t="s">
        <v>506</v>
      </c>
      <c r="AA21" s="1" t="s">
        <v>507</v>
      </c>
      <c r="AB21" s="1" t="s">
        <v>508</v>
      </c>
      <c r="AC21" s="1" t="s">
        <v>509</v>
      </c>
      <c r="AD21" s="1" t="s">
        <v>510</v>
      </c>
      <c r="AE21" s="1" t="s">
        <v>442</v>
      </c>
      <c r="AF21" s="1" t="s">
        <v>316</v>
      </c>
      <c r="AG21" s="1" t="s">
        <v>511</v>
      </c>
      <c r="AL21" s="2" t="s">
        <v>512</v>
      </c>
      <c r="AM21" s="2" t="s">
        <v>513</v>
      </c>
      <c r="AN21" s="2" t="s">
        <v>467</v>
      </c>
      <c r="AO21" s="2" t="s">
        <v>476</v>
      </c>
      <c r="AP21" s="2" t="s">
        <v>393</v>
      </c>
      <c r="AQ21" s="2" t="s">
        <v>514</v>
      </c>
      <c r="AR21" s="1" t="s">
        <v>499</v>
      </c>
      <c r="AS21" s="1" t="s">
        <v>500</v>
      </c>
      <c r="AT21" s="1" t="s">
        <v>501</v>
      </c>
      <c r="AU21" s="1" t="s">
        <v>475</v>
      </c>
      <c r="AV21" s="1" t="s">
        <v>502</v>
      </c>
      <c r="AW21" s="1" t="s">
        <v>503</v>
      </c>
      <c r="AX21" s="1" t="s">
        <v>462</v>
      </c>
      <c r="AY21" s="1" t="s">
        <v>217</v>
      </c>
      <c r="AZ21" s="1" t="s">
        <v>462</v>
      </c>
      <c r="BA21" s="2"/>
      <c r="BB21" s="13" t="s">
        <v>512</v>
      </c>
      <c r="BC21" s="15" t="s">
        <v>89</v>
      </c>
      <c r="BD21" s="15" t="s">
        <v>339</v>
      </c>
      <c r="BE21" s="13" t="s">
        <v>89</v>
      </c>
      <c r="BF21" s="16" t="s">
        <v>515</v>
      </c>
      <c r="BG21" s="15" t="s">
        <v>209</v>
      </c>
      <c r="BH21" s="2"/>
      <c r="BK21" s="2"/>
    </row>
    <row r="22" spans="7:63" x14ac:dyDescent="0.5">
      <c r="G22" s="1" t="s">
        <v>78</v>
      </c>
      <c r="H22" s="1" t="s">
        <v>78</v>
      </c>
      <c r="I22" s="1" t="s">
        <v>78</v>
      </c>
      <c r="L22" s="1" t="s">
        <v>94</v>
      </c>
      <c r="M22" s="1" t="s">
        <v>284</v>
      </c>
      <c r="N22" s="1" t="s">
        <v>516</v>
      </c>
      <c r="O22" s="1" t="s">
        <v>516</v>
      </c>
      <c r="P22" s="1" t="s">
        <v>517</v>
      </c>
      <c r="Q22" s="1" t="s">
        <v>518</v>
      </c>
      <c r="S22" s="1" t="s">
        <v>94</v>
      </c>
      <c r="T22" s="1" t="s">
        <v>284</v>
      </c>
      <c r="U22" s="1" t="s">
        <v>516</v>
      </c>
      <c r="V22" s="1" t="s">
        <v>516</v>
      </c>
      <c r="W22" s="1" t="s">
        <v>517</v>
      </c>
      <c r="X22" s="1" t="s">
        <v>518</v>
      </c>
      <c r="Y22" s="1" t="s">
        <v>519</v>
      </c>
      <c r="Z22" s="1" t="s">
        <v>426</v>
      </c>
      <c r="AA22" s="1" t="s">
        <v>460</v>
      </c>
      <c r="AB22" s="1" t="s">
        <v>403</v>
      </c>
      <c r="AC22" s="1" t="s">
        <v>520</v>
      </c>
      <c r="AD22" s="1" t="s">
        <v>227</v>
      </c>
      <c r="AE22" s="1" t="s">
        <v>521</v>
      </c>
      <c r="AF22" s="1" t="s">
        <v>502</v>
      </c>
      <c r="AG22" s="1" t="s">
        <v>522</v>
      </c>
      <c r="AL22" s="2" t="s">
        <v>523</v>
      </c>
      <c r="AM22" s="2" t="s">
        <v>524</v>
      </c>
      <c r="AN22" s="2" t="s">
        <v>420</v>
      </c>
      <c r="AO22" s="2" t="s">
        <v>459</v>
      </c>
      <c r="AP22" s="2" t="s">
        <v>322</v>
      </c>
      <c r="AR22" s="1" t="s">
        <v>359</v>
      </c>
      <c r="AS22" s="1" t="s">
        <v>506</v>
      </c>
      <c r="AT22" s="1" t="s">
        <v>507</v>
      </c>
      <c r="AU22" s="1" t="s">
        <v>508</v>
      </c>
      <c r="AV22" s="1" t="s">
        <v>509</v>
      </c>
      <c r="AW22" s="1" t="s">
        <v>510</v>
      </c>
      <c r="AX22" s="1" t="s">
        <v>442</v>
      </c>
      <c r="AY22" s="1" t="s">
        <v>316</v>
      </c>
      <c r="AZ22" s="1" t="s">
        <v>511</v>
      </c>
      <c r="BB22" s="13" t="s">
        <v>513</v>
      </c>
      <c r="BC22" s="15" t="s">
        <v>381</v>
      </c>
      <c r="BD22" s="16" t="s">
        <v>411</v>
      </c>
      <c r="BE22" s="13" t="s">
        <v>319</v>
      </c>
      <c r="BF22" s="16" t="s">
        <v>331</v>
      </c>
      <c r="BG22" s="15" t="s">
        <v>369</v>
      </c>
    </row>
    <row r="23" spans="7:63" x14ac:dyDescent="0.5">
      <c r="G23" s="1" t="s">
        <v>82</v>
      </c>
      <c r="H23" s="1" t="s">
        <v>82</v>
      </c>
      <c r="I23" s="1" t="s">
        <v>82</v>
      </c>
      <c r="L23" s="1" t="s">
        <v>447</v>
      </c>
      <c r="M23" s="1" t="s">
        <v>439</v>
      </c>
      <c r="N23" s="1" t="s">
        <v>516</v>
      </c>
      <c r="O23" s="1" t="s">
        <v>476</v>
      </c>
      <c r="P23" s="1" t="s">
        <v>214</v>
      </c>
      <c r="Q23" s="1" t="s">
        <v>358</v>
      </c>
      <c r="S23" s="1" t="s">
        <v>447</v>
      </c>
      <c r="T23" s="1" t="s">
        <v>439</v>
      </c>
      <c r="U23" s="1" t="s">
        <v>516</v>
      </c>
      <c r="V23" s="1" t="s">
        <v>476</v>
      </c>
      <c r="W23" s="1" t="s">
        <v>214</v>
      </c>
      <c r="X23" s="1" t="s">
        <v>358</v>
      </c>
      <c r="Y23" s="1" t="s">
        <v>220</v>
      </c>
      <c r="Z23" s="1" t="s">
        <v>525</v>
      </c>
      <c r="AA23" s="1" t="s">
        <v>526</v>
      </c>
      <c r="AB23" s="1" t="s">
        <v>375</v>
      </c>
      <c r="AC23" s="1" t="s">
        <v>527</v>
      </c>
      <c r="AD23" s="1" t="s">
        <v>455</v>
      </c>
      <c r="AE23" s="1" t="s">
        <v>409</v>
      </c>
      <c r="AF23" s="1" t="s">
        <v>400</v>
      </c>
      <c r="AG23" s="1" t="s">
        <v>528</v>
      </c>
      <c r="AL23" s="2" t="s">
        <v>469</v>
      </c>
      <c r="AM23" s="2" t="s">
        <v>502</v>
      </c>
      <c r="AN23" s="2" t="s">
        <v>224</v>
      </c>
      <c r="AO23" s="2" t="s">
        <v>529</v>
      </c>
      <c r="AP23" s="2" t="s">
        <v>530</v>
      </c>
      <c r="AR23" s="1" t="s">
        <v>519</v>
      </c>
      <c r="AS23" s="1" t="s">
        <v>426</v>
      </c>
      <c r="AT23" s="1" t="s">
        <v>460</v>
      </c>
      <c r="AU23" s="1" t="s">
        <v>403</v>
      </c>
      <c r="AV23" s="1" t="s">
        <v>520</v>
      </c>
      <c r="AW23" s="1" t="s">
        <v>227</v>
      </c>
      <c r="AX23" s="1" t="s">
        <v>521</v>
      </c>
      <c r="AY23" s="1" t="s">
        <v>502</v>
      </c>
      <c r="AZ23" s="1" t="s">
        <v>522</v>
      </c>
      <c r="BB23" s="14" t="s">
        <v>523</v>
      </c>
      <c r="BC23" s="15" t="s">
        <v>396</v>
      </c>
      <c r="BD23" s="16" t="s">
        <v>358</v>
      </c>
      <c r="BE23" s="15" t="s">
        <v>452</v>
      </c>
      <c r="BF23" s="15" t="s">
        <v>79</v>
      </c>
      <c r="BG23" s="15" t="s">
        <v>360</v>
      </c>
    </row>
    <row r="24" spans="7:63" x14ac:dyDescent="0.5">
      <c r="G24" s="1" t="s">
        <v>86</v>
      </c>
      <c r="H24" s="1" t="s">
        <v>86</v>
      </c>
      <c r="I24" s="1" t="s">
        <v>86</v>
      </c>
      <c r="L24" s="1" t="s">
        <v>446</v>
      </c>
      <c r="M24" s="1" t="s">
        <v>220</v>
      </c>
      <c r="N24" s="1" t="s">
        <v>215</v>
      </c>
      <c r="O24" s="1" t="s">
        <v>531</v>
      </c>
      <c r="P24" s="1" t="s">
        <v>89</v>
      </c>
      <c r="Q24" s="1" t="s">
        <v>400</v>
      </c>
      <c r="S24" s="1" t="s">
        <v>446</v>
      </c>
      <c r="T24" s="1" t="s">
        <v>220</v>
      </c>
      <c r="U24" s="1" t="s">
        <v>215</v>
      </c>
      <c r="V24" s="1" t="s">
        <v>531</v>
      </c>
      <c r="W24" s="1" t="s">
        <v>89</v>
      </c>
      <c r="X24" s="1" t="s">
        <v>400</v>
      </c>
      <c r="Y24" s="1" t="s">
        <v>362</v>
      </c>
      <c r="Z24" s="1" t="s">
        <v>278</v>
      </c>
      <c r="AA24" s="1" t="s">
        <v>532</v>
      </c>
      <c r="AB24" s="1" t="s">
        <v>500</v>
      </c>
      <c r="AC24" s="1" t="s">
        <v>462</v>
      </c>
      <c r="AD24" s="1" t="s">
        <v>533</v>
      </c>
      <c r="AE24" s="1" t="s">
        <v>533</v>
      </c>
      <c r="AF24" s="1" t="s">
        <v>534</v>
      </c>
      <c r="AG24" s="1" t="s">
        <v>434</v>
      </c>
      <c r="AL24" s="2" t="s">
        <v>492</v>
      </c>
      <c r="AM24" s="2" t="s">
        <v>534</v>
      </c>
      <c r="AN24" s="2" t="s">
        <v>535</v>
      </c>
      <c r="AO24" s="2" t="s">
        <v>536</v>
      </c>
      <c r="AP24" s="2" t="s">
        <v>89</v>
      </c>
      <c r="AR24" s="1" t="s">
        <v>220</v>
      </c>
      <c r="AS24" s="1" t="s">
        <v>525</v>
      </c>
      <c r="AT24" s="1" t="s">
        <v>526</v>
      </c>
      <c r="AU24" s="1" t="s">
        <v>375</v>
      </c>
      <c r="AV24" s="1" t="s">
        <v>527</v>
      </c>
      <c r="AW24" s="1" t="s">
        <v>455</v>
      </c>
      <c r="AX24" s="1" t="s">
        <v>409</v>
      </c>
      <c r="AY24" s="1" t="s">
        <v>400</v>
      </c>
      <c r="AZ24" s="1" t="s">
        <v>528</v>
      </c>
      <c r="BB24" s="13" t="s">
        <v>469</v>
      </c>
      <c r="BC24" s="15" t="s">
        <v>91</v>
      </c>
      <c r="BD24" s="15" t="s">
        <v>400</v>
      </c>
      <c r="BE24" s="14" t="s">
        <v>409</v>
      </c>
      <c r="BF24" s="15" t="s">
        <v>436</v>
      </c>
      <c r="BG24" s="15" t="s">
        <v>537</v>
      </c>
    </row>
    <row r="25" spans="7:63" x14ac:dyDescent="0.5">
      <c r="G25" s="1" t="s">
        <v>293</v>
      </c>
      <c r="H25" s="1" t="s">
        <v>293</v>
      </c>
      <c r="I25" s="1" t="s">
        <v>293</v>
      </c>
      <c r="L25" s="1" t="s">
        <v>538</v>
      </c>
      <c r="M25" s="1" t="s">
        <v>94</v>
      </c>
      <c r="N25" s="1" t="s">
        <v>531</v>
      </c>
      <c r="O25" s="1" t="s">
        <v>529</v>
      </c>
      <c r="P25" s="1" t="s">
        <v>528</v>
      </c>
      <c r="Q25" s="1" t="s">
        <v>539</v>
      </c>
      <c r="S25" s="1" t="s">
        <v>538</v>
      </c>
      <c r="T25" s="1" t="s">
        <v>94</v>
      </c>
      <c r="U25" s="1" t="s">
        <v>531</v>
      </c>
      <c r="V25" s="1" t="s">
        <v>529</v>
      </c>
      <c r="W25" s="1" t="s">
        <v>528</v>
      </c>
      <c r="X25" s="1" t="s">
        <v>539</v>
      </c>
      <c r="Y25" s="1" t="s">
        <v>540</v>
      </c>
      <c r="Z25" s="1" t="s">
        <v>541</v>
      </c>
      <c r="AA25" s="1" t="s">
        <v>542</v>
      </c>
      <c r="AB25" s="1" t="s">
        <v>543</v>
      </c>
      <c r="AC25" s="1" t="s">
        <v>511</v>
      </c>
      <c r="AD25" s="1" t="s">
        <v>409</v>
      </c>
      <c r="AE25" s="1" t="s">
        <v>544</v>
      </c>
      <c r="AF25" s="1" t="s">
        <v>369</v>
      </c>
      <c r="AG25" s="1" t="s">
        <v>341</v>
      </c>
      <c r="AL25" s="2" t="s">
        <v>534</v>
      </c>
      <c r="AM25" s="2" t="s">
        <v>304</v>
      </c>
      <c r="AN25" s="2" t="s">
        <v>227</v>
      </c>
      <c r="AO25" s="2" t="s">
        <v>545</v>
      </c>
      <c r="AP25" s="2" t="s">
        <v>406</v>
      </c>
      <c r="AR25" s="1" t="s">
        <v>362</v>
      </c>
      <c r="AS25" s="1" t="s">
        <v>278</v>
      </c>
      <c r="AT25" s="1" t="s">
        <v>532</v>
      </c>
      <c r="AU25" s="1" t="s">
        <v>500</v>
      </c>
      <c r="AV25" s="1" t="s">
        <v>462</v>
      </c>
      <c r="AW25" s="1" t="s">
        <v>533</v>
      </c>
      <c r="AX25" s="1" t="s">
        <v>533</v>
      </c>
      <c r="AY25" s="1" t="s">
        <v>534</v>
      </c>
      <c r="AZ25" s="1" t="s">
        <v>434</v>
      </c>
      <c r="BB25" s="14" t="s">
        <v>492</v>
      </c>
      <c r="BC25" s="15" t="s">
        <v>476</v>
      </c>
      <c r="BD25" s="16" t="s">
        <v>387</v>
      </c>
      <c r="BE25" s="15" t="s">
        <v>477</v>
      </c>
      <c r="BF25" s="15" t="s">
        <v>546</v>
      </c>
      <c r="BG25" s="15" t="s">
        <v>408</v>
      </c>
    </row>
    <row r="26" spans="7:63" x14ac:dyDescent="0.5">
      <c r="L26" s="1" t="s">
        <v>493</v>
      </c>
      <c r="M26" s="1" t="s">
        <v>547</v>
      </c>
      <c r="N26" s="1" t="s">
        <v>447</v>
      </c>
      <c r="O26" s="1" t="s">
        <v>548</v>
      </c>
      <c r="P26" s="1" t="s">
        <v>487</v>
      </c>
      <c r="Q26" s="1" t="s">
        <v>387</v>
      </c>
      <c r="S26" s="1" t="s">
        <v>493</v>
      </c>
      <c r="T26" s="1" t="s">
        <v>547</v>
      </c>
      <c r="U26" s="1" t="s">
        <v>447</v>
      </c>
      <c r="V26" s="1" t="s">
        <v>548</v>
      </c>
      <c r="W26" s="1" t="s">
        <v>487</v>
      </c>
      <c r="X26" s="1" t="s">
        <v>387</v>
      </c>
      <c r="Y26" s="1" t="s">
        <v>370</v>
      </c>
      <c r="Z26" s="1" t="s">
        <v>316</v>
      </c>
      <c r="AA26" s="1" t="s">
        <v>318</v>
      </c>
      <c r="AB26" s="1" t="s">
        <v>549</v>
      </c>
      <c r="AC26" s="1" t="s">
        <v>550</v>
      </c>
      <c r="AD26" s="1" t="s">
        <v>544</v>
      </c>
      <c r="AE26" s="1" t="s">
        <v>79</v>
      </c>
      <c r="AF26" s="1" t="s">
        <v>551</v>
      </c>
      <c r="AG26" s="1" t="s">
        <v>552</v>
      </c>
      <c r="AL26" s="2" t="s">
        <v>534</v>
      </c>
      <c r="AM26" s="2" t="s">
        <v>553</v>
      </c>
      <c r="AN26" s="2" t="s">
        <v>304</v>
      </c>
      <c r="AO26" s="2" t="s">
        <v>504</v>
      </c>
      <c r="AP26" s="2" t="s">
        <v>215</v>
      </c>
      <c r="AR26" s="1" t="s">
        <v>540</v>
      </c>
      <c r="AS26" s="1" t="s">
        <v>541</v>
      </c>
      <c r="AT26" s="1" t="s">
        <v>542</v>
      </c>
      <c r="AU26" s="1" t="s">
        <v>543</v>
      </c>
      <c r="AV26" s="1" t="s">
        <v>511</v>
      </c>
      <c r="AW26" s="1" t="s">
        <v>409</v>
      </c>
      <c r="AX26" s="1" t="s">
        <v>544</v>
      </c>
      <c r="AY26" s="1" t="s">
        <v>369</v>
      </c>
      <c r="AZ26" s="1" t="s">
        <v>341</v>
      </c>
      <c r="BB26" s="13" t="s">
        <v>534</v>
      </c>
      <c r="BC26" s="15" t="s">
        <v>410</v>
      </c>
      <c r="BD26" s="15" t="s">
        <v>430</v>
      </c>
      <c r="BE26" s="16" t="s">
        <v>405</v>
      </c>
      <c r="BF26" s="15" t="s">
        <v>353</v>
      </c>
      <c r="BG26" s="15" t="s">
        <v>400</v>
      </c>
    </row>
    <row r="27" spans="7:63" x14ac:dyDescent="0.5">
      <c r="L27" s="1" t="s">
        <v>554</v>
      </c>
      <c r="M27" s="1" t="s">
        <v>459</v>
      </c>
      <c r="N27" s="1" t="s">
        <v>547</v>
      </c>
      <c r="O27" s="1" t="s">
        <v>536</v>
      </c>
      <c r="P27" s="1" t="s">
        <v>425</v>
      </c>
      <c r="Q27" s="1" t="s">
        <v>466</v>
      </c>
      <c r="S27" s="1" t="s">
        <v>554</v>
      </c>
      <c r="T27" s="1" t="s">
        <v>459</v>
      </c>
      <c r="U27" s="1" t="s">
        <v>547</v>
      </c>
      <c r="V27" s="1" t="s">
        <v>536</v>
      </c>
      <c r="W27" s="1" t="s">
        <v>425</v>
      </c>
      <c r="X27" s="1" t="s">
        <v>466</v>
      </c>
      <c r="Y27" s="1" t="s">
        <v>318</v>
      </c>
      <c r="Z27" s="1" t="s">
        <v>356</v>
      </c>
      <c r="AA27" s="1" t="s">
        <v>278</v>
      </c>
      <c r="AB27" s="1" t="s">
        <v>365</v>
      </c>
      <c r="AC27" s="1" t="s">
        <v>409</v>
      </c>
      <c r="AD27" s="1" t="s">
        <v>79</v>
      </c>
      <c r="AE27" s="1" t="s">
        <v>555</v>
      </c>
      <c r="AF27" s="1" t="s">
        <v>556</v>
      </c>
      <c r="AG27" s="1" t="s">
        <v>232</v>
      </c>
      <c r="AL27" s="2" t="s">
        <v>557</v>
      </c>
      <c r="AM27" s="2" t="s">
        <v>422</v>
      </c>
      <c r="AN27" s="2" t="s">
        <v>533</v>
      </c>
      <c r="AO27" s="2" t="s">
        <v>432</v>
      </c>
      <c r="AP27" s="2" t="s">
        <v>531</v>
      </c>
      <c r="AR27" s="1" t="s">
        <v>370</v>
      </c>
      <c r="AS27" s="1" t="s">
        <v>316</v>
      </c>
      <c r="AT27" s="1" t="s">
        <v>318</v>
      </c>
      <c r="AU27" s="1" t="s">
        <v>549</v>
      </c>
      <c r="AV27" s="1" t="s">
        <v>550</v>
      </c>
      <c r="AW27" s="1" t="s">
        <v>544</v>
      </c>
      <c r="AX27" s="1" t="s">
        <v>79</v>
      </c>
      <c r="AY27" s="1" t="s">
        <v>551</v>
      </c>
      <c r="AZ27" s="1" t="s">
        <v>552</v>
      </c>
      <c r="BB27" s="18" t="s">
        <v>557</v>
      </c>
      <c r="BC27" s="15" t="s">
        <v>497</v>
      </c>
      <c r="BD27" s="15" t="s">
        <v>322</v>
      </c>
      <c r="BE27" s="14" t="s">
        <v>429</v>
      </c>
      <c r="BF27" s="16" t="s">
        <v>337</v>
      </c>
      <c r="BG27" s="15" t="s">
        <v>491</v>
      </c>
    </row>
    <row r="28" spans="7:63" x14ac:dyDescent="0.5">
      <c r="L28" s="1" t="s">
        <v>504</v>
      </c>
      <c r="M28" s="1" t="s">
        <v>87</v>
      </c>
      <c r="N28" s="1" t="s">
        <v>87</v>
      </c>
      <c r="O28" s="1" t="s">
        <v>446</v>
      </c>
      <c r="P28" s="1" t="s">
        <v>91</v>
      </c>
      <c r="Q28" s="1" t="s">
        <v>430</v>
      </c>
      <c r="S28" s="1" t="s">
        <v>504</v>
      </c>
      <c r="T28" s="1" t="s">
        <v>87</v>
      </c>
      <c r="U28" s="1" t="s">
        <v>87</v>
      </c>
      <c r="V28" s="1" t="s">
        <v>446</v>
      </c>
      <c r="W28" s="1" t="s">
        <v>91</v>
      </c>
      <c r="X28" s="1" t="s">
        <v>430</v>
      </c>
      <c r="Y28" s="1" t="s">
        <v>230</v>
      </c>
      <c r="Z28" s="1" t="s">
        <v>467</v>
      </c>
      <c r="AA28" s="1" t="s">
        <v>558</v>
      </c>
      <c r="AB28" s="1" t="s">
        <v>559</v>
      </c>
      <c r="AC28" s="1" t="s">
        <v>544</v>
      </c>
      <c r="AD28" s="1" t="s">
        <v>560</v>
      </c>
      <c r="AE28" s="1" t="s">
        <v>561</v>
      </c>
      <c r="AF28" s="1" t="s">
        <v>562</v>
      </c>
      <c r="AG28" s="1" t="s">
        <v>537</v>
      </c>
      <c r="AL28" s="2"/>
      <c r="AM28" s="2"/>
      <c r="AN28" s="2" t="s">
        <v>563</v>
      </c>
      <c r="AO28" s="2" t="s">
        <v>502</v>
      </c>
      <c r="AP28" s="2" t="s">
        <v>410</v>
      </c>
      <c r="AR28" s="1" t="s">
        <v>318</v>
      </c>
      <c r="AS28" s="1" t="s">
        <v>356</v>
      </c>
      <c r="AT28" s="1" t="s">
        <v>278</v>
      </c>
      <c r="AU28" s="1" t="s">
        <v>365</v>
      </c>
      <c r="AV28" s="1" t="s">
        <v>409</v>
      </c>
      <c r="AW28" s="1" t="s">
        <v>79</v>
      </c>
      <c r="AX28" s="1" t="s">
        <v>555</v>
      </c>
      <c r="AY28" s="1" t="s">
        <v>556</v>
      </c>
      <c r="AZ28" s="1" t="s">
        <v>232</v>
      </c>
      <c r="BB28" s="18"/>
      <c r="BC28" s="15" t="s">
        <v>426</v>
      </c>
      <c r="BD28" s="16" t="s">
        <v>213</v>
      </c>
      <c r="BE28" s="13" t="s">
        <v>474</v>
      </c>
      <c r="BF28" s="15" t="s">
        <v>378</v>
      </c>
      <c r="BG28" s="15" t="s">
        <v>522</v>
      </c>
    </row>
    <row r="29" spans="7:63" x14ac:dyDescent="0.5">
      <c r="L29" s="1" t="s">
        <v>564</v>
      </c>
      <c r="M29" s="1" t="s">
        <v>548</v>
      </c>
      <c r="N29" s="1" t="s">
        <v>536</v>
      </c>
      <c r="O29" s="1" t="s">
        <v>488</v>
      </c>
      <c r="P29" s="1" t="s">
        <v>565</v>
      </c>
      <c r="Q29" s="1" t="s">
        <v>393</v>
      </c>
      <c r="S29" s="1" t="s">
        <v>564</v>
      </c>
      <c r="T29" s="1" t="s">
        <v>548</v>
      </c>
      <c r="U29" s="1" t="s">
        <v>536</v>
      </c>
      <c r="V29" s="1" t="s">
        <v>488</v>
      </c>
      <c r="W29" s="1" t="s">
        <v>565</v>
      </c>
      <c r="X29" s="1" t="s">
        <v>393</v>
      </c>
      <c r="Y29" s="1" t="s">
        <v>566</v>
      </c>
      <c r="Z29" s="1" t="s">
        <v>567</v>
      </c>
      <c r="AA29" s="1" t="s">
        <v>567</v>
      </c>
      <c r="AB29" s="1" t="s">
        <v>568</v>
      </c>
      <c r="AC29" s="1" t="s">
        <v>533</v>
      </c>
      <c r="AD29" s="1" t="s">
        <v>569</v>
      </c>
      <c r="AE29" s="1" t="s">
        <v>487</v>
      </c>
      <c r="AF29" s="1" t="s">
        <v>416</v>
      </c>
      <c r="AG29" s="1" t="s">
        <v>505</v>
      </c>
      <c r="AL29" s="2"/>
      <c r="AN29" s="2" t="s">
        <v>570</v>
      </c>
      <c r="AO29" s="2" t="s">
        <v>571</v>
      </c>
      <c r="AP29" s="2" t="s">
        <v>572</v>
      </c>
      <c r="AR29" s="1" t="s">
        <v>230</v>
      </c>
      <c r="AS29" s="1" t="s">
        <v>467</v>
      </c>
      <c r="AT29" s="1" t="s">
        <v>558</v>
      </c>
      <c r="AU29" s="1" t="s">
        <v>559</v>
      </c>
      <c r="AV29" s="1" t="s">
        <v>544</v>
      </c>
      <c r="AW29" s="1" t="s">
        <v>560</v>
      </c>
      <c r="AX29" s="1" t="s">
        <v>561</v>
      </c>
      <c r="AY29" s="1" t="s">
        <v>562</v>
      </c>
      <c r="AZ29" s="1" t="s">
        <v>537</v>
      </c>
      <c r="BC29" s="15" t="s">
        <v>284</v>
      </c>
      <c r="BD29" s="15" t="s">
        <v>427</v>
      </c>
      <c r="BE29" s="15" t="s">
        <v>396</v>
      </c>
      <c r="BF29" s="15" t="s">
        <v>209</v>
      </c>
      <c r="BG29" s="15" t="s">
        <v>393</v>
      </c>
    </row>
    <row r="30" spans="7:63" x14ac:dyDescent="0.5">
      <c r="L30" s="1" t="s">
        <v>432</v>
      </c>
      <c r="M30" s="1" t="s">
        <v>363</v>
      </c>
      <c r="N30" s="1" t="s">
        <v>446</v>
      </c>
      <c r="O30" s="1" t="s">
        <v>224</v>
      </c>
      <c r="P30" s="1" t="s">
        <v>573</v>
      </c>
      <c r="Q30" s="1" t="s">
        <v>393</v>
      </c>
      <c r="S30" s="1" t="s">
        <v>432</v>
      </c>
      <c r="T30" s="1" t="s">
        <v>363</v>
      </c>
      <c r="U30" s="1" t="s">
        <v>446</v>
      </c>
      <c r="V30" s="1" t="s">
        <v>224</v>
      </c>
      <c r="W30" s="1" t="s">
        <v>573</v>
      </c>
      <c r="X30" s="1" t="s">
        <v>393</v>
      </c>
      <c r="Y30" s="1" t="s">
        <v>232</v>
      </c>
      <c r="Z30" s="1" t="s">
        <v>94</v>
      </c>
      <c r="AA30" s="1" t="s">
        <v>219</v>
      </c>
      <c r="AB30" s="1" t="s">
        <v>55</v>
      </c>
      <c r="AC30" s="1" t="s">
        <v>574</v>
      </c>
      <c r="AD30" s="1" t="s">
        <v>547</v>
      </c>
      <c r="AE30" s="1" t="s">
        <v>223</v>
      </c>
      <c r="AL30" s="2"/>
      <c r="AN30" s="2" t="s">
        <v>561</v>
      </c>
      <c r="AO30" s="2" t="s">
        <v>575</v>
      </c>
      <c r="AP30" s="2" t="s">
        <v>217</v>
      </c>
      <c r="AR30" s="1" t="s">
        <v>566</v>
      </c>
      <c r="AS30" s="1" t="s">
        <v>567</v>
      </c>
      <c r="AT30" s="1" t="s">
        <v>567</v>
      </c>
      <c r="AU30" s="1" t="s">
        <v>568</v>
      </c>
      <c r="AV30" s="1" t="s">
        <v>533</v>
      </c>
      <c r="AW30" s="1" t="s">
        <v>569</v>
      </c>
      <c r="AX30" s="1" t="s">
        <v>487</v>
      </c>
      <c r="AY30" s="1" t="s">
        <v>416</v>
      </c>
      <c r="AZ30" s="1" t="s">
        <v>505</v>
      </c>
      <c r="BC30" s="15" t="s">
        <v>439</v>
      </c>
      <c r="BD30" s="15" t="s">
        <v>453</v>
      </c>
      <c r="BE30" s="16" t="s">
        <v>406</v>
      </c>
      <c r="BF30" s="16" t="s">
        <v>369</v>
      </c>
      <c r="BG30" s="15" t="s">
        <v>388</v>
      </c>
    </row>
    <row r="31" spans="7:63" x14ac:dyDescent="0.5">
      <c r="L31" s="1" t="s">
        <v>420</v>
      </c>
      <c r="M31" s="1" t="s">
        <v>503</v>
      </c>
      <c r="N31" s="1" t="s">
        <v>467</v>
      </c>
      <c r="O31" s="1" t="s">
        <v>502</v>
      </c>
      <c r="P31" s="1" t="s">
        <v>217</v>
      </c>
      <c r="Q31" s="1" t="s">
        <v>388</v>
      </c>
      <c r="S31" s="1" t="s">
        <v>420</v>
      </c>
      <c r="T31" s="1" t="s">
        <v>503</v>
      </c>
      <c r="U31" s="1" t="s">
        <v>467</v>
      </c>
      <c r="V31" s="1" t="s">
        <v>502</v>
      </c>
      <c r="W31" s="1" t="s">
        <v>217</v>
      </c>
      <c r="X31" s="1" t="s">
        <v>388</v>
      </c>
      <c r="Y31" s="1" t="s">
        <v>505</v>
      </c>
      <c r="Z31" s="1" t="s">
        <v>529</v>
      </c>
      <c r="AA31" s="1" t="s">
        <v>285</v>
      </c>
      <c r="AB31" s="1" t="s">
        <v>576</v>
      </c>
      <c r="AC31" s="1" t="s">
        <v>577</v>
      </c>
      <c r="AD31" s="1" t="s">
        <v>448</v>
      </c>
      <c r="AE31" s="1" t="s">
        <v>515</v>
      </c>
      <c r="AL31" s="2"/>
      <c r="AN31" s="2" t="s">
        <v>83</v>
      </c>
      <c r="AO31" s="2" t="s">
        <v>578</v>
      </c>
      <c r="AP31" s="2" t="s">
        <v>579</v>
      </c>
      <c r="AR31" s="1" t="s">
        <v>232</v>
      </c>
      <c r="AS31" s="1" t="s">
        <v>94</v>
      </c>
      <c r="AT31" s="1" t="s">
        <v>219</v>
      </c>
      <c r="AU31" s="1" t="s">
        <v>55</v>
      </c>
      <c r="AV31" s="1" t="s">
        <v>574</v>
      </c>
      <c r="AW31" s="1" t="s">
        <v>547</v>
      </c>
      <c r="AX31" s="1" t="s">
        <v>223</v>
      </c>
      <c r="BC31" s="15" t="s">
        <v>220</v>
      </c>
      <c r="BD31" s="16" t="s">
        <v>388</v>
      </c>
      <c r="BE31" s="15" t="s">
        <v>516</v>
      </c>
      <c r="BF31" s="16" t="s">
        <v>360</v>
      </c>
      <c r="BG31" s="15" t="s">
        <v>458</v>
      </c>
    </row>
    <row r="32" spans="7:63" x14ac:dyDescent="0.5">
      <c r="L32" s="1" t="s">
        <v>502</v>
      </c>
      <c r="M32" s="1" t="s">
        <v>513</v>
      </c>
      <c r="N32" s="1" t="s">
        <v>222</v>
      </c>
      <c r="O32" s="1" t="s">
        <v>575</v>
      </c>
      <c r="P32" s="1" t="s">
        <v>218</v>
      </c>
      <c r="Q32" s="1" t="s">
        <v>368</v>
      </c>
      <c r="S32" s="1" t="s">
        <v>502</v>
      </c>
      <c r="T32" s="1" t="s">
        <v>513</v>
      </c>
      <c r="U32" s="1" t="s">
        <v>222</v>
      </c>
      <c r="V32" s="1" t="s">
        <v>575</v>
      </c>
      <c r="W32" s="1" t="s">
        <v>218</v>
      </c>
      <c r="X32" s="1" t="s">
        <v>368</v>
      </c>
      <c r="Y32" s="1" t="s">
        <v>339</v>
      </c>
      <c r="Z32" s="1" t="s">
        <v>553</v>
      </c>
      <c r="AA32" s="1" t="s">
        <v>580</v>
      </c>
      <c r="AB32" s="1" t="s">
        <v>581</v>
      </c>
      <c r="AC32" s="1" t="s">
        <v>504</v>
      </c>
      <c r="AD32" s="1" t="s">
        <v>551</v>
      </c>
      <c r="AE32" s="1" t="s">
        <v>582</v>
      </c>
      <c r="AL32" s="2"/>
      <c r="AO32" s="2" t="s">
        <v>583</v>
      </c>
      <c r="AP32" s="2" t="s">
        <v>584</v>
      </c>
      <c r="AR32" s="1" t="s">
        <v>505</v>
      </c>
      <c r="AS32" s="1" t="s">
        <v>529</v>
      </c>
      <c r="AT32" s="1" t="s">
        <v>285</v>
      </c>
      <c r="AU32" s="1" t="s">
        <v>576</v>
      </c>
      <c r="AV32" s="1" t="s">
        <v>577</v>
      </c>
      <c r="AW32" s="1" t="s">
        <v>448</v>
      </c>
      <c r="AX32" s="1" t="s">
        <v>515</v>
      </c>
      <c r="BC32" s="15" t="s">
        <v>94</v>
      </c>
      <c r="BD32" s="16" t="s">
        <v>465</v>
      </c>
      <c r="BE32" s="15" t="s">
        <v>215</v>
      </c>
      <c r="BF32" s="15" t="s">
        <v>537</v>
      </c>
      <c r="BG32" s="15" t="s">
        <v>417</v>
      </c>
    </row>
    <row r="33" spans="12:59" x14ac:dyDescent="0.5">
      <c r="L33" s="1" t="s">
        <v>585</v>
      </c>
      <c r="M33" s="1" t="s">
        <v>585</v>
      </c>
      <c r="N33" s="1" t="s">
        <v>586</v>
      </c>
      <c r="O33" s="1" t="s">
        <v>492</v>
      </c>
      <c r="P33" s="1" t="s">
        <v>219</v>
      </c>
      <c r="Q33" s="1" t="s">
        <v>409</v>
      </c>
      <c r="S33" s="1" t="s">
        <v>585</v>
      </c>
      <c r="T33" s="1" t="s">
        <v>585</v>
      </c>
      <c r="U33" s="1" t="s">
        <v>586</v>
      </c>
      <c r="V33" s="1" t="s">
        <v>492</v>
      </c>
      <c r="W33" s="1" t="s">
        <v>219</v>
      </c>
      <c r="X33" s="1" t="s">
        <v>409</v>
      </c>
      <c r="Y33" s="1" t="s">
        <v>560</v>
      </c>
      <c r="Z33" s="1" t="s">
        <v>587</v>
      </c>
      <c r="AA33" s="1" t="s">
        <v>588</v>
      </c>
      <c r="AB33" s="1" t="s">
        <v>511</v>
      </c>
      <c r="AC33" s="1" t="s">
        <v>522</v>
      </c>
      <c r="AD33" s="1" t="s">
        <v>210</v>
      </c>
      <c r="AE33" s="1" t="s">
        <v>349</v>
      </c>
      <c r="AO33" s="2" t="s">
        <v>589</v>
      </c>
      <c r="AP33" s="2" t="s">
        <v>590</v>
      </c>
      <c r="AR33" s="1" t="s">
        <v>339</v>
      </c>
      <c r="AS33" s="1" t="s">
        <v>553</v>
      </c>
      <c r="AT33" s="1" t="s">
        <v>580</v>
      </c>
      <c r="AU33" s="1" t="s">
        <v>581</v>
      </c>
      <c r="AV33" s="1" t="s">
        <v>504</v>
      </c>
      <c r="AW33" s="1" t="s">
        <v>551</v>
      </c>
      <c r="AX33" s="1" t="s">
        <v>582</v>
      </c>
      <c r="BC33" s="15" t="s">
        <v>447</v>
      </c>
      <c r="BD33" s="15" t="s">
        <v>348</v>
      </c>
      <c r="BE33" s="16" t="s">
        <v>531</v>
      </c>
      <c r="BF33" s="15" t="s">
        <v>408</v>
      </c>
      <c r="BG33" s="15" t="s">
        <v>448</v>
      </c>
    </row>
    <row r="34" spans="12:59" x14ac:dyDescent="0.5">
      <c r="L34" s="1" t="s">
        <v>575</v>
      </c>
      <c r="M34" s="1" t="s">
        <v>551</v>
      </c>
      <c r="N34" s="1" t="s">
        <v>420</v>
      </c>
      <c r="O34" s="1" t="s">
        <v>534</v>
      </c>
      <c r="P34" s="1" t="s">
        <v>220</v>
      </c>
      <c r="Q34" s="1" t="s">
        <v>487</v>
      </c>
      <c r="S34" s="1" t="s">
        <v>575</v>
      </c>
      <c r="T34" s="1" t="s">
        <v>551</v>
      </c>
      <c r="U34" s="1" t="s">
        <v>420</v>
      </c>
      <c r="V34" s="1" t="s">
        <v>534</v>
      </c>
      <c r="W34" s="1" t="s">
        <v>220</v>
      </c>
      <c r="X34" s="1" t="s">
        <v>487</v>
      </c>
      <c r="Y34" s="1" t="s">
        <v>591</v>
      </c>
      <c r="Z34" s="1" t="s">
        <v>492</v>
      </c>
      <c r="AA34" s="1" t="s">
        <v>592</v>
      </c>
      <c r="AB34" s="1" t="s">
        <v>593</v>
      </c>
      <c r="AC34" s="1" t="s">
        <v>476</v>
      </c>
      <c r="AE34" s="1" t="s">
        <v>594</v>
      </c>
      <c r="AO34" s="2" t="s">
        <v>595</v>
      </c>
      <c r="AP34" s="2" t="s">
        <v>596</v>
      </c>
      <c r="AR34" s="1" t="s">
        <v>560</v>
      </c>
      <c r="AS34" s="1" t="s">
        <v>587</v>
      </c>
      <c r="AT34" s="1" t="s">
        <v>588</v>
      </c>
      <c r="AU34" s="1" t="s">
        <v>511</v>
      </c>
      <c r="AV34" s="1" t="s">
        <v>522</v>
      </c>
      <c r="AW34" s="1" t="s">
        <v>210</v>
      </c>
      <c r="AX34" s="1" t="s">
        <v>349</v>
      </c>
      <c r="BC34" s="15" t="s">
        <v>547</v>
      </c>
      <c r="BD34" s="15" t="s">
        <v>440</v>
      </c>
      <c r="BE34" s="14" t="s">
        <v>483</v>
      </c>
      <c r="BF34" s="15" t="s">
        <v>594</v>
      </c>
      <c r="BG34" s="15" t="s">
        <v>528</v>
      </c>
    </row>
    <row r="35" spans="12:59" x14ac:dyDescent="0.5">
      <c r="L35" s="1" t="s">
        <v>391</v>
      </c>
      <c r="M35" s="1" t="s">
        <v>597</v>
      </c>
      <c r="N35" s="1" t="s">
        <v>598</v>
      </c>
      <c r="O35" s="1" t="s">
        <v>595</v>
      </c>
      <c r="P35" s="1" t="s">
        <v>459</v>
      </c>
      <c r="Q35" s="1" t="s">
        <v>544</v>
      </c>
      <c r="S35" s="1" t="s">
        <v>391</v>
      </c>
      <c r="T35" s="1" t="s">
        <v>597</v>
      </c>
      <c r="U35" s="1" t="s">
        <v>598</v>
      </c>
      <c r="V35" s="1" t="s">
        <v>595</v>
      </c>
      <c r="W35" s="1" t="s">
        <v>459</v>
      </c>
      <c r="X35" s="1" t="s">
        <v>544</v>
      </c>
      <c r="Y35" s="1" t="s">
        <v>599</v>
      </c>
      <c r="Z35" s="1" t="s">
        <v>600</v>
      </c>
      <c r="AA35" s="1" t="s">
        <v>601</v>
      </c>
      <c r="AB35" s="1" t="s">
        <v>602</v>
      </c>
      <c r="AC35" s="1" t="s">
        <v>83</v>
      </c>
      <c r="AE35" s="1" t="s">
        <v>603</v>
      </c>
      <c r="AO35" s="2" t="s">
        <v>450</v>
      </c>
      <c r="AP35" s="2" t="s">
        <v>481</v>
      </c>
      <c r="AR35" s="1" t="s">
        <v>591</v>
      </c>
      <c r="AS35" s="1" t="s">
        <v>492</v>
      </c>
      <c r="AT35" s="1" t="s">
        <v>592</v>
      </c>
      <c r="AU35" s="1" t="s">
        <v>593</v>
      </c>
      <c r="AV35" s="1" t="s">
        <v>476</v>
      </c>
      <c r="AX35" s="1" t="s">
        <v>594</v>
      </c>
      <c r="BC35" s="15" t="s">
        <v>459</v>
      </c>
      <c r="BD35" s="16" t="s">
        <v>458</v>
      </c>
      <c r="BE35" s="13" t="s">
        <v>94</v>
      </c>
      <c r="BF35" s="16" t="s">
        <v>505</v>
      </c>
      <c r="BG35" s="15" t="s">
        <v>409</v>
      </c>
    </row>
    <row r="36" spans="12:59" x14ac:dyDescent="0.5">
      <c r="L36" s="1" t="s">
        <v>492</v>
      </c>
      <c r="M36" s="1" t="s">
        <v>304</v>
      </c>
      <c r="N36" s="1" t="s">
        <v>535</v>
      </c>
      <c r="O36" s="1" t="s">
        <v>604</v>
      </c>
      <c r="P36" s="1" t="s">
        <v>600</v>
      </c>
      <c r="Q36" s="1" t="s">
        <v>91</v>
      </c>
      <c r="S36" s="1" t="s">
        <v>492</v>
      </c>
      <c r="T36" s="1" t="s">
        <v>304</v>
      </c>
      <c r="U36" s="1" t="s">
        <v>535</v>
      </c>
      <c r="V36" s="1" t="s">
        <v>604</v>
      </c>
      <c r="W36" s="1" t="s">
        <v>600</v>
      </c>
      <c r="X36" s="1" t="s">
        <v>91</v>
      </c>
      <c r="Y36" s="1" t="s">
        <v>544</v>
      </c>
      <c r="Z36" s="1" t="s">
        <v>605</v>
      </c>
      <c r="AA36" s="1" t="s">
        <v>586</v>
      </c>
      <c r="AB36" s="1" t="s">
        <v>79</v>
      </c>
      <c r="AC36" s="1" t="s">
        <v>344</v>
      </c>
      <c r="AE36" s="1" t="s">
        <v>546</v>
      </c>
      <c r="AP36" s="2" t="s">
        <v>488</v>
      </c>
      <c r="AR36" s="1" t="s">
        <v>599</v>
      </c>
      <c r="AS36" s="1" t="s">
        <v>600</v>
      </c>
      <c r="AT36" s="1" t="s">
        <v>601</v>
      </c>
      <c r="AU36" s="1" t="s">
        <v>602</v>
      </c>
      <c r="AV36" s="1" t="s">
        <v>83</v>
      </c>
      <c r="AX36" s="1" t="s">
        <v>603</v>
      </c>
      <c r="BC36" s="15" t="s">
        <v>473</v>
      </c>
      <c r="BD36" s="15" t="s">
        <v>417</v>
      </c>
      <c r="BE36" s="15" t="s">
        <v>447</v>
      </c>
      <c r="BF36" s="16" t="s">
        <v>555</v>
      </c>
      <c r="BG36" s="15" t="s">
        <v>544</v>
      </c>
    </row>
    <row r="37" spans="12:59" x14ac:dyDescent="0.5">
      <c r="L37" s="1" t="s">
        <v>606</v>
      </c>
      <c r="M37" s="1" t="s">
        <v>553</v>
      </c>
      <c r="N37" s="1" t="s">
        <v>607</v>
      </c>
      <c r="P37" s="1" t="s">
        <v>87</v>
      </c>
      <c r="Q37" s="1" t="s">
        <v>406</v>
      </c>
      <c r="S37" s="1" t="s">
        <v>606</v>
      </c>
      <c r="T37" s="1" t="s">
        <v>553</v>
      </c>
      <c r="U37" s="1" t="s">
        <v>607</v>
      </c>
      <c r="W37" s="1" t="s">
        <v>87</v>
      </c>
      <c r="X37" s="1" t="s">
        <v>406</v>
      </c>
      <c r="Y37" s="1" t="s">
        <v>607</v>
      </c>
      <c r="Z37" s="1" t="s">
        <v>403</v>
      </c>
      <c r="AA37" s="1" t="s">
        <v>214</v>
      </c>
      <c r="AB37" s="1" t="s">
        <v>432</v>
      </c>
      <c r="AC37" s="1" t="s">
        <v>366</v>
      </c>
      <c r="AE37" s="1" t="s">
        <v>341</v>
      </c>
      <c r="AP37" s="2" t="s">
        <v>608</v>
      </c>
      <c r="AR37" s="1" t="s">
        <v>544</v>
      </c>
      <c r="AS37" s="1" t="s">
        <v>605</v>
      </c>
      <c r="AT37" s="1" t="s">
        <v>586</v>
      </c>
      <c r="AU37" s="1" t="s">
        <v>79</v>
      </c>
      <c r="AV37" s="1" t="s">
        <v>344</v>
      </c>
      <c r="AX37" s="1" t="s">
        <v>546</v>
      </c>
      <c r="BC37" s="15" t="s">
        <v>87</v>
      </c>
      <c r="BD37" s="15" t="s">
        <v>89</v>
      </c>
      <c r="BE37" s="16" t="s">
        <v>547</v>
      </c>
      <c r="BF37" s="16" t="s">
        <v>423</v>
      </c>
      <c r="BG37" s="15" t="s">
        <v>406</v>
      </c>
    </row>
    <row r="38" spans="12:59" x14ac:dyDescent="0.5">
      <c r="L38" s="1" t="s">
        <v>587</v>
      </c>
      <c r="M38" s="1" t="s">
        <v>533</v>
      </c>
      <c r="N38" s="1" t="s">
        <v>534</v>
      </c>
      <c r="P38" s="1" t="s">
        <v>609</v>
      </c>
      <c r="Q38" s="1" t="s">
        <v>215</v>
      </c>
      <c r="S38" s="1" t="s">
        <v>587</v>
      </c>
      <c r="T38" s="1" t="s">
        <v>533</v>
      </c>
      <c r="U38" s="1" t="s">
        <v>534</v>
      </c>
      <c r="W38" s="1" t="s">
        <v>609</v>
      </c>
      <c r="X38" s="1" t="s">
        <v>215</v>
      </c>
      <c r="Y38" s="1" t="s">
        <v>610</v>
      </c>
      <c r="Z38" s="1" t="s">
        <v>548</v>
      </c>
      <c r="AA38" s="1" t="s">
        <v>611</v>
      </c>
      <c r="AB38" s="1" t="s">
        <v>316</v>
      </c>
      <c r="AC38" s="1" t="s">
        <v>448</v>
      </c>
      <c r="AE38" s="1" t="s">
        <v>552</v>
      </c>
      <c r="AP38" s="2" t="s">
        <v>612</v>
      </c>
      <c r="AR38" s="1" t="s">
        <v>607</v>
      </c>
      <c r="AS38" s="1" t="s">
        <v>403</v>
      </c>
      <c r="AT38" s="1" t="s">
        <v>214</v>
      </c>
      <c r="AU38" s="1" t="s">
        <v>432</v>
      </c>
      <c r="AV38" s="1" t="s">
        <v>366</v>
      </c>
      <c r="AX38" s="1" t="s">
        <v>341</v>
      </c>
      <c r="BC38" s="15" t="s">
        <v>548</v>
      </c>
      <c r="BD38" s="13" t="s">
        <v>448</v>
      </c>
      <c r="BE38" s="13" t="s">
        <v>87</v>
      </c>
      <c r="BF38" s="16" t="s">
        <v>470</v>
      </c>
      <c r="BG38" s="15" t="s">
        <v>349</v>
      </c>
    </row>
    <row r="39" spans="12:59" x14ac:dyDescent="0.5">
      <c r="L39" s="1" t="s">
        <v>534</v>
      </c>
      <c r="M39" s="1" t="s">
        <v>595</v>
      </c>
      <c r="N39" s="1" t="s">
        <v>597</v>
      </c>
      <c r="P39" s="1" t="s">
        <v>613</v>
      </c>
      <c r="Q39" s="1" t="s">
        <v>215</v>
      </c>
      <c r="S39" s="1" t="s">
        <v>534</v>
      </c>
      <c r="T39" s="1" t="s">
        <v>595</v>
      </c>
      <c r="U39" s="1" t="s">
        <v>597</v>
      </c>
      <c r="W39" s="1" t="s">
        <v>613</v>
      </c>
      <c r="X39" s="1" t="s">
        <v>215</v>
      </c>
      <c r="Y39" s="1" t="s">
        <v>614</v>
      </c>
      <c r="Z39" s="1" t="s">
        <v>275</v>
      </c>
      <c r="AA39" s="1" t="s">
        <v>420</v>
      </c>
      <c r="AB39" s="1" t="s">
        <v>572</v>
      </c>
      <c r="AC39" s="1" t="s">
        <v>453</v>
      </c>
      <c r="AP39" s="2" t="s">
        <v>471</v>
      </c>
      <c r="AR39" s="1" t="s">
        <v>610</v>
      </c>
      <c r="AS39" s="1" t="s">
        <v>548</v>
      </c>
      <c r="AT39" s="1" t="s">
        <v>611</v>
      </c>
      <c r="AU39" s="1" t="s">
        <v>316</v>
      </c>
      <c r="AV39" s="1" t="s">
        <v>448</v>
      </c>
      <c r="AX39" s="1" t="s">
        <v>552</v>
      </c>
      <c r="BC39" s="15" t="s">
        <v>363</v>
      </c>
      <c r="BD39" s="14" t="s">
        <v>460</v>
      </c>
      <c r="BE39" s="16" t="s">
        <v>536</v>
      </c>
      <c r="BF39" s="16" t="s">
        <v>400</v>
      </c>
      <c r="BG39" s="15" t="s">
        <v>562</v>
      </c>
    </row>
    <row r="40" spans="12:59" x14ac:dyDescent="0.5">
      <c r="L40" s="1" t="s">
        <v>551</v>
      </c>
      <c r="M40" s="1" t="s">
        <v>422</v>
      </c>
      <c r="N40" s="1" t="s">
        <v>227</v>
      </c>
      <c r="P40" s="1" t="s">
        <v>614</v>
      </c>
      <c r="Q40" s="1" t="s">
        <v>615</v>
      </c>
      <c r="S40" s="1" t="s">
        <v>551</v>
      </c>
      <c r="T40" s="1" t="s">
        <v>422</v>
      </c>
      <c r="U40" s="1" t="s">
        <v>227</v>
      </c>
      <c r="W40" s="1" t="s">
        <v>614</v>
      </c>
      <c r="X40" s="1" t="s">
        <v>615</v>
      </c>
      <c r="Y40" s="1" t="s">
        <v>324</v>
      </c>
      <c r="Z40" s="1" t="s">
        <v>616</v>
      </c>
      <c r="AA40" s="1" t="s">
        <v>432</v>
      </c>
      <c r="AB40" s="1" t="s">
        <v>617</v>
      </c>
      <c r="AC40" s="1" t="s">
        <v>79</v>
      </c>
      <c r="AP40" s="2" t="s">
        <v>618</v>
      </c>
      <c r="AR40" s="1" t="s">
        <v>614</v>
      </c>
      <c r="AS40" s="1" t="s">
        <v>275</v>
      </c>
      <c r="AT40" s="1" t="s">
        <v>420</v>
      </c>
      <c r="AU40" s="1" t="s">
        <v>572</v>
      </c>
      <c r="AV40" s="1" t="s">
        <v>453</v>
      </c>
      <c r="BC40" s="15" t="s">
        <v>482</v>
      </c>
      <c r="BD40" s="16" t="s">
        <v>319</v>
      </c>
      <c r="BE40" s="15" t="s">
        <v>446</v>
      </c>
      <c r="BF40" s="16" t="s">
        <v>491</v>
      </c>
      <c r="BG40" s="15" t="s">
        <v>284</v>
      </c>
    </row>
    <row r="41" spans="12:59" x14ac:dyDescent="0.5">
      <c r="L41" s="1" t="s">
        <v>404</v>
      </c>
      <c r="M41" s="1" t="s">
        <v>230</v>
      </c>
      <c r="N41" s="1" t="s">
        <v>570</v>
      </c>
      <c r="P41" s="1" t="s">
        <v>467</v>
      </c>
      <c r="Q41" s="1" t="s">
        <v>619</v>
      </c>
      <c r="S41" s="1" t="s">
        <v>404</v>
      </c>
      <c r="T41" s="1" t="s">
        <v>230</v>
      </c>
      <c r="U41" s="1" t="s">
        <v>570</v>
      </c>
      <c r="W41" s="1" t="s">
        <v>467</v>
      </c>
      <c r="X41" s="1" t="s">
        <v>619</v>
      </c>
      <c r="Y41" s="1" t="s">
        <v>620</v>
      </c>
      <c r="AA41" s="1" t="s">
        <v>553</v>
      </c>
      <c r="AB41" s="1" t="s">
        <v>502</v>
      </c>
      <c r="AP41" s="2" t="s">
        <v>621</v>
      </c>
      <c r="AR41" s="1" t="s">
        <v>324</v>
      </c>
      <c r="AS41" s="1" t="s">
        <v>616</v>
      </c>
      <c r="AT41" s="1" t="s">
        <v>432</v>
      </c>
      <c r="AU41" s="1" t="s">
        <v>617</v>
      </c>
      <c r="AV41" s="1" t="s">
        <v>79</v>
      </c>
      <c r="BC41" s="15" t="s">
        <v>503</v>
      </c>
      <c r="BD41" s="15" t="s">
        <v>452</v>
      </c>
      <c r="BE41" s="16" t="s">
        <v>467</v>
      </c>
      <c r="BF41" s="15" t="s">
        <v>522</v>
      </c>
      <c r="BG41" s="15" t="s">
        <v>217</v>
      </c>
    </row>
    <row r="42" spans="12:59" x14ac:dyDescent="0.5">
      <c r="L42" s="1" t="s">
        <v>553</v>
      </c>
      <c r="M42" s="1" t="s">
        <v>375</v>
      </c>
      <c r="N42" s="1" t="s">
        <v>83</v>
      </c>
      <c r="P42" s="1" t="s">
        <v>356</v>
      </c>
      <c r="Q42" s="1" t="s">
        <v>596</v>
      </c>
      <c r="S42" s="1" t="s">
        <v>553</v>
      </c>
      <c r="T42" s="1" t="s">
        <v>375</v>
      </c>
      <c r="U42" s="1" t="s">
        <v>83</v>
      </c>
      <c r="W42" s="1" t="s">
        <v>356</v>
      </c>
      <c r="X42" s="1" t="s">
        <v>596</v>
      </c>
      <c r="Y42" s="1" t="s">
        <v>209</v>
      </c>
      <c r="AA42" s="1" t="s">
        <v>622</v>
      </c>
      <c r="AB42" s="1" t="s">
        <v>558</v>
      </c>
      <c r="AP42" s="2" t="s">
        <v>575</v>
      </c>
      <c r="AR42" s="1" t="s">
        <v>620</v>
      </c>
      <c r="AT42" s="1" t="s">
        <v>553</v>
      </c>
      <c r="AU42" s="1" t="s">
        <v>502</v>
      </c>
      <c r="BC42" s="15" t="s">
        <v>504</v>
      </c>
      <c r="BD42" s="13" t="s">
        <v>409</v>
      </c>
      <c r="BE42" s="15" t="s">
        <v>222</v>
      </c>
      <c r="BF42" s="16" t="s">
        <v>393</v>
      </c>
      <c r="BG42" s="15" t="s">
        <v>94</v>
      </c>
    </row>
    <row r="43" spans="12:59" x14ac:dyDescent="0.5">
      <c r="L43" s="1" t="s">
        <v>623</v>
      </c>
      <c r="N43" s="1" t="s">
        <v>50</v>
      </c>
      <c r="P43" s="1" t="s">
        <v>318</v>
      </c>
      <c r="Q43" s="1" t="s">
        <v>481</v>
      </c>
      <c r="S43" s="1" t="s">
        <v>623</v>
      </c>
      <c r="U43" s="1" t="s">
        <v>50</v>
      </c>
      <c r="W43" s="1" t="s">
        <v>318</v>
      </c>
      <c r="X43" s="1" t="s">
        <v>481</v>
      </c>
      <c r="Y43" s="1" t="s">
        <v>279</v>
      </c>
      <c r="AA43" s="1" t="s">
        <v>624</v>
      </c>
      <c r="AB43" s="1" t="s">
        <v>625</v>
      </c>
      <c r="AP43" s="2" t="s">
        <v>626</v>
      </c>
      <c r="AR43" s="1" t="s">
        <v>209</v>
      </c>
      <c r="AT43" s="1" t="s">
        <v>622</v>
      </c>
      <c r="AU43" s="1" t="s">
        <v>558</v>
      </c>
      <c r="BC43" s="15" t="s">
        <v>524</v>
      </c>
      <c r="BD43" s="15" t="s">
        <v>477</v>
      </c>
      <c r="BE43" s="16" t="s">
        <v>586</v>
      </c>
      <c r="BF43" s="16" t="s">
        <v>212</v>
      </c>
      <c r="BG43" s="15" t="s">
        <v>481</v>
      </c>
    </row>
    <row r="44" spans="12:59" x14ac:dyDescent="0.5">
      <c r="L44" s="1" t="s">
        <v>533</v>
      </c>
      <c r="P44" s="1" t="s">
        <v>554</v>
      </c>
      <c r="Q44" s="1" t="s">
        <v>627</v>
      </c>
      <c r="S44" s="1" t="s">
        <v>533</v>
      </c>
      <c r="W44" s="1" t="s">
        <v>554</v>
      </c>
      <c r="X44" s="1" t="s">
        <v>627</v>
      </c>
      <c r="Y44" s="1" t="s">
        <v>529</v>
      </c>
      <c r="AA44" s="1" t="s">
        <v>628</v>
      </c>
      <c r="AB44" s="1" t="s">
        <v>492</v>
      </c>
      <c r="AP44" s="2" t="s">
        <v>533</v>
      </c>
      <c r="AR44" s="1" t="s">
        <v>279</v>
      </c>
      <c r="AT44" s="1" t="s">
        <v>624</v>
      </c>
      <c r="AU44" s="1" t="s">
        <v>625</v>
      </c>
      <c r="BC44" s="15" t="s">
        <v>502</v>
      </c>
      <c r="BD44" s="16" t="s">
        <v>405</v>
      </c>
      <c r="BE44" s="15" t="s">
        <v>420</v>
      </c>
      <c r="BF44" s="16" t="s">
        <v>416</v>
      </c>
      <c r="BG44" s="15" t="s">
        <v>285</v>
      </c>
    </row>
    <row r="45" spans="12:59" x14ac:dyDescent="0.5">
      <c r="L45" s="1" t="s">
        <v>629</v>
      </c>
      <c r="P45" s="1" t="s">
        <v>564</v>
      </c>
      <c r="Q45" s="1" t="s">
        <v>627</v>
      </c>
      <c r="S45" s="1" t="s">
        <v>629</v>
      </c>
      <c r="W45" s="1" t="s">
        <v>564</v>
      </c>
      <c r="X45" s="1" t="s">
        <v>627</v>
      </c>
      <c r="Y45" s="1" t="s">
        <v>211</v>
      </c>
      <c r="AA45" s="1" t="s">
        <v>630</v>
      </c>
      <c r="AB45" s="1" t="s">
        <v>529</v>
      </c>
      <c r="AP45" s="2" t="s">
        <v>495</v>
      </c>
      <c r="AR45" s="1" t="s">
        <v>529</v>
      </c>
      <c r="AT45" s="1" t="s">
        <v>628</v>
      </c>
      <c r="AU45" s="1" t="s">
        <v>492</v>
      </c>
      <c r="BC45" s="15" t="s">
        <v>585</v>
      </c>
      <c r="BD45" s="14" t="s">
        <v>390</v>
      </c>
      <c r="BE45" s="16" t="s">
        <v>598</v>
      </c>
      <c r="BF45" s="15" t="s">
        <v>388</v>
      </c>
      <c r="BG45" s="15" t="s">
        <v>305</v>
      </c>
    </row>
    <row r="46" spans="12:59" x14ac:dyDescent="0.5">
      <c r="P46" s="1" t="s">
        <v>432</v>
      </c>
      <c r="Q46" s="1" t="s">
        <v>488</v>
      </c>
      <c r="W46" s="1" t="s">
        <v>432</v>
      </c>
      <c r="X46" s="1" t="s">
        <v>488</v>
      </c>
      <c r="Y46" s="1" t="s">
        <v>631</v>
      </c>
      <c r="AA46" s="1" t="s">
        <v>391</v>
      </c>
      <c r="AB46" s="1" t="s">
        <v>89</v>
      </c>
      <c r="AP46" s="2" t="s">
        <v>50</v>
      </c>
      <c r="AR46" s="1" t="s">
        <v>211</v>
      </c>
      <c r="AT46" s="1" t="s">
        <v>630</v>
      </c>
      <c r="AU46" s="1" t="s">
        <v>529</v>
      </c>
      <c r="BC46" s="15" t="s">
        <v>534</v>
      </c>
      <c r="BD46" s="13" t="s">
        <v>494</v>
      </c>
      <c r="BE46" s="13" t="s">
        <v>224</v>
      </c>
      <c r="BF46" s="15" t="s">
        <v>458</v>
      </c>
      <c r="BG46" s="15" t="s">
        <v>223</v>
      </c>
    </row>
    <row r="47" spans="12:59" x14ac:dyDescent="0.5">
      <c r="P47" s="1" t="s">
        <v>420</v>
      </c>
      <c r="Q47" s="1" t="s">
        <v>318</v>
      </c>
      <c r="W47" s="1" t="s">
        <v>420</v>
      </c>
      <c r="X47" s="1" t="s">
        <v>318</v>
      </c>
      <c r="Y47" s="1" t="s">
        <v>632</v>
      </c>
      <c r="AA47" s="1" t="s">
        <v>220</v>
      </c>
      <c r="AB47" s="1" t="s">
        <v>633</v>
      </c>
      <c r="AP47" s="2"/>
      <c r="AR47" s="1" t="s">
        <v>631</v>
      </c>
      <c r="AT47" s="1" t="s">
        <v>391</v>
      </c>
      <c r="AU47" s="1" t="s">
        <v>89</v>
      </c>
      <c r="BC47" s="15" t="s">
        <v>551</v>
      </c>
      <c r="BD47" s="15" t="s">
        <v>396</v>
      </c>
      <c r="BE47" s="15" t="s">
        <v>535</v>
      </c>
      <c r="BF47" s="16" t="s">
        <v>417</v>
      </c>
      <c r="BG47" s="15" t="s">
        <v>471</v>
      </c>
    </row>
    <row r="48" spans="12:59" x14ac:dyDescent="0.5">
      <c r="P48" s="1" t="s">
        <v>420</v>
      </c>
      <c r="Q48" s="1" t="s">
        <v>554</v>
      </c>
      <c r="W48" s="1" t="s">
        <v>420</v>
      </c>
      <c r="X48" s="1" t="s">
        <v>554</v>
      </c>
      <c r="Y48" s="1" t="s">
        <v>634</v>
      </c>
      <c r="AA48" s="1" t="s">
        <v>500</v>
      </c>
      <c r="AB48" s="1" t="s">
        <v>232</v>
      </c>
      <c r="AR48" s="1" t="s">
        <v>632</v>
      </c>
      <c r="AT48" s="1" t="s">
        <v>220</v>
      </c>
      <c r="AU48" s="1" t="s">
        <v>633</v>
      </c>
      <c r="BC48" s="15" t="s">
        <v>597</v>
      </c>
      <c r="BD48" s="14" t="s">
        <v>91</v>
      </c>
      <c r="BE48" s="16" t="s">
        <v>607</v>
      </c>
      <c r="BF48" s="15" t="s">
        <v>448</v>
      </c>
      <c r="BG48" s="15" t="s">
        <v>502</v>
      </c>
    </row>
    <row r="49" spans="16:59" x14ac:dyDescent="0.5">
      <c r="P49" s="1" t="s">
        <v>635</v>
      </c>
      <c r="Q49" s="1" t="s">
        <v>636</v>
      </c>
      <c r="W49" s="1" t="s">
        <v>635</v>
      </c>
      <c r="X49" s="1" t="s">
        <v>636</v>
      </c>
      <c r="Y49" s="1" t="s">
        <v>322</v>
      </c>
      <c r="AA49" s="1" t="s">
        <v>522</v>
      </c>
      <c r="AB49" s="1" t="s">
        <v>231</v>
      </c>
      <c r="AR49" s="1" t="s">
        <v>634</v>
      </c>
      <c r="AT49" s="1" t="s">
        <v>500</v>
      </c>
      <c r="AU49" s="1" t="s">
        <v>232</v>
      </c>
      <c r="BC49" s="15" t="s">
        <v>304</v>
      </c>
      <c r="BD49" s="16" t="s">
        <v>406</v>
      </c>
      <c r="BE49" s="15" t="s">
        <v>534</v>
      </c>
      <c r="BF49" s="16" t="s">
        <v>528</v>
      </c>
      <c r="BG49" s="15" t="s">
        <v>323</v>
      </c>
    </row>
    <row r="50" spans="16:59" x14ac:dyDescent="0.5">
      <c r="P50" s="1" t="s">
        <v>224</v>
      </c>
      <c r="Q50" s="1" t="s">
        <v>524</v>
      </c>
      <c r="W50" s="1" t="s">
        <v>224</v>
      </c>
      <c r="X50" s="1" t="s">
        <v>524</v>
      </c>
      <c r="Y50" s="1" t="s">
        <v>453</v>
      </c>
      <c r="AA50" s="1" t="s">
        <v>307</v>
      </c>
      <c r="AB50" s="1" t="s">
        <v>553</v>
      </c>
      <c r="AR50" s="1" t="s">
        <v>322</v>
      </c>
      <c r="AT50" s="1" t="s">
        <v>522</v>
      </c>
      <c r="AU50" s="1" t="s">
        <v>231</v>
      </c>
      <c r="BC50" s="15" t="s">
        <v>553</v>
      </c>
      <c r="BD50" s="15" t="s">
        <v>516</v>
      </c>
      <c r="BE50" s="16" t="s">
        <v>597</v>
      </c>
      <c r="BF50" s="16" t="s">
        <v>409</v>
      </c>
      <c r="BG50" s="15" t="s">
        <v>379</v>
      </c>
    </row>
    <row r="51" spans="16:59" x14ac:dyDescent="0.5">
      <c r="P51" s="1" t="s">
        <v>637</v>
      </c>
      <c r="Q51" s="1" t="s">
        <v>638</v>
      </c>
      <c r="W51" s="1" t="s">
        <v>637</v>
      </c>
      <c r="X51" s="1" t="s">
        <v>638</v>
      </c>
      <c r="Y51" s="1" t="s">
        <v>639</v>
      </c>
      <c r="AA51" s="1" t="s">
        <v>528</v>
      </c>
      <c r="AB51" s="1" t="s">
        <v>575</v>
      </c>
      <c r="AR51" s="1" t="s">
        <v>453</v>
      </c>
      <c r="AT51" s="1" t="s">
        <v>307</v>
      </c>
      <c r="AU51" s="1" t="s">
        <v>553</v>
      </c>
      <c r="BC51" s="15" t="s">
        <v>533</v>
      </c>
      <c r="BD51" s="15" t="s">
        <v>215</v>
      </c>
      <c r="BE51" s="15" t="s">
        <v>227</v>
      </c>
      <c r="BF51" s="16" t="s">
        <v>487</v>
      </c>
      <c r="BG51" s="15" t="s">
        <v>582</v>
      </c>
    </row>
    <row r="52" spans="16:59" x14ac:dyDescent="0.5">
      <c r="P52" s="1" t="s">
        <v>605</v>
      </c>
      <c r="Q52" s="1" t="s">
        <v>626</v>
      </c>
      <c r="W52" s="1" t="s">
        <v>605</v>
      </c>
      <c r="X52" s="1" t="s">
        <v>626</v>
      </c>
      <c r="Y52" s="1" t="s">
        <v>575</v>
      </c>
      <c r="AA52" s="1" t="s">
        <v>87</v>
      </c>
      <c r="AB52" s="1" t="s">
        <v>640</v>
      </c>
      <c r="AR52" s="1" t="s">
        <v>639</v>
      </c>
      <c r="AT52" s="1" t="s">
        <v>528</v>
      </c>
      <c r="AU52" s="1" t="s">
        <v>575</v>
      </c>
      <c r="BC52" s="15" t="s">
        <v>595</v>
      </c>
      <c r="BD52" s="13" t="s">
        <v>476</v>
      </c>
      <c r="BE52" s="14" t="s">
        <v>304</v>
      </c>
      <c r="BF52" s="15" t="s">
        <v>434</v>
      </c>
      <c r="BG52" s="15" t="s">
        <v>603</v>
      </c>
    </row>
    <row r="53" spans="16:59" x14ac:dyDescent="0.5">
      <c r="P53" s="1" t="s">
        <v>524</v>
      </c>
      <c r="Q53" s="1" t="s">
        <v>526</v>
      </c>
      <c r="W53" s="1" t="s">
        <v>524</v>
      </c>
      <c r="X53" s="1" t="s">
        <v>526</v>
      </c>
      <c r="AA53" s="1" t="s">
        <v>641</v>
      </c>
      <c r="AB53" s="1" t="s">
        <v>642</v>
      </c>
      <c r="AR53" s="1" t="s">
        <v>575</v>
      </c>
      <c r="AT53" s="1" t="s">
        <v>87</v>
      </c>
      <c r="AU53" s="1" t="s">
        <v>640</v>
      </c>
      <c r="BC53" s="15" t="s">
        <v>422</v>
      </c>
      <c r="BD53" s="15" t="s">
        <v>531</v>
      </c>
      <c r="BE53" s="13" t="s">
        <v>533</v>
      </c>
      <c r="BF53" s="16" t="s">
        <v>544</v>
      </c>
      <c r="BG53" s="15" t="s">
        <v>492</v>
      </c>
    </row>
    <row r="54" spans="16:59" x14ac:dyDescent="0.5">
      <c r="P54" s="1" t="s">
        <v>540</v>
      </c>
      <c r="Q54" s="1" t="s">
        <v>227</v>
      </c>
      <c r="W54" s="1" t="s">
        <v>540</v>
      </c>
      <c r="X54" s="1" t="s">
        <v>227</v>
      </c>
      <c r="AA54" s="1" t="s">
        <v>643</v>
      </c>
      <c r="AB54" s="1" t="s">
        <v>227</v>
      </c>
      <c r="AT54" s="1" t="s">
        <v>641</v>
      </c>
      <c r="AU54" s="1" t="s">
        <v>642</v>
      </c>
      <c r="BC54" s="15" t="s">
        <v>230</v>
      </c>
      <c r="BD54" s="15" t="s">
        <v>447</v>
      </c>
      <c r="BE54" s="14" t="s">
        <v>563</v>
      </c>
      <c r="BF54" s="15" t="s">
        <v>406</v>
      </c>
      <c r="BG54" s="15" t="s">
        <v>534</v>
      </c>
    </row>
    <row r="55" spans="16:59" x14ac:dyDescent="0.5">
      <c r="P55" s="1" t="s">
        <v>226</v>
      </c>
      <c r="Q55" s="1" t="s">
        <v>499</v>
      </c>
      <c r="W55" s="1" t="s">
        <v>226</v>
      </c>
      <c r="X55" s="1" t="s">
        <v>499</v>
      </c>
      <c r="AA55" s="1" t="s">
        <v>535</v>
      </c>
      <c r="AB55" s="1" t="s">
        <v>644</v>
      </c>
      <c r="AT55" s="1" t="s">
        <v>643</v>
      </c>
      <c r="AU55" s="1" t="s">
        <v>227</v>
      </c>
      <c r="BC55" s="15" t="s">
        <v>375</v>
      </c>
      <c r="BD55" s="16" t="s">
        <v>547</v>
      </c>
      <c r="BE55" s="16" t="s">
        <v>570</v>
      </c>
      <c r="BF55" s="16" t="s">
        <v>349</v>
      </c>
      <c r="BG55" s="15" t="s">
        <v>304</v>
      </c>
    </row>
    <row r="56" spans="16:59" x14ac:dyDescent="0.5">
      <c r="P56" s="1" t="s">
        <v>379</v>
      </c>
      <c r="Q56" s="1" t="s">
        <v>553</v>
      </c>
      <c r="W56" s="1" t="s">
        <v>379</v>
      </c>
      <c r="X56" s="1" t="s">
        <v>553</v>
      </c>
      <c r="AA56" s="1" t="s">
        <v>645</v>
      </c>
      <c r="AB56" s="1" t="s">
        <v>83</v>
      </c>
      <c r="AT56" s="1" t="s">
        <v>535</v>
      </c>
      <c r="AU56" s="1" t="s">
        <v>644</v>
      </c>
      <c r="BC56" s="17"/>
      <c r="BD56" s="14" t="s">
        <v>459</v>
      </c>
      <c r="BE56" s="14" t="s">
        <v>561</v>
      </c>
      <c r="BF56" s="15" t="s">
        <v>562</v>
      </c>
      <c r="BG56" s="15" t="s">
        <v>533</v>
      </c>
    </row>
    <row r="57" spans="16:59" x14ac:dyDescent="0.5">
      <c r="P57" s="1" t="s">
        <v>646</v>
      </c>
      <c r="Q57" s="1" t="s">
        <v>533</v>
      </c>
      <c r="W57" s="1" t="s">
        <v>646</v>
      </c>
      <c r="X57" s="1" t="s">
        <v>533</v>
      </c>
      <c r="AA57" s="1" t="s">
        <v>496</v>
      </c>
      <c r="AB57" s="1" t="s">
        <v>405</v>
      </c>
      <c r="AT57" s="1" t="s">
        <v>645</v>
      </c>
      <c r="AU57" s="1" t="s">
        <v>83</v>
      </c>
      <c r="BD57" s="16" t="s">
        <v>529</v>
      </c>
      <c r="BE57" s="15" t="s">
        <v>83</v>
      </c>
      <c r="BF57" s="15" t="s">
        <v>284</v>
      </c>
      <c r="BG57" s="15" t="s">
        <v>480</v>
      </c>
    </row>
    <row r="58" spans="16:59" x14ac:dyDescent="0.5">
      <c r="P58" s="1" t="s">
        <v>227</v>
      </c>
      <c r="Q58" s="1" t="s">
        <v>228</v>
      </c>
      <c r="W58" s="1" t="s">
        <v>227</v>
      </c>
      <c r="X58" s="1" t="s">
        <v>228</v>
      </c>
      <c r="AA58" s="1" t="s">
        <v>647</v>
      </c>
      <c r="AB58" s="1" t="s">
        <v>648</v>
      </c>
      <c r="AT58" s="1" t="s">
        <v>496</v>
      </c>
      <c r="AU58" s="1" t="s">
        <v>405</v>
      </c>
      <c r="BD58" s="15" t="s">
        <v>87</v>
      </c>
      <c r="BE58" s="13"/>
      <c r="BF58" s="15" t="s">
        <v>352</v>
      </c>
      <c r="BG58" s="15" t="s">
        <v>561</v>
      </c>
    </row>
    <row r="59" spans="16:59" x14ac:dyDescent="0.5">
      <c r="P59" s="1" t="s">
        <v>499</v>
      </c>
      <c r="Q59" s="1" t="s">
        <v>649</v>
      </c>
      <c r="W59" s="1" t="s">
        <v>499</v>
      </c>
      <c r="X59" s="1" t="s">
        <v>649</v>
      </c>
      <c r="AA59" s="1" t="s">
        <v>650</v>
      </c>
      <c r="AB59" s="1" t="s">
        <v>651</v>
      </c>
      <c r="AT59" s="1" t="s">
        <v>647</v>
      </c>
      <c r="AU59" s="1" t="s">
        <v>648</v>
      </c>
      <c r="BC59" s="2"/>
      <c r="BD59" s="15" t="s">
        <v>548</v>
      </c>
      <c r="BE59" s="13"/>
      <c r="BF59" s="15" t="s">
        <v>217</v>
      </c>
      <c r="BG59" s="15" t="s">
        <v>50</v>
      </c>
    </row>
    <row r="60" spans="16:59" x14ac:dyDescent="0.5">
      <c r="P60" s="1" t="s">
        <v>639</v>
      </c>
      <c r="Q60" s="1" t="s">
        <v>424</v>
      </c>
      <c r="W60" s="1" t="s">
        <v>639</v>
      </c>
      <c r="X60" s="1" t="s">
        <v>424</v>
      </c>
      <c r="AA60" s="1" t="s">
        <v>652</v>
      </c>
      <c r="AB60" s="1" t="s">
        <v>653</v>
      </c>
      <c r="AT60" s="1" t="s">
        <v>650</v>
      </c>
      <c r="AU60" s="1" t="s">
        <v>651</v>
      </c>
      <c r="BD60" s="16" t="s">
        <v>536</v>
      </c>
      <c r="BE60" s="13"/>
      <c r="BF60" s="15" t="s">
        <v>94</v>
      </c>
      <c r="BG60" s="15"/>
    </row>
    <row r="61" spans="16:59" x14ac:dyDescent="0.5">
      <c r="P61" s="1" t="s">
        <v>450</v>
      </c>
      <c r="Q61" s="1" t="s">
        <v>394</v>
      </c>
      <c r="W61" s="1" t="s">
        <v>450</v>
      </c>
      <c r="X61" s="1" t="s">
        <v>394</v>
      </c>
      <c r="AA61" s="1" t="s">
        <v>284</v>
      </c>
      <c r="AB61" s="1" t="s">
        <v>654</v>
      </c>
      <c r="AT61" s="1" t="s">
        <v>652</v>
      </c>
      <c r="AU61" s="1" t="s">
        <v>653</v>
      </c>
      <c r="BD61" s="15" t="s">
        <v>446</v>
      </c>
      <c r="BE61" s="13"/>
      <c r="BF61" s="15" t="s">
        <v>481</v>
      </c>
      <c r="BG61" s="15"/>
    </row>
    <row r="62" spans="16:59" x14ac:dyDescent="0.5">
      <c r="P62" s="1" t="s">
        <v>604</v>
      </c>
      <c r="Q62" s="1" t="s">
        <v>561</v>
      </c>
      <c r="W62" s="1" t="s">
        <v>604</v>
      </c>
      <c r="X62" s="1" t="s">
        <v>561</v>
      </c>
      <c r="AA62" s="1" t="s">
        <v>226</v>
      </c>
      <c r="AB62" s="1" t="s">
        <v>655</v>
      </c>
      <c r="AT62" s="1" t="s">
        <v>284</v>
      </c>
      <c r="AU62" s="1" t="s">
        <v>654</v>
      </c>
      <c r="BD62" s="16" t="s">
        <v>467</v>
      </c>
      <c r="BE62" s="13"/>
      <c r="BF62" s="15" t="s">
        <v>285</v>
      </c>
      <c r="BG62" s="15"/>
    </row>
    <row r="63" spans="16:59" x14ac:dyDescent="0.5">
      <c r="P63" s="1" t="s">
        <v>461</v>
      </c>
      <c r="Q63" s="1" t="s">
        <v>231</v>
      </c>
      <c r="W63" s="1" t="s">
        <v>461</v>
      </c>
      <c r="X63" s="1" t="s">
        <v>231</v>
      </c>
      <c r="AA63" s="1" t="s">
        <v>656</v>
      </c>
      <c r="AT63" s="1" t="s">
        <v>226</v>
      </c>
      <c r="AU63" s="1" t="s">
        <v>655</v>
      </c>
      <c r="BC63" s="2"/>
      <c r="BD63" s="16" t="s">
        <v>488</v>
      </c>
      <c r="BE63" s="13"/>
      <c r="BF63" s="16" t="s">
        <v>305</v>
      </c>
      <c r="BG63" s="15"/>
    </row>
    <row r="64" spans="16:59" x14ac:dyDescent="0.5">
      <c r="Q64" s="1" t="s">
        <v>50</v>
      </c>
      <c r="X64" s="1" t="s">
        <v>50</v>
      </c>
      <c r="AA64" s="1" t="s">
        <v>585</v>
      </c>
      <c r="AT64" s="1" t="s">
        <v>656</v>
      </c>
      <c r="BD64" s="15" t="s">
        <v>222</v>
      </c>
      <c r="BE64" s="13"/>
      <c r="BF64" s="15" t="s">
        <v>223</v>
      </c>
      <c r="BG64" s="15"/>
    </row>
    <row r="65" spans="17:59" x14ac:dyDescent="0.5">
      <c r="Q65" s="1" t="s">
        <v>232</v>
      </c>
      <c r="X65" s="1" t="s">
        <v>232</v>
      </c>
      <c r="AA65" s="1" t="s">
        <v>631</v>
      </c>
      <c r="AT65" s="1" t="s">
        <v>585</v>
      </c>
      <c r="BD65" s="13" t="s">
        <v>545</v>
      </c>
      <c r="BE65" s="13"/>
      <c r="BF65" s="16" t="s">
        <v>471</v>
      </c>
      <c r="BG65" s="15"/>
    </row>
    <row r="66" spans="17:59" x14ac:dyDescent="0.5">
      <c r="Q66" s="1" t="s">
        <v>657</v>
      </c>
      <c r="X66" s="1" t="s">
        <v>657</v>
      </c>
      <c r="AA66" s="1" t="s">
        <v>658</v>
      </c>
      <c r="AT66" s="1" t="s">
        <v>631</v>
      </c>
      <c r="BD66" s="14" t="s">
        <v>504</v>
      </c>
      <c r="BE66" s="13"/>
      <c r="BF66" s="15" t="s">
        <v>502</v>
      </c>
      <c r="BG66" s="15"/>
    </row>
    <row r="67" spans="17:59" x14ac:dyDescent="0.5">
      <c r="AA67" s="1" t="s">
        <v>659</v>
      </c>
      <c r="AT67" s="1" t="s">
        <v>658</v>
      </c>
      <c r="BD67" s="16" t="s">
        <v>586</v>
      </c>
      <c r="BE67" s="13"/>
      <c r="BF67" s="15" t="s">
        <v>521</v>
      </c>
      <c r="BG67" s="15"/>
    </row>
    <row r="68" spans="17:59" x14ac:dyDescent="0.5">
      <c r="AA68" s="1" t="s">
        <v>580</v>
      </c>
      <c r="AT68" s="1" t="s">
        <v>659</v>
      </c>
      <c r="BD68" s="13" t="s">
        <v>432</v>
      </c>
      <c r="BE68" s="13"/>
      <c r="BF68" s="15" t="s">
        <v>323</v>
      </c>
      <c r="BG68" s="15"/>
    </row>
    <row r="69" spans="17:59" x14ac:dyDescent="0.5">
      <c r="AT69" s="1" t="s">
        <v>580</v>
      </c>
      <c r="BD69" s="15" t="s">
        <v>420</v>
      </c>
      <c r="BE69" s="13"/>
      <c r="BF69" s="15" t="s">
        <v>379</v>
      </c>
      <c r="BG69" s="15"/>
    </row>
    <row r="70" spans="17:59" x14ac:dyDescent="0.5">
      <c r="BD70" s="16" t="s">
        <v>598</v>
      </c>
      <c r="BE70" s="18"/>
      <c r="BF70" s="15" t="s">
        <v>582</v>
      </c>
      <c r="BG70" s="15"/>
    </row>
    <row r="71" spans="17:59" x14ac:dyDescent="0.5">
      <c r="BD71" s="15" t="s">
        <v>224</v>
      </c>
      <c r="BF71" s="15" t="s">
        <v>407</v>
      </c>
      <c r="BG71" s="15"/>
    </row>
    <row r="72" spans="17:59" x14ac:dyDescent="0.5">
      <c r="BD72" s="15" t="s">
        <v>535</v>
      </c>
      <c r="BF72" s="16" t="s">
        <v>603</v>
      </c>
      <c r="BG72" s="15"/>
    </row>
    <row r="73" spans="17:59" x14ac:dyDescent="0.5">
      <c r="BD73" s="16" t="s">
        <v>502</v>
      </c>
      <c r="BF73" s="15" t="s">
        <v>351</v>
      </c>
      <c r="BG73" s="15"/>
    </row>
    <row r="74" spans="17:59" x14ac:dyDescent="0.5">
      <c r="BD74" s="13" t="s">
        <v>571</v>
      </c>
      <c r="BF74" s="16" t="s">
        <v>492</v>
      </c>
      <c r="BG74" s="15"/>
    </row>
    <row r="75" spans="17:59" x14ac:dyDescent="0.5">
      <c r="BD75" s="14" t="s">
        <v>575</v>
      </c>
      <c r="BF75" s="15" t="s">
        <v>534</v>
      </c>
      <c r="BG75" s="15"/>
    </row>
    <row r="76" spans="17:59" x14ac:dyDescent="0.5">
      <c r="BD76" s="13" t="s">
        <v>578</v>
      </c>
      <c r="BF76" s="15" t="s">
        <v>551</v>
      </c>
      <c r="BG76" s="15"/>
    </row>
    <row r="77" spans="17:59" x14ac:dyDescent="0.5">
      <c r="BD77" s="16" t="s">
        <v>607</v>
      </c>
      <c r="BF77" s="16" t="s">
        <v>304</v>
      </c>
      <c r="BG77" s="15"/>
    </row>
    <row r="78" spans="17:59" x14ac:dyDescent="0.5">
      <c r="BD78" s="16" t="s">
        <v>492</v>
      </c>
      <c r="BF78" s="16" t="s">
        <v>556</v>
      </c>
      <c r="BG78" s="15"/>
    </row>
    <row r="79" spans="17:59" x14ac:dyDescent="0.5">
      <c r="BD79" s="15" t="s">
        <v>534</v>
      </c>
      <c r="BF79" s="15" t="s">
        <v>533</v>
      </c>
      <c r="BG79" s="15"/>
    </row>
    <row r="80" spans="17:59" x14ac:dyDescent="0.5">
      <c r="BD80" s="14" t="s">
        <v>583</v>
      </c>
      <c r="BF80" s="15" t="s">
        <v>480</v>
      </c>
      <c r="BG80" s="15"/>
    </row>
    <row r="81" spans="56:59" x14ac:dyDescent="0.5">
      <c r="BD81" s="16" t="s">
        <v>597</v>
      </c>
      <c r="BF81" s="16" t="s">
        <v>511</v>
      </c>
      <c r="BG81" s="16"/>
    </row>
    <row r="82" spans="56:59" x14ac:dyDescent="0.5">
      <c r="BD82" s="13" t="s">
        <v>589</v>
      </c>
      <c r="BF82" s="15" t="s">
        <v>552</v>
      </c>
      <c r="BG82" s="15"/>
    </row>
    <row r="83" spans="56:59" x14ac:dyDescent="0.5">
      <c r="BD83" s="15" t="s">
        <v>227</v>
      </c>
      <c r="BF83" s="16" t="s">
        <v>424</v>
      </c>
      <c r="BG83" s="16"/>
    </row>
    <row r="84" spans="56:59" x14ac:dyDescent="0.5">
      <c r="BD84" s="16" t="s">
        <v>595</v>
      </c>
      <c r="BF84" s="16" t="s">
        <v>394</v>
      </c>
      <c r="BG84" s="15"/>
    </row>
    <row r="85" spans="56:59" x14ac:dyDescent="0.5">
      <c r="BD85" s="13" t="s">
        <v>450</v>
      </c>
      <c r="BF85" s="15" t="s">
        <v>561</v>
      </c>
      <c r="BG85" s="15"/>
    </row>
    <row r="86" spans="56:59" x14ac:dyDescent="0.5">
      <c r="BD86" s="15" t="s">
        <v>604</v>
      </c>
      <c r="BF86" s="19" t="s">
        <v>50</v>
      </c>
      <c r="BG86" s="15"/>
    </row>
    <row r="87" spans="56:59" x14ac:dyDescent="0.5">
      <c r="BD87" s="16" t="s">
        <v>570</v>
      </c>
      <c r="BF87" s="16" t="s">
        <v>232</v>
      </c>
      <c r="BG87" s="19"/>
    </row>
    <row r="88" spans="56:59" x14ac:dyDescent="0.5">
      <c r="BD88" s="15" t="s">
        <v>83</v>
      </c>
      <c r="BF88" s="16" t="s">
        <v>91</v>
      </c>
    </row>
    <row r="89" spans="56:59" x14ac:dyDescent="0.5">
      <c r="BD89" s="16"/>
      <c r="BF89" s="16" t="s">
        <v>87</v>
      </c>
    </row>
    <row r="90" spans="56:59" x14ac:dyDescent="0.5">
      <c r="BD90" s="16"/>
      <c r="BF90" s="16"/>
    </row>
    <row r="91" spans="56:59" x14ac:dyDescent="0.5">
      <c r="BD91" s="15"/>
      <c r="BF91" s="16"/>
    </row>
    <row r="92" spans="56:59" x14ac:dyDescent="0.5">
      <c r="BD92" s="16"/>
      <c r="BF92" s="19"/>
    </row>
    <row r="93" spans="56:59" x14ac:dyDescent="0.5">
      <c r="BD93" s="16"/>
    </row>
    <row r="94" spans="56:59" x14ac:dyDescent="0.5">
      <c r="BD94" s="16"/>
    </row>
    <row r="95" spans="56:59" x14ac:dyDescent="0.5">
      <c r="BD95" s="16"/>
    </row>
    <row r="96" spans="56:59" x14ac:dyDescent="0.5">
      <c r="BD96" s="16"/>
    </row>
    <row r="97" spans="56:56" x14ac:dyDescent="0.5">
      <c r="BD97" s="15"/>
    </row>
    <row r="98" spans="56:56" x14ac:dyDescent="0.5">
      <c r="BD98" s="16"/>
    </row>
    <row r="99" spans="56:56" x14ac:dyDescent="0.5">
      <c r="BD99" s="16"/>
    </row>
    <row r="100" spans="56:56" x14ac:dyDescent="0.5">
      <c r="BD100" s="16"/>
    </row>
    <row r="101" spans="56:56" x14ac:dyDescent="0.5">
      <c r="BD101" s="16"/>
    </row>
    <row r="102" spans="56:56" x14ac:dyDescent="0.5">
      <c r="BD102" s="16"/>
    </row>
    <row r="103" spans="56:56" x14ac:dyDescent="0.5">
      <c r="BD103" s="14"/>
    </row>
    <row r="104" spans="56:56" x14ac:dyDescent="0.5">
      <c r="BD104" s="16"/>
    </row>
    <row r="105" spans="56:56" x14ac:dyDescent="0.5">
      <c r="BD105" s="16"/>
    </row>
    <row r="106" spans="56:56" x14ac:dyDescent="0.5">
      <c r="BD106" s="16"/>
    </row>
    <row r="107" spans="56:56" x14ac:dyDescent="0.5">
      <c r="BD107" s="16"/>
    </row>
    <row r="108" spans="56:56" x14ac:dyDescent="0.5">
      <c r="BD108" s="19"/>
    </row>
  </sheetData>
  <sortState xmlns:xlrd2="http://schemas.microsoft.com/office/spreadsheetml/2017/richdata2" ref="BC6:BC66">
    <sortCondition ref="BC5:BC66"/>
  </sortState>
  <mergeCells count="12">
    <mergeCell ref="AV3:AZ3"/>
    <mergeCell ref="AR3:AU3"/>
    <mergeCell ref="AL3:AN3"/>
    <mergeCell ref="AO3:AQ3"/>
    <mergeCell ref="BB1:BG1"/>
    <mergeCell ref="AL2:AQ2"/>
    <mergeCell ref="AL1:AZ1"/>
    <mergeCell ref="S1:AG1"/>
    <mergeCell ref="L2:Q2"/>
    <mergeCell ref="S2:X2"/>
    <mergeCell ref="Y2:AB2"/>
    <mergeCell ref="AC2:AG2"/>
  </mergeCells>
  <pageMargins left="0.7" right="0.7" top="0.75" bottom="0.75" header="0.3" footer="0.3"/>
  <legacyDrawing r:id="rId1"/>
  <tableParts count="56">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EE64031-2536-46AB-AFAB-854EFA7B99A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vt:i4>
      </vt:variant>
      <vt:variant>
        <vt:lpstr>Rangos con nombre</vt:lpstr>
      </vt:variant>
      <vt:variant>
        <vt:i4>60</vt:i4>
      </vt:variant>
    </vt:vector>
  </HeadingPairs>
  <TitlesOfParts>
    <vt:vector size="67" baseType="lpstr">
      <vt:lpstr>Paso1 Analisis perfil egreso</vt:lpstr>
      <vt:lpstr>Paso 2 Redacción competen</vt:lpstr>
      <vt:lpstr>Paso 3 Redacción RA </vt:lpstr>
      <vt:lpstr>Paso 4 Estrategias mesocurricu</vt:lpstr>
      <vt:lpstr>Paso 5 Estrategias micro</vt:lpstr>
      <vt:lpstr>Taxonomía para competencias</vt:lpstr>
      <vt:lpstr>Taxonomias para RA</vt:lpstr>
      <vt:lpstr>actitudinalB</vt:lpstr>
      <vt:lpstr>ActitudinalBAK</vt:lpstr>
      <vt:lpstr>AK</vt:lpstr>
      <vt:lpstr>AnálisisB</vt:lpstr>
      <vt:lpstr>AnálisisBAK</vt:lpstr>
      <vt:lpstr>AnálisisMK</vt:lpstr>
      <vt:lpstr>AnalizarLK</vt:lpstr>
      <vt:lpstr>AplicaciónB</vt:lpstr>
      <vt:lpstr>AplicaciónBAK</vt:lpstr>
      <vt:lpstr>AplicarLK</vt:lpstr>
      <vt:lpstr>BAK</vt:lpstr>
      <vt:lpstr>Bloom</vt:lpstr>
      <vt:lpstr>CaracterizarBAK</vt:lpstr>
      <vt:lpstr>Cognitivo</vt:lpstr>
      <vt:lpstr>CognitivoAK</vt:lpstr>
      <vt:lpstr>cognitivoB</vt:lpstr>
      <vt:lpstr>CognitivoBAK</vt:lpstr>
      <vt:lpstr>competencias</vt:lpstr>
      <vt:lpstr>ComprenderLK</vt:lpstr>
      <vt:lpstr>ComprensionB</vt:lpstr>
      <vt:lpstr>ComprensiónBAK</vt:lpstr>
      <vt:lpstr>ComprensiónMK</vt:lpstr>
      <vt:lpstr>ConceptosLK</vt:lpstr>
      <vt:lpstr>ConocimientoB</vt:lpstr>
      <vt:lpstr>ConocimientoBAK</vt:lpstr>
      <vt:lpstr>Conocimientos</vt:lpstr>
      <vt:lpstr>ControlBAK</vt:lpstr>
      <vt:lpstr>CrearLK</vt:lpstr>
      <vt:lpstr>dominios</vt:lpstr>
      <vt:lpstr>EvaluaciónB</vt:lpstr>
      <vt:lpstr>EvaluaciónBAK</vt:lpstr>
      <vt:lpstr>EvaluarLK</vt:lpstr>
      <vt:lpstr>HechosLK</vt:lpstr>
      <vt:lpstr>ImitaciónBAK</vt:lpstr>
      <vt:lpstr>ManipulaciónBAK</vt:lpstr>
      <vt:lpstr>MetacogniciónLK</vt:lpstr>
      <vt:lpstr>MetacogniciónMK</vt:lpstr>
      <vt:lpstr>MetocogniciónAK</vt:lpstr>
      <vt:lpstr>MK</vt:lpstr>
      <vt:lpstr>OrganizarBAK</vt:lpstr>
      <vt:lpstr>PercepciónBAK</vt:lpstr>
      <vt:lpstr>PrecisiónBAK</vt:lpstr>
      <vt:lpstr>procedimentalB</vt:lpstr>
      <vt:lpstr>ProcedimentalBAK</vt:lpstr>
      <vt:lpstr>ProcedimientosMK</vt:lpstr>
      <vt:lpstr>ProcesosAK</vt:lpstr>
      <vt:lpstr>PsicomotorMK</vt:lpstr>
      <vt:lpstr>RecordarLK</vt:lpstr>
      <vt:lpstr>RecuperaciónMK</vt:lpstr>
      <vt:lpstr>ResponderBAK</vt:lpstr>
      <vt:lpstr>resultadoaprendizaje</vt:lpstr>
      <vt:lpstr>Saber</vt:lpstr>
      <vt:lpstr>Saberhacer</vt:lpstr>
      <vt:lpstr>saberser</vt:lpstr>
      <vt:lpstr>SíntesisB</vt:lpstr>
      <vt:lpstr>SíntesisBAK</vt:lpstr>
      <vt:lpstr>SistemadelYoMK</vt:lpstr>
      <vt:lpstr>taxonomiasra</vt:lpstr>
      <vt:lpstr>UsoConocimientoMK</vt:lpstr>
      <vt:lpstr>ValorarBAK</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Diana Shirley Velasquez Rojas</dc:creator>
  <cp:keywords/>
  <dc:description/>
  <cp:lastModifiedBy>Ximena Silva</cp:lastModifiedBy>
  <cp:revision/>
  <dcterms:created xsi:type="dcterms:W3CDTF">2021-03-03T13:22:18Z</dcterms:created>
  <dcterms:modified xsi:type="dcterms:W3CDTF">2026-05-08T05:30:59Z</dcterms:modified>
  <cp:category/>
  <cp:contentStatus/>
</cp:coreProperties>
</file>